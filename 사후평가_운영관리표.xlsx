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현황판" sheetId="2" state="visible" r:id="rId4"/>
    <sheet name="입력_운동" sheetId="3" state="visible" r:id="rId5"/>
    <sheet name="입력_측정" sheetId="4" state="visible" r:id="rId6"/>
    <sheet name="입력_상담" sheetId="5" state="visible" r:id="rId7"/>
    <sheet name="결과지_부스1" sheetId="6" state="visible" r:id="rId8"/>
    <sheet name="결과지_부스2" sheetId="7" state="visible" r:id="rId9"/>
    <sheet name="명단" sheetId="8" state="visible" r:id="rId10"/>
    <sheet name="일정표" sheetId="9" state="visible" r:id="rId11"/>
    <sheet name="병목계산" sheetId="10" state="visible" r:id="rId12"/>
    <sheet name="설정" sheetId="11" state="visible" r:id="rId13"/>
  </sheets>
  <definedNames>
    <definedName function="false" hidden="false" localSheetId="5" name="_xlnm.Print_Area" vbProcedure="false">결과지_부스1!$B$1:$F$27</definedName>
    <definedName function="false" hidden="false" localSheetId="6" name="_xlnm.Print_Area" vbProcedure="false">결과지_부스2!$B$1:$F$27</definedName>
    <definedName function="false" hidden="false" localSheetId="7" name="_xlnm.Print_Area" vbProcedure="false">명단!$A$1:$AH$404</definedName>
    <definedName function="false" hidden="false" localSheetId="7" name="_xlnm.Print_Titles" vbProcedure="false">명단!$3:$4</definedName>
    <definedName function="false" hidden="true" localSheetId="7" name="_xlnm._FilterDatabase" vbProcedure="false">명단!$A$4:$AH$404</definedName>
    <definedName function="false" hidden="false" localSheetId="4" name="_xlnm.Print_Titles" vbProcedure="false">입력_상담!$4:$4</definedName>
    <definedName function="false" hidden="false" localSheetId="2" name="_xlnm.Print_Titles" vbProcedure="false">입력_운동!$4:$4</definedName>
    <definedName function="false" hidden="false" localSheetId="3" name="_xlnm.Print_Titles" vbProcedure="false">입력_측정!$4:$4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WenQuanYi Zen Hei"/>
            <family val="2"/>
          </rPr>
          <t xml:space="preserve">사전평가 때 잰 값을 번호 순서에 맞춰 붙여넣으세요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결과지에서 사전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사후 변화가 자동 계산됩니다</t>
        </r>
        <r>
          <rPr>
            <sz val="10"/>
            <rFont val="Arial"/>
            <family val="2"/>
          </rPr>
          <t xml:space="preserve">.</t>
        </r>
      </text>
    </comment>
    <comment ref="M4" authorId="0">
      <text>
        <r>
          <rPr>
            <sz val="10"/>
            <rFont val="WenQuanYi Zen Hei"/>
            <family val="2"/>
          </rPr>
          <t xml:space="preserve">당일 오지 않았거나 일정을 미룬 경우 선택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재예약하면 예약일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시간을 고치고 이 칸을 비우세요</t>
        </r>
        <r>
          <rPr>
            <sz val="10"/>
            <rFont val="Arial"/>
            <family val="2"/>
          </rPr>
          <t xml:space="preserve">.</t>
        </r>
      </text>
    </comment>
    <comment ref="Z4" authorId="0">
      <text>
        <r>
          <rPr>
            <sz val="10"/>
            <rFont val="WenQuanYi Zen Hei"/>
            <family val="2"/>
          </rPr>
          <t xml:space="preserve">혈압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혈당이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긴급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이거나 결과상담에서 추가상담을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필요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완료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로 입력하면 자동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대상</t>
        </r>
        <r>
          <rPr>
            <sz val="10"/>
            <rFont val="Arial"/>
            <family val="2"/>
          </rPr>
          <t xml:space="preserve">'</t>
        </r>
      </text>
    </comment>
    <comment ref="AF4" authorId="0">
      <text>
        <r>
          <rPr>
            <sz val="10"/>
            <rFont val="WenQuanYi Zen Hei"/>
            <family val="2"/>
          </rPr>
          <t xml:space="preserve">추가상담이 있으면 마지막 입력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추가상담 완료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WenQuanYi Zen Hei"/>
            <family val="2"/>
          </rPr>
          <t xml:space="preserve">시각까지 포함됩니다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<sst xmlns="http://schemas.openxmlformats.org/spreadsheetml/2006/main" count="362" uniqueCount="305">
  <si>
    <r>
      <rPr>
        <b val="true"/>
        <sz val="16"/>
        <color rgb="FF1F3864"/>
        <rFont val="WenQuanYi Zen Hei"/>
        <family val="2"/>
      </rPr>
      <t xml:space="preserve">사후평가 운영 관리표 </t>
    </r>
    <r>
      <rPr>
        <b val="true"/>
        <sz val="16"/>
        <color rgb="FF1F3864"/>
        <rFont val="맑은 고딕"/>
        <family val="0"/>
        <charset val="1"/>
      </rPr>
      <t xml:space="preserve">(2</t>
    </r>
    <r>
      <rPr>
        <b val="true"/>
        <sz val="16"/>
        <color rgb="FF1F3864"/>
        <rFont val="WenQuanYi Zen Hei"/>
        <family val="2"/>
      </rPr>
      <t xml:space="preserve">주 </t>
    </r>
    <r>
      <rPr>
        <b val="true"/>
        <sz val="16"/>
        <color rgb="FF1F3864"/>
        <rFont val="맑은 고딕"/>
        <family val="0"/>
        <charset val="1"/>
      </rPr>
      <t xml:space="preserve">· 350</t>
    </r>
    <r>
      <rPr>
        <b val="true"/>
        <sz val="16"/>
        <color rgb="FF1F3864"/>
        <rFont val="WenQuanYi Zen Hei"/>
        <family val="2"/>
      </rPr>
      <t xml:space="preserve">명</t>
    </r>
    <r>
      <rPr>
        <b val="true"/>
        <sz val="16"/>
        <color rgb="FF1F3864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</si>
  <si>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흐름</t>
    </r>
    <r>
      <rPr>
        <i val="true"/>
        <sz val="10"/>
        <color rgb="FF7F7F7F"/>
        <rFont val="맑은 고딕"/>
        <family val="0"/>
        <charset val="1"/>
      </rPr>
      <t xml:space="preserve">: </t>
    </r>
    <r>
      <rPr>
        <i val="true"/>
        <sz val="10"/>
        <color rgb="FF7F7F7F"/>
        <rFont val="WenQuanYi Zen Hei"/>
        <family val="2"/>
      </rPr>
      <t xml:space="preserve">운동평가</t>
    </r>
    <r>
      <rPr>
        <i val="true"/>
        <sz val="10"/>
        <color rgb="FF7F7F7F"/>
        <rFont val="맑은 고딕"/>
        <family val="0"/>
        <charset val="1"/>
      </rPr>
      <t xml:space="preserve">(1</t>
    </r>
    <r>
      <rPr>
        <i val="true"/>
        <sz val="10"/>
        <color rgb="FF7F7F7F"/>
        <rFont val="WenQuanYi Zen Hei"/>
        <family val="2"/>
      </rPr>
      <t xml:space="preserve">분</t>
    </r>
    <r>
      <rPr>
        <i val="true"/>
        <sz val="10"/>
        <color rgb="FF7F7F7F"/>
        <rFont val="맑은 고딕"/>
        <family val="0"/>
        <charset val="1"/>
      </rPr>
      <t xml:space="preserve">) → </t>
    </r>
    <r>
      <rPr>
        <i val="true"/>
        <sz val="10"/>
        <color rgb="FF7F7F7F"/>
        <rFont val="WenQuanYi Zen Hei"/>
        <family val="2"/>
      </rPr>
      <t xml:space="preserve">혈압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혈당 부스 → 결과상담 부스</t>
    </r>
    <r>
      <rPr>
        <i val="true"/>
        <sz val="10"/>
        <color rgb="FF7F7F7F"/>
        <rFont val="맑은 고딕"/>
        <family val="0"/>
        <charset val="1"/>
      </rPr>
      <t xml:space="preserve">(2</t>
    </r>
    <r>
      <rPr>
        <i val="true"/>
        <sz val="10"/>
        <color rgb="FF7F7F7F"/>
        <rFont val="WenQuanYi Zen Hei"/>
        <family val="2"/>
      </rPr>
      <t xml:space="preserve">개</t>
    </r>
    <r>
      <rPr>
        <i val="true"/>
        <sz val="10"/>
        <color rgb="FF7F7F7F"/>
        <rFont val="맑은 고딕"/>
        <family val="0"/>
        <charset val="1"/>
      </rPr>
      <t xml:space="preserve">) → </t>
    </r>
    <r>
      <rPr>
        <i val="true"/>
        <sz val="10"/>
        <color rgb="FF7F7F7F"/>
        <rFont val="WenQuanYi Zen Hei"/>
        <family val="2"/>
      </rPr>
      <t xml:space="preserve">끝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각 부스는 자기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입력</t>
    </r>
    <r>
      <rPr>
        <i val="true"/>
        <sz val="10"/>
        <color rgb="FF7F7F7F"/>
        <rFont val="맑은 고딕"/>
        <family val="0"/>
        <charset val="1"/>
      </rPr>
      <t xml:space="preserve">' </t>
    </r>
    <r>
      <rPr>
        <i val="true"/>
        <sz val="10"/>
        <color rgb="FF7F7F7F"/>
        <rFont val="WenQuanYi Zen Hei"/>
        <family val="2"/>
      </rPr>
      <t xml:space="preserve">탭에 한 줄씩 기록하면</t>
    </r>
    <r>
      <rPr>
        <i val="true"/>
        <sz val="10"/>
        <color rgb="FF7F7F7F"/>
        <rFont val="맑은 고딕"/>
        <family val="0"/>
        <charset val="1"/>
      </rPr>
      <t xml:space="preserve">, </t>
    </r>
    <r>
      <rPr>
        <i val="true"/>
        <sz val="10"/>
        <color rgb="FF7F7F7F"/>
        <rFont val="WenQuanYi Zen Hei"/>
        <family val="2"/>
      </rPr>
      <t xml:space="preserve">명단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현황판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결과지가 자동으로 갱신됩니다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</si>
  <si>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시트 구성</t>
    </r>
  </si>
  <si>
    <t xml:space="preserve">현황판</t>
  </si>
  <si>
    <r>
      <rPr>
        <sz val="10"/>
        <color rgb="FF000000"/>
        <rFont val="WenQuanYi Zen Hei"/>
        <family val="2"/>
      </rPr>
      <t xml:space="preserve">오늘 예약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실시간 대기열과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안내 가능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보류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신호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진행률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일별 그래프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구간별 평균 소요시간</t>
    </r>
  </si>
  <si>
    <r>
      <rPr>
        <b val="true"/>
        <sz val="10"/>
        <color rgb="FF000000"/>
        <rFont val="WenQuanYi Zen Hei"/>
        <family val="2"/>
      </rPr>
      <t xml:space="preserve">입력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운동</t>
    </r>
  </si>
  <si>
    <r>
      <rPr>
        <sz val="10"/>
        <color rgb="FF000000"/>
        <rFont val="WenQuanYi Zen Hei"/>
        <family val="2"/>
      </rPr>
      <t xml:space="preserve">운동평가 담당이 쓰는 탭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번호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악력 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한발서기</t>
    </r>
    <r>
      <rPr>
        <sz val="10"/>
        <color rgb="FF000000"/>
        <rFont val="맑은 고딕"/>
        <family val="0"/>
        <charset val="1"/>
      </rPr>
      <t xml:space="preserve">, 10m </t>
    </r>
    <r>
      <rPr>
        <sz val="10"/>
        <color rgb="FF000000"/>
        <rFont val="WenQuanYi Zen Hei"/>
        <family val="2"/>
      </rPr>
      <t xml:space="preserve">보행</t>
    </r>
  </si>
  <si>
    <r>
      <rPr>
        <b val="true"/>
        <sz val="10"/>
        <color rgb="FF000000"/>
        <rFont val="WenQuanYi Zen Hei"/>
        <family val="2"/>
      </rPr>
      <t xml:space="preserve">입력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측정</t>
    </r>
  </si>
  <si>
    <r>
      <rPr>
        <sz val="10"/>
        <color rgb="FF000000"/>
        <rFont val="WenQuanYi Zen Hei"/>
        <family val="2"/>
      </rPr>
      <t xml:space="preserve">혈압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혈당 부스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간호실습생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탭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번호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수축기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이완기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혈당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공복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식후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즉시 판정</t>
    </r>
    <r>
      <rPr>
        <sz val="10"/>
        <color rgb="FF000000"/>
        <rFont val="맑은 고딕"/>
        <family val="0"/>
        <charset val="1"/>
      </rPr>
      <t xml:space="preserve">·'</t>
    </r>
    <r>
      <rPr>
        <sz val="10"/>
        <color rgb="FF000000"/>
        <rFont val="WenQuanYi Zen Hei"/>
        <family val="2"/>
      </rPr>
      <t xml:space="preserve">긴급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호출 안내</t>
    </r>
  </si>
  <si>
    <r>
      <rPr>
        <b val="true"/>
        <sz val="10"/>
        <color rgb="FF000000"/>
        <rFont val="WenQuanYi Zen Hei"/>
        <family val="2"/>
      </rPr>
      <t xml:space="preserve">입력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상담</t>
    </r>
  </si>
  <si>
    <r>
      <rPr>
        <sz val="10"/>
        <color rgb="FF000000"/>
        <rFont val="WenQuanYi Zen Hei"/>
        <family val="2"/>
      </rPr>
      <t xml:space="preserve">결과상담 부스 선생님 탭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번호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부스</t>
    </r>
    <r>
      <rPr>
        <sz val="10"/>
        <color rgb="FF000000"/>
        <rFont val="맑은 고딕"/>
        <family val="0"/>
        <charset val="1"/>
      </rPr>
      <t xml:space="preserve">(1/2), </t>
    </r>
    <r>
      <rPr>
        <sz val="10"/>
        <color rgb="FF000000"/>
        <rFont val="WenQuanYi Zen Hei"/>
        <family val="2"/>
      </rPr>
      <t xml:space="preserve">추가상담 여부</t>
    </r>
  </si>
  <si>
    <r>
      <rPr>
        <b val="true"/>
        <sz val="10"/>
        <color rgb="FF000000"/>
        <rFont val="WenQuanYi Zen Hei"/>
        <family val="2"/>
      </rPr>
      <t xml:space="preserve">결과지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부스</t>
    </r>
    <r>
      <rPr>
        <b val="true"/>
        <sz val="10"/>
        <color rgb="FF000000"/>
        <rFont val="맑은 고딕"/>
        <family val="0"/>
        <charset val="1"/>
      </rPr>
      <t xml:space="preserve">1 / 2</t>
    </r>
  </si>
  <si>
    <r>
      <rPr>
        <sz val="10"/>
        <color rgb="FF000000"/>
        <rFont val="WenQuanYi Zen Hei"/>
        <family val="2"/>
      </rPr>
      <t xml:space="preserve">결과상담 부스별 화면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번호를 입력하면 사전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사후 비교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혈압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혈당 판정이 한 장으로 나옵니다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인쇄 가능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부스마다 자기 탭만 쓰세요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</si>
  <si>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명단</t>
  </si>
  <si>
    <r>
      <rPr>
        <sz val="10"/>
        <color rgb="FF000000"/>
        <rFont val="WenQuanYi Zen Hei"/>
        <family val="2"/>
      </rPr>
      <t xml:space="preserve">기본정보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사전평가값을 넣어 두는 마스터</t>
    </r>
    <r>
      <rPr>
        <sz val="10"/>
        <color rgb="FF000000"/>
        <rFont val="맑은 고딕"/>
        <family val="0"/>
        <charset val="1"/>
      </rPr>
      <t xml:space="preserve">(400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사후 결과와 진행 단계는 입력 탭에서 자동으로 가져옵니다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</si>
  <si>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일정표 </t>
    </r>
    <r>
      <rPr>
        <b val="true"/>
        <sz val="10"/>
        <color rgb="FF000000"/>
        <rFont val="맑은 고딕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병목계산 </t>
    </r>
    <r>
      <rPr>
        <b val="true"/>
        <sz val="10"/>
        <color rgb="FF000000"/>
        <rFont val="맑은 고딕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설정</t>
    </r>
  </si>
  <si>
    <r>
      <rPr>
        <sz val="10"/>
        <color rgb="FF000000"/>
        <rFont val="WenQuanYi Zen Hei"/>
        <family val="2"/>
      </rPr>
      <t xml:space="preserve">시간대별 예약 인원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하루 처리량과 허용 소요시간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목표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운영일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판정 기준</t>
    </r>
  </si>
  <si>
    <r>
      <rPr>
        <b val="true"/>
        <sz val="10"/>
        <color rgb="FFFFFFFF"/>
        <rFont val="맑은 고딕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색 규칙</t>
    </r>
  </si>
  <si>
    <r>
      <rPr>
        <b val="true"/>
        <sz val="10"/>
        <color rgb="FF0000FF"/>
        <rFont val="WenQuanYi Zen Hei"/>
        <family val="2"/>
      </rPr>
      <t xml:space="preserve">노란 칸 </t>
    </r>
    <r>
      <rPr>
        <b val="true"/>
        <sz val="10"/>
        <color rgb="FF0000FF"/>
        <rFont val="맑은 고딕"/>
        <family val="0"/>
        <charset val="1"/>
      </rPr>
      <t xml:space="preserve">+ </t>
    </r>
    <r>
      <rPr>
        <b val="true"/>
        <sz val="10"/>
        <color rgb="FF0000FF"/>
        <rFont val="WenQuanYi Zen Hei"/>
        <family val="2"/>
      </rPr>
      <t xml:space="preserve">파란 글씨</t>
    </r>
  </si>
  <si>
    <r>
      <rPr>
        <sz val="10"/>
        <color rgb="FF000000"/>
        <rFont val="WenQuanYi Zen Hei"/>
        <family val="2"/>
      </rPr>
      <t xml:space="preserve">직접 입력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수정하는 설정값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예시값은 실제 값으로 바꾸세요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</si>
  <si>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회색 칸</t>
  </si>
  <si>
    <r>
      <rPr>
        <sz val="10"/>
        <color rgb="FF000000"/>
        <rFont val="WenQuanYi Zen Hei"/>
        <family val="2"/>
      </rPr>
      <t xml:space="preserve">자동 계산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자동 가져오기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건드리지 마세요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수식이 지워집니다</t>
    </r>
    <r>
      <rPr>
        <sz val="10"/>
        <color rgb="FF000000"/>
        <rFont val="맑은 고딕"/>
        <family val="0"/>
        <charset val="1"/>
      </rPr>
      <t xml:space="preserve">).</t>
    </r>
  </si>
  <si>
    <t xml:space="preserve">입력 탭의 노란 줄</t>
  </si>
  <si>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다음에 입력할 줄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위에서부터 차례로 채우세요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</si>
  <si>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빨강 </t>
    </r>
    <r>
      <rPr>
        <b val="true"/>
        <sz val="10"/>
        <color rgb="FF000000"/>
        <rFont val="맑은 고딕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주황 </t>
    </r>
    <r>
      <rPr>
        <b val="true"/>
        <sz val="10"/>
        <color rgb="FF000000"/>
        <rFont val="맑은 고딕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초록</t>
    </r>
  </si>
  <si>
    <r>
      <rPr>
        <sz val="10"/>
        <color rgb="FF000000"/>
        <rFont val="WenQuanYi Zen Hei"/>
        <family val="2"/>
      </rPr>
      <t xml:space="preserve">빨강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긴급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정원 초과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번호 오류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주황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주의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추가상담 대기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초록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향상</t>
    </r>
  </si>
  <si>
    <r>
      <rPr>
        <b val="true"/>
        <sz val="10"/>
        <color rgb="FFFFFFFF"/>
        <rFont val="맑은 고딕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시작 전 준비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방문 </t>
    </r>
    <r>
      <rPr>
        <b val="true"/>
        <sz val="10"/>
        <color rgb="FFFFFFFF"/>
        <rFont val="맑은 고딕"/>
        <family val="0"/>
        <charset val="1"/>
      </rPr>
      <t xml:space="preserve">1~2</t>
    </r>
    <r>
      <rPr>
        <b val="true"/>
        <sz val="10"/>
        <color rgb="FFFFFFFF"/>
        <rFont val="WenQuanYi Zen Hei"/>
        <family val="2"/>
      </rPr>
      <t xml:space="preserve">주 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</si>
  <si>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① 설정</t>
  </si>
  <si>
    <r>
      <rPr>
        <sz val="10"/>
        <color rgb="FF000000"/>
        <rFont val="WenQuanYi Zen Hei"/>
        <family val="2"/>
      </rPr>
      <t xml:space="preserve">목표 인원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운영일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시간대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정원 확인</t>
    </r>
  </si>
  <si>
    <t xml:space="preserve">② 병목계산</t>
  </si>
  <si>
    <r>
      <rPr>
        <sz val="10"/>
        <color rgb="FF000000"/>
        <rFont val="WenQuanYi Zen Hei"/>
        <family val="2"/>
      </rPr>
      <t xml:space="preserve">측정 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결과상담 부스의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인당 소요시간을 리허설로 재서 입력 →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허용 최대 소요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)'</t>
    </r>
    <r>
      <rPr>
        <sz val="10"/>
        <color rgb="FF000000"/>
        <rFont val="WenQuanYi Zen Hei"/>
        <family val="2"/>
      </rPr>
      <t xml:space="preserve">와 비교해 일정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정원 확정</t>
    </r>
  </si>
  <si>
    <t xml:space="preserve">③ 명단</t>
  </si>
  <si>
    <r>
      <rPr>
        <sz val="10"/>
        <color rgb="FF000000"/>
        <rFont val="WenQuanYi Zen Hei"/>
        <family val="2"/>
      </rPr>
      <t xml:space="preserve">번호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연령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연락처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예약일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예약시간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특이사항 입력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사전평가 값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악력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한발서기</t>
    </r>
    <r>
      <rPr>
        <sz val="10"/>
        <color rgb="FF000000"/>
        <rFont val="맑은 고딕"/>
        <family val="0"/>
        <charset val="1"/>
      </rPr>
      <t xml:space="preserve">·10m)</t>
    </r>
    <r>
      <rPr>
        <sz val="10"/>
        <color rgb="FF000000"/>
        <rFont val="WenQuanYi Zen Hei"/>
        <family val="2"/>
      </rPr>
      <t xml:space="preserve">은 번호 순서에 맞춰 붙여넣기</t>
    </r>
  </si>
  <si>
    <t xml:space="preserve">④ 일정표</t>
  </si>
  <si>
    <r>
      <rPr>
        <sz val="10"/>
        <color rgb="FF000000"/>
        <rFont val="WenQuanYi Zen Hei"/>
        <family val="2"/>
      </rPr>
      <t xml:space="preserve">빨간 칸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정원 초과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조정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불참 대비 예비일 </t>
    </r>
    <r>
      <rPr>
        <sz val="10"/>
        <color rgb="FF000000"/>
        <rFont val="맑은 고딕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일 확보</t>
    </r>
  </si>
  <si>
    <r>
      <rPr>
        <b val="true"/>
        <sz val="10"/>
        <color rgb="FF000000"/>
        <rFont val="WenQuanYi Zen Hei"/>
        <family val="2"/>
      </rPr>
      <t xml:space="preserve">⑤ 이름표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여정카드</t>
    </r>
  </si>
  <si>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번호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를 큰 글씨로 인쇄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동명이인 방지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카드에는 운동 → 측정 → 결과상담 순서와 도장 칸</t>
    </r>
  </si>
  <si>
    <t xml:space="preserve">⑥ 리허설</t>
  </si>
  <si>
    <r>
      <rPr>
        <sz val="10"/>
        <color rgb="FF000000"/>
        <rFont val="WenQuanYi Zen Hei"/>
        <family val="2"/>
      </rPr>
      <t xml:space="preserve">더미 번호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399, 400)</t>
    </r>
    <r>
      <rPr>
        <sz val="10"/>
        <color rgb="FF000000"/>
        <rFont val="WenQuanYi Zen Hei"/>
        <family val="2"/>
      </rPr>
      <t xml:space="preserve">로 모든 탭에 한 줄씩 입력해 이름 확인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판정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결과지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현황판이 움직이는지 확인한 뒤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리허설 줄은 지우세요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</si>
  <si>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당일 입력 방법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담당자별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</si>
  <si>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운동평가 담당</t>
  </si>
  <si>
    <r>
      <rPr>
        <sz val="10"/>
        <color rgb="FF000000"/>
        <rFont val="WenQuanYi Zen Hei"/>
        <family val="2"/>
      </rPr>
      <t xml:space="preserve">번호 입력 → 이름이 뜨면 본인 확인 → 악력 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한발서기</t>
    </r>
    <r>
      <rPr>
        <sz val="10"/>
        <color rgb="FF000000"/>
        <rFont val="맑은 고딕"/>
        <family val="0"/>
        <charset val="1"/>
      </rPr>
      <t xml:space="preserve">, 10m </t>
    </r>
    <r>
      <rPr>
        <sz val="10"/>
        <color rgb="FF000000"/>
        <rFont val="WenQuanYi Zen Hei"/>
        <family val="2"/>
      </rPr>
      <t xml:space="preserve">보행 입력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이후 현황판의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측정 부스로 안내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신호가 ○면 보내고</t>
    </r>
    <r>
      <rPr>
        <sz val="10"/>
        <color rgb="FF000000"/>
        <rFont val="맑은 고딕"/>
        <family val="0"/>
        <charset val="1"/>
      </rPr>
      <t xml:space="preserve">, ●(</t>
    </r>
    <r>
      <rPr>
        <sz val="10"/>
        <color rgb="FF000000"/>
        <rFont val="WenQuanYi Zen Hei"/>
        <family val="2"/>
      </rPr>
      <t xml:space="preserve">보류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면 의자에서 잠시 쉬게 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</si>
  <si>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측정 부스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간호실습생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</si>
  <si>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번호 → 이름 확인 → 수축기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이완기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혈당 입력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혈당조건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공복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식후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측정 거부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불가면 해당 칸에 </t>
    </r>
    <r>
      <rPr>
        <sz val="10"/>
        <color rgb="FF000000"/>
        <rFont val="맑은 고딕"/>
        <family val="0"/>
        <charset val="1"/>
      </rPr>
      <t xml:space="preserve">- . '★ </t>
    </r>
    <r>
      <rPr>
        <sz val="10"/>
        <color rgb="FF000000"/>
        <rFont val="WenQuanYi Zen Hei"/>
        <family val="2"/>
      </rPr>
      <t xml:space="preserve">즉시 선생님 호출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 뜨면 바로 선생님께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</si>
  <si>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결과상담 부스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선생님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</si>
  <si>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결과지</t>
    </r>
    <r>
      <rPr>
        <sz val="10"/>
        <color rgb="FF000000"/>
        <rFont val="맑은 고딕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부스</t>
    </r>
    <r>
      <rPr>
        <sz val="10"/>
        <color rgb="FF000000"/>
        <rFont val="맑은 고딕"/>
        <family val="0"/>
        <charset val="1"/>
      </rPr>
      <t xml:space="preserve">1/2</t>
    </r>
    <r>
      <rPr>
        <sz val="10"/>
        <color rgb="FF000000"/>
        <rFont val="WenQuanYi Zen Hei"/>
        <family val="2"/>
      </rPr>
      <t xml:space="preserve">에 번호를 입력해 결과를 보며 상담 → 끝나면 입력</t>
    </r>
    <r>
      <rPr>
        <sz val="10"/>
        <color rgb="FF000000"/>
        <rFont val="맑은 고딕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상담에 한 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부스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추가상담 불필요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필요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추가상담이 필요하면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필요</t>
    </r>
    <r>
      <rPr>
        <sz val="10"/>
        <color rgb="FF000000"/>
        <rFont val="맑은 고딕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끝나면 같은 번호로 한 줄 더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'.</t>
    </r>
  </si>
  <si>
    <t xml:space="preserve">잘못 입력했을 때</t>
  </si>
  <si>
    <r>
      <rPr>
        <sz val="10"/>
        <color rgb="FF000000"/>
        <rFont val="WenQuanYi Zen Hei"/>
        <family val="2"/>
      </rPr>
      <t xml:space="preserve">입력 탭에서 같은 번호로 한 줄 더 입력하면 마지막 줄이 적용됩니다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삭제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정렬 금지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이름 확인 칸이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번호 없음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이면 번호부터 확인하세요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</si>
  <si>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하루 마감 루틴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</si>
  <si>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① 현황판</t>
  </si>
  <si>
    <r>
      <rPr>
        <sz val="10"/>
        <color rgb="FF000000"/>
        <rFont val="WenQuanYi Zen Hei"/>
        <family val="2"/>
      </rPr>
      <t xml:space="preserve">오늘 완료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미완료 확인</t>
    </r>
    <r>
      <rPr>
        <sz val="10"/>
        <color rgb="FF000000"/>
        <rFont val="맑은 고딕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입력 점검 필요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맑은 고딕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인지 확인</t>
    </r>
  </si>
  <si>
    <t xml:space="preserve">② 명단 필터</t>
  </si>
  <si>
    <r>
      <rPr>
        <sz val="10"/>
        <color rgb="FF000000"/>
        <rFont val="WenQuanYi Zen Hei"/>
        <family val="2"/>
      </rPr>
      <t xml:space="preserve">예약일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오늘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단계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미방문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측정 대기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결과상담 대기 → 연락 후 불참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연기 선택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재예약 시 예약일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시간 수정 후 불참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연기 칸 비우기</t>
    </r>
  </si>
  <si>
    <t xml:space="preserve">③ 다음 날 준비</t>
  </si>
  <si>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추가상담 대기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다음 날 우선 배정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내일 예약자 필터로 확인 문자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전화 대상 확정</t>
    </r>
  </si>
  <si>
    <t xml:space="preserve">④ 백업</t>
  </si>
  <si>
    <r>
      <rPr>
        <sz val="10"/>
        <color rgb="FF000000"/>
        <rFont val="WenQuanYi Zen Hei"/>
        <family val="2"/>
      </rPr>
      <t xml:space="preserve">구글 시트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파일 </t>
    </r>
    <r>
      <rPr>
        <sz val="10"/>
        <color rgb="FF000000"/>
        <rFont val="맑은 고딕"/>
        <family val="0"/>
        <charset val="1"/>
      </rPr>
      <t xml:space="preserve">&gt; </t>
    </r>
    <r>
      <rPr>
        <sz val="10"/>
        <color rgb="FF000000"/>
        <rFont val="WenQuanYi Zen Hei"/>
        <family val="2"/>
      </rPr>
      <t xml:space="preserve">버전 기록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확인 또는 날짜를 붙여 사본 만들기</t>
    </r>
  </si>
  <si>
    <r>
      <rPr>
        <b val="true"/>
        <sz val="10"/>
        <color rgb="FFFFFFFF"/>
        <rFont val="맑은 고딕"/>
        <family val="0"/>
        <charset val="1"/>
      </rPr>
      <t xml:space="preserve">6. </t>
    </r>
    <r>
      <rPr>
        <b val="true"/>
        <sz val="10"/>
        <color rgb="FFFFFFFF"/>
        <rFont val="WenQuanYi Zen Hei"/>
        <family val="2"/>
      </rPr>
      <t xml:space="preserve">입력 예시</t>
    </r>
  </si>
  <si>
    <r>
      <rPr>
        <b val="true"/>
        <sz val="10"/>
        <color rgb="FF000000"/>
        <rFont val="WenQuanYi Zen Hei"/>
        <family val="2"/>
      </rPr>
      <t xml:space="preserve">입력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운동 한 줄</t>
    </r>
  </si>
  <si>
    <r>
      <rPr>
        <sz val="10"/>
        <color rgb="FF000000"/>
        <rFont val="WenQuanYi Zen Hei"/>
        <family val="2"/>
      </rPr>
      <t xml:space="preserve">번호 </t>
    </r>
    <r>
      <rPr>
        <sz val="10"/>
        <color rgb="FF000000"/>
        <rFont val="맑은 고딕"/>
        <family val="0"/>
        <charset val="1"/>
      </rPr>
      <t xml:space="preserve">1 / </t>
    </r>
    <r>
      <rPr>
        <sz val="10"/>
        <color rgb="FF000000"/>
        <rFont val="WenQuanYi Zen Hei"/>
        <family val="2"/>
      </rPr>
      <t xml:space="preserve">악력 좌 </t>
    </r>
    <r>
      <rPr>
        <sz val="10"/>
        <color rgb="FF000000"/>
        <rFont val="맑은 고딕"/>
        <family val="0"/>
        <charset val="1"/>
      </rPr>
      <t xml:space="preserve">22.5 / </t>
    </r>
    <r>
      <rPr>
        <sz val="10"/>
        <color rgb="FF000000"/>
        <rFont val="WenQuanYi Zen Hei"/>
        <family val="2"/>
      </rPr>
      <t xml:space="preserve">악력 우 </t>
    </r>
    <r>
      <rPr>
        <sz val="10"/>
        <color rgb="FF000000"/>
        <rFont val="맑은 고딕"/>
        <family val="0"/>
        <charset val="1"/>
      </rPr>
      <t xml:space="preserve">24.0 / </t>
    </r>
    <r>
      <rPr>
        <sz val="10"/>
        <color rgb="FF000000"/>
        <rFont val="WenQuanYi Zen Hei"/>
        <family val="2"/>
      </rPr>
      <t xml:space="preserve">한발서기 </t>
    </r>
    <r>
      <rPr>
        <sz val="10"/>
        <color rgb="FF000000"/>
        <rFont val="맑은 고딕"/>
        <family val="0"/>
        <charset val="1"/>
      </rPr>
      <t xml:space="preserve">18 / 10m </t>
    </r>
    <r>
      <rPr>
        <sz val="10"/>
        <color rgb="FF000000"/>
        <rFont val="WenQuanYi Zen Hei"/>
        <family val="2"/>
      </rPr>
      <t xml:space="preserve">보행 </t>
    </r>
    <r>
      <rPr>
        <sz val="10"/>
        <color rgb="FF000000"/>
        <rFont val="맑은 고딕"/>
        <family val="0"/>
        <charset val="1"/>
      </rPr>
      <t xml:space="preserve">7.8</t>
    </r>
  </si>
  <si>
    <r>
      <rPr>
        <b val="true"/>
        <sz val="10"/>
        <color rgb="FF000000"/>
        <rFont val="WenQuanYi Zen Hei"/>
        <family val="2"/>
      </rPr>
      <t xml:space="preserve">입력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측정 한 줄</t>
    </r>
  </si>
  <si>
    <r>
      <rPr>
        <sz val="10"/>
        <color rgb="FF000000"/>
        <rFont val="WenQuanYi Zen Hei"/>
        <family val="2"/>
      </rPr>
      <t xml:space="preserve">번호 </t>
    </r>
    <r>
      <rPr>
        <sz val="10"/>
        <color rgb="FF000000"/>
        <rFont val="맑은 고딕"/>
        <family val="0"/>
        <charset val="1"/>
      </rPr>
      <t xml:space="preserve">1 / </t>
    </r>
    <r>
      <rPr>
        <sz val="10"/>
        <color rgb="FF000000"/>
        <rFont val="WenQuanYi Zen Hei"/>
        <family val="2"/>
      </rPr>
      <t xml:space="preserve">수축기 </t>
    </r>
    <r>
      <rPr>
        <sz val="10"/>
        <color rgb="FF000000"/>
        <rFont val="맑은 고딕"/>
        <family val="0"/>
        <charset val="1"/>
      </rPr>
      <t xml:space="preserve">128 / </t>
    </r>
    <r>
      <rPr>
        <sz val="10"/>
        <color rgb="FF000000"/>
        <rFont val="WenQuanYi Zen Hei"/>
        <family val="2"/>
      </rPr>
      <t xml:space="preserve">이완기 </t>
    </r>
    <r>
      <rPr>
        <sz val="10"/>
        <color rgb="FF000000"/>
        <rFont val="맑은 고딕"/>
        <family val="0"/>
        <charset val="1"/>
      </rPr>
      <t xml:space="preserve">76 / </t>
    </r>
    <r>
      <rPr>
        <sz val="10"/>
        <color rgb="FF000000"/>
        <rFont val="WenQuanYi Zen Hei"/>
        <family val="2"/>
      </rPr>
      <t xml:space="preserve">혈당 </t>
    </r>
    <r>
      <rPr>
        <sz val="10"/>
        <color rgb="FF000000"/>
        <rFont val="맑은 고딕"/>
        <family val="0"/>
        <charset val="1"/>
      </rPr>
      <t xml:space="preserve">104 / </t>
    </r>
    <r>
      <rPr>
        <sz val="10"/>
        <color rgb="FF000000"/>
        <rFont val="WenQuanYi Zen Hei"/>
        <family val="2"/>
      </rPr>
      <t xml:space="preserve">공복</t>
    </r>
  </si>
  <si>
    <r>
      <rPr>
        <b val="true"/>
        <sz val="10"/>
        <color rgb="FF000000"/>
        <rFont val="WenQuanYi Zen Hei"/>
        <family val="2"/>
      </rPr>
      <t xml:space="preserve">입력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상담 한 줄</t>
    </r>
  </si>
  <si>
    <r>
      <rPr>
        <sz val="10"/>
        <color rgb="FF000000"/>
        <rFont val="WenQuanYi Zen Hei"/>
        <family val="2"/>
      </rPr>
      <t xml:space="preserve">번호 </t>
    </r>
    <r>
      <rPr>
        <sz val="10"/>
        <color rgb="FF000000"/>
        <rFont val="맑은 고딕"/>
        <family val="0"/>
        <charset val="1"/>
      </rPr>
      <t xml:space="preserve">1 / </t>
    </r>
    <r>
      <rPr>
        <sz val="10"/>
        <color rgb="FF000000"/>
        <rFont val="WenQuanYi Zen Hei"/>
        <family val="2"/>
      </rPr>
      <t xml:space="preserve">부스 </t>
    </r>
    <r>
      <rPr>
        <sz val="10"/>
        <color rgb="FF000000"/>
        <rFont val="맑은 고딕"/>
        <family val="0"/>
        <charset val="1"/>
      </rPr>
      <t xml:space="preserve">1 / </t>
    </r>
    <r>
      <rPr>
        <sz val="10"/>
        <color rgb="FF000000"/>
        <rFont val="WenQuanYi Zen Hei"/>
        <family val="2"/>
      </rPr>
      <t xml:space="preserve">추가상담 불필요  → 진행 단계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'</t>
    </r>
  </si>
  <si>
    <t xml:space="preserve">명단 기본정보</t>
  </si>
  <si>
    <r>
      <rPr>
        <sz val="10"/>
        <color rgb="FF000000"/>
        <rFont val="맑은 고딕"/>
        <family val="0"/>
        <charset val="1"/>
      </rPr>
      <t xml:space="preserve">1 / </t>
    </r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가명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여 </t>
    </r>
    <r>
      <rPr>
        <sz val="10"/>
        <color rgb="FF000000"/>
        <rFont val="맑은 고딕"/>
        <family val="0"/>
        <charset val="1"/>
      </rPr>
      <t xml:space="preserve">/ 72 / 010-0000-0000 / 2026-10-19 / 09:00 / </t>
    </r>
    <r>
      <rPr>
        <sz val="10"/>
        <color rgb="FF000000"/>
        <rFont val="WenQuanYi Zen Hei"/>
        <family val="2"/>
      </rPr>
      <t xml:space="preserve">지팡이 보행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왼쪽 귀 난청</t>
    </r>
  </si>
  <si>
    <r>
      <rPr>
        <b val="true"/>
        <sz val="10"/>
        <color rgb="FFFFFFFF"/>
        <rFont val="맑은 고딕"/>
        <family val="0"/>
        <charset val="1"/>
      </rPr>
      <t xml:space="preserve">7. </t>
    </r>
    <r>
      <rPr>
        <b val="true"/>
        <sz val="10"/>
        <color rgb="FFFFFFFF"/>
        <rFont val="WenQuanYi Zen Hei"/>
        <family val="2"/>
      </rPr>
      <t xml:space="preserve">개인정보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보안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중요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</si>
  <si>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민감정보</t>
  </si>
  <si>
    <r>
      <rPr>
        <sz val="10"/>
        <color rgb="FF000000"/>
        <rFont val="WenQuanYi Zen Hei"/>
        <family val="2"/>
      </rPr>
      <t xml:space="preserve">혈압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혈당은 건강정보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민감정보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기관 개인정보 담당부서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연구윤리</t>
    </r>
    <r>
      <rPr>
        <sz val="10"/>
        <color rgb="FF000000"/>
        <rFont val="맑은 고딕"/>
        <family val="0"/>
        <charset val="1"/>
      </rPr>
      <t xml:space="preserve">(IRB) </t>
    </r>
    <r>
      <rPr>
        <sz val="10"/>
        <color rgb="FF000000"/>
        <rFont val="WenQuanYi Zen Hei"/>
        <family val="2"/>
      </rPr>
      <t xml:space="preserve">규정과 동의서 범위 안에서만 사용하세요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</si>
  <si>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공유 방법</t>
  </si>
  <si>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링크가 있는 모든 사용자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공유 금지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지정한 직원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실습생 계정에만 편집 권한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화면 공유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캡처 시 주의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탭에 이름이 표시됨</t>
    </r>
    <r>
      <rPr>
        <sz val="10"/>
        <color rgb="FF000000"/>
        <rFont val="맑은 고딕"/>
        <family val="0"/>
        <charset val="1"/>
      </rPr>
      <t xml:space="preserve">).</t>
    </r>
  </si>
  <si>
    <t xml:space="preserve">최소 수집</t>
  </si>
  <si>
    <r>
      <rPr>
        <sz val="10"/>
        <color rgb="FF000000"/>
        <rFont val="WenQuanYi Zen Hei"/>
        <family val="2"/>
      </rPr>
      <t xml:space="preserve">연락처는 안내가 끝나면 삭제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분석용 파일은 이름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연락처를 지우고 번호만 남겨 보관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비식별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</si>
  <si>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0"/>
        <color rgb="FFFFFFFF"/>
        <rFont val="맑은 고딕"/>
        <family val="0"/>
        <charset val="1"/>
      </rPr>
      <t xml:space="preserve">8. </t>
    </r>
    <r>
      <rPr>
        <b val="true"/>
        <sz val="10"/>
        <color rgb="FFFFFFFF"/>
        <rFont val="WenQuanYi Zen Hei"/>
        <family val="2"/>
      </rPr>
      <t xml:space="preserve">구글 시트로 쓰기</t>
    </r>
  </si>
  <si>
    <t xml:space="preserve">업로드</t>
  </si>
  <si>
    <r>
      <rPr>
        <sz val="10"/>
        <color rgb="FF000000"/>
        <rFont val="WenQuanYi Zen Hei"/>
        <family val="2"/>
      </rPr>
      <t xml:space="preserve">구글 드라이브에 올려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구글 스프레드시트로 열기</t>
    </r>
    <r>
      <rPr>
        <sz val="10"/>
        <color rgb="FF000000"/>
        <rFont val="맑은 고딕"/>
        <family val="0"/>
        <charset val="1"/>
      </rPr>
      <t xml:space="preserve">' → </t>
    </r>
    <r>
      <rPr>
        <sz val="10"/>
        <color rgb="FF000000"/>
        <rFont val="WenQuanYi Zen Hei"/>
        <family val="2"/>
      </rPr>
      <t xml:space="preserve">직원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실습생 구글 계정에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편집자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공유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한 파일에 동시 입력됩니다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</si>
  <si>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자동 시각 기록</t>
  </si>
  <si>
    <r>
      <rPr>
        <sz val="10"/>
        <color rgb="FF000000"/>
        <rFont val="WenQuanYi Zen Hei"/>
        <family val="2"/>
      </rPr>
      <t xml:space="preserve">확장 프로그램 </t>
    </r>
    <r>
      <rPr>
        <sz val="10"/>
        <color rgb="FF000000"/>
        <rFont val="맑은 고딕"/>
        <family val="0"/>
        <charset val="1"/>
      </rPr>
      <t xml:space="preserve">&gt; Apps Script</t>
    </r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자동시각기록</t>
    </r>
    <r>
      <rPr>
        <sz val="10"/>
        <color rgb="FF000000"/>
        <rFont val="맑은 고딕"/>
        <family val="0"/>
        <charset val="1"/>
      </rPr>
      <t xml:space="preserve">.gs'</t>
    </r>
    <r>
      <rPr>
        <sz val="10"/>
        <color rgb="FF000000"/>
        <rFont val="WenQuanYi Zen Hei"/>
        <family val="2"/>
      </rPr>
      <t xml:space="preserve">를 붙여넣고 저장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입력 탭에서 번호를 입력하는 순간 </t>
    </r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열에 시각이 찍혀 구간별 소요시간이 계산됩니다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리허설 줄로 먼저 확인하세요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</si>
  <si>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부스별 탭 고정</t>
  </si>
  <si>
    <r>
      <rPr>
        <sz val="10"/>
        <color rgb="FF000000"/>
        <rFont val="WenQuanYi Zen Hei"/>
        <family val="2"/>
      </rPr>
      <t xml:space="preserve">각 부스 기기에서 자기 탭을 열고 브라우저 즐겨찾기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또는 홈 화면 추가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한 기기에서 다른 탭을 건드리지 않게 합니다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</si>
  <si>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엑셀만 쓸 때</t>
  </si>
  <si>
    <r>
      <rPr>
        <sz val="10"/>
        <color rgb="FF000000"/>
        <rFont val="WenQuanYi Zen Hei"/>
        <family val="2"/>
      </rPr>
      <t xml:space="preserve">한 파일에 여러 명이 동시에 입력하기 어렵습니다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구글 시트를 권장합니다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입력시각은 비워도 되며 현황판의 소요시간만 </t>
    </r>
    <r>
      <rPr>
        <sz val="10"/>
        <color rgb="FF000000"/>
        <rFont val="맑은 고딕"/>
        <family val="0"/>
        <charset val="1"/>
      </rPr>
      <t xml:space="preserve">'-'</t>
    </r>
    <r>
      <rPr>
        <sz val="10"/>
        <color rgb="FF000000"/>
        <rFont val="WenQuanYi Zen Hei"/>
        <family val="2"/>
      </rPr>
      <t xml:space="preserve">로 표시됩니다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</si>
  <si>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9. </t>
    </r>
    <r>
      <rPr>
        <b val="true"/>
        <sz val="10"/>
        <color rgb="FFFFFFFF"/>
        <rFont val="WenQuanYi Zen Hei"/>
        <family val="2"/>
      </rPr>
      <t xml:space="preserve">방문 전날 안내 문자 예시</t>
    </r>
  </si>
  <si>
    <t xml:space="preserve">문구</t>
  </si>
  <si>
    <r>
      <rPr>
        <sz val="10"/>
        <color rgb="FF000000"/>
        <rFont val="맑은 고딕"/>
        <family val="0"/>
        <charset val="1"/>
      </rPr>
      <t xml:space="preserve">[OO </t>
    </r>
    <r>
      <rPr>
        <sz val="10"/>
        <color rgb="FF000000"/>
        <rFont val="WenQuanYi Zen Hei"/>
        <family val="2"/>
      </rPr>
      <t xml:space="preserve">사후평가</t>
    </r>
    <r>
      <rPr>
        <sz val="10"/>
        <color rgb="FF000000"/>
        <rFont val="맑은 고딕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홍길동 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내일</t>
    </r>
    <r>
      <rPr>
        <sz val="10"/>
        <color rgb="FF000000"/>
        <rFont val="맑은 고딕"/>
        <family val="0"/>
        <charset val="1"/>
      </rPr>
      <t xml:space="preserve">(10/20 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 09:00 OO</t>
    </r>
    <r>
      <rPr>
        <sz val="10"/>
        <color rgb="FF000000"/>
        <rFont val="WenQuanYi Zen Hei"/>
        <family val="2"/>
      </rPr>
      <t xml:space="preserve">실로 오세요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번호는 </t>
    </r>
    <r>
      <rPr>
        <sz val="10"/>
        <color rgb="FF000000"/>
        <rFont val="맑은 고딕"/>
        <family val="0"/>
        <charset val="1"/>
      </rPr>
      <t xml:space="preserve">001</t>
    </r>
    <r>
      <rPr>
        <sz val="10"/>
        <color rgb="FF000000"/>
        <rFont val="WenQuanYi Zen Hei"/>
        <family val="2"/>
      </rPr>
      <t xml:space="preserve">번입니다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편한 운동복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운동화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복용 중인 약 목록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안경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보청기를 챙겨 주세요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혈당 측정이 있으니 </t>
    </r>
    <r>
      <rPr>
        <sz val="10"/>
        <color rgb="FF000000"/>
        <rFont val="맑은 고딕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사전평가와 같은 조건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아침 식후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시간</t>
    </r>
    <r>
      <rPr>
        <sz val="10"/>
        <color rgb="FF000000"/>
        <rFont val="맑은 고딕"/>
        <family val="0"/>
        <charset val="1"/>
      </rPr>
      <t xml:space="preserve">]</t>
    </r>
    <r>
      <rPr>
        <sz val="10"/>
        <color rgb="FF000000"/>
        <rFont val="WenQuanYi Zen Hei"/>
        <family val="2"/>
      </rPr>
      <t xml:space="preserve">을 지켜 주세요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변경 문의 </t>
    </r>
    <r>
      <rPr>
        <sz val="10"/>
        <color rgb="FF000000"/>
        <rFont val="맑은 고딕"/>
        <family val="0"/>
        <charset val="1"/>
      </rPr>
      <t xml:space="preserve">031-000-0000</t>
    </r>
  </si>
  <si>
    <t xml:space="preserve">사후평가 현황판</t>
  </si>
  <si>
    <r>
      <rPr>
        <i val="true"/>
        <sz val="10"/>
        <color rgb="FF7F7F7F"/>
        <rFont val="WenQuanYi Zen Hei"/>
        <family val="2"/>
      </rPr>
      <t xml:space="preserve">입력 탭에 기록하면 자동으로 갱신됩니다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숫자는 직접 고치지 마세요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운동평가 담당이 이 화면의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신호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를 보고 다음 분을 부스로 보냅니다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</si>
  <si>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기준일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오늘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</si>
  <si>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다른 날짜를 보려면 </t>
    </r>
    <r>
      <rPr>
        <i val="true"/>
        <sz val="10"/>
        <color rgb="FF7F7F7F"/>
        <rFont val="맑은 고딕"/>
        <family val="0"/>
        <charset val="1"/>
      </rPr>
      <t xml:space="preserve">C4</t>
    </r>
    <r>
      <rPr>
        <i val="true"/>
        <sz val="10"/>
        <color rgb="FF7F7F7F"/>
        <rFont val="WenQuanYi Zen Hei"/>
        <family val="2"/>
      </rPr>
      <t xml:space="preserve">에 날짜를 직접 입력하세요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</si>
  <si>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오늘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예약일 </t>
    </r>
    <r>
      <rPr>
        <b val="true"/>
        <sz val="10"/>
        <color rgb="FFFFFFFF"/>
        <rFont val="맑은 고딕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기준일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</si>
  <si>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전체 진행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목표 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</si>
  <si>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오늘 예약 인원</t>
  </si>
  <si>
    <t xml:space="preserve">목표 인원</t>
  </si>
  <si>
    <t xml:space="preserve">오늘 완료</t>
  </si>
  <si>
    <t xml:space="preserve">명단 등록 인원</t>
  </si>
  <si>
    <r>
      <rPr>
        <sz val="10"/>
        <color rgb="FF000000"/>
        <rFont val="WenQuanYi Zen Hei"/>
        <family val="2"/>
      </rPr>
      <t xml:space="preserve">오늘 불참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연기</t>
    </r>
  </si>
  <si>
    <t xml:space="preserve">완료 인원</t>
  </si>
  <si>
    <r>
      <rPr>
        <sz val="10"/>
        <color rgb="FF000000"/>
        <rFont val="WenQuanYi Zen Hei"/>
        <family val="2"/>
      </rPr>
      <t xml:space="preserve">아직 도착 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미방문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</si>
  <si>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진행률</t>
  </si>
  <si>
    <r>
      <rPr>
        <b val="true"/>
        <sz val="10"/>
        <color rgb="FFFFFFFF"/>
        <rFont val="WenQuanYi Zen Hei"/>
        <family val="2"/>
      </rPr>
      <t xml:space="preserve">실시간 대기열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날짜 무관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</si>
  <si>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남은 인원</t>
  </si>
  <si>
    <r>
      <rPr>
        <sz val="10"/>
        <color rgb="FF000000"/>
        <rFont val="WenQuanYi Zen Hei"/>
        <family val="2"/>
      </rPr>
      <t xml:space="preserve">측정 부스 대기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운동평가 마침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</si>
  <si>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남은 운영일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기준일 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</si>
  <si>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결과상담 대기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측정 마침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</si>
  <si>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남은 일수 기준 하루 필요 인원</t>
  </si>
  <si>
    <t xml:space="preserve">추가상담 대기</t>
  </si>
  <si>
    <r>
      <rPr>
        <sz val="10"/>
        <color rgb="FF000000"/>
        <rFont val="WenQuanYi Zen Hei"/>
        <family val="2"/>
      </rPr>
      <t xml:space="preserve">불참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재예약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</si>
  <si>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현장 체류 인원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대기 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</si>
  <si>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추가상담 대상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 중 대기</t>
    </r>
  </si>
  <si>
    <t xml:space="preserve">▶ 측정 부스로 안내</t>
  </si>
  <si>
    <t xml:space="preserve">▶ 결과상담 부스로 안내</t>
  </si>
  <si>
    <r>
      <rPr>
        <b val="true"/>
        <sz val="10"/>
        <color rgb="FFFFFFFF"/>
        <rFont val="WenQuanYi Zen Hei"/>
        <family val="2"/>
      </rPr>
      <t xml:space="preserve">측정 결과 플래그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누적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</si>
  <si>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구간별 평균 소요시간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대기 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</si>
  <si>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혈압 긴급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즉시 선생님 호출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</si>
  <si>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운동평가 → 측정 완료</t>
  </si>
  <si>
    <t xml:space="preserve">혈압 주의</t>
  </si>
  <si>
    <t xml:space="preserve">측정 → 결과상담 완료</t>
  </si>
  <si>
    <t xml:space="preserve">혈당 긴급</t>
  </si>
  <si>
    <r>
      <rPr>
        <sz val="10"/>
        <color rgb="FF000000"/>
        <rFont val="WenQuanYi Zen Hei"/>
        <family val="2"/>
      </rPr>
      <t xml:space="preserve">운동평가 → 최종 완료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</si>
  <si>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혈당 주의</t>
  </si>
  <si>
    <t xml:space="preserve">가장 오래 걸리는 구간</t>
  </si>
  <si>
    <r>
      <rPr>
        <sz val="10"/>
        <color rgb="FF000000"/>
        <rFont val="WenQuanYi Zen Hei"/>
        <family val="2"/>
      </rPr>
      <t xml:space="preserve">혈당조건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공복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식후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미기록</t>
    </r>
  </si>
  <si>
    <r>
      <rPr>
        <i val="true"/>
        <sz val="10"/>
        <color rgb="FF7F7F7F"/>
        <rFont val="WenQuanYi Zen Hei"/>
        <family val="2"/>
      </rPr>
      <t xml:space="preserve">※ 입력시각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자동시각기록 스크립트</t>
    </r>
    <r>
      <rPr>
        <i val="true"/>
        <sz val="10"/>
        <color rgb="FF7F7F7F"/>
        <rFont val="맑은 고딕"/>
        <family val="0"/>
        <charset val="1"/>
      </rPr>
      <t xml:space="preserve">)</t>
    </r>
    <r>
      <rPr>
        <i val="true"/>
        <sz val="10"/>
        <color rgb="FF7F7F7F"/>
        <rFont val="WenQuanYi Zen Hei"/>
        <family val="2"/>
      </rPr>
      <t xml:space="preserve">이 있어야 계산됩니다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없으면 </t>
    </r>
    <r>
      <rPr>
        <i val="true"/>
        <sz val="10"/>
        <color rgb="FF7F7F7F"/>
        <rFont val="맑은 고딕"/>
        <family val="0"/>
        <charset val="1"/>
      </rPr>
      <t xml:space="preserve">'-'.</t>
    </r>
  </si>
  <si>
    <r>
      <rPr>
        <sz val="10"/>
        <color rgb="FF000000"/>
        <rFont val="WenQuanYi Zen Hei"/>
        <family val="2"/>
      </rPr>
      <t xml:space="preserve">입력 점검 필요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누락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</si>
  <si>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4"/>
        <color rgb="FF1F3864"/>
        <rFont val="WenQuanYi Zen Hei"/>
        <family val="2"/>
      </rPr>
      <t xml:space="preserve">입력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운동평가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악력 </t>
    </r>
    <r>
      <rPr>
        <b val="true"/>
        <sz val="14"/>
        <color rgb="FF1F3864"/>
        <rFont val="맑은 고딕"/>
        <family val="0"/>
        <charset val="1"/>
      </rPr>
      <t xml:space="preserve">/ </t>
    </r>
    <r>
      <rPr>
        <b val="true"/>
        <sz val="14"/>
        <color rgb="FF1F3864"/>
        <rFont val="WenQuanYi Zen Hei"/>
        <family val="2"/>
      </rPr>
      <t xml:space="preserve">한발서기 </t>
    </r>
    <r>
      <rPr>
        <b val="true"/>
        <sz val="14"/>
        <color rgb="FF1F3864"/>
        <rFont val="맑은 고딕"/>
        <family val="0"/>
        <charset val="1"/>
      </rPr>
      <t xml:space="preserve">/ 10m </t>
    </r>
    <r>
      <rPr>
        <b val="true"/>
        <sz val="14"/>
        <color rgb="FF1F3864"/>
        <rFont val="WenQuanYi Zen Hei"/>
        <family val="2"/>
      </rPr>
      <t xml:space="preserve">보행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</si>
  <si>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한 사람 </t>
    </r>
    <r>
      <rPr>
        <i val="true"/>
        <sz val="10"/>
        <color rgb="FF7F7F7F"/>
        <rFont val="맑은 고딕"/>
        <family val="0"/>
        <charset val="1"/>
      </rPr>
      <t xml:space="preserve">= </t>
    </r>
    <r>
      <rPr>
        <i val="true"/>
        <sz val="10"/>
        <color rgb="FF7F7F7F"/>
        <rFont val="WenQuanYi Zen Hei"/>
        <family val="2"/>
      </rPr>
      <t xml:space="preserve">한 줄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번호 입력 → 옆에 이름이 뜨면 본인 확인 → 값 입력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노란 줄이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다음에 입력할 줄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입니다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정렬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행 삭제 금지</t>
    </r>
    <r>
      <rPr>
        <i val="true"/>
        <sz val="10"/>
        <color rgb="FF7F7F7F"/>
        <rFont val="맑은 고딕"/>
        <family val="0"/>
        <charset val="1"/>
      </rPr>
      <t xml:space="preserve">, </t>
    </r>
    <r>
      <rPr>
        <i val="true"/>
        <sz val="10"/>
        <color rgb="FF7F7F7F"/>
        <rFont val="WenQuanYi Zen Hei"/>
        <family val="2"/>
      </rPr>
      <t xml:space="preserve">잘못 입력했으면 같은 번호로 다시 한 줄 더 입력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마지막 줄이 적용</t>
    </r>
    <r>
      <rPr>
        <i val="true"/>
        <sz val="10"/>
        <color rgb="FF7F7F7F"/>
        <rFont val="맑은 고딕"/>
        <family val="0"/>
        <charset val="1"/>
      </rPr>
      <t xml:space="preserve">).</t>
    </r>
  </si>
  <si>
    <r>
      <rPr>
        <b val="true"/>
        <sz val="10"/>
        <color rgb="FFC00000"/>
        <rFont val="WenQuanYi Zen Hei"/>
        <family val="2"/>
      </rPr>
      <t xml:space="preserve">입력시각은 구글 시트 </t>
    </r>
    <r>
      <rPr>
        <b val="true"/>
        <sz val="10"/>
        <color rgb="FFC00000"/>
        <rFont val="맑은 고딕"/>
        <family val="0"/>
        <charset val="1"/>
      </rPr>
      <t xml:space="preserve">+ </t>
    </r>
    <r>
      <rPr>
        <b val="true"/>
        <sz val="10"/>
        <color rgb="FFC00000"/>
        <rFont val="WenQuanYi Zen Hei"/>
        <family val="2"/>
      </rPr>
      <t xml:space="preserve">자동시각기록 스크립트를 쓰면 번호를 입력하는 순간 자동으로 찍힙니다</t>
    </r>
    <r>
      <rPr>
        <b val="true"/>
        <sz val="10"/>
        <color rgb="FFC00000"/>
        <rFont val="맑은 고딕"/>
        <family val="0"/>
        <charset val="1"/>
      </rPr>
      <t xml:space="preserve">(</t>
    </r>
    <r>
      <rPr>
        <b val="true"/>
        <sz val="10"/>
        <color rgb="FFC00000"/>
        <rFont val="WenQuanYi Zen Hei"/>
        <family val="2"/>
      </rPr>
      <t xml:space="preserve">엑셀만 쓰면 비워 둬도 됨</t>
    </r>
    <r>
      <rPr>
        <b val="true"/>
        <sz val="10"/>
        <color rgb="FFC00000"/>
        <rFont val="맑은 고딕"/>
        <family val="0"/>
        <charset val="1"/>
      </rPr>
      <t xml:space="preserve">).</t>
    </r>
  </si>
  <si>
    <t xml:space="preserve">입력시각</t>
  </si>
  <si>
    <t xml:space="preserve">번호</t>
  </si>
  <si>
    <r>
      <rPr>
        <b val="true"/>
        <sz val="10"/>
        <color rgb="FFFFFFFF"/>
        <rFont val="WenQuanYi Zen Hei"/>
        <family val="2"/>
      </rPr>
      <t xml:space="preserve">악력 좌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</si>
  <si>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WenQuanYi Zen Hei"/>
        <family val="2"/>
      </rPr>
      <t xml:space="preserve">악력 우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</si>
  <si>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WenQuanYi Zen Hei"/>
        <family val="2"/>
      </rPr>
      <t xml:space="preserve">한발서기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</si>
  <si>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10m </t>
    </r>
    <r>
      <rPr>
        <b val="true"/>
        <sz val="10"/>
        <color rgb="FFFFFFFF"/>
        <rFont val="WenQuanYi Zen Hei"/>
        <family val="2"/>
      </rPr>
      <t xml:space="preserve">보행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</si>
  <si>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메모</t>
  </si>
  <si>
    <t xml:space="preserve">이름 확인</t>
  </si>
  <si>
    <t xml:space="preserve">점검</t>
  </si>
  <si>
    <r>
      <rPr>
        <b val="true"/>
        <sz val="14"/>
        <color rgb="FF1F3864"/>
        <rFont val="WenQuanYi Zen Hei"/>
        <family val="2"/>
      </rPr>
      <t xml:space="preserve">입력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혈압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혈당 측정 부스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간호실습생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</si>
  <si>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한 사람 </t>
    </r>
    <r>
      <rPr>
        <i val="true"/>
        <sz val="10"/>
        <color rgb="FF7F7F7F"/>
        <rFont val="맑은 고딕"/>
        <family val="0"/>
        <charset val="1"/>
      </rPr>
      <t xml:space="preserve">= </t>
    </r>
    <r>
      <rPr>
        <i val="true"/>
        <sz val="10"/>
        <color rgb="FF7F7F7F"/>
        <rFont val="WenQuanYi Zen Hei"/>
        <family val="2"/>
      </rPr>
      <t xml:space="preserve">한 줄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번호 입력 → 이름 확인 → 수축기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이완기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혈당 입력 </t>
    </r>
    <r>
      <rPr>
        <i val="true"/>
        <sz val="10"/>
        <color rgb="FF7F7F7F"/>
        <rFont val="맑은 고딕"/>
        <family val="0"/>
        <charset val="1"/>
      </rPr>
      <t xml:space="preserve">+ </t>
    </r>
    <r>
      <rPr>
        <i val="true"/>
        <sz val="10"/>
        <color rgb="FF7F7F7F"/>
        <rFont val="WenQuanYi Zen Hei"/>
        <family val="2"/>
      </rPr>
      <t xml:space="preserve">혈당조건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공복</t>
    </r>
    <r>
      <rPr>
        <i val="true"/>
        <sz val="10"/>
        <color rgb="FF7F7F7F"/>
        <rFont val="맑은 고딕"/>
        <family val="0"/>
        <charset val="1"/>
      </rPr>
      <t xml:space="preserve">/</t>
    </r>
    <r>
      <rPr>
        <i val="true"/>
        <sz val="10"/>
        <color rgb="FF7F7F7F"/>
        <rFont val="WenQuanYi Zen Hei"/>
        <family val="2"/>
      </rPr>
      <t xml:space="preserve">식후</t>
    </r>
    <r>
      <rPr>
        <i val="true"/>
        <sz val="10"/>
        <color rgb="FF7F7F7F"/>
        <rFont val="맑은 고딕"/>
        <family val="0"/>
        <charset val="1"/>
      </rPr>
      <t xml:space="preserve">) </t>
    </r>
    <r>
      <rPr>
        <i val="true"/>
        <sz val="10"/>
        <color rgb="FF7F7F7F"/>
        <rFont val="WenQuanYi Zen Hei"/>
        <family val="2"/>
      </rPr>
      <t xml:space="preserve">선택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측정 거부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불가는 해당 칸에 </t>
    </r>
    <r>
      <rPr>
        <i val="true"/>
        <sz val="10"/>
        <color rgb="FF7F7F7F"/>
        <rFont val="맑은 고딕"/>
        <family val="0"/>
        <charset val="1"/>
      </rPr>
      <t xml:space="preserve">-. </t>
    </r>
    <r>
      <rPr>
        <i val="true"/>
        <sz val="10"/>
        <color rgb="FF7F7F7F"/>
        <rFont val="WenQuanYi Zen Hei"/>
        <family val="2"/>
      </rPr>
      <t xml:space="preserve">노란 줄이 다음 입력 줄입니다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</si>
  <si>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0"/>
        <color rgb="FFC00000"/>
        <rFont val="맑은 고딕"/>
        <family val="0"/>
        <charset val="1"/>
      </rPr>
      <t xml:space="preserve">'</t>
    </r>
    <r>
      <rPr>
        <b val="true"/>
        <sz val="10"/>
        <color rgb="FFC00000"/>
        <rFont val="WenQuanYi Zen Hei"/>
        <family val="2"/>
      </rPr>
      <t xml:space="preserve">긴급</t>
    </r>
    <r>
      <rPr>
        <b val="true"/>
        <sz val="10"/>
        <color rgb="FFC00000"/>
        <rFont val="맑은 고딕"/>
        <family val="0"/>
        <charset val="1"/>
      </rPr>
      <t xml:space="preserve">'</t>
    </r>
    <r>
      <rPr>
        <b val="true"/>
        <sz val="10"/>
        <color rgb="FFC00000"/>
        <rFont val="WenQuanYi Zen Hei"/>
        <family val="2"/>
      </rPr>
      <t xml:space="preserve">이 뜨면 즉시 선생님을 부르세요</t>
    </r>
    <r>
      <rPr>
        <b val="true"/>
        <sz val="10"/>
        <color rgb="FFC00000"/>
        <rFont val="맑은 고딕"/>
        <family val="0"/>
        <charset val="1"/>
      </rPr>
      <t xml:space="preserve">. </t>
    </r>
    <r>
      <rPr>
        <b val="true"/>
        <sz val="10"/>
        <color rgb="FFC00000"/>
        <rFont val="WenQuanYi Zen Hei"/>
        <family val="2"/>
      </rPr>
      <t xml:space="preserve">판정 기준은 설정 시트에서 바꿉니다</t>
    </r>
    <r>
      <rPr>
        <b val="true"/>
        <sz val="10"/>
        <color rgb="FFC00000"/>
        <rFont val="맑은 고딕"/>
        <family val="0"/>
        <charset val="1"/>
      </rPr>
      <t xml:space="preserve">.</t>
    </r>
  </si>
  <si>
    <t xml:space="preserve">수축기</t>
  </si>
  <si>
    <t xml:space="preserve">이완기</t>
  </si>
  <si>
    <t xml:space="preserve">혈당</t>
  </si>
  <si>
    <t xml:space="preserve">혈당조건</t>
  </si>
  <si>
    <t xml:space="preserve">혈압 판정</t>
  </si>
  <si>
    <t xml:space="preserve">혈당 판정</t>
  </si>
  <si>
    <t xml:space="preserve">안내</t>
  </si>
  <si>
    <r>
      <rPr>
        <b val="true"/>
        <sz val="14"/>
        <color rgb="FF1F3864"/>
        <rFont val="WenQuanYi Zen Hei"/>
        <family val="2"/>
      </rPr>
      <t xml:space="preserve">입력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결과상담 부스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선생님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</si>
  <si>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상담을 마친 분을 한 줄 입력</t>
    </r>
    <r>
      <rPr>
        <i val="true"/>
        <sz val="10"/>
        <color rgb="FF7F7F7F"/>
        <rFont val="맑은 고딕"/>
        <family val="0"/>
        <charset val="1"/>
      </rPr>
      <t xml:space="preserve">: </t>
    </r>
    <r>
      <rPr>
        <i val="true"/>
        <sz val="10"/>
        <color rgb="FF7F7F7F"/>
        <rFont val="WenQuanYi Zen Hei"/>
        <family val="2"/>
      </rPr>
      <t xml:space="preserve">번호 → 부스</t>
    </r>
    <r>
      <rPr>
        <i val="true"/>
        <sz val="10"/>
        <color rgb="FF7F7F7F"/>
        <rFont val="맑은 고딕"/>
        <family val="0"/>
        <charset val="1"/>
      </rPr>
      <t xml:space="preserve">(1/2) → </t>
    </r>
    <r>
      <rPr>
        <i val="true"/>
        <sz val="10"/>
        <color rgb="FF7F7F7F"/>
        <rFont val="WenQuanYi Zen Hei"/>
        <family val="2"/>
      </rPr>
      <t xml:space="preserve">추가상담 여부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추가상담이 필요하면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필요</t>
    </r>
    <r>
      <rPr>
        <i val="true"/>
        <sz val="10"/>
        <color rgb="FF7F7F7F"/>
        <rFont val="맑은 고딕"/>
        <family val="0"/>
        <charset val="1"/>
      </rPr>
      <t xml:space="preserve">', </t>
    </r>
    <r>
      <rPr>
        <i val="true"/>
        <sz val="10"/>
        <color rgb="FF7F7F7F"/>
        <rFont val="WenQuanYi Zen Hei"/>
        <family val="2"/>
      </rPr>
      <t xml:space="preserve">나중에 끝나면 같은 번호로 한 줄 더 입력하고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완료</t>
    </r>
    <r>
      <rPr>
        <i val="true"/>
        <sz val="10"/>
        <color rgb="FF7F7F7F"/>
        <rFont val="맑은 고딕"/>
        <family val="0"/>
        <charset val="1"/>
      </rPr>
      <t xml:space="preserve">'(</t>
    </r>
    <r>
      <rPr>
        <i val="true"/>
        <sz val="10"/>
        <color rgb="FF7F7F7F"/>
        <rFont val="WenQuanYi Zen Hei"/>
        <family val="2"/>
      </rPr>
      <t xml:space="preserve">마지막 줄이 적용</t>
    </r>
    <r>
      <rPr>
        <i val="true"/>
        <sz val="10"/>
        <color rgb="FF7F7F7F"/>
        <rFont val="맑은 고딕"/>
        <family val="0"/>
        <charset val="1"/>
      </rPr>
      <t xml:space="preserve">).</t>
    </r>
  </si>
  <si>
    <r>
      <rPr>
        <b val="true"/>
        <sz val="10"/>
        <color rgb="FFC00000"/>
        <rFont val="WenQuanYi Zen Hei"/>
        <family val="2"/>
      </rPr>
      <t xml:space="preserve">상담 전에는 </t>
    </r>
    <r>
      <rPr>
        <b val="true"/>
        <sz val="10"/>
        <color rgb="FFC00000"/>
        <rFont val="맑은 고딕"/>
        <family val="0"/>
        <charset val="1"/>
      </rPr>
      <t xml:space="preserve">'</t>
    </r>
    <r>
      <rPr>
        <b val="true"/>
        <sz val="10"/>
        <color rgb="FFC00000"/>
        <rFont val="WenQuanYi Zen Hei"/>
        <family val="2"/>
      </rPr>
      <t xml:space="preserve">결과지</t>
    </r>
    <r>
      <rPr>
        <b val="true"/>
        <sz val="10"/>
        <color rgb="FFC00000"/>
        <rFont val="맑은 고딕"/>
        <family val="0"/>
        <charset val="1"/>
      </rPr>
      <t xml:space="preserve">_</t>
    </r>
    <r>
      <rPr>
        <b val="true"/>
        <sz val="10"/>
        <color rgb="FFC00000"/>
        <rFont val="WenQuanYi Zen Hei"/>
        <family val="2"/>
      </rPr>
      <t xml:space="preserve">부스</t>
    </r>
    <r>
      <rPr>
        <b val="true"/>
        <sz val="10"/>
        <color rgb="FFC00000"/>
        <rFont val="맑은 고딕"/>
        <family val="0"/>
        <charset val="1"/>
      </rPr>
      <t xml:space="preserve">1/2' </t>
    </r>
    <r>
      <rPr>
        <b val="true"/>
        <sz val="10"/>
        <color rgb="FFC00000"/>
        <rFont val="WenQuanYi Zen Hei"/>
        <family val="2"/>
      </rPr>
      <t xml:space="preserve">탭에 번호를 입력하면 사전</t>
    </r>
    <r>
      <rPr>
        <b val="true"/>
        <sz val="10"/>
        <color rgb="FFC00000"/>
        <rFont val="맑은 고딕"/>
        <family val="0"/>
        <charset val="1"/>
      </rPr>
      <t xml:space="preserve">·</t>
    </r>
    <r>
      <rPr>
        <b val="true"/>
        <sz val="10"/>
        <color rgb="FFC00000"/>
        <rFont val="WenQuanYi Zen Hei"/>
        <family val="2"/>
      </rPr>
      <t xml:space="preserve">사후 결과가 한 장으로 나옵니다</t>
    </r>
    <r>
      <rPr>
        <b val="true"/>
        <sz val="10"/>
        <color rgb="FFC00000"/>
        <rFont val="맑은 고딕"/>
        <family val="0"/>
        <charset val="1"/>
      </rPr>
      <t xml:space="preserve">.</t>
    </r>
  </si>
  <si>
    <t xml:space="preserve">부스</t>
  </si>
  <si>
    <t xml:space="preserve">추가상담</t>
  </si>
  <si>
    <r>
      <rPr>
        <b val="true"/>
        <sz val="16"/>
        <color rgb="FF1F3864"/>
        <rFont val="WenQuanYi Zen Hei"/>
        <family val="2"/>
      </rPr>
      <t xml:space="preserve">사후평가 결과지 </t>
    </r>
    <r>
      <rPr>
        <b val="true"/>
        <sz val="16"/>
        <color rgb="FF1F3864"/>
        <rFont val="맑은 고딕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결과상담 부스 </t>
    </r>
    <r>
      <rPr>
        <b val="true"/>
        <sz val="16"/>
        <color rgb="FF1F3864"/>
        <rFont val="맑은 고딕"/>
        <family val="0"/>
        <charset val="1"/>
      </rPr>
      <t xml:space="preserve">1)</t>
    </r>
  </si>
  <si>
    <t xml:space="preserve">번호 입력 ▶</t>
  </si>
  <si>
    <r>
      <rPr>
        <i val="true"/>
        <sz val="10"/>
        <color rgb="FF7F7F7F"/>
        <rFont val="WenQuanYi Zen Hei"/>
        <family val="2"/>
      </rPr>
      <t xml:space="preserve">← 번호 입력 시 자동 완성 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인쇄 가능</t>
    </r>
    <r>
      <rPr>
        <i val="true"/>
        <sz val="10"/>
        <color rgb="FF7F7F7F"/>
        <rFont val="맑은 고딕"/>
        <family val="0"/>
        <charset val="1"/>
      </rPr>
      <t xml:space="preserve">)</t>
    </r>
  </si>
  <si>
    <t xml:space="preserve">이름</t>
  </si>
  <si>
    <r>
      <rPr>
        <b val="true"/>
        <sz val="10"/>
        <color rgb="FF000000"/>
        <rFont val="WenQuanYi Zen Hei"/>
        <family val="2"/>
      </rPr>
      <t xml:space="preserve">성별 </t>
    </r>
    <r>
      <rPr>
        <b val="true"/>
        <sz val="10"/>
        <color rgb="FF000000"/>
        <rFont val="맑은 고딕"/>
        <family val="0"/>
        <charset val="1"/>
      </rPr>
      <t xml:space="preserve">· </t>
    </r>
    <r>
      <rPr>
        <b val="true"/>
        <sz val="10"/>
        <color rgb="FF000000"/>
        <rFont val="WenQuanYi Zen Hei"/>
        <family val="2"/>
      </rPr>
      <t xml:space="preserve">연령</t>
    </r>
  </si>
  <si>
    <t xml:space="preserve">예약일</t>
  </si>
  <si>
    <t xml:space="preserve">특이사항</t>
  </si>
  <si>
    <t xml:space="preserve">운동 검사</t>
  </si>
  <si>
    <t xml:space="preserve">사전</t>
  </si>
  <si>
    <t xml:space="preserve">사후</t>
  </si>
  <si>
    <t xml:space="preserve">변화</t>
  </si>
  <si>
    <t xml:space="preserve">평가</t>
  </si>
  <si>
    <r>
      <rPr>
        <b val="true"/>
        <sz val="10"/>
        <color rgb="FF000000"/>
        <rFont val="WenQuanYi Zen Hei"/>
        <family val="2"/>
      </rPr>
      <t xml:space="preserve">악력 좌 </t>
    </r>
    <r>
      <rPr>
        <b val="true"/>
        <sz val="10"/>
        <color rgb="FF000000"/>
        <rFont val="맑은 고딕"/>
        <family val="0"/>
        <charset val="1"/>
      </rPr>
      <t xml:space="preserve">(kg)</t>
    </r>
  </si>
  <si>
    <r>
      <rPr>
        <b val="true"/>
        <sz val="10"/>
        <color rgb="FF000000"/>
        <rFont val="WenQuanYi Zen Hei"/>
        <family val="2"/>
      </rPr>
      <t xml:space="preserve">악력 우 </t>
    </r>
    <r>
      <rPr>
        <b val="true"/>
        <sz val="10"/>
        <color rgb="FF000000"/>
        <rFont val="맑은 고딕"/>
        <family val="0"/>
        <charset val="1"/>
      </rPr>
      <t xml:space="preserve">(kg)</t>
    </r>
  </si>
  <si>
    <r>
      <rPr>
        <b val="true"/>
        <sz val="10"/>
        <color rgb="FF000000"/>
        <rFont val="WenQuanYi Zen Hei"/>
        <family val="2"/>
      </rPr>
      <t xml:space="preserve">한발서기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</si>
  <si>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10m </t>
    </r>
    <r>
      <rPr>
        <b val="true"/>
        <sz val="10"/>
        <color rgb="FF000000"/>
        <rFont val="WenQuanYi Zen Hei"/>
        <family val="2"/>
      </rPr>
      <t xml:space="preserve">보행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</si>
  <si>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측정</t>
  </si>
  <si>
    <t xml:space="preserve">결과</t>
  </si>
  <si>
    <t xml:space="preserve">판정</t>
  </si>
  <si>
    <r>
      <rPr>
        <b val="true"/>
        <sz val="10"/>
        <color rgb="FF000000"/>
        <rFont val="WenQuanYi Zen Hei"/>
        <family val="2"/>
      </rPr>
      <t xml:space="preserve">혈압 </t>
    </r>
    <r>
      <rPr>
        <b val="true"/>
        <sz val="10"/>
        <color rgb="FF000000"/>
        <rFont val="맑은 고딕"/>
        <family val="0"/>
        <charset val="1"/>
      </rPr>
      <t xml:space="preserve">(mmHg)</t>
    </r>
  </si>
  <si>
    <r>
      <rPr>
        <b val="true"/>
        <sz val="10"/>
        <color rgb="FF000000"/>
        <rFont val="WenQuanYi Zen Hei"/>
        <family val="2"/>
      </rPr>
      <t xml:space="preserve">혈당 </t>
    </r>
    <r>
      <rPr>
        <b val="true"/>
        <sz val="10"/>
        <color rgb="FF000000"/>
        <rFont val="맑은 고딕"/>
        <family val="0"/>
        <charset val="1"/>
      </rPr>
      <t xml:space="preserve">(mg/dL)</t>
    </r>
  </si>
  <si>
    <t xml:space="preserve">진행 단계</t>
  </si>
  <si>
    <r>
      <rPr>
        <b val="true"/>
        <sz val="10"/>
        <color rgb="FFFFFFFF"/>
        <rFont val="WenQuanYi Zen Hei"/>
        <family val="2"/>
      </rPr>
      <t xml:space="preserve">상담 메모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</si>
  <si>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※ 이 결과는 간이 검사 결과이며 의학적 진단이 아닙니다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걱정되는 점은 상담 선생님께 문의하세요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</si>
  <si>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사후평가 결과지 </t>
    </r>
    <r>
      <rPr>
        <b val="true"/>
        <sz val="16"/>
        <color rgb="FF1F3864"/>
        <rFont val="맑은 고딕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결과상담 부스 </t>
    </r>
    <r>
      <rPr>
        <b val="true"/>
        <sz val="16"/>
        <color rgb="FF1F3864"/>
        <rFont val="맑은 고딕"/>
        <family val="0"/>
        <charset val="1"/>
      </rPr>
      <t xml:space="preserve">2)</t>
    </r>
  </si>
  <si>
    <r>
      <rPr>
        <b val="true"/>
        <sz val="14"/>
        <color rgb="FF1F3864"/>
        <rFont val="WenQuanYi Zen Hei"/>
        <family val="2"/>
      </rPr>
      <t xml:space="preserve">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한 사람 </t>
    </r>
    <r>
      <rPr>
        <b val="true"/>
        <sz val="14"/>
        <color rgb="FF1F3864"/>
        <rFont val="맑은 고딕"/>
        <family val="0"/>
        <charset val="1"/>
      </rPr>
      <t xml:space="preserve">= </t>
    </r>
    <r>
      <rPr>
        <b val="true"/>
        <sz val="14"/>
        <color rgb="FF1F3864"/>
        <rFont val="WenQuanYi Zen Hei"/>
        <family val="2"/>
      </rPr>
      <t xml:space="preserve">한 줄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번호로 찾기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</si>
  <si>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흰 칸 </t>
    </r>
    <r>
      <rPr>
        <i val="true"/>
        <sz val="10"/>
        <color rgb="FF7F7F7F"/>
        <rFont val="맑은 고딕"/>
        <family val="0"/>
        <charset val="1"/>
      </rPr>
      <t xml:space="preserve">= </t>
    </r>
    <r>
      <rPr>
        <i val="true"/>
        <sz val="10"/>
        <color rgb="FF7F7F7F"/>
        <rFont val="WenQuanYi Zen Hei"/>
        <family val="2"/>
      </rPr>
      <t xml:space="preserve">직접 입력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기본정보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사전평가값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불참</t>
    </r>
    <r>
      <rPr>
        <i val="true"/>
        <sz val="10"/>
        <color rgb="FF7F7F7F"/>
        <rFont val="맑은 고딕"/>
        <family val="0"/>
        <charset val="1"/>
      </rPr>
      <t xml:space="preserve">/</t>
    </r>
    <r>
      <rPr>
        <i val="true"/>
        <sz val="10"/>
        <color rgb="FF7F7F7F"/>
        <rFont val="WenQuanYi Zen Hei"/>
        <family val="2"/>
      </rPr>
      <t xml:space="preserve">연기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메모</t>
    </r>
    <r>
      <rPr>
        <i val="true"/>
        <sz val="10"/>
        <color rgb="FF7F7F7F"/>
        <rFont val="맑은 고딕"/>
        <family val="0"/>
        <charset val="1"/>
      </rPr>
      <t xml:space="preserve">). </t>
    </r>
    <r>
      <rPr>
        <i val="true"/>
        <sz val="10"/>
        <color rgb="FF7F7F7F"/>
        <rFont val="WenQuanYi Zen Hei"/>
        <family val="2"/>
      </rPr>
      <t xml:space="preserve">회색 칸 </t>
    </r>
    <r>
      <rPr>
        <i val="true"/>
        <sz val="10"/>
        <color rgb="FF7F7F7F"/>
        <rFont val="맑은 고딕"/>
        <family val="0"/>
        <charset val="1"/>
      </rPr>
      <t xml:space="preserve">= </t>
    </r>
    <r>
      <rPr>
        <i val="true"/>
        <sz val="10"/>
        <color rgb="FF7F7F7F"/>
        <rFont val="WenQuanYi Zen Hei"/>
        <family val="2"/>
      </rPr>
      <t xml:space="preserve">입력 탭에서 자동으로 가져옴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수정 금지</t>
    </r>
    <r>
      <rPr>
        <i val="true"/>
        <sz val="10"/>
        <color rgb="FF7F7F7F"/>
        <rFont val="맑은 고딕"/>
        <family val="0"/>
        <charset val="1"/>
      </rPr>
      <t xml:space="preserve">). </t>
    </r>
    <r>
      <rPr>
        <i val="true"/>
        <sz val="10"/>
        <color rgb="FF7F7F7F"/>
        <rFont val="WenQuanYi Zen Hei"/>
        <family val="2"/>
      </rPr>
      <t xml:space="preserve">사후 결과는 입력</t>
    </r>
    <r>
      <rPr>
        <i val="true"/>
        <sz val="10"/>
        <color rgb="FF7F7F7F"/>
        <rFont val="맑은 고딕"/>
        <family val="0"/>
        <charset val="1"/>
      </rPr>
      <t xml:space="preserve">_</t>
    </r>
    <r>
      <rPr>
        <i val="true"/>
        <sz val="10"/>
        <color rgb="FF7F7F7F"/>
        <rFont val="WenQuanYi Zen Hei"/>
        <family val="2"/>
      </rPr>
      <t xml:space="preserve">운동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입력</t>
    </r>
    <r>
      <rPr>
        <i val="true"/>
        <sz val="10"/>
        <color rgb="FF7F7F7F"/>
        <rFont val="맑은 고딕"/>
        <family val="0"/>
        <charset val="1"/>
      </rPr>
      <t xml:space="preserve">_</t>
    </r>
    <r>
      <rPr>
        <i val="true"/>
        <sz val="10"/>
        <color rgb="FF7F7F7F"/>
        <rFont val="WenQuanYi Zen Hei"/>
        <family val="2"/>
      </rPr>
      <t xml:space="preserve">측정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입력</t>
    </r>
    <r>
      <rPr>
        <i val="true"/>
        <sz val="10"/>
        <color rgb="FF7F7F7F"/>
        <rFont val="맑은 고딕"/>
        <family val="0"/>
        <charset val="1"/>
      </rPr>
      <t xml:space="preserve">_</t>
    </r>
    <r>
      <rPr>
        <i val="true"/>
        <sz val="10"/>
        <color rgb="FF7F7F7F"/>
        <rFont val="WenQuanYi Zen Hei"/>
        <family val="2"/>
      </rPr>
      <t xml:space="preserve">상담 탭에 입력하세요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</si>
  <si>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기본 정보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사전 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</si>
  <si>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사전평가 값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붙여넣기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</si>
  <si>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수기 입력</t>
  </si>
  <si>
    <r>
      <rPr>
        <b val="true"/>
        <sz val="10"/>
        <color rgb="FFFFFFFF"/>
        <rFont val="WenQuanYi Zen Hei"/>
        <family val="2"/>
      </rPr>
      <t xml:space="preserve">사후 운동평가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</si>
  <si>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사후 혈압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혈당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</si>
  <si>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결과상담</t>
  </si>
  <si>
    <t xml:space="preserve">자동 판정</t>
  </si>
  <si>
    <t xml:space="preserve">단계별 시각</t>
  </si>
  <si>
    <r>
      <rPr>
        <b val="true"/>
        <sz val="10"/>
        <color rgb="FFFFFFFF"/>
        <rFont val="WenQuanYi Zen Hei"/>
        <family val="2"/>
      </rPr>
      <t xml:space="preserve">소요시간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</si>
  <si>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도우미</t>
  </si>
  <si>
    <t xml:space="preserve">성별</t>
  </si>
  <si>
    <t xml:space="preserve">연령</t>
  </si>
  <si>
    <t xml:space="preserve">연락처</t>
  </si>
  <si>
    <t xml:space="preserve">예약시간</t>
  </si>
  <si>
    <r>
      <rPr>
        <b val="true"/>
        <sz val="10"/>
        <color rgb="FFFFFFFF"/>
        <rFont val="WenQuanYi Zen Hei"/>
        <family val="2"/>
      </rPr>
      <t xml:space="preserve">사전 악력 좌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</si>
  <si>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WenQuanYi Zen Hei"/>
        <family val="2"/>
      </rPr>
      <t xml:space="preserve">사전 악력 우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</si>
  <si>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WenQuanYi Zen Hei"/>
        <family val="2"/>
      </rPr>
      <t xml:space="preserve">사전 한발서기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</si>
  <si>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사전 </t>
    </r>
    <r>
      <rPr>
        <b val="true"/>
        <sz val="10"/>
        <color rgb="FFFFFFFF"/>
        <rFont val="맑은 고딕"/>
        <family val="0"/>
        <charset val="1"/>
      </rPr>
      <t xml:space="preserve">10m </t>
    </r>
    <r>
      <rPr>
        <b val="true"/>
        <sz val="10"/>
        <color rgb="FFFFFFFF"/>
        <rFont val="WenQuanYi Zen Hei"/>
        <family val="2"/>
      </rPr>
      <t xml:space="preserve">보행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</si>
  <si>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불참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연기</t>
    </r>
  </si>
  <si>
    <t xml:space="preserve">추가상담 대상</t>
  </si>
  <si>
    <t xml:space="preserve">운동평가 시각</t>
  </si>
  <si>
    <t xml:space="preserve">측정 시각</t>
  </si>
  <si>
    <t xml:space="preserve">결과상담 시각</t>
  </si>
  <si>
    <r>
      <rPr>
        <b val="true"/>
        <sz val="10"/>
        <color rgb="FFFFFFFF"/>
        <rFont val="WenQuanYi Zen Hei"/>
        <family val="2"/>
      </rPr>
      <t xml:space="preserve">운동→측정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</si>
  <si>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측정→상담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</si>
  <si>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운동→최종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</si>
  <si>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입력 점검</t>
  </si>
  <si>
    <r>
      <rPr>
        <b val="true"/>
        <sz val="10"/>
        <color rgb="FFFFFFFF"/>
        <rFont val="맑은 고딕"/>
        <family val="0"/>
        <charset val="1"/>
      </rPr>
      <t xml:space="preserve">idx</t>
    </r>
    <r>
      <rPr>
        <b val="true"/>
        <sz val="10"/>
        <color rgb="FFFFFFFF"/>
        <rFont val="WenQuanYi Zen Hei"/>
        <family val="2"/>
      </rPr>
      <t xml:space="preserve">운동</t>
    </r>
  </si>
  <si>
    <r>
      <rPr>
        <b val="true"/>
        <sz val="10"/>
        <color rgb="FFFFFFFF"/>
        <rFont val="맑은 고딕"/>
        <family val="0"/>
        <charset val="1"/>
      </rPr>
      <t xml:space="preserve">idx</t>
    </r>
    <r>
      <rPr>
        <b val="true"/>
        <sz val="10"/>
        <color rgb="FFFFFFFF"/>
        <rFont val="WenQuanYi Zen Hei"/>
        <family val="2"/>
      </rPr>
      <t xml:space="preserve">측정</t>
    </r>
  </si>
  <si>
    <r>
      <rPr>
        <b val="true"/>
        <sz val="10"/>
        <color rgb="FFFFFFFF"/>
        <rFont val="맑은 고딕"/>
        <family val="0"/>
        <charset val="1"/>
      </rPr>
      <t xml:space="preserve">idx</t>
    </r>
    <r>
      <rPr>
        <b val="true"/>
        <sz val="10"/>
        <color rgb="FFFFFFFF"/>
        <rFont val="WenQuanYi Zen Hei"/>
        <family val="2"/>
      </rPr>
      <t xml:space="preserve">상담</t>
    </r>
  </si>
  <si>
    <r>
      <rPr>
        <b val="true"/>
        <sz val="14"/>
        <color rgb="FF1F3864"/>
        <rFont val="WenQuanYi Zen Hei"/>
        <family val="2"/>
      </rPr>
      <t xml:space="preserve">일정표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날짜 </t>
    </r>
    <r>
      <rPr>
        <b val="true"/>
        <sz val="14"/>
        <color rgb="FF1F3864"/>
        <rFont val="맑은 고딕"/>
        <family val="0"/>
        <charset val="1"/>
      </rPr>
      <t xml:space="preserve">× </t>
    </r>
    <r>
      <rPr>
        <b val="true"/>
        <sz val="14"/>
        <color rgb="FF1F3864"/>
        <rFont val="WenQuanYi Zen Hei"/>
        <family val="2"/>
      </rPr>
      <t xml:space="preserve">시간대 예약 인원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</si>
  <si>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명단의 예약일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예약시간을 자동 집계합니다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빨간 칸 </t>
    </r>
    <r>
      <rPr>
        <i val="true"/>
        <sz val="10"/>
        <color rgb="FF7F7F7F"/>
        <rFont val="맑은 고딕"/>
        <family val="0"/>
        <charset val="1"/>
      </rPr>
      <t xml:space="preserve">= </t>
    </r>
    <r>
      <rPr>
        <i val="true"/>
        <sz val="10"/>
        <color rgb="FF7F7F7F"/>
        <rFont val="WenQuanYi Zen Hei"/>
        <family val="2"/>
      </rPr>
      <t xml:space="preserve">정원 초과</t>
    </r>
    <r>
      <rPr>
        <i val="true"/>
        <sz val="10"/>
        <color rgb="FF7F7F7F"/>
        <rFont val="맑은 고딕"/>
        <family val="0"/>
        <charset val="1"/>
      </rPr>
      <t xml:space="preserve">, </t>
    </r>
    <r>
      <rPr>
        <i val="true"/>
        <sz val="10"/>
        <color rgb="FF7F7F7F"/>
        <rFont val="WenQuanYi Zen Hei"/>
        <family val="2"/>
      </rPr>
      <t xml:space="preserve">노란 칸 </t>
    </r>
    <r>
      <rPr>
        <i val="true"/>
        <sz val="10"/>
        <color rgb="FF7F7F7F"/>
        <rFont val="맑은 고딕"/>
        <family val="0"/>
        <charset val="1"/>
      </rPr>
      <t xml:space="preserve">= </t>
    </r>
    <r>
      <rPr>
        <i val="true"/>
        <sz val="10"/>
        <color rgb="FF7F7F7F"/>
        <rFont val="WenQuanYi Zen Hei"/>
        <family val="2"/>
      </rPr>
      <t xml:space="preserve">정원 가득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날짜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시간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정원은 설정 시트에서 바꿉니다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</si>
  <si>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t xml:space="preserve">시작 시각</t>
  </si>
  <si>
    <t xml:space="preserve">정원</t>
  </si>
  <si>
    <t xml:space="preserve">시간 미지정</t>
  </si>
  <si>
    <t xml:space="preserve">예약 합계</t>
  </si>
  <si>
    <t xml:space="preserve">하루 정원 합계</t>
  </si>
  <si>
    <t xml:space="preserve">완료</t>
  </si>
  <si>
    <r>
      <rPr>
        <b val="true"/>
        <sz val="10"/>
        <color rgb="FF000000"/>
        <rFont val="WenQuanYi Zen Hei"/>
        <family val="2"/>
      </rPr>
      <t xml:space="preserve">불참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연기</t>
    </r>
  </si>
  <si>
    <r>
      <rPr>
        <b val="true"/>
        <sz val="10"/>
        <color rgb="FF000000"/>
        <rFont val="WenQuanYi Zen Hei"/>
        <family val="2"/>
      </rPr>
      <t xml:space="preserve">미완료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남은 인원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</si>
  <si>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완료율</t>
  </si>
  <si>
    <t xml:space="preserve">차트용 날짜</t>
  </si>
  <si>
    <r>
      <rPr>
        <i val="true"/>
        <sz val="10"/>
        <color rgb="FF7F7F7F"/>
        <rFont val="WenQuanYi Zen Hei"/>
        <family val="2"/>
      </rPr>
      <t xml:space="preserve">※ 정원 합계가 하루 목표 인원보다 작으면 슬롯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정원을 늘리거나 운영일을 추가하세요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</si>
  <si>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병목 계산기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하루에 몇 명까지 처리 가능한가</t>
    </r>
    <r>
      <rPr>
        <b val="true"/>
        <sz val="14"/>
        <color rgb="FF1F3864"/>
        <rFont val="맑은 고딕"/>
        <family val="0"/>
        <charset val="1"/>
      </rPr>
      <t xml:space="preserve">?)</t>
    </r>
  </si>
  <si>
    <r>
      <rPr>
        <i val="true"/>
        <sz val="10"/>
        <color rgb="FF7F7F7F"/>
        <rFont val="WenQuanYi Zen Hei"/>
        <family val="2"/>
      </rPr>
      <t xml:space="preserve">운동평가 </t>
    </r>
    <r>
      <rPr>
        <i val="true"/>
        <sz val="10"/>
        <color rgb="FF7F7F7F"/>
        <rFont val="맑은 고딕"/>
        <family val="0"/>
        <charset val="1"/>
      </rPr>
      <t xml:space="preserve">1</t>
    </r>
    <r>
      <rPr>
        <i val="true"/>
        <sz val="10"/>
        <color rgb="FF7F7F7F"/>
        <rFont val="WenQuanYi Zen Hei"/>
        <family val="2"/>
      </rPr>
      <t xml:space="preserve">분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사용자 제공</t>
    </r>
    <r>
      <rPr>
        <i val="true"/>
        <sz val="10"/>
        <color rgb="FF7F7F7F"/>
        <rFont val="맑은 고딕"/>
        <family val="0"/>
        <charset val="1"/>
      </rPr>
      <t xml:space="preserve">)·</t>
    </r>
    <r>
      <rPr>
        <i val="true"/>
        <sz val="10"/>
        <color rgb="FF7F7F7F"/>
        <rFont val="WenQuanYi Zen Hei"/>
        <family val="2"/>
      </rPr>
      <t xml:space="preserve">부스 수</t>
    </r>
    <r>
      <rPr>
        <i val="true"/>
        <sz val="10"/>
        <color rgb="FF7F7F7F"/>
        <rFont val="맑은 고딕"/>
        <family val="0"/>
        <charset val="1"/>
      </rPr>
      <t xml:space="preserve">(1</t>
    </r>
    <r>
      <rPr>
        <i val="true"/>
        <sz val="10"/>
        <color rgb="FF7F7F7F"/>
        <rFont val="WenQuanYi Zen Hei"/>
        <family val="2"/>
      </rPr>
      <t xml:space="preserve">개</t>
    </r>
    <r>
      <rPr>
        <i val="true"/>
        <sz val="10"/>
        <color rgb="FF7F7F7F"/>
        <rFont val="맑은 고딕"/>
        <family val="0"/>
        <charset val="1"/>
      </rPr>
      <t xml:space="preserve">/2</t>
    </r>
    <r>
      <rPr>
        <i val="true"/>
        <sz val="10"/>
        <color rgb="FF7F7F7F"/>
        <rFont val="WenQuanYi Zen Hei"/>
        <family val="2"/>
      </rPr>
      <t xml:space="preserve">개</t>
    </r>
    <r>
      <rPr>
        <i val="true"/>
        <sz val="10"/>
        <color rgb="FF7F7F7F"/>
        <rFont val="맑은 고딕"/>
        <family val="0"/>
        <charset val="1"/>
      </rPr>
      <t xml:space="preserve">)</t>
    </r>
    <r>
      <rPr>
        <i val="true"/>
        <sz val="10"/>
        <color rgb="FF7F7F7F"/>
        <rFont val="WenQuanYi Zen Hei"/>
        <family val="2"/>
      </rPr>
      <t xml:space="preserve">는 실제 값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측정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결과상담의 </t>
    </r>
    <r>
      <rPr>
        <i val="true"/>
        <sz val="10"/>
        <color rgb="FF7F7F7F"/>
        <rFont val="맑은 고딕"/>
        <family val="0"/>
        <charset val="1"/>
      </rPr>
      <t xml:space="preserve">1</t>
    </r>
    <r>
      <rPr>
        <i val="true"/>
        <sz val="10"/>
        <color rgb="FF7F7F7F"/>
        <rFont val="WenQuanYi Zen Hei"/>
        <family val="2"/>
      </rPr>
      <t xml:space="preserve">인당 소요시간과 운영시간은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예시값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이니 실제로 재서 바꾸세요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</si>
  <si>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하루 운영 시간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시간</t>
    </r>
    <r>
      <rPr>
        <sz val="10"/>
        <color rgb="FF000000"/>
        <rFont val="맑은 고딕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예시</t>
    </r>
  </si>
  <si>
    <r>
      <rPr>
        <sz val="10"/>
        <color rgb="FF000000"/>
        <rFont val="WenQuanYi Zen Hei"/>
        <family val="2"/>
      </rPr>
      <t xml:space="preserve">목표 인원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</si>
  <si>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총 운영일 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</si>
  <si>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예비일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보충 방문용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</si>
  <si>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※ 불참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재방문에 대비해 마지막 </t>
    </r>
    <r>
      <rPr>
        <i val="true"/>
        <sz val="10"/>
        <color rgb="FF7F7F7F"/>
        <rFont val="맑은 고딕"/>
        <family val="0"/>
        <charset val="1"/>
      </rPr>
      <t xml:space="preserve">1~2</t>
    </r>
    <r>
      <rPr>
        <i val="true"/>
        <sz val="10"/>
        <color rgb="FF7F7F7F"/>
        <rFont val="WenQuanYi Zen Hei"/>
        <family val="2"/>
      </rPr>
      <t xml:space="preserve">일은 보충일로 비워 두는 것을 권장합니다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</si>
  <si>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본 일정 일수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</si>
  <si>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하루 목표 인원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</si>
  <si>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단계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</si>
  <si>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인당 소요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</si>
  <si>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담당 인원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부스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</si>
  <si>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이 단계를 거치는 비율</t>
  </si>
  <si>
    <r>
      <rPr>
        <b val="true"/>
        <sz val="10"/>
        <color rgb="FFFFFFFF"/>
        <rFont val="WenQuanYi Zen Hei"/>
        <family val="2"/>
      </rPr>
      <t xml:space="preserve">시간당 처리 가능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</si>
  <si>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하루 처리 가능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</si>
  <si>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목표 달성에 필요한 인원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</si>
  <si>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허용 최대 소요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</si>
  <si>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운동평가</t>
  </si>
  <si>
    <r>
      <rPr>
        <i val="true"/>
        <sz val="10"/>
        <color rgb="FF7F7F7F"/>
        <rFont val="WenQuanYi Zen Hei"/>
        <family val="2"/>
      </rPr>
      <t xml:space="preserve">← 사용자 제공 값</t>
    </r>
    <r>
      <rPr>
        <i val="true"/>
        <sz val="10"/>
        <color rgb="FF7F7F7F"/>
        <rFont val="맑은 고딕"/>
        <family val="0"/>
        <charset val="1"/>
      </rPr>
      <t xml:space="preserve">(1</t>
    </r>
    <r>
      <rPr>
        <i val="true"/>
        <sz val="10"/>
        <color rgb="FF7F7F7F"/>
        <rFont val="WenQuanYi Zen Hei"/>
        <family val="2"/>
      </rPr>
      <t xml:space="preserve">분</t>
    </r>
    <r>
      <rPr>
        <i val="true"/>
        <sz val="10"/>
        <color rgb="FF7F7F7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</si>
  <si>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혈압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혈당 측정 부스</t>
    </r>
  </si>
  <si>
    <r>
      <rPr>
        <i val="true"/>
        <sz val="10"/>
        <color rgb="FFC55A11"/>
        <rFont val="WenQuanYi Zen Hei"/>
        <family val="2"/>
      </rPr>
      <t xml:space="preserve">← 예시값 </t>
    </r>
    <r>
      <rPr>
        <i val="true"/>
        <sz val="10"/>
        <color rgb="FFC55A11"/>
        <rFont val="맑은 고딕"/>
        <family val="0"/>
        <charset val="1"/>
      </rPr>
      <t xml:space="preserve">(</t>
    </r>
    <r>
      <rPr>
        <i val="true"/>
        <sz val="10"/>
        <color rgb="FFC55A11"/>
        <rFont val="WenQuanYi Zen Hei"/>
        <family val="2"/>
      </rPr>
      <t xml:space="preserve">실제로 재서 입력</t>
    </r>
    <r>
      <rPr>
        <i val="true"/>
        <sz val="10"/>
        <color rgb="FFC55A11"/>
        <rFont val="맑은 고딕"/>
        <family val="0"/>
        <charset val="1"/>
      </rPr>
      <t xml:space="preserve">)</t>
    </r>
  </si>
  <si>
    <t xml:space="preserve">결과상담 부스</t>
  </si>
  <si>
    <r>
      <rPr>
        <i val="true"/>
        <sz val="10"/>
        <color rgb="FF7F7F7F"/>
        <rFont val="WenQuanYi Zen Hei"/>
        <family val="2"/>
      </rPr>
      <t xml:space="preserve">※ 결과상담 소요시간에는 추가상담까지 포함한 평균 시간을 넣으세요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측정 부스에 실습생이 여러 명이면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담당 인원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부스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에 합산하세요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</si>
  <si>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병목 단계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가장 느린 곳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</si>
  <si>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전체 처리 속도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시간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</si>
  <si>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하루 최대 처리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</si>
  <si>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목표 달성에 필요한 본 일정 일수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</si>
  <si>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하루 목표 인원 소화에 필요한 시간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</si>
  <si>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읽는 법</t>
    </r>
    <r>
      <rPr>
        <i val="true"/>
        <sz val="10"/>
        <color rgb="FF7F7F7F"/>
        <rFont val="맑은 고딕"/>
        <family val="0"/>
        <charset val="1"/>
      </rPr>
      <t xml:space="preserve">: ① '</t>
    </r>
    <r>
      <rPr>
        <i val="true"/>
        <sz val="10"/>
        <color rgb="FF7F7F7F"/>
        <rFont val="WenQuanYi Zen Hei"/>
        <family val="2"/>
      </rPr>
      <t xml:space="preserve">시간당 처리 가능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이 가장 작은 단계가 병목입니다</t>
    </r>
    <r>
      <rPr>
        <i val="true"/>
        <sz val="10"/>
        <color rgb="FF7F7F7F"/>
        <rFont val="맑은 고딕"/>
        <family val="0"/>
        <charset val="1"/>
      </rPr>
      <t xml:space="preserve">. ② '</t>
    </r>
    <r>
      <rPr>
        <i val="true"/>
        <sz val="10"/>
        <color rgb="FF7F7F7F"/>
        <rFont val="WenQuanYi Zen Hei"/>
        <family val="2"/>
      </rPr>
      <t xml:space="preserve">허용 최대 소요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분</t>
    </r>
    <r>
      <rPr>
        <i val="true"/>
        <sz val="10"/>
        <color rgb="FF7F7F7F"/>
        <rFont val="맑은 고딕"/>
        <family val="0"/>
        <charset val="1"/>
      </rPr>
      <t xml:space="preserve">/</t>
    </r>
    <r>
      <rPr>
        <i val="true"/>
        <sz val="10"/>
        <color rgb="FF7F7F7F"/>
        <rFont val="WenQuanYi Zen Hei"/>
        <family val="2"/>
      </rPr>
      <t xml:space="preserve">인</t>
    </r>
    <r>
      <rPr>
        <i val="true"/>
        <sz val="10"/>
        <color rgb="FF7F7F7F"/>
        <rFont val="맑은 고딕"/>
        <family val="0"/>
        <charset val="1"/>
      </rPr>
      <t xml:space="preserve">)'</t>
    </r>
    <r>
      <rPr>
        <i val="true"/>
        <sz val="10"/>
        <color rgb="FF7F7F7F"/>
        <rFont val="WenQuanYi Zen Hei"/>
        <family val="2"/>
      </rPr>
      <t xml:space="preserve">보다 실제 소요가 길면 하루 목표를 못 채웁니다</t>
    </r>
    <r>
      <rPr>
        <i val="true"/>
        <sz val="10"/>
        <color rgb="FF7F7F7F"/>
        <rFont val="맑은 고딕"/>
        <family val="0"/>
        <charset val="1"/>
      </rPr>
      <t xml:space="preserve">. ③ </t>
    </r>
    <r>
      <rPr>
        <i val="true"/>
        <sz val="10"/>
        <color rgb="FF7F7F7F"/>
        <rFont val="WenQuanYi Zen Hei"/>
        <family val="2"/>
      </rPr>
      <t xml:space="preserve">운동평가가 빨라도 전체 속도는 병목 부스가 정합니다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</si>
  <si>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설정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노란 칸만 수정하세요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</si>
  <si>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파란 글씨 </t>
    </r>
    <r>
      <rPr>
        <i val="true"/>
        <sz val="10"/>
        <color rgb="FF7F7F7F"/>
        <rFont val="맑은 고딕"/>
        <family val="0"/>
        <charset val="1"/>
      </rPr>
      <t xml:space="preserve">+ </t>
    </r>
    <r>
      <rPr>
        <i val="true"/>
        <sz val="10"/>
        <color rgb="FF7F7F7F"/>
        <rFont val="WenQuanYi Zen Hei"/>
        <family val="2"/>
      </rPr>
      <t xml:space="preserve">노란 칸 </t>
    </r>
    <r>
      <rPr>
        <i val="true"/>
        <sz val="10"/>
        <color rgb="FF7F7F7F"/>
        <rFont val="맑은 고딕"/>
        <family val="0"/>
        <charset val="1"/>
      </rPr>
      <t xml:space="preserve">= </t>
    </r>
    <r>
      <rPr>
        <i val="true"/>
        <sz val="10"/>
        <color rgb="FF7F7F7F"/>
        <rFont val="WenQuanYi Zen Hei"/>
        <family val="2"/>
      </rPr>
      <t xml:space="preserve">직접 입력하는 값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아래 숫자는 표시된 것 외에는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예시값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이므로 실제 값으로 바꾸세요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</si>
  <si>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i val="true"/>
        <sz val="10"/>
        <color rgb="FF7F7F7F"/>
        <rFont val="WenQuanYi Zen Hei"/>
        <family val="2"/>
      </rPr>
      <t xml:space="preserve">사용자 제공</t>
    </r>
    <r>
      <rPr>
        <i val="true"/>
        <sz val="10"/>
        <color rgb="FF7F7F7F"/>
        <rFont val="맑은 고딕"/>
        <family val="0"/>
        <charset val="1"/>
      </rPr>
      <t xml:space="preserve">: 2</t>
    </r>
    <r>
      <rPr>
        <i val="true"/>
        <sz val="10"/>
        <color rgb="FF7F7F7F"/>
        <rFont val="WenQuanYi Zen Hei"/>
        <family val="2"/>
      </rPr>
      <t xml:space="preserve">주간 </t>
    </r>
    <r>
      <rPr>
        <i val="true"/>
        <sz val="10"/>
        <color rgb="FF7F7F7F"/>
        <rFont val="맑은 고딕"/>
        <family val="0"/>
        <charset val="1"/>
      </rPr>
      <t xml:space="preserve">350</t>
    </r>
    <r>
      <rPr>
        <i val="true"/>
        <sz val="10"/>
        <color rgb="FF7F7F7F"/>
        <rFont val="WenQuanYi Zen Hei"/>
        <family val="2"/>
      </rPr>
      <t xml:space="preserve">명 방문 예정</t>
    </r>
  </si>
  <si>
    <r>
      <rPr>
        <sz val="10"/>
        <color rgb="FF000000"/>
        <rFont val="WenQuanYi Zen Hei"/>
        <family val="2"/>
      </rPr>
      <t xml:space="preserve">측정 부스 대기 한도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</si>
  <si>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측정 부스 앞 대기가 이 인원 이상이면 현황판에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보류</t>
    </r>
    <r>
      <rPr>
        <i val="true"/>
        <sz val="10"/>
        <color rgb="FF7F7F7F"/>
        <rFont val="맑은 고딕"/>
        <family val="0"/>
        <charset val="1"/>
      </rPr>
      <t xml:space="preserve">' </t>
    </r>
    <r>
      <rPr>
        <i val="true"/>
        <sz val="10"/>
        <color rgb="FF7F7F7F"/>
        <rFont val="WenQuanYi Zen Hei"/>
        <family val="2"/>
      </rPr>
      <t xml:space="preserve">신호 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예시값</t>
    </r>
    <r>
      <rPr>
        <i val="true"/>
        <sz val="10"/>
        <color rgb="FF7F7F7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</si>
  <si>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결과상담 부스 대기 한도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</si>
  <si>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결과상담 대기가 이 인원 이상이면 </t>
    </r>
    <r>
      <rPr>
        <i val="true"/>
        <sz val="10"/>
        <color rgb="FF7F7F7F"/>
        <rFont val="맑은 고딕"/>
        <family val="0"/>
        <charset val="1"/>
      </rPr>
      <t xml:space="preserve">'</t>
    </r>
    <r>
      <rPr>
        <i val="true"/>
        <sz val="10"/>
        <color rgb="FF7F7F7F"/>
        <rFont val="WenQuanYi Zen Hei"/>
        <family val="2"/>
      </rPr>
      <t xml:space="preserve">보류</t>
    </r>
    <r>
      <rPr>
        <i val="true"/>
        <sz val="10"/>
        <color rgb="FF7F7F7F"/>
        <rFont val="맑은 고딕"/>
        <family val="0"/>
        <charset val="1"/>
      </rPr>
      <t xml:space="preserve">' </t>
    </r>
    <r>
      <rPr>
        <i val="true"/>
        <sz val="10"/>
        <color rgb="FF7F7F7F"/>
        <rFont val="WenQuanYi Zen Hei"/>
        <family val="2"/>
      </rPr>
      <t xml:space="preserve">신호 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예시값</t>
    </r>
    <r>
      <rPr>
        <i val="true"/>
        <sz val="10"/>
        <color rgb="FF7F7F7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</si>
  <si>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혈압 판정 기준 </t>
    </r>
    <r>
      <rPr>
        <b val="true"/>
        <sz val="10"/>
        <color rgb="FFFFFFFF"/>
        <rFont val="맑은 고딕"/>
        <family val="0"/>
        <charset val="1"/>
      </rPr>
      <t xml:space="preserve">(mmHg)</t>
    </r>
  </si>
  <si>
    <r>
      <rPr>
        <sz val="10"/>
        <color rgb="FF000000"/>
        <rFont val="WenQuanYi Zen Hei"/>
        <family val="2"/>
      </rPr>
      <t xml:space="preserve">수축기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</si>
  <si>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일반적으로 쓰는 고혈압 진단 기준</t>
    </r>
    <r>
      <rPr>
        <i val="true"/>
        <sz val="10"/>
        <color rgb="FF7F7F7F"/>
        <rFont val="맑은 고딕"/>
        <family val="0"/>
        <charset val="1"/>
      </rPr>
      <t xml:space="preserve">(140/90)</t>
    </r>
    <r>
      <rPr>
        <i val="true"/>
        <sz val="10"/>
        <color rgb="FF7F7F7F"/>
        <rFont val="WenQuanYi Zen Hei"/>
        <family val="2"/>
      </rPr>
      <t xml:space="preserve">을 예시로 사용</t>
    </r>
  </si>
  <si>
    <r>
      <rPr>
        <sz val="10"/>
        <color rgb="FF000000"/>
        <rFont val="WenQuanYi Zen Hei"/>
        <family val="2"/>
      </rPr>
      <t xml:space="preserve">이완기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</si>
  <si>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수축기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긴급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</si>
  <si>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즉시 선생님 호출 판단용 예시값</t>
  </si>
  <si>
    <r>
      <rPr>
        <sz val="10"/>
        <color rgb="FF000000"/>
        <rFont val="WenQuanYi Zen Hei"/>
        <family val="2"/>
      </rPr>
      <t xml:space="preserve">이완기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긴급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</si>
  <si>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수축기 저혈압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미만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</si>
  <si>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어지럼 확인용 예시값</t>
  </si>
  <si>
    <r>
      <rPr>
        <b val="true"/>
        <sz val="10"/>
        <color rgb="FFFFFFFF"/>
        <rFont val="WenQuanYi Zen Hei"/>
        <family val="2"/>
      </rPr>
      <t xml:space="preserve">혈당 판정 기준 </t>
    </r>
    <r>
      <rPr>
        <b val="true"/>
        <sz val="10"/>
        <color rgb="FFFFFFFF"/>
        <rFont val="맑은 고딕"/>
        <family val="0"/>
        <charset val="1"/>
      </rPr>
      <t xml:space="preserve">(mg/dL)</t>
    </r>
  </si>
  <si>
    <r>
      <rPr>
        <sz val="10"/>
        <color rgb="FF000000"/>
        <rFont val="WenQuanYi Zen Hei"/>
        <family val="2"/>
      </rPr>
      <t xml:space="preserve">공복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</si>
  <si>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공복혈당 </t>
    </r>
    <r>
      <rPr>
        <i val="true"/>
        <sz val="10"/>
        <color rgb="FF7F7F7F"/>
        <rFont val="맑은 고딕"/>
        <family val="0"/>
        <charset val="1"/>
      </rPr>
      <t xml:space="preserve">126 </t>
    </r>
    <r>
      <rPr>
        <i val="true"/>
        <sz val="10"/>
        <color rgb="FF7F7F7F"/>
        <rFont val="WenQuanYi Zen Hei"/>
        <family val="2"/>
      </rPr>
      <t xml:space="preserve">이상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당뇨 진단 기준</t>
    </r>
    <r>
      <rPr>
        <i val="true"/>
        <sz val="10"/>
        <color rgb="FF7F7F7F"/>
        <rFont val="맑은 고딕"/>
        <family val="0"/>
        <charset val="1"/>
      </rPr>
      <t xml:space="preserve">)</t>
    </r>
    <r>
      <rPr>
        <i val="true"/>
        <sz val="10"/>
        <color rgb="FF7F7F7F"/>
        <rFont val="WenQuanYi Zen Hei"/>
        <family val="2"/>
      </rPr>
      <t xml:space="preserve">을 예시로 사용</t>
    </r>
  </si>
  <si>
    <r>
      <rPr>
        <sz val="10"/>
        <color rgb="FF000000"/>
        <rFont val="WenQuanYi Zen Hei"/>
        <family val="2"/>
      </rPr>
      <t xml:space="preserve">식후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</si>
  <si>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식후</t>
    </r>
    <r>
      <rPr>
        <i val="true"/>
        <sz val="10"/>
        <color rgb="FF7F7F7F"/>
        <rFont val="맑은 고딕"/>
        <family val="0"/>
        <charset val="1"/>
      </rPr>
      <t xml:space="preserve">/</t>
    </r>
    <r>
      <rPr>
        <i val="true"/>
        <sz val="10"/>
        <color rgb="FF7F7F7F"/>
        <rFont val="WenQuanYi Zen Hei"/>
        <family val="2"/>
      </rPr>
      <t xml:space="preserve">무작위 혈당 </t>
    </r>
    <r>
      <rPr>
        <i val="true"/>
        <sz val="10"/>
        <color rgb="FF7F7F7F"/>
        <rFont val="맑은 고딕"/>
        <family val="0"/>
        <charset val="1"/>
      </rPr>
      <t xml:space="preserve">200 </t>
    </r>
    <r>
      <rPr>
        <i val="true"/>
        <sz val="10"/>
        <color rgb="FF7F7F7F"/>
        <rFont val="WenQuanYi Zen Hei"/>
        <family val="2"/>
      </rPr>
      <t xml:space="preserve">이상을 예시로 사용</t>
    </r>
  </si>
  <si>
    <r>
      <rPr>
        <sz val="10"/>
        <color rgb="FF000000"/>
        <rFont val="WenQuanYi Zen Hei"/>
        <family val="2"/>
      </rPr>
      <t xml:space="preserve">저혈당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긴급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</si>
  <si>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10"/>
        <color rgb="FF7F7F7F"/>
        <rFont val="WenQuanYi Zen Hei"/>
        <family val="2"/>
      </rPr>
      <t xml:space="preserve">즉시 당 섭취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선생님 호출용 예시값</t>
    </r>
  </si>
  <si>
    <r>
      <rPr>
        <sz val="10"/>
        <color rgb="FF000000"/>
        <rFont val="WenQuanYi Zen Hei"/>
        <family val="2"/>
      </rPr>
      <t xml:space="preserve">고혈당 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긴급</t>
    </r>
    <r>
      <rPr>
        <sz val="10"/>
        <color rgb="FF000000"/>
        <rFont val="맑은 고딕"/>
        <family val="0"/>
        <charset val="1"/>
      </rPr>
      <t xml:space="preserve">' (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</si>
  <si>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예시값</t>
  </si>
  <si>
    <r>
      <rPr>
        <i val="true"/>
        <sz val="10"/>
        <color rgb="FF7F7F7F"/>
        <rFont val="WenQuanYi Zen Hei"/>
        <family val="2"/>
      </rPr>
      <t xml:space="preserve">※ 위 기준은 예시입니다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반드시 기관 프로토콜</t>
    </r>
    <r>
      <rPr>
        <i val="true"/>
        <sz val="10"/>
        <color rgb="FF7F7F7F"/>
        <rFont val="맑은 고딕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지도 선생님과 확인한 뒤 수정하세요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</si>
  <si>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운영일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</si>
  <si>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날짜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</si>
  <si>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일차</t>
    </r>
  </si>
  <si>
    <r>
      <rPr>
        <i val="true"/>
        <sz val="10"/>
        <color rgb="FF7F7F7F"/>
        <rFont val="WenQuanYi Zen Hei"/>
        <family val="2"/>
      </rPr>
      <t xml:space="preserve">예시</t>
    </r>
    <r>
      <rPr>
        <i val="true"/>
        <sz val="10"/>
        <color rgb="FF7F7F7F"/>
        <rFont val="맑은 고딕"/>
        <family val="0"/>
        <charset val="1"/>
      </rPr>
      <t xml:space="preserve">: 2026-10-19(</t>
    </r>
    <r>
      <rPr>
        <i val="true"/>
        <sz val="10"/>
        <color rgb="FF7F7F7F"/>
        <rFont val="WenQuanYi Zen Hei"/>
        <family val="2"/>
      </rPr>
      <t xml:space="preserve">월</t>
    </r>
    <r>
      <rPr>
        <i val="true"/>
        <sz val="10"/>
        <color rgb="FF7F7F7F"/>
        <rFont val="맑은 고딕"/>
        <family val="0"/>
        <charset val="1"/>
      </rPr>
      <t xml:space="preserve">) </t>
    </r>
    <r>
      <rPr>
        <i val="true"/>
        <sz val="10"/>
        <color rgb="FF7F7F7F"/>
        <rFont val="WenQuanYi Zen Hei"/>
        <family val="2"/>
      </rPr>
      <t xml:space="preserve">시작 평일 </t>
    </r>
    <r>
      <rPr>
        <i val="true"/>
        <sz val="10"/>
        <color rgb="FF7F7F7F"/>
        <rFont val="맑은 고딕"/>
        <family val="0"/>
        <charset val="1"/>
      </rPr>
      <t xml:space="preserve">10</t>
    </r>
    <r>
      <rPr>
        <i val="true"/>
        <sz val="10"/>
        <color rgb="FF7F7F7F"/>
        <rFont val="WenQuanYi Zen Hei"/>
        <family val="2"/>
      </rPr>
      <t xml:space="preserve">일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실제 운영일로 바꾸세요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일수가 다르면 남는 칸은 비워 두세요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</si>
  <si>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일차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</si>
  <si>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일차</t>
    </r>
  </si>
  <si>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일차</t>
    </r>
  </si>
  <si>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일차</t>
    </r>
  </si>
  <si>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일차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</si>
  <si>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일차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</si>
  <si>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일차</t>
    </r>
  </si>
  <si>
    <r>
      <rPr>
        <sz val="10"/>
        <color rgb="FF000000"/>
        <rFont val="맑은 고딕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일차</t>
    </r>
  </si>
  <si>
    <r>
      <rPr>
        <sz val="10"/>
        <color rgb="FF000000"/>
        <rFont val="맑은 고딕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일차</t>
    </r>
  </si>
  <si>
    <t xml:space="preserve">시간대 슬롯</t>
  </si>
  <si>
    <r>
      <rPr>
        <b val="true"/>
        <sz val="10"/>
        <color rgb="FFFFFFFF"/>
        <rFont val="WenQuanYi Zen Hei"/>
        <family val="2"/>
      </rPr>
      <t xml:space="preserve">정원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</si>
  <si>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</si>
  <si>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i val="true"/>
        <sz val="10"/>
        <color rgb="FF7F7F7F"/>
        <rFont val="WenQuanYi Zen Hei"/>
        <family val="2"/>
      </rPr>
      <t xml:space="preserve">예시</t>
    </r>
    <r>
      <rPr>
        <i val="true"/>
        <sz val="10"/>
        <color rgb="FF7F7F7F"/>
        <rFont val="맑은 고딕"/>
        <family val="0"/>
        <charset val="1"/>
      </rPr>
      <t xml:space="preserve">: 30</t>
    </r>
    <r>
      <rPr>
        <i val="true"/>
        <sz val="10"/>
        <color rgb="FF7F7F7F"/>
        <rFont val="WenQuanYi Zen Hei"/>
        <family val="2"/>
      </rPr>
      <t xml:space="preserve">분 간격 </t>
    </r>
    <r>
      <rPr>
        <i val="true"/>
        <sz val="10"/>
        <color rgb="FF7F7F7F"/>
        <rFont val="맑은 고딕"/>
        <family val="0"/>
        <charset val="1"/>
      </rPr>
      <t xml:space="preserve">12</t>
    </r>
    <r>
      <rPr>
        <i val="true"/>
        <sz val="10"/>
        <color rgb="FF7F7F7F"/>
        <rFont val="WenQuanYi Zen Hei"/>
        <family val="2"/>
      </rPr>
      <t xml:space="preserve">슬롯</t>
    </r>
    <r>
      <rPr>
        <i val="true"/>
        <sz val="10"/>
        <color rgb="FF7F7F7F"/>
        <rFont val="맑은 고딕"/>
        <family val="0"/>
        <charset val="1"/>
      </rPr>
      <t xml:space="preserve">, </t>
    </r>
    <r>
      <rPr>
        <i val="true"/>
        <sz val="10"/>
        <color rgb="FF7F7F7F"/>
        <rFont val="WenQuanYi Zen Hei"/>
        <family val="2"/>
      </rPr>
      <t xml:space="preserve">슬롯당 </t>
    </r>
    <r>
      <rPr>
        <i val="true"/>
        <sz val="10"/>
        <color rgb="FF7F7F7F"/>
        <rFont val="맑은 고딕"/>
        <family val="0"/>
        <charset val="1"/>
      </rPr>
      <t xml:space="preserve">4</t>
    </r>
    <r>
      <rPr>
        <i val="true"/>
        <sz val="10"/>
        <color rgb="FF7F7F7F"/>
        <rFont val="WenQuanYi Zen Hei"/>
        <family val="2"/>
      </rPr>
      <t xml:space="preserve">명</t>
    </r>
    <r>
      <rPr>
        <i val="true"/>
        <sz val="10"/>
        <color rgb="FF7F7F7F"/>
        <rFont val="맑은 고딕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병목계산 결과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가장 느린 부스 속도</t>
    </r>
    <r>
      <rPr>
        <i val="true"/>
        <sz val="10"/>
        <color rgb="FF7F7F7F"/>
        <rFont val="맑은 고딕"/>
        <family val="0"/>
        <charset val="1"/>
      </rPr>
      <t xml:space="preserve">)</t>
    </r>
    <r>
      <rPr>
        <i val="true"/>
        <sz val="10"/>
        <color rgb="FF7F7F7F"/>
        <rFont val="WenQuanYi Zen Hei"/>
        <family val="2"/>
      </rPr>
      <t xml:space="preserve">에 맞춰 정원을 조정하세요</t>
    </r>
    <r>
      <rPr>
        <i val="true"/>
        <sz val="10"/>
        <color rgb="FF7F7F7F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</si>
  <si>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</si>
  <si>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i val="true"/>
        <sz val="10"/>
        <color rgb="FF7F7F7F"/>
        <rFont val="WenQuanYi Zen Hei"/>
        <family val="2"/>
      </rPr>
      <t xml:space="preserve">점심시간 등 쉬는 구간은 슬롯 시각을 비우면 됩니다</t>
    </r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정원 칸도 비우세요</t>
    </r>
    <r>
      <rPr>
        <i val="true"/>
        <sz val="10"/>
        <color rgb="FF7F7F7F"/>
        <rFont val="맑은 고딕"/>
        <family val="0"/>
        <charset val="1"/>
      </rPr>
      <t xml:space="preserve">).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</si>
  <si>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3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</si>
  <si>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4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</si>
  <si>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</si>
  <si>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6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</si>
  <si>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7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</si>
  <si>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</si>
  <si>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9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</si>
  <si>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10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</si>
  <si>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11</t>
    </r>
  </si>
  <si>
    <r>
      <rPr>
        <sz val="10"/>
        <color rgb="FF000000"/>
        <rFont val="WenQuanYi Zen Hei"/>
        <family val="2"/>
      </rPr>
      <t xml:space="preserve">슬롯 </t>
    </r>
    <r>
      <rPr>
        <sz val="10"/>
        <color rgb="FF000000"/>
        <rFont val="맑은 고딕"/>
        <family val="0"/>
        <charset val="1"/>
      </rPr>
      <t xml:space="preserve">12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</si>
</sst>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yyyy\-mm\-dd"/>
    <numFmt numFmtId="166" formatCode="General"/>
    <numFmt numFmtId="167" formatCode="0.0%"/>
    <numFmt numFmtId="168" formatCode="mm\-dd\ hh:mm:ss"/>
    <numFmt numFmtId="169" formatCode="0.0"/>
    <numFmt numFmtId="170" formatCode="\+0.0;\-0.0;0.0"/>
    <numFmt numFmtId="171" formatCode="000"/>
    <numFmt numFmtId="172" formatCode="hh:mm"/>
    <numFmt numFmtId="173" formatCode="mm\-dd\ hh:mm"/>
    <numFmt numFmtId="174" formatCode="m/d"/>
    <numFmt numFmtId="175" formatCode="0%"/>
    <numFmt numFmtId="176" formatCode="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2"/>
    </font>
    <font>
      <b val="true"/>
      <sz val="16"/>
      <color rgb="FF1F3864"/>
      <name val="맑은 고딕"/>
      <family val="0"/>
      <charset val="1"/>
    </font>
    <font>
      <i val="true"/>
      <sz val="10"/>
      <color rgb="FF7F7F7F"/>
      <name val="맑은 고딕"/>
      <family val="2"/>
    </font>
    <font>
      <i val="true"/>
      <sz val="10"/>
      <color rgb="FF7F7F7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맑은 고딕"/>
      <family val="2"/>
    </font>
    <font>
      <b val="true"/>
      <sz val="10"/>
      <color rgb="FF000000"/>
      <name val="맑은 고딕"/>
      <family val="2"/>
    </font>
    <font>
      <sz val="10"/>
      <color rgb="FF000000"/>
      <name val="맑은 고딕"/>
      <family val="2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b val="true"/>
      <sz val="10"/>
      <color rgb="FF0000FF"/>
      <name val="맑은 고딕"/>
      <family val="2"/>
    </font>
    <font>
      <b val="true"/>
      <sz val="10"/>
      <color rgb="FF0000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2"/>
    </font>
    <font>
      <b val="true"/>
      <sz val="10"/>
      <color rgb="FFC00000"/>
      <name val="맑은 고딕"/>
      <family val="0"/>
      <charset val="1"/>
    </font>
    <font>
      <b val="true"/>
      <sz val="18"/>
      <color rgb="FF000000"/>
      <name val="맑은 고딕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F3864"/>
      <name val="맑은 고딕"/>
      <family val="2"/>
    </font>
    <font>
      <b val="true"/>
      <sz val="14"/>
      <color rgb="FF1F3864"/>
      <name val="맑은 고딕"/>
      <family val="0"/>
      <charset val="1"/>
    </font>
    <font>
      <b val="true"/>
      <sz val="10"/>
      <color rgb="FFC00000"/>
      <name val="맑은 고딕"/>
      <family val="2"/>
    </font>
    <font>
      <b val="true"/>
      <sz val="14"/>
      <color rgb="FF0000FF"/>
      <name val="맑은 고딕"/>
      <family val="0"/>
      <charset val="1"/>
    </font>
    <font>
      <b val="true"/>
      <sz val="12"/>
      <color rgb="FF000000"/>
      <name val="맑은 고딕"/>
      <family val="0"/>
      <charset val="1"/>
    </font>
    <font>
      <sz val="10"/>
      <name val="맑은 고딕"/>
      <family val="2"/>
    </font>
    <font>
      <sz val="10"/>
      <name val="Arial"/>
      <family val="2"/>
    </font>
    <font>
      <b val="true"/>
      <sz val="10"/>
      <color rgb="FF1F3864"/>
      <name val="맑은 고딕"/>
      <family val="2"/>
    </font>
    <font>
      <sz val="10"/>
      <color rgb="FF0000FF"/>
      <name val="맑은 고딕"/>
      <family val="0"/>
      <charset val="1"/>
    </font>
    <font>
      <i val="true"/>
      <sz val="10"/>
      <color rgb="FFC55A11"/>
      <name val="맑은 고딕"/>
      <family val="2"/>
    </font>
    <font>
      <i val="true"/>
      <sz val="10"/>
      <color rgb="FFC55A11"/>
      <name val="맑은 고딕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2F5597"/>
        <bgColor rgb="FF1F3864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D9D9D9"/>
        <bgColor rgb="FFC6E0B4"/>
      </patternFill>
    </fill>
    <fill>
      <patternFill patternType="solid">
        <fgColor rgb="FF3B7D3B"/>
        <bgColor rgb="FF548235"/>
      </patternFill>
    </fill>
    <fill>
      <patternFill patternType="solid">
        <fgColor rgb="FF7F7F7F"/>
        <bgColor rgb="FF878787"/>
      </patternFill>
    </fill>
    <fill>
      <patternFill patternType="solid">
        <fgColor rgb="FF1F7A7A"/>
        <bgColor rgb="FF008080"/>
      </patternFill>
    </fill>
    <fill>
      <patternFill patternType="solid">
        <fgColor rgb="FF7030A0"/>
        <bgColor rgb="FF993366"/>
      </patternFill>
    </fill>
    <fill>
      <patternFill patternType="solid">
        <fgColor rgb="FF1F3864"/>
        <bgColor rgb="FF2F5597"/>
      </patternFill>
    </fill>
    <fill>
      <patternFill patternType="solid">
        <fgColor rgb="FF595959"/>
        <bgColor rgb="FF37562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맑은 고딕"/>
        <charset val="1"/>
        <family val="0"/>
        <b val="1"/>
        <sz val="11"/>
      </font>
      <fill>
        <patternFill>
          <bgColor rgb="FFF4B183"/>
        </patternFill>
      </fill>
    </dxf>
    <dxf>
      <font>
        <name val="맑은 고딕"/>
        <charset val="1"/>
        <family val="0"/>
        <b val="1"/>
        <sz val="11"/>
      </font>
      <fill>
        <patternFill>
          <bgColor rgb="FFC6E0B4"/>
        </patternFill>
      </fill>
    </dxf>
    <dxf>
      <font>
        <name val="맑은 고딕"/>
        <charset val="1"/>
        <family val="0"/>
        <b val="1"/>
        <sz val="11"/>
      </font>
      <fill>
        <patternFill>
          <bgColor rgb="FFFF7C80"/>
        </patternFill>
      </fill>
    </dxf>
    <dxf>
      <fill>
        <patternFill>
          <bgColor rgb="FFFFF2CC"/>
        </patternFill>
      </fill>
    </dxf>
    <dxf>
      <font>
        <name val="맑은 고딕"/>
        <charset val="1"/>
        <family val="0"/>
        <b val="1"/>
      </font>
      <fill>
        <patternFill>
          <bgColor rgb="FFFF7C80"/>
        </patternFill>
      </fill>
    </dxf>
    <dxf>
      <font>
        <name val="맑은 고딕"/>
        <charset val="1"/>
        <family val="0"/>
        <b val="1"/>
      </font>
      <fill>
        <patternFill>
          <bgColor rgb="FFFFE699"/>
        </patternFill>
      </fill>
    </dxf>
    <dxf>
      <font>
        <name val="맑은 고딕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4B183"/>
        </patternFill>
      </fill>
    </dxf>
    <dxf>
      <fill>
        <patternFill>
          <bgColor rgb="FFFFE699"/>
        </patternFill>
      </fill>
    </dxf>
    <dxf>
      <font>
        <name val="맑은 고딕"/>
        <charset val="1"/>
        <family val="0"/>
        <b val="1"/>
        <color rgb="FF375623"/>
      </font>
    </dxf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</font>
      <fill>
        <patternFill>
          <bgColor rgb="FFF4B183"/>
        </patternFill>
      </fill>
    </dxf>
    <dxf>
      <font>
        <name val="맑은 고딕"/>
        <charset val="1"/>
        <family val="0"/>
        <b val="1"/>
      </font>
      <fill>
        <patternFill>
          <bgColor rgb="FFC6E0B4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3B7D3B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375623"/>
      </font>
      <fill>
        <patternFill>
          <bgColor rgb="FFA9D08E"/>
        </patternFill>
      </fill>
    </dxf>
    <dxf>
      <font>
        <name val="맑은 고딕"/>
        <charset val="1"/>
        <family val="0"/>
        <color rgb="FFC00000"/>
      </font>
      <fill>
        <patternFill>
          <bgColor rgb="FFD9D9D9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1F7A7A"/>
      <rgbColor rgb="FFBFBFBF"/>
      <rgbColor rgb="FF7F7F7F"/>
      <rgbColor rgb="FF8EA9DB"/>
      <rgbColor rgb="FF7030A0"/>
      <rgbColor rgb="FFFFF2CC"/>
      <rgbColor rgb="FFDDEBF7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A9D08E"/>
      <rgbColor rgb="FFF4B183"/>
      <rgbColor rgb="FFCC99FF"/>
      <rgbColor rgb="FFF8CBAD"/>
      <rgbColor rgb="FF3366FF"/>
      <rgbColor rgb="FF33CCCC"/>
      <rgbColor rgb="FF99CC00"/>
      <rgbColor rgb="FFFFCC00"/>
      <rgbColor rgb="FFBF9000"/>
      <rgbColor rgb="FFC55A11"/>
      <rgbColor rgb="FF595959"/>
      <rgbColor rgb="FF878787"/>
      <rgbColor rgb="FF1F3864"/>
      <rgbColor rgb="FF3B7D3B"/>
      <rgbColor rgb="FF003300"/>
      <rgbColor rgb="FF333300"/>
      <rgbColor rgb="FF993300"/>
      <rgbColor rgb="FF993366"/>
      <rgbColor rgb="FF2F5597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일별 예약 vs 완료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"예약"</c:f>
              <c:strCache>
                <c:ptCount val="1"/>
                <c:pt idx="0">
                  <c:v>예약</c:v>
                </c:pt>
              </c:strCache>
            </c:strRef>
          </c:tx>
          <c:spPr>
            <a:solidFill>
              <a:srgbClr val="8ea9d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일정표!$D$24:$M$24</c:f>
              <c:multiLvlStrCache>
                <c:ptCount val="1"/>
                <c:lvl>
                  <c:pt idx="0">
                    <c:v>10/30</c:v>
                  </c:pt>
                </c:lvl>
                <c:lvl>
                  <c:pt idx="0">
                    <c:v>10/29</c:v>
                  </c:pt>
                </c:lvl>
                <c:lvl>
                  <c:pt idx="0">
                    <c:v>10/28</c:v>
                  </c:pt>
                </c:lvl>
                <c:lvl>
                  <c:pt idx="0">
                    <c:v>10/27</c:v>
                  </c:pt>
                </c:lvl>
                <c:lvl>
                  <c:pt idx="0">
                    <c:v>10/26</c:v>
                  </c:pt>
                </c:lvl>
                <c:lvl>
                  <c:pt idx="0">
                    <c:v>10/23</c:v>
                  </c:pt>
                </c:lvl>
                <c:lvl>
                  <c:pt idx="0">
                    <c:v>10/22</c:v>
                  </c:pt>
                </c:lvl>
                <c:lvl>
                  <c:pt idx="0">
                    <c:v>10/21</c:v>
                  </c:pt>
                </c:lvl>
                <c:lvl>
                  <c:pt idx="0">
                    <c:v>10/20</c:v>
                  </c:pt>
                </c:lvl>
                <c:lvl>
                  <c:pt idx="0">
                    <c:v>10/19</c:v>
                  </c:pt>
                </c:lvl>
              </c:multiLvlStrCache>
            </c:multiLvlStrRef>
          </c:cat>
          <c:val>
            <c:numRef>
              <c:f>일정표!$D$18:$M$18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"완료"</c:f>
              <c:strCache>
                <c:ptCount val="1"/>
                <c:pt idx="0">
                  <c:v>완료</c:v>
                </c:pt>
              </c:strCache>
            </c:strRef>
          </c:tx>
          <c:spPr>
            <a:solidFill>
              <a:srgbClr val="54823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일정표!$D$24:$M$24</c:f>
              <c:multiLvlStrCache>
                <c:ptCount val="1"/>
                <c:lvl>
                  <c:pt idx="0">
                    <c:v>10/30</c:v>
                  </c:pt>
                </c:lvl>
                <c:lvl>
                  <c:pt idx="0">
                    <c:v>10/29</c:v>
                  </c:pt>
                </c:lvl>
                <c:lvl>
                  <c:pt idx="0">
                    <c:v>10/28</c:v>
                  </c:pt>
                </c:lvl>
                <c:lvl>
                  <c:pt idx="0">
                    <c:v>10/27</c:v>
                  </c:pt>
                </c:lvl>
                <c:lvl>
                  <c:pt idx="0">
                    <c:v>10/26</c:v>
                  </c:pt>
                </c:lvl>
                <c:lvl>
                  <c:pt idx="0">
                    <c:v>10/23</c:v>
                  </c:pt>
                </c:lvl>
                <c:lvl>
                  <c:pt idx="0">
                    <c:v>10/22</c:v>
                  </c:pt>
                </c:lvl>
                <c:lvl>
                  <c:pt idx="0">
                    <c:v>10/21</c:v>
                  </c:pt>
                </c:lvl>
                <c:lvl>
                  <c:pt idx="0">
                    <c:v>10/20</c:v>
                  </c:pt>
                </c:lvl>
                <c:lvl>
                  <c:pt idx="0">
                    <c:v>10/19</c:v>
                  </c:pt>
                </c:lvl>
              </c:multiLvlStrCache>
            </c:multiLvlStrRef>
          </c:cat>
          <c:val>
            <c:numRef>
              <c:f>일정표!$D$20:$M$20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21253714"/>
        <c:axId val="85170991"/>
      </c:barChart>
      <c:catAx>
        <c:axId val="21253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70991"/>
        <c:crosses val="autoZero"/>
        <c:auto val="1"/>
        <c:lblAlgn val="ctr"/>
        <c:lblOffset val="100"/>
        <c:noMultiLvlLbl val="0"/>
      </c:catAx>
      <c:valAx>
        <c:axId val="851709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인원(명)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537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131040</xdr:rowOff>
    </xdr:from>
    <xdr:to>
      <xdr:col>17</xdr:col>
      <xdr:colOff>4680</xdr:colOff>
      <xdr:row>20</xdr:row>
      <xdr:rowOff>142560</xdr:rowOff>
    </xdr:to>
    <xdr:graphicFrame>
      <xdr:nvGraphicFramePr>
        <xdr:cNvPr id="0" name="Chart 1"/>
        <xdr:cNvGraphicFramePr/>
      </xdr:nvGraphicFramePr>
      <xdr:xfrm>
        <a:off x="7894440" y="952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C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5"/>
  </cols>
  <sheetData>
    <row r="1" customFormat="false" ht="20.8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</row>
    <row r="5" customFormat="false" ht="15" hidden="false" customHeight="false" outlineLevel="0" collapsed="false">
      <c r="B5" s="5" t="s">
        <v>3</v>
      </c>
      <c r="C5" s="6" t="s">
        <v>4</v>
      </c>
    </row>
    <row r="6" customFormat="false" ht="15" hidden="false" customHeight="false" outlineLevel="0" collapsed="false">
      <c r="B6" s="5" t="s">
        <v>5</v>
      </c>
      <c r="C6" s="6" t="s">
        <v>6</v>
      </c>
    </row>
    <row r="7" customFormat="false" ht="15" hidden="false" customHeight="false" outlineLevel="0" collapsed="false">
      <c r="B7" s="5" t="s">
        <v>7</v>
      </c>
      <c r="C7" s="6" t="s">
        <v>8</v>
      </c>
    </row>
    <row r="8" customFormat="false" ht="15" hidden="false" customHeight="false" outlineLevel="0" collapsed="false">
      <c r="B8" s="5" t="s">
        <v>9</v>
      </c>
      <c r="C8" s="6" t="s">
        <v>10</v>
      </c>
    </row>
    <row r="9" customFormat="false" ht="26.85" hidden="false" customHeight="false" outlineLevel="0" collapsed="false">
      <c r="B9" s="5" t="s">
        <v>11</v>
      </c>
      <c r="C9" s="6" t="s">
        <v>12</v>
      </c>
    </row>
    <row r="10" customFormat="false" ht="15" hidden="false" customHeight="false" outlineLevel="0" collapsed="false">
      <c r="B10" s="5" t="s">
        <v>13</v>
      </c>
      <c r="C10" s="6" t="s">
        <v>14</v>
      </c>
    </row>
    <row r="11" customFormat="false" ht="15" hidden="false" customHeight="false" outlineLevel="0" collapsed="false">
      <c r="B11" s="5" t="s">
        <v>15</v>
      </c>
      <c r="C11" s="6" t="s">
        <v>16</v>
      </c>
    </row>
    <row r="13" customFormat="false" ht="15" hidden="false" customHeight="false" outlineLevel="0" collapsed="false">
      <c r="B13" s="3" t="s">
        <v>17</v>
      </c>
      <c r="C13" s="4"/>
    </row>
    <row r="14" customFormat="false" ht="15" hidden="false" customHeight="false" outlineLevel="0" collapsed="false">
      <c r="B14" s="7" t="s">
        <v>18</v>
      </c>
      <c r="C14" s="6" t="s">
        <v>19</v>
      </c>
    </row>
    <row r="15" customFormat="false" ht="15" hidden="false" customHeight="false" outlineLevel="0" collapsed="false">
      <c r="B15" s="8" t="s">
        <v>20</v>
      </c>
      <c r="C15" s="6" t="s">
        <v>21</v>
      </c>
    </row>
    <row r="16" customFormat="false" ht="15" hidden="false" customHeight="false" outlineLevel="0" collapsed="false">
      <c r="B16" s="5" t="s">
        <v>22</v>
      </c>
      <c r="C16" s="9" t="s">
        <v>23</v>
      </c>
    </row>
    <row r="17" customFormat="false" ht="15" hidden="false" customHeight="false" outlineLevel="0" collapsed="false">
      <c r="B17" s="5" t="s">
        <v>24</v>
      </c>
      <c r="C17" s="6" t="s">
        <v>25</v>
      </c>
    </row>
    <row r="19" customFormat="false" ht="15" hidden="false" customHeight="false" outlineLevel="0" collapsed="false">
      <c r="B19" s="3" t="s">
        <v>26</v>
      </c>
      <c r="C19" s="4"/>
    </row>
    <row r="20" customFormat="false" ht="15" hidden="false" customHeight="false" outlineLevel="0" collapsed="false">
      <c r="B20" s="5" t="s">
        <v>27</v>
      </c>
      <c r="C20" s="6" t="s">
        <v>28</v>
      </c>
    </row>
    <row r="21" customFormat="false" ht="15" hidden="false" customHeight="false" outlineLevel="0" collapsed="false">
      <c r="B21" s="5" t="s">
        <v>29</v>
      </c>
      <c r="C21" s="6" t="s">
        <v>30</v>
      </c>
    </row>
    <row r="22" customFormat="false" ht="15" hidden="false" customHeight="false" outlineLevel="0" collapsed="false">
      <c r="B22" s="5" t="s">
        <v>31</v>
      </c>
      <c r="C22" s="6" t="s">
        <v>32</v>
      </c>
    </row>
    <row r="23" customFormat="false" ht="15" hidden="false" customHeight="false" outlineLevel="0" collapsed="false">
      <c r="B23" s="5" t="s">
        <v>33</v>
      </c>
      <c r="C23" s="6" t="s">
        <v>34</v>
      </c>
    </row>
    <row r="24" customFormat="false" ht="15" hidden="false" customHeight="false" outlineLevel="0" collapsed="false">
      <c r="B24" s="5" t="s">
        <v>35</v>
      </c>
      <c r="C24" s="9" t="s">
        <v>36</v>
      </c>
    </row>
    <row r="25" customFormat="false" ht="15" hidden="false" customHeight="false" outlineLevel="0" collapsed="false">
      <c r="B25" s="5" t="s">
        <v>37</v>
      </c>
      <c r="C25" s="6" t="s">
        <v>38</v>
      </c>
    </row>
    <row r="27" customFormat="false" ht="15" hidden="false" customHeight="false" outlineLevel="0" collapsed="false">
      <c r="B27" s="3" t="s">
        <v>39</v>
      </c>
      <c r="C27" s="4"/>
    </row>
    <row r="28" customFormat="false" ht="26.85" hidden="false" customHeight="false" outlineLevel="0" collapsed="false">
      <c r="B28" s="5" t="s">
        <v>40</v>
      </c>
      <c r="C28" s="6" t="s">
        <v>41</v>
      </c>
    </row>
    <row r="29" customFormat="false" ht="26.85" hidden="false" customHeight="false" outlineLevel="0" collapsed="false">
      <c r="B29" s="5" t="s">
        <v>42</v>
      </c>
      <c r="C29" s="6" t="s">
        <v>43</v>
      </c>
    </row>
    <row r="30" customFormat="false" ht="26.85" hidden="false" customHeight="false" outlineLevel="0" collapsed="false">
      <c r="B30" s="5" t="s">
        <v>44</v>
      </c>
      <c r="C30" s="6" t="s">
        <v>45</v>
      </c>
    </row>
    <row r="31" customFormat="false" ht="26.85" hidden="false" customHeight="false" outlineLevel="0" collapsed="false">
      <c r="B31" s="5" t="s">
        <v>46</v>
      </c>
      <c r="C31" s="6" t="s">
        <v>47</v>
      </c>
    </row>
    <row r="33" customFormat="false" ht="15" hidden="false" customHeight="false" outlineLevel="0" collapsed="false">
      <c r="B33" s="3" t="s">
        <v>48</v>
      </c>
      <c r="C33" s="4"/>
    </row>
    <row r="34" customFormat="false" ht="15" hidden="false" customHeight="false" outlineLevel="0" collapsed="false">
      <c r="B34" s="5" t="s">
        <v>49</v>
      </c>
      <c r="C34" s="6" t="s">
        <v>50</v>
      </c>
    </row>
    <row r="35" customFormat="false" ht="26.85" hidden="false" customHeight="false" outlineLevel="0" collapsed="false">
      <c r="B35" s="5" t="s">
        <v>51</v>
      </c>
      <c r="C35" s="6" t="s">
        <v>52</v>
      </c>
    </row>
    <row r="36" customFormat="false" ht="15" hidden="false" customHeight="false" outlineLevel="0" collapsed="false">
      <c r="B36" s="5" t="s">
        <v>53</v>
      </c>
      <c r="C36" s="9" t="s">
        <v>54</v>
      </c>
    </row>
    <row r="37" customFormat="false" ht="15" hidden="false" customHeight="false" outlineLevel="0" collapsed="false">
      <c r="B37" s="5" t="s">
        <v>55</v>
      </c>
      <c r="C37" s="6" t="s">
        <v>56</v>
      </c>
    </row>
    <row r="39" customFormat="false" ht="15" hidden="false" customHeight="false" outlineLevel="0" collapsed="false">
      <c r="B39" s="3" t="s">
        <v>57</v>
      </c>
      <c r="C39" s="4"/>
    </row>
    <row r="40" customFormat="false" ht="15" hidden="false" customHeight="false" outlineLevel="0" collapsed="false">
      <c r="B40" s="5" t="s">
        <v>58</v>
      </c>
      <c r="C40" s="6" t="s">
        <v>59</v>
      </c>
    </row>
    <row r="41" customFormat="false" ht="15" hidden="false" customHeight="false" outlineLevel="0" collapsed="false">
      <c r="B41" s="5" t="s">
        <v>60</v>
      </c>
      <c r="C41" s="6" t="s">
        <v>61</v>
      </c>
    </row>
    <row r="42" customFormat="false" ht="15" hidden="false" customHeight="false" outlineLevel="0" collapsed="false">
      <c r="B42" s="5" t="s">
        <v>62</v>
      </c>
      <c r="C42" s="6" t="s">
        <v>63</v>
      </c>
    </row>
    <row r="43" customFormat="false" ht="15" hidden="false" customHeight="false" outlineLevel="0" collapsed="false">
      <c r="B43" s="5" t="s">
        <v>64</v>
      </c>
      <c r="C43" s="9" t="s">
        <v>65</v>
      </c>
    </row>
    <row r="45" customFormat="false" ht="15" hidden="false" customHeight="false" outlineLevel="0" collapsed="false">
      <c r="B45" s="3" t="s">
        <v>66</v>
      </c>
      <c r="C45" s="4"/>
    </row>
    <row r="46" customFormat="false" ht="15" hidden="false" customHeight="false" outlineLevel="0" collapsed="false">
      <c r="B46" s="5" t="s">
        <v>67</v>
      </c>
      <c r="C46" s="6" t="s">
        <v>68</v>
      </c>
    </row>
    <row r="47" customFormat="false" ht="15" hidden="false" customHeight="false" outlineLevel="0" collapsed="false">
      <c r="B47" s="5" t="s">
        <v>69</v>
      </c>
      <c r="C47" s="9" t="s">
        <v>70</v>
      </c>
    </row>
    <row r="48" customFormat="false" ht="15" hidden="false" customHeight="false" outlineLevel="0" collapsed="false">
      <c r="B48" s="5" t="s">
        <v>71</v>
      </c>
      <c r="C48" s="6" t="s">
        <v>72</v>
      </c>
    </row>
    <row r="50" customFormat="false" ht="15" hidden="false" customHeight="false" outlineLevel="0" collapsed="false">
      <c r="B50" s="3" t="s">
        <v>73</v>
      </c>
      <c r="C50" s="4"/>
    </row>
    <row r="51" customFormat="false" ht="15" hidden="false" customHeight="false" outlineLevel="0" collapsed="false">
      <c r="B51" s="5" t="s">
        <v>74</v>
      </c>
      <c r="C51" s="6" t="s">
        <v>75</v>
      </c>
    </row>
    <row r="52" customFormat="false" ht="26.85" hidden="false" customHeight="false" outlineLevel="0" collapsed="false">
      <c r="B52" s="5" t="s">
        <v>76</v>
      </c>
      <c r="C52" s="6" t="s">
        <v>77</v>
      </c>
    </row>
    <row r="53" customFormat="false" ht="15" hidden="false" customHeight="false" outlineLevel="0" collapsed="false">
      <c r="B53" s="5" t="s">
        <v>78</v>
      </c>
      <c r="C53" s="6" t="s">
        <v>79</v>
      </c>
    </row>
    <row r="54" customFormat="false" ht="26.85" hidden="false" customHeight="false" outlineLevel="0" collapsed="false">
      <c r="B54" s="5" t="s">
        <v>80</v>
      </c>
      <c r="C54" s="6" t="s">
        <v>81</v>
      </c>
    </row>
    <row r="56" customFormat="false" ht="15" hidden="false" customHeight="false" outlineLevel="0" collapsed="false">
      <c r="B56" s="3" t="s">
        <v>82</v>
      </c>
      <c r="C56" s="4"/>
    </row>
    <row r="57" customFormat="false" ht="26.85" hidden="false" customHeight="false" outlineLevel="0" collapsed="false">
      <c r="B57" s="5" t="s">
        <v>83</v>
      </c>
      <c r="C57" s="9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3"/>
  </cols>
  <sheetData>
    <row r="1" customFormat="false" ht="19.7" hidden="false" customHeight="false" outlineLevel="0" collapsed="false">
      <c r="B1" s="1" t="s">
        <v>85</v>
      </c>
    </row>
    <row r="2" customFormat="false" ht="15" hidden="false" customHeight="false" outlineLevel="0" collapsed="false">
      <c r="B2" s="2" t="s">
        <v>86</v>
      </c>
    </row>
    <row r="4" customFormat="false" ht="15" hidden="false" customHeight="false" outlineLevel="0" collapsed="false">
      <c r="B4" s="10" t="s">
        <v>87</v>
      </c>
      <c r="C4" s="11" t="n">
        <f aca="true">TODAY()</f>
        <v>46307</v>
      </c>
      <c r="E4" s="2" t="s">
        <v>88</v>
      </c>
    </row>
    <row r="6" customFormat="false" ht="15" hidden="false" customHeight="false" outlineLevel="0" collapsed="false">
      <c r="B6" s="12" t="s">
        <v>89</v>
      </c>
      <c r="C6" s="4"/>
      <c r="E6" s="12" t="s">
        <v>90</v>
      </c>
      <c r="F6" s="4"/>
    </row>
    <row r="7" customFormat="false" ht="15" hidden="false" customHeight="false" outlineLevel="0" collapsed="false">
      <c r="B7" s="6" t="s">
        <v>91</v>
      </c>
      <c r="C7" s="13" t="n">
        <f aca="false">COUNTIFS(명단!$F$5:$F$404,$C$4)</f>
        <v>0</v>
      </c>
      <c r="E7" s="6" t="s">
        <v>92</v>
      </c>
      <c r="F7" s="14" t="n">
        <f aca="false">설정!C4</f>
        <v>350</v>
      </c>
    </row>
    <row r="8" customFormat="false" ht="15" hidden="false" customHeight="false" outlineLevel="0" collapsed="false">
      <c r="B8" s="6" t="s">
        <v>93</v>
      </c>
      <c r="C8" s="13" t="n">
        <f aca="false">COUNTIFS(명단!$F$5:$F$404,$C$4,명단!$AA$5:$AA$404,"완료")</f>
        <v>0</v>
      </c>
      <c r="E8" s="6" t="s">
        <v>94</v>
      </c>
      <c r="F8" s="14" t="n">
        <f aca="false">COUNTA(명단!$B$5:$B$404)</f>
        <v>0</v>
      </c>
    </row>
    <row r="9" customFormat="false" ht="15" hidden="false" customHeight="false" outlineLevel="0" collapsed="false">
      <c r="B9" s="6" t="s">
        <v>95</v>
      </c>
      <c r="C9" s="14" t="n">
        <f aca="false">COUNTIFS(명단!$F$5:$F$404,$C$4,명단!$AA$5:$AA$404,"불참")+COUNTIFS(명단!$F$5:$F$404,$C$4,명단!$AA$5:$AA$404,"연기")</f>
        <v>0</v>
      </c>
      <c r="E9" s="6" t="s">
        <v>96</v>
      </c>
      <c r="F9" s="13" t="n">
        <f aca="false">COUNTIF(명단!$AA$5:$AA$404,"완료")</f>
        <v>0</v>
      </c>
    </row>
    <row r="10" customFormat="false" ht="15" hidden="false" customHeight="false" outlineLevel="0" collapsed="false">
      <c r="B10" s="6" t="s">
        <v>97</v>
      </c>
      <c r="C10" s="14" t="n">
        <f aca="false">COUNTIFS(명단!$F$5:$F$404,$C$4,명단!$AA$5:$AA$404,"미방문")</f>
        <v>0</v>
      </c>
      <c r="E10" s="6" t="s">
        <v>98</v>
      </c>
      <c r="F10" s="15" t="n">
        <f aca="false">IFERROR(F9/F7,0)</f>
        <v>0</v>
      </c>
    </row>
    <row r="11" customFormat="false" ht="15" hidden="false" customHeight="false" outlineLevel="0" collapsed="false">
      <c r="B11" s="12" t="s">
        <v>99</v>
      </c>
      <c r="C11" s="4"/>
      <c r="E11" s="6" t="s">
        <v>100</v>
      </c>
      <c r="F11" s="14" t="n">
        <f aca="false">MAX(F7-F9,0)</f>
        <v>350</v>
      </c>
    </row>
    <row r="12" customFormat="false" ht="15" hidden="false" customHeight="false" outlineLevel="0" collapsed="false">
      <c r="B12" s="6" t="s">
        <v>101</v>
      </c>
      <c r="C12" s="14" t="n">
        <f aca="false">COUNTIF(명단!$AA$5:$AA$404,"측정 대기")</f>
        <v>0</v>
      </c>
      <c r="E12" s="6" t="s">
        <v>102</v>
      </c>
      <c r="F12" s="14" t="n">
        <f aca="false">COUNTIF(설정!$C$21:$C$30,"&gt;="&amp;C4)</f>
        <v>10</v>
      </c>
    </row>
    <row r="13" customFormat="false" ht="15" hidden="false" customHeight="false" outlineLevel="0" collapsed="false">
      <c r="B13" s="6" t="s">
        <v>103</v>
      </c>
      <c r="C13" s="14" t="n">
        <f aca="false">COUNTIF(명단!$AA$5:$AA$404,"결과상담 대기")</f>
        <v>0</v>
      </c>
      <c r="E13" s="6" t="s">
        <v>104</v>
      </c>
      <c r="F13" s="14" t="n">
        <f aca="false">IF(F12=0,"-",ROUNDUP(F11/F12,0))</f>
        <v>35</v>
      </c>
    </row>
    <row r="14" customFormat="false" ht="15" hidden="false" customHeight="false" outlineLevel="0" collapsed="false">
      <c r="B14" s="6" t="s">
        <v>105</v>
      </c>
      <c r="C14" s="14" t="n">
        <f aca="false">COUNTIF(명단!$AA$5:$AA$404,"추가상담 대기")</f>
        <v>0</v>
      </c>
      <c r="E14" s="6" t="s">
        <v>106</v>
      </c>
      <c r="F14" s="14" t="n">
        <f aca="false">COUNTIF(명단!$AA$5:$AA$404,"불참")+COUNTIF(명단!$AA$5:$AA$404,"연기")</f>
        <v>0</v>
      </c>
    </row>
    <row r="15" customFormat="false" ht="15" hidden="false" customHeight="false" outlineLevel="0" collapsed="false">
      <c r="B15" s="6" t="s">
        <v>107</v>
      </c>
      <c r="C15" s="13" t="n">
        <f aca="false">SUM(C12:C14)</f>
        <v>0</v>
      </c>
      <c r="E15" s="6" t="s">
        <v>108</v>
      </c>
      <c r="F15" s="14" t="str">
        <f aca="false">COUNTIF(명단!$Z$5:$Z$404,"대상")&amp;" / "&amp;COUNTIF(명단!$AA$5:$AA$404,"추가상담 대기")</f>
        <v>0 / 0</v>
      </c>
    </row>
    <row r="16" customFormat="false" ht="15" hidden="false" customHeight="false" outlineLevel="0" collapsed="false">
      <c r="B16" s="6" t="s">
        <v>109</v>
      </c>
      <c r="C16" s="16" t="str">
        <f aca="false">IF(C12&gt;=설정!$C$5,"● 보류 (대기 많음)","○ 안내 가능")</f>
        <v>○ 안내 가능</v>
      </c>
    </row>
    <row r="17" customFormat="false" ht="15" hidden="false" customHeight="false" outlineLevel="0" collapsed="false">
      <c r="B17" s="6" t="s">
        <v>110</v>
      </c>
      <c r="C17" s="16" t="str">
        <f aca="false">IF(C13&gt;=설정!$C$6,"● 보류 (대기 많음)","○ 안내 가능")</f>
        <v>○ 안내 가능</v>
      </c>
    </row>
    <row r="19" customFormat="false" ht="15" hidden="false" customHeight="false" outlineLevel="0" collapsed="false">
      <c r="B19" s="12" t="s">
        <v>111</v>
      </c>
      <c r="C19" s="4"/>
      <c r="E19" s="12" t="s">
        <v>112</v>
      </c>
      <c r="F19" s="4"/>
    </row>
    <row r="20" customFormat="false" ht="15" hidden="false" customHeight="false" outlineLevel="0" collapsed="false">
      <c r="B20" s="6" t="s">
        <v>113</v>
      </c>
      <c r="C20" s="14" t="n">
        <f aca="false">COUNTIF(명단!$X$5:$X$404,"긴급")</f>
        <v>0</v>
      </c>
      <c r="E20" s="6" t="s">
        <v>114</v>
      </c>
      <c r="F20" s="14" t="str">
        <f aca="false">IFERROR(ROUND(AVERAGE(명단!$AE$5:$AE$404),0),"-")</f>
        <v>-</v>
      </c>
    </row>
    <row r="21" customFormat="false" ht="15" hidden="false" customHeight="false" outlineLevel="0" collapsed="false">
      <c r="B21" s="6" t="s">
        <v>115</v>
      </c>
      <c r="C21" s="14" t="n">
        <f aca="false">COUNTIF(명단!$X$5:$X$404,"주의")</f>
        <v>0</v>
      </c>
      <c r="E21" s="6" t="s">
        <v>116</v>
      </c>
      <c r="F21" s="14" t="str">
        <f aca="false">IFERROR(ROUND(AVERAGE(명단!$AF$5:$AF$404),0),"-")</f>
        <v>-</v>
      </c>
    </row>
    <row r="22" customFormat="false" ht="15" hidden="false" customHeight="false" outlineLevel="0" collapsed="false">
      <c r="B22" s="6" t="s">
        <v>117</v>
      </c>
      <c r="C22" s="14" t="n">
        <f aca="false">SUMPRODUCT(--(LEFT(명단!$Y$5:$Y$404,2)="긴급"))</f>
        <v>0</v>
      </c>
      <c r="E22" s="6" t="s">
        <v>118</v>
      </c>
      <c r="F22" s="14" t="str">
        <f aca="false">IFERROR(ROUND(AVERAGE(명단!$AG$5:$AG$404),0),"-")</f>
        <v>-</v>
      </c>
    </row>
    <row r="23" customFormat="false" ht="15" hidden="false" customHeight="false" outlineLevel="0" collapsed="false">
      <c r="B23" s="6" t="s">
        <v>119</v>
      </c>
      <c r="C23" s="14" t="n">
        <f aca="false">COUNTIF(명단!$Y$5:$Y$404,"주의")</f>
        <v>0</v>
      </c>
      <c r="E23" s="6" t="s">
        <v>120</v>
      </c>
      <c r="F23" s="17" t="str">
        <f aca="false">IFERROR(INDEX(E20:E21,MATCH(MAX(F20:F21),F20:F21,0)),"-")</f>
        <v>-</v>
      </c>
    </row>
    <row r="24" customFormat="false" ht="15" hidden="false" customHeight="false" outlineLevel="0" collapsed="false">
      <c r="B24" s="6" t="s">
        <v>121</v>
      </c>
      <c r="C24" s="14" t="n">
        <f aca="false">COUNTIF(명단!$Y$5:$Y$404,"조건확인")</f>
        <v>0</v>
      </c>
      <c r="E24" s="2" t="s">
        <v>122</v>
      </c>
    </row>
    <row r="25" customFormat="false" ht="15" hidden="false" customHeight="false" outlineLevel="0" collapsed="false">
      <c r="B25" s="6" t="s">
        <v>123</v>
      </c>
      <c r="C25" s="14" t="n">
        <f aca="false">COUNTIF(명단!$AH$5:$AH$404,"?*")</f>
        <v>0</v>
      </c>
    </row>
  </sheetData>
  <conditionalFormatting sqref="C16:C17">
    <cfRule type="expression" priority="2" aboveAverage="0" equalAverage="0" bottom="0" percent="0" rank="0" text="" dxfId="0">
      <formula>LEFT(C16,1)="●"</formula>
    </cfRule>
    <cfRule type="expression" priority="3" aboveAverage="0" equalAverage="0" bottom="0" percent="0" rank="0" text="" dxfId="1">
      <formula>LEFT(C16,1)="○"</formula>
    </cfRule>
  </conditionalFormatting>
  <conditionalFormatting sqref="C14">
    <cfRule type="cellIs" priority="4" operator="greaterThan" aboveAverage="0" equalAverage="0" bottom="0" percent="0" rank="0" text="" dxfId="0">
      <formula>0</formula>
    </cfRule>
  </conditionalFormatting>
  <conditionalFormatting sqref="C20">
    <cfRule type="cellIs" priority="5" operator="greaterThan" aboveAverage="0" equalAverage="0" bottom="0" percent="0" rank="0" text="" dxfId="2">
      <formula>0</formula>
    </cfRule>
  </conditionalFormatting>
  <conditionalFormatting sqref="C22">
    <cfRule type="cellIs" priority="6" operator="greaterThan" aboveAverage="0" equalAverage="0" bottom="0" percent="0" rank="0" text="" dxfId="2">
      <formula>0</formula>
    </cfRule>
  </conditionalFormatting>
  <conditionalFormatting sqref="C25">
    <cfRule type="cellIs" priority="7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3B"/>
    <pageSetUpPr fitToPage="true"/>
  </sheetPr>
  <dimension ref="A1:I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19.4" hidden="false" customHeight="false" outlineLevel="0" collapsed="false">
      <c r="A1" s="18" t="s">
        <v>124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false" outlineLevel="0" collapsed="false">
      <c r="A3" s="19" t="s">
        <v>126</v>
      </c>
    </row>
    <row r="4" customFormat="false" ht="31.5" hidden="false" customHeight="true" outlineLevel="0" collapsed="false">
      <c r="A4" s="20" t="s">
        <v>127</v>
      </c>
      <c r="B4" s="20" t="s">
        <v>128</v>
      </c>
      <c r="C4" s="20" t="s">
        <v>129</v>
      </c>
      <c r="D4" s="20" t="s">
        <v>130</v>
      </c>
      <c r="E4" s="20" t="s">
        <v>131</v>
      </c>
      <c r="F4" s="21" t="s">
        <v>132</v>
      </c>
      <c r="G4" s="20" t="s">
        <v>133</v>
      </c>
      <c r="H4" s="22" t="s">
        <v>134</v>
      </c>
      <c r="I4" s="22" t="s">
        <v>135</v>
      </c>
    </row>
    <row r="5" customFormat="false" ht="15" hidden="false" customHeight="false" outlineLevel="0" collapsed="false">
      <c r="A5" s="23"/>
      <c r="B5" s="24"/>
      <c r="C5" s="24"/>
      <c r="D5" s="24"/>
      <c r="E5" s="24"/>
      <c r="F5" s="24"/>
      <c r="G5" s="24"/>
      <c r="H5" s="25" t="str">
        <f aca="false">IF($B5="","",IFERROR(IF(INDEX(명단!$B$5:$B$404,MATCH($B5,명단!$A$5:$A$404,0))="","(이름 미입력)",INDEX(명단!$B$5:$B$404,MATCH($B5,명단!$A$5:$A$404,0))),"번호 없음"))</f>
        <v/>
      </c>
      <c r="I5" s="25" t="str">
        <f aca="false">IF($B5="","",IF(COUNTIF($B$5:$B$1004,$B5)&gt;1,"중복 입력",""))</f>
        <v/>
      </c>
    </row>
    <row r="6" customFormat="false" ht="15" hidden="false" customHeight="false" outlineLevel="0" collapsed="false">
      <c r="A6" s="23"/>
      <c r="B6" s="24"/>
      <c r="C6" s="24"/>
      <c r="D6" s="24"/>
      <c r="E6" s="24"/>
      <c r="F6" s="24"/>
      <c r="G6" s="24"/>
      <c r="H6" s="25" t="str">
        <f aca="false">IF($B6="","",IFERROR(IF(INDEX(명단!$B$5:$B$404,MATCH($B6,명단!$A$5:$A$404,0))="","(이름 미입력)",INDEX(명단!$B$5:$B$404,MATCH($B6,명단!$A$5:$A$404,0))),"번호 없음"))</f>
        <v/>
      </c>
      <c r="I6" s="25" t="str">
        <f aca="false">IF($B6="","",IF(COUNTIF($B$5:$B$1004,$B6)&gt;1,"중복 입력",""))</f>
        <v/>
      </c>
    </row>
    <row r="7" customFormat="false" ht="15" hidden="false" customHeight="false" outlineLevel="0" collapsed="false">
      <c r="A7" s="23"/>
      <c r="B7" s="24"/>
      <c r="C7" s="24"/>
      <c r="D7" s="24"/>
      <c r="E7" s="24"/>
      <c r="F7" s="24"/>
      <c r="G7" s="24"/>
      <c r="H7" s="25" t="str">
        <f aca="false">IF($B7="","",IFERROR(IF(INDEX(명단!$B$5:$B$404,MATCH($B7,명단!$A$5:$A$404,0))="","(이름 미입력)",INDEX(명단!$B$5:$B$404,MATCH($B7,명단!$A$5:$A$404,0))),"번호 없음"))</f>
        <v/>
      </c>
      <c r="I7" s="25" t="str">
        <f aca="false">IF($B7="","",IF(COUNTIF($B$5:$B$1004,$B7)&gt;1,"중복 입력",""))</f>
        <v/>
      </c>
    </row>
    <row r="8" customFormat="false" ht="15" hidden="false" customHeight="false" outlineLevel="0" collapsed="false">
      <c r="A8" s="23"/>
      <c r="B8" s="24"/>
      <c r="C8" s="24"/>
      <c r="D8" s="24"/>
      <c r="E8" s="24"/>
      <c r="F8" s="24"/>
      <c r="G8" s="24"/>
      <c r="H8" s="25" t="str">
        <f aca="false">IF($B8="","",IFERROR(IF(INDEX(명단!$B$5:$B$404,MATCH($B8,명단!$A$5:$A$404,0))="","(이름 미입력)",INDEX(명단!$B$5:$B$404,MATCH($B8,명단!$A$5:$A$404,0))),"번호 없음"))</f>
        <v/>
      </c>
      <c r="I8" s="25" t="str">
        <f aca="false">IF($B8="","",IF(COUNTIF($B$5:$B$1004,$B8)&gt;1,"중복 입력",""))</f>
        <v/>
      </c>
    </row>
    <row r="9" customFormat="false" ht="15" hidden="false" customHeight="false" outlineLevel="0" collapsed="false">
      <c r="A9" s="23"/>
      <c r="B9" s="24"/>
      <c r="C9" s="24"/>
      <c r="D9" s="24"/>
      <c r="E9" s="24"/>
      <c r="F9" s="24"/>
      <c r="G9" s="24"/>
      <c r="H9" s="25" t="str">
        <f aca="false">IF($B9="","",IFERROR(IF(INDEX(명단!$B$5:$B$404,MATCH($B9,명단!$A$5:$A$404,0))="","(이름 미입력)",INDEX(명단!$B$5:$B$404,MATCH($B9,명단!$A$5:$A$404,0))),"번호 없음"))</f>
        <v/>
      </c>
      <c r="I9" s="25" t="str">
        <f aca="false">IF($B9="","",IF(COUNTIF($B$5:$B$1004,$B9)&gt;1,"중복 입력",""))</f>
        <v/>
      </c>
    </row>
    <row r="10" customFormat="false" ht="15" hidden="false" customHeight="false" outlineLevel="0" collapsed="false">
      <c r="A10" s="23"/>
      <c r="B10" s="24"/>
      <c r="C10" s="24"/>
      <c r="D10" s="24"/>
      <c r="E10" s="24"/>
      <c r="F10" s="24"/>
      <c r="G10" s="24"/>
      <c r="H10" s="25" t="str">
        <f aca="false">IF($B10="","",IFERROR(IF(INDEX(명단!$B$5:$B$404,MATCH($B10,명단!$A$5:$A$404,0))="","(이름 미입력)",INDEX(명단!$B$5:$B$404,MATCH($B10,명단!$A$5:$A$404,0))),"번호 없음"))</f>
        <v/>
      </c>
      <c r="I10" s="25" t="str">
        <f aca="false">IF($B10="","",IF(COUNTIF($B$5:$B$1004,$B10)&gt;1,"중복 입력",""))</f>
        <v/>
      </c>
    </row>
    <row r="11" customFormat="false" ht="15" hidden="false" customHeight="false" outlineLevel="0" collapsed="false">
      <c r="A11" s="23"/>
      <c r="B11" s="24"/>
      <c r="C11" s="24"/>
      <c r="D11" s="24"/>
      <c r="E11" s="24"/>
      <c r="F11" s="24"/>
      <c r="G11" s="24"/>
      <c r="H11" s="25" t="str">
        <f aca="false">IF($B11="","",IFERROR(IF(INDEX(명단!$B$5:$B$404,MATCH($B11,명단!$A$5:$A$404,0))="","(이름 미입력)",INDEX(명단!$B$5:$B$404,MATCH($B11,명단!$A$5:$A$404,0))),"번호 없음"))</f>
        <v/>
      </c>
      <c r="I11" s="25" t="str">
        <f aca="false">IF($B11="","",IF(COUNTIF($B$5:$B$1004,$B11)&gt;1,"중복 입력",""))</f>
        <v/>
      </c>
    </row>
    <row r="12" customFormat="false" ht="15" hidden="false" customHeight="false" outlineLevel="0" collapsed="false">
      <c r="A12" s="23"/>
      <c r="B12" s="24"/>
      <c r="C12" s="24"/>
      <c r="D12" s="24"/>
      <c r="E12" s="24"/>
      <c r="F12" s="24"/>
      <c r="G12" s="24"/>
      <c r="H12" s="25" t="str">
        <f aca="false">IF($B12="","",IFERROR(IF(INDEX(명단!$B$5:$B$404,MATCH($B12,명단!$A$5:$A$404,0))="","(이름 미입력)",INDEX(명단!$B$5:$B$404,MATCH($B12,명단!$A$5:$A$404,0))),"번호 없음"))</f>
        <v/>
      </c>
      <c r="I12" s="25" t="str">
        <f aca="false">IF($B12="","",IF(COUNTIF($B$5:$B$1004,$B12)&gt;1,"중복 입력",""))</f>
        <v/>
      </c>
    </row>
    <row r="13" customFormat="false" ht="15" hidden="false" customHeight="false" outlineLevel="0" collapsed="false">
      <c r="A13" s="23"/>
      <c r="B13" s="24"/>
      <c r="C13" s="24"/>
      <c r="D13" s="24"/>
      <c r="E13" s="24"/>
      <c r="F13" s="24"/>
      <c r="G13" s="24"/>
      <c r="H13" s="25" t="str">
        <f aca="false">IF($B13="","",IFERROR(IF(INDEX(명단!$B$5:$B$404,MATCH($B13,명단!$A$5:$A$404,0))="","(이름 미입력)",INDEX(명단!$B$5:$B$404,MATCH($B13,명단!$A$5:$A$404,0))),"번호 없음"))</f>
        <v/>
      </c>
      <c r="I13" s="25" t="str">
        <f aca="false">IF($B13="","",IF(COUNTIF($B$5:$B$1004,$B13)&gt;1,"중복 입력",""))</f>
        <v/>
      </c>
    </row>
    <row r="14" customFormat="false" ht="15" hidden="false" customHeight="false" outlineLevel="0" collapsed="false">
      <c r="A14" s="23"/>
      <c r="B14" s="24"/>
      <c r="C14" s="24"/>
      <c r="D14" s="24"/>
      <c r="E14" s="24"/>
      <c r="F14" s="24"/>
      <c r="G14" s="24"/>
      <c r="H14" s="25" t="str">
        <f aca="false">IF($B14="","",IFERROR(IF(INDEX(명단!$B$5:$B$404,MATCH($B14,명단!$A$5:$A$404,0))="","(이름 미입력)",INDEX(명단!$B$5:$B$404,MATCH($B14,명단!$A$5:$A$404,0))),"번호 없음"))</f>
        <v/>
      </c>
      <c r="I14" s="25" t="str">
        <f aca="false">IF($B14="","",IF(COUNTIF($B$5:$B$1004,$B14)&gt;1,"중복 입력",""))</f>
        <v/>
      </c>
    </row>
    <row r="15" customFormat="false" ht="15" hidden="false" customHeight="false" outlineLevel="0" collapsed="false">
      <c r="A15" s="23"/>
      <c r="B15" s="24"/>
      <c r="C15" s="24"/>
      <c r="D15" s="24"/>
      <c r="E15" s="24"/>
      <c r="F15" s="24"/>
      <c r="G15" s="24"/>
      <c r="H15" s="25" t="str">
        <f aca="false">IF($B15="","",IFERROR(IF(INDEX(명단!$B$5:$B$404,MATCH($B15,명단!$A$5:$A$404,0))="","(이름 미입력)",INDEX(명단!$B$5:$B$404,MATCH($B15,명단!$A$5:$A$404,0))),"번호 없음"))</f>
        <v/>
      </c>
      <c r="I15" s="25" t="str">
        <f aca="false">IF($B15="","",IF(COUNTIF($B$5:$B$1004,$B15)&gt;1,"중복 입력",""))</f>
        <v/>
      </c>
    </row>
    <row r="16" customFormat="false" ht="15" hidden="false" customHeight="false" outlineLevel="0" collapsed="false">
      <c r="A16" s="23"/>
      <c r="B16" s="24"/>
      <c r="C16" s="24"/>
      <c r="D16" s="24"/>
      <c r="E16" s="24"/>
      <c r="F16" s="24"/>
      <c r="G16" s="24"/>
      <c r="H16" s="25" t="str">
        <f aca="false">IF($B16="","",IFERROR(IF(INDEX(명단!$B$5:$B$404,MATCH($B16,명단!$A$5:$A$404,0))="","(이름 미입력)",INDEX(명단!$B$5:$B$404,MATCH($B16,명단!$A$5:$A$404,0))),"번호 없음"))</f>
        <v/>
      </c>
      <c r="I16" s="25" t="str">
        <f aca="false">IF($B16="","",IF(COUNTIF($B$5:$B$1004,$B16)&gt;1,"중복 입력",""))</f>
        <v/>
      </c>
    </row>
    <row r="17" customFormat="false" ht="15" hidden="false" customHeight="false" outlineLevel="0" collapsed="false">
      <c r="A17" s="23"/>
      <c r="B17" s="24"/>
      <c r="C17" s="24"/>
      <c r="D17" s="24"/>
      <c r="E17" s="24"/>
      <c r="F17" s="24"/>
      <c r="G17" s="24"/>
      <c r="H17" s="25" t="str">
        <f aca="false">IF($B17="","",IFERROR(IF(INDEX(명단!$B$5:$B$404,MATCH($B17,명단!$A$5:$A$404,0))="","(이름 미입력)",INDEX(명단!$B$5:$B$404,MATCH($B17,명단!$A$5:$A$404,0))),"번호 없음"))</f>
        <v/>
      </c>
      <c r="I17" s="25" t="str">
        <f aca="false">IF($B17="","",IF(COUNTIF($B$5:$B$1004,$B17)&gt;1,"중복 입력",""))</f>
        <v/>
      </c>
    </row>
    <row r="18" customFormat="false" ht="15" hidden="false" customHeight="false" outlineLevel="0" collapsed="false">
      <c r="A18" s="23"/>
      <c r="B18" s="24"/>
      <c r="C18" s="24"/>
      <c r="D18" s="24"/>
      <c r="E18" s="24"/>
      <c r="F18" s="24"/>
      <c r="G18" s="24"/>
      <c r="H18" s="25" t="str">
        <f aca="false">IF($B18="","",IFERROR(IF(INDEX(명단!$B$5:$B$404,MATCH($B18,명단!$A$5:$A$404,0))="","(이름 미입력)",INDEX(명단!$B$5:$B$404,MATCH($B18,명단!$A$5:$A$404,0))),"번호 없음"))</f>
        <v/>
      </c>
      <c r="I18" s="25" t="str">
        <f aca="false">IF($B18="","",IF(COUNTIF($B$5:$B$1004,$B18)&gt;1,"중복 입력",""))</f>
        <v/>
      </c>
    </row>
    <row r="19" customFormat="false" ht="15" hidden="false" customHeight="false" outlineLevel="0" collapsed="false">
      <c r="A19" s="23"/>
      <c r="B19" s="24"/>
      <c r="C19" s="24"/>
      <c r="D19" s="24"/>
      <c r="E19" s="24"/>
      <c r="F19" s="24"/>
      <c r="G19" s="24"/>
      <c r="H19" s="25" t="str">
        <f aca="false">IF($B19="","",IFERROR(IF(INDEX(명단!$B$5:$B$404,MATCH($B19,명단!$A$5:$A$404,0))="","(이름 미입력)",INDEX(명단!$B$5:$B$404,MATCH($B19,명단!$A$5:$A$404,0))),"번호 없음"))</f>
        <v/>
      </c>
      <c r="I19" s="25" t="str">
        <f aca="false">IF($B19="","",IF(COUNTIF($B$5:$B$1004,$B19)&gt;1,"중복 입력",""))</f>
        <v/>
      </c>
    </row>
    <row r="20" customFormat="false" ht="15" hidden="false" customHeight="false" outlineLevel="0" collapsed="false">
      <c r="A20" s="23"/>
      <c r="B20" s="24"/>
      <c r="C20" s="24"/>
      <c r="D20" s="24"/>
      <c r="E20" s="24"/>
      <c r="F20" s="24"/>
      <c r="G20" s="24"/>
      <c r="H20" s="25" t="str">
        <f aca="false">IF($B20="","",IFERROR(IF(INDEX(명단!$B$5:$B$404,MATCH($B20,명단!$A$5:$A$404,0))="","(이름 미입력)",INDEX(명단!$B$5:$B$404,MATCH($B20,명단!$A$5:$A$404,0))),"번호 없음"))</f>
        <v/>
      </c>
      <c r="I20" s="25" t="str">
        <f aca="false">IF($B20="","",IF(COUNTIF($B$5:$B$1004,$B20)&gt;1,"중복 입력",""))</f>
        <v/>
      </c>
    </row>
    <row r="21" customFormat="false" ht="15" hidden="false" customHeight="false" outlineLevel="0" collapsed="false">
      <c r="A21" s="23"/>
      <c r="B21" s="24"/>
      <c r="C21" s="24"/>
      <c r="D21" s="24"/>
      <c r="E21" s="24"/>
      <c r="F21" s="24"/>
      <c r="G21" s="24"/>
      <c r="H21" s="25" t="str">
        <f aca="false">IF($B21="","",IFERROR(IF(INDEX(명단!$B$5:$B$404,MATCH($B21,명단!$A$5:$A$404,0))="","(이름 미입력)",INDEX(명단!$B$5:$B$404,MATCH($B21,명단!$A$5:$A$404,0))),"번호 없음"))</f>
        <v/>
      </c>
      <c r="I21" s="25" t="str">
        <f aca="false">IF($B21="","",IF(COUNTIF($B$5:$B$1004,$B21)&gt;1,"중복 입력",""))</f>
        <v/>
      </c>
    </row>
    <row r="22" customFormat="false" ht="15" hidden="false" customHeight="false" outlineLevel="0" collapsed="false">
      <c r="A22" s="23"/>
      <c r="B22" s="24"/>
      <c r="C22" s="24"/>
      <c r="D22" s="24"/>
      <c r="E22" s="24"/>
      <c r="F22" s="24"/>
      <c r="G22" s="24"/>
      <c r="H22" s="25" t="str">
        <f aca="false">IF($B22="","",IFERROR(IF(INDEX(명단!$B$5:$B$404,MATCH($B22,명단!$A$5:$A$404,0))="","(이름 미입력)",INDEX(명단!$B$5:$B$404,MATCH($B22,명단!$A$5:$A$404,0))),"번호 없음"))</f>
        <v/>
      </c>
      <c r="I22" s="25" t="str">
        <f aca="false">IF($B22="","",IF(COUNTIF($B$5:$B$1004,$B22)&gt;1,"중복 입력",""))</f>
        <v/>
      </c>
    </row>
    <row r="23" customFormat="false" ht="15" hidden="false" customHeight="false" outlineLevel="0" collapsed="false">
      <c r="A23" s="23"/>
      <c r="B23" s="24"/>
      <c r="C23" s="24"/>
      <c r="D23" s="24"/>
      <c r="E23" s="24"/>
      <c r="F23" s="24"/>
      <c r="G23" s="24"/>
      <c r="H23" s="25" t="str">
        <f aca="false">IF($B23="","",IFERROR(IF(INDEX(명단!$B$5:$B$404,MATCH($B23,명단!$A$5:$A$404,0))="","(이름 미입력)",INDEX(명단!$B$5:$B$404,MATCH($B23,명단!$A$5:$A$404,0))),"번호 없음"))</f>
        <v/>
      </c>
      <c r="I23" s="25" t="str">
        <f aca="false">IF($B23="","",IF(COUNTIF($B$5:$B$1004,$B23)&gt;1,"중복 입력",""))</f>
        <v/>
      </c>
    </row>
    <row r="24" customFormat="false" ht="15" hidden="false" customHeight="false" outlineLevel="0" collapsed="false">
      <c r="A24" s="23"/>
      <c r="B24" s="24"/>
      <c r="C24" s="24"/>
      <c r="D24" s="24"/>
      <c r="E24" s="24"/>
      <c r="F24" s="24"/>
      <c r="G24" s="24"/>
      <c r="H24" s="25" t="str">
        <f aca="false">IF($B24="","",IFERROR(IF(INDEX(명단!$B$5:$B$404,MATCH($B24,명단!$A$5:$A$404,0))="","(이름 미입력)",INDEX(명단!$B$5:$B$404,MATCH($B24,명단!$A$5:$A$404,0))),"번호 없음"))</f>
        <v/>
      </c>
      <c r="I24" s="25" t="str">
        <f aca="false">IF($B24="","",IF(COUNTIF($B$5:$B$1004,$B24)&gt;1,"중복 입력",""))</f>
        <v/>
      </c>
    </row>
    <row r="25" customFormat="false" ht="15" hidden="false" customHeight="false" outlineLevel="0" collapsed="false">
      <c r="A25" s="23"/>
      <c r="B25" s="24"/>
      <c r="C25" s="24"/>
      <c r="D25" s="24"/>
      <c r="E25" s="24"/>
      <c r="F25" s="24"/>
      <c r="G25" s="24"/>
      <c r="H25" s="25" t="str">
        <f aca="false">IF($B25="","",IFERROR(IF(INDEX(명단!$B$5:$B$404,MATCH($B25,명단!$A$5:$A$404,0))="","(이름 미입력)",INDEX(명단!$B$5:$B$404,MATCH($B25,명단!$A$5:$A$404,0))),"번호 없음"))</f>
        <v/>
      </c>
      <c r="I25" s="25" t="str">
        <f aca="false">IF($B25="","",IF(COUNTIF($B$5:$B$1004,$B25)&gt;1,"중복 입력",""))</f>
        <v/>
      </c>
    </row>
    <row r="26" customFormat="false" ht="15" hidden="false" customHeight="false" outlineLevel="0" collapsed="false">
      <c r="A26" s="23"/>
      <c r="B26" s="24"/>
      <c r="C26" s="24"/>
      <c r="D26" s="24"/>
      <c r="E26" s="24"/>
      <c r="F26" s="24"/>
      <c r="G26" s="24"/>
      <c r="H26" s="25" t="str">
        <f aca="false">IF($B26="","",IFERROR(IF(INDEX(명단!$B$5:$B$404,MATCH($B26,명단!$A$5:$A$404,0))="","(이름 미입력)",INDEX(명단!$B$5:$B$404,MATCH($B26,명단!$A$5:$A$404,0))),"번호 없음"))</f>
        <v/>
      </c>
      <c r="I26" s="25" t="str">
        <f aca="false">IF($B26="","",IF(COUNTIF($B$5:$B$1004,$B26)&gt;1,"중복 입력",""))</f>
        <v/>
      </c>
    </row>
    <row r="27" customFormat="false" ht="15" hidden="false" customHeight="false" outlineLevel="0" collapsed="false">
      <c r="A27" s="23"/>
      <c r="B27" s="24"/>
      <c r="C27" s="24"/>
      <c r="D27" s="24"/>
      <c r="E27" s="24"/>
      <c r="F27" s="24"/>
      <c r="G27" s="24"/>
      <c r="H27" s="25" t="str">
        <f aca="false">IF($B27="","",IFERROR(IF(INDEX(명단!$B$5:$B$404,MATCH($B27,명단!$A$5:$A$404,0))="","(이름 미입력)",INDEX(명단!$B$5:$B$404,MATCH($B27,명단!$A$5:$A$404,0))),"번호 없음"))</f>
        <v/>
      </c>
      <c r="I27" s="25" t="str">
        <f aca="false">IF($B27="","",IF(COUNTIF($B$5:$B$1004,$B27)&gt;1,"중복 입력",""))</f>
        <v/>
      </c>
    </row>
    <row r="28" customFormat="false" ht="15" hidden="false" customHeight="false" outlineLevel="0" collapsed="false">
      <c r="A28" s="23"/>
      <c r="B28" s="24"/>
      <c r="C28" s="24"/>
      <c r="D28" s="24"/>
      <c r="E28" s="24"/>
      <c r="F28" s="24"/>
      <c r="G28" s="24"/>
      <c r="H28" s="25" t="str">
        <f aca="false">IF($B28="","",IFERROR(IF(INDEX(명단!$B$5:$B$404,MATCH($B28,명단!$A$5:$A$404,0))="","(이름 미입력)",INDEX(명단!$B$5:$B$404,MATCH($B28,명단!$A$5:$A$404,0))),"번호 없음"))</f>
        <v/>
      </c>
      <c r="I28" s="25" t="str">
        <f aca="false">IF($B28="","",IF(COUNTIF($B$5:$B$1004,$B28)&gt;1,"중복 입력",""))</f>
        <v/>
      </c>
    </row>
    <row r="29" customFormat="false" ht="15" hidden="false" customHeight="false" outlineLevel="0" collapsed="false">
      <c r="A29" s="23"/>
      <c r="B29" s="24"/>
      <c r="C29" s="24"/>
      <c r="D29" s="24"/>
      <c r="E29" s="24"/>
      <c r="F29" s="24"/>
      <c r="G29" s="24"/>
      <c r="H29" s="25" t="str">
        <f aca="false">IF($B29="","",IFERROR(IF(INDEX(명단!$B$5:$B$404,MATCH($B29,명단!$A$5:$A$404,0))="","(이름 미입력)",INDEX(명단!$B$5:$B$404,MATCH($B29,명단!$A$5:$A$404,0))),"번호 없음"))</f>
        <v/>
      </c>
      <c r="I29" s="25" t="str">
        <f aca="false">IF($B29="","",IF(COUNTIF($B$5:$B$1004,$B29)&gt;1,"중복 입력",""))</f>
        <v/>
      </c>
    </row>
    <row r="30" customFormat="false" ht="15" hidden="false" customHeight="false" outlineLevel="0" collapsed="false">
      <c r="A30" s="23"/>
      <c r="B30" s="24"/>
      <c r="C30" s="24"/>
      <c r="D30" s="24"/>
      <c r="E30" s="24"/>
      <c r="F30" s="24"/>
      <c r="G30" s="24"/>
      <c r="H30" s="25" t="str">
        <f aca="false">IF($B30="","",IFERROR(IF(INDEX(명단!$B$5:$B$404,MATCH($B30,명단!$A$5:$A$404,0))="","(이름 미입력)",INDEX(명단!$B$5:$B$404,MATCH($B30,명단!$A$5:$A$404,0))),"번호 없음"))</f>
        <v/>
      </c>
      <c r="I30" s="25" t="str">
        <f aca="false">IF($B30="","",IF(COUNTIF($B$5:$B$1004,$B30)&gt;1,"중복 입력",""))</f>
        <v/>
      </c>
    </row>
    <row r="31" customFormat="false" ht="15" hidden="false" customHeight="false" outlineLevel="0" collapsed="false">
      <c r="A31" s="23"/>
      <c r="B31" s="24"/>
      <c r="C31" s="24"/>
      <c r="D31" s="24"/>
      <c r="E31" s="24"/>
      <c r="F31" s="24"/>
      <c r="G31" s="24"/>
      <c r="H31" s="25" t="str">
        <f aca="false">IF($B31="","",IFERROR(IF(INDEX(명단!$B$5:$B$404,MATCH($B31,명단!$A$5:$A$404,0))="","(이름 미입력)",INDEX(명단!$B$5:$B$404,MATCH($B31,명단!$A$5:$A$404,0))),"번호 없음"))</f>
        <v/>
      </c>
      <c r="I31" s="25" t="str">
        <f aca="false">IF($B31="","",IF(COUNTIF($B$5:$B$1004,$B31)&gt;1,"중복 입력",""))</f>
        <v/>
      </c>
    </row>
    <row r="32" customFormat="false" ht="15" hidden="false" customHeight="false" outlineLevel="0" collapsed="false">
      <c r="A32" s="23"/>
      <c r="B32" s="24"/>
      <c r="C32" s="24"/>
      <c r="D32" s="24"/>
      <c r="E32" s="24"/>
      <c r="F32" s="24"/>
      <c r="G32" s="24"/>
      <c r="H32" s="25" t="str">
        <f aca="false">IF($B32="","",IFERROR(IF(INDEX(명단!$B$5:$B$404,MATCH($B32,명단!$A$5:$A$404,0))="","(이름 미입력)",INDEX(명단!$B$5:$B$404,MATCH($B32,명단!$A$5:$A$404,0))),"번호 없음"))</f>
        <v/>
      </c>
      <c r="I32" s="25" t="str">
        <f aca="false">IF($B32="","",IF(COUNTIF($B$5:$B$1004,$B32)&gt;1,"중복 입력",""))</f>
        <v/>
      </c>
    </row>
    <row r="33" customFormat="false" ht="15" hidden="false" customHeight="false" outlineLevel="0" collapsed="false">
      <c r="A33" s="23"/>
      <c r="B33" s="24"/>
      <c r="C33" s="24"/>
      <c r="D33" s="24"/>
      <c r="E33" s="24"/>
      <c r="F33" s="24"/>
      <c r="G33" s="24"/>
      <c r="H33" s="25" t="str">
        <f aca="false">IF($B33="","",IFERROR(IF(INDEX(명단!$B$5:$B$404,MATCH($B33,명단!$A$5:$A$404,0))="","(이름 미입력)",INDEX(명단!$B$5:$B$404,MATCH($B33,명단!$A$5:$A$404,0))),"번호 없음"))</f>
        <v/>
      </c>
      <c r="I33" s="25" t="str">
        <f aca="false">IF($B33="","",IF(COUNTIF($B$5:$B$1004,$B33)&gt;1,"중복 입력",""))</f>
        <v/>
      </c>
    </row>
    <row r="34" customFormat="false" ht="15" hidden="false" customHeight="false" outlineLevel="0" collapsed="false">
      <c r="A34" s="23"/>
      <c r="B34" s="24"/>
      <c r="C34" s="24"/>
      <c r="D34" s="24"/>
      <c r="E34" s="24"/>
      <c r="F34" s="24"/>
      <c r="G34" s="24"/>
      <c r="H34" s="25" t="str">
        <f aca="false">IF($B34="","",IFERROR(IF(INDEX(명단!$B$5:$B$404,MATCH($B34,명단!$A$5:$A$404,0))="","(이름 미입력)",INDEX(명단!$B$5:$B$404,MATCH($B34,명단!$A$5:$A$404,0))),"번호 없음"))</f>
        <v/>
      </c>
      <c r="I34" s="25" t="str">
        <f aca="false">IF($B34="","",IF(COUNTIF($B$5:$B$1004,$B34)&gt;1,"중복 입력",""))</f>
        <v/>
      </c>
    </row>
    <row r="35" customFormat="false" ht="15" hidden="false" customHeight="false" outlineLevel="0" collapsed="false">
      <c r="A35" s="23"/>
      <c r="B35" s="24"/>
      <c r="C35" s="24"/>
      <c r="D35" s="24"/>
      <c r="E35" s="24"/>
      <c r="F35" s="24"/>
      <c r="G35" s="24"/>
      <c r="H35" s="25" t="str">
        <f aca="false">IF($B35="","",IFERROR(IF(INDEX(명단!$B$5:$B$404,MATCH($B35,명단!$A$5:$A$404,0))="","(이름 미입력)",INDEX(명단!$B$5:$B$404,MATCH($B35,명단!$A$5:$A$404,0))),"번호 없음"))</f>
        <v/>
      </c>
      <c r="I35" s="25" t="str">
        <f aca="false">IF($B35="","",IF(COUNTIF($B$5:$B$1004,$B35)&gt;1,"중복 입력",""))</f>
        <v/>
      </c>
    </row>
    <row r="36" customFormat="false" ht="15" hidden="false" customHeight="false" outlineLevel="0" collapsed="false">
      <c r="A36" s="23"/>
      <c r="B36" s="24"/>
      <c r="C36" s="24"/>
      <c r="D36" s="24"/>
      <c r="E36" s="24"/>
      <c r="F36" s="24"/>
      <c r="G36" s="24"/>
      <c r="H36" s="25" t="str">
        <f aca="false">IF($B36="","",IFERROR(IF(INDEX(명단!$B$5:$B$404,MATCH($B36,명단!$A$5:$A$404,0))="","(이름 미입력)",INDEX(명단!$B$5:$B$404,MATCH($B36,명단!$A$5:$A$404,0))),"번호 없음"))</f>
        <v/>
      </c>
      <c r="I36" s="25" t="str">
        <f aca="false">IF($B36="","",IF(COUNTIF($B$5:$B$1004,$B36)&gt;1,"중복 입력",""))</f>
        <v/>
      </c>
    </row>
    <row r="37" customFormat="false" ht="15" hidden="false" customHeight="false" outlineLevel="0" collapsed="false">
      <c r="A37" s="23"/>
      <c r="B37" s="24"/>
      <c r="C37" s="24"/>
      <c r="D37" s="24"/>
      <c r="E37" s="24"/>
      <c r="F37" s="24"/>
      <c r="G37" s="24"/>
      <c r="H37" s="25" t="str">
        <f aca="false">IF($B37="","",IFERROR(IF(INDEX(명단!$B$5:$B$404,MATCH($B37,명단!$A$5:$A$404,0))="","(이름 미입력)",INDEX(명단!$B$5:$B$404,MATCH($B37,명단!$A$5:$A$404,0))),"번호 없음"))</f>
        <v/>
      </c>
      <c r="I37" s="25" t="str">
        <f aca="false">IF($B37="","",IF(COUNTIF($B$5:$B$1004,$B37)&gt;1,"중복 입력",""))</f>
        <v/>
      </c>
    </row>
    <row r="38" customFormat="false" ht="15" hidden="false" customHeight="false" outlineLevel="0" collapsed="false">
      <c r="A38" s="23"/>
      <c r="B38" s="24"/>
      <c r="C38" s="24"/>
      <c r="D38" s="24"/>
      <c r="E38" s="24"/>
      <c r="F38" s="24"/>
      <c r="G38" s="24"/>
      <c r="H38" s="25" t="str">
        <f aca="false">IF($B38="","",IFERROR(IF(INDEX(명단!$B$5:$B$404,MATCH($B38,명단!$A$5:$A$404,0))="","(이름 미입력)",INDEX(명단!$B$5:$B$404,MATCH($B38,명단!$A$5:$A$404,0))),"번호 없음"))</f>
        <v/>
      </c>
      <c r="I38" s="25" t="str">
        <f aca="false">IF($B38="","",IF(COUNTIF($B$5:$B$1004,$B38)&gt;1,"중복 입력",""))</f>
        <v/>
      </c>
    </row>
    <row r="39" customFormat="false" ht="15" hidden="false" customHeight="false" outlineLevel="0" collapsed="false">
      <c r="A39" s="23"/>
      <c r="B39" s="24"/>
      <c r="C39" s="24"/>
      <c r="D39" s="24"/>
      <c r="E39" s="24"/>
      <c r="F39" s="24"/>
      <c r="G39" s="24"/>
      <c r="H39" s="25" t="str">
        <f aca="false">IF($B39="","",IFERROR(IF(INDEX(명단!$B$5:$B$404,MATCH($B39,명단!$A$5:$A$404,0))="","(이름 미입력)",INDEX(명단!$B$5:$B$404,MATCH($B39,명단!$A$5:$A$404,0))),"번호 없음"))</f>
        <v/>
      </c>
      <c r="I39" s="25" t="str">
        <f aca="false">IF($B39="","",IF(COUNTIF($B$5:$B$1004,$B39)&gt;1,"중복 입력",""))</f>
        <v/>
      </c>
    </row>
    <row r="40" customFormat="false" ht="15" hidden="false" customHeight="false" outlineLevel="0" collapsed="false">
      <c r="A40" s="23"/>
      <c r="B40" s="24"/>
      <c r="C40" s="24"/>
      <c r="D40" s="24"/>
      <c r="E40" s="24"/>
      <c r="F40" s="24"/>
      <c r="G40" s="24"/>
      <c r="H40" s="25" t="str">
        <f aca="false">IF($B40="","",IFERROR(IF(INDEX(명단!$B$5:$B$404,MATCH($B40,명단!$A$5:$A$404,0))="","(이름 미입력)",INDEX(명단!$B$5:$B$404,MATCH($B40,명단!$A$5:$A$404,0))),"번호 없음"))</f>
        <v/>
      </c>
      <c r="I40" s="25" t="str">
        <f aca="false">IF($B40="","",IF(COUNTIF($B$5:$B$1004,$B40)&gt;1,"중복 입력",""))</f>
        <v/>
      </c>
    </row>
    <row r="41" customFormat="false" ht="15" hidden="false" customHeight="false" outlineLevel="0" collapsed="false">
      <c r="A41" s="23"/>
      <c r="B41" s="24"/>
      <c r="C41" s="24"/>
      <c r="D41" s="24"/>
      <c r="E41" s="24"/>
      <c r="F41" s="24"/>
      <c r="G41" s="24"/>
      <c r="H41" s="25" t="str">
        <f aca="false">IF($B41="","",IFERROR(IF(INDEX(명단!$B$5:$B$404,MATCH($B41,명단!$A$5:$A$404,0))="","(이름 미입력)",INDEX(명단!$B$5:$B$404,MATCH($B41,명단!$A$5:$A$404,0))),"번호 없음"))</f>
        <v/>
      </c>
      <c r="I41" s="25" t="str">
        <f aca="false">IF($B41="","",IF(COUNTIF($B$5:$B$1004,$B41)&gt;1,"중복 입력",""))</f>
        <v/>
      </c>
    </row>
    <row r="42" customFormat="false" ht="15" hidden="false" customHeight="false" outlineLevel="0" collapsed="false">
      <c r="A42" s="23"/>
      <c r="B42" s="24"/>
      <c r="C42" s="24"/>
      <c r="D42" s="24"/>
      <c r="E42" s="24"/>
      <c r="F42" s="24"/>
      <c r="G42" s="24"/>
      <c r="H42" s="25" t="str">
        <f aca="false">IF($B42="","",IFERROR(IF(INDEX(명단!$B$5:$B$404,MATCH($B42,명단!$A$5:$A$404,0))="","(이름 미입력)",INDEX(명단!$B$5:$B$404,MATCH($B42,명단!$A$5:$A$404,0))),"번호 없음"))</f>
        <v/>
      </c>
      <c r="I42" s="25" t="str">
        <f aca="false">IF($B42="","",IF(COUNTIF($B$5:$B$1004,$B42)&gt;1,"중복 입력",""))</f>
        <v/>
      </c>
    </row>
    <row r="43" customFormat="false" ht="15" hidden="false" customHeight="false" outlineLevel="0" collapsed="false">
      <c r="A43" s="23"/>
      <c r="B43" s="24"/>
      <c r="C43" s="24"/>
      <c r="D43" s="24"/>
      <c r="E43" s="24"/>
      <c r="F43" s="24"/>
      <c r="G43" s="24"/>
      <c r="H43" s="25" t="str">
        <f aca="false">IF($B43="","",IFERROR(IF(INDEX(명단!$B$5:$B$404,MATCH($B43,명단!$A$5:$A$404,0))="","(이름 미입력)",INDEX(명단!$B$5:$B$404,MATCH($B43,명단!$A$5:$A$404,0))),"번호 없음"))</f>
        <v/>
      </c>
      <c r="I43" s="25" t="str">
        <f aca="false">IF($B43="","",IF(COUNTIF($B$5:$B$1004,$B43)&gt;1,"중복 입력",""))</f>
        <v/>
      </c>
    </row>
    <row r="44" customFormat="false" ht="15" hidden="false" customHeight="false" outlineLevel="0" collapsed="false">
      <c r="A44" s="23"/>
      <c r="B44" s="24"/>
      <c r="C44" s="24"/>
      <c r="D44" s="24"/>
      <c r="E44" s="24"/>
      <c r="F44" s="24"/>
      <c r="G44" s="24"/>
      <c r="H44" s="25" t="str">
        <f aca="false">IF($B44="","",IFERROR(IF(INDEX(명단!$B$5:$B$404,MATCH($B44,명단!$A$5:$A$404,0))="","(이름 미입력)",INDEX(명단!$B$5:$B$404,MATCH($B44,명단!$A$5:$A$404,0))),"번호 없음"))</f>
        <v/>
      </c>
      <c r="I44" s="25" t="str">
        <f aca="false">IF($B44="","",IF(COUNTIF($B$5:$B$1004,$B44)&gt;1,"중복 입력",""))</f>
        <v/>
      </c>
    </row>
    <row r="45" customFormat="false" ht="15" hidden="false" customHeight="false" outlineLevel="0" collapsed="false">
      <c r="A45" s="23"/>
      <c r="B45" s="24"/>
      <c r="C45" s="24"/>
      <c r="D45" s="24"/>
      <c r="E45" s="24"/>
      <c r="F45" s="24"/>
      <c r="G45" s="24"/>
      <c r="H45" s="25" t="str">
        <f aca="false">IF($B45="","",IFERROR(IF(INDEX(명단!$B$5:$B$404,MATCH($B45,명단!$A$5:$A$404,0))="","(이름 미입력)",INDEX(명단!$B$5:$B$404,MATCH($B45,명단!$A$5:$A$404,0))),"번호 없음"))</f>
        <v/>
      </c>
      <c r="I45" s="25" t="str">
        <f aca="false">IF($B45="","",IF(COUNTIF($B$5:$B$1004,$B45)&gt;1,"중복 입력",""))</f>
        <v/>
      </c>
    </row>
    <row r="46" customFormat="false" ht="15" hidden="false" customHeight="false" outlineLevel="0" collapsed="false">
      <c r="A46" s="23"/>
      <c r="B46" s="24"/>
      <c r="C46" s="24"/>
      <c r="D46" s="24"/>
      <c r="E46" s="24"/>
      <c r="F46" s="24"/>
      <c r="G46" s="24"/>
      <c r="H46" s="25" t="str">
        <f aca="false">IF($B46="","",IFERROR(IF(INDEX(명단!$B$5:$B$404,MATCH($B46,명단!$A$5:$A$404,0))="","(이름 미입력)",INDEX(명단!$B$5:$B$404,MATCH($B46,명단!$A$5:$A$404,0))),"번호 없음"))</f>
        <v/>
      </c>
      <c r="I46" s="25" t="str">
        <f aca="false">IF($B46="","",IF(COUNTIF($B$5:$B$1004,$B46)&gt;1,"중복 입력",""))</f>
        <v/>
      </c>
    </row>
    <row r="47" customFormat="false" ht="15" hidden="false" customHeight="false" outlineLevel="0" collapsed="false">
      <c r="A47" s="23"/>
      <c r="B47" s="24"/>
      <c r="C47" s="24"/>
      <c r="D47" s="24"/>
      <c r="E47" s="24"/>
      <c r="F47" s="24"/>
      <c r="G47" s="24"/>
      <c r="H47" s="25" t="str">
        <f aca="false">IF($B47="","",IFERROR(IF(INDEX(명단!$B$5:$B$404,MATCH($B47,명단!$A$5:$A$404,0))="","(이름 미입력)",INDEX(명단!$B$5:$B$404,MATCH($B47,명단!$A$5:$A$404,0))),"번호 없음"))</f>
        <v/>
      </c>
      <c r="I47" s="25" t="str">
        <f aca="false">IF($B47="","",IF(COUNTIF($B$5:$B$1004,$B47)&gt;1,"중복 입력",""))</f>
        <v/>
      </c>
    </row>
    <row r="48" customFormat="false" ht="15" hidden="false" customHeight="false" outlineLevel="0" collapsed="false">
      <c r="A48" s="23"/>
      <c r="B48" s="24"/>
      <c r="C48" s="24"/>
      <c r="D48" s="24"/>
      <c r="E48" s="24"/>
      <c r="F48" s="24"/>
      <c r="G48" s="24"/>
      <c r="H48" s="25" t="str">
        <f aca="false">IF($B48="","",IFERROR(IF(INDEX(명단!$B$5:$B$404,MATCH($B48,명단!$A$5:$A$404,0))="","(이름 미입력)",INDEX(명단!$B$5:$B$404,MATCH($B48,명단!$A$5:$A$404,0))),"번호 없음"))</f>
        <v/>
      </c>
      <c r="I48" s="25" t="str">
        <f aca="false">IF($B48="","",IF(COUNTIF($B$5:$B$1004,$B48)&gt;1,"중복 입력",""))</f>
        <v/>
      </c>
    </row>
    <row r="49" customFormat="false" ht="15" hidden="false" customHeight="false" outlineLevel="0" collapsed="false">
      <c r="A49" s="23"/>
      <c r="B49" s="24"/>
      <c r="C49" s="24"/>
      <c r="D49" s="24"/>
      <c r="E49" s="24"/>
      <c r="F49" s="24"/>
      <c r="G49" s="24"/>
      <c r="H49" s="25" t="str">
        <f aca="false">IF($B49="","",IFERROR(IF(INDEX(명단!$B$5:$B$404,MATCH($B49,명단!$A$5:$A$404,0))="","(이름 미입력)",INDEX(명단!$B$5:$B$404,MATCH($B49,명단!$A$5:$A$404,0))),"번호 없음"))</f>
        <v/>
      </c>
      <c r="I49" s="25" t="str">
        <f aca="false">IF($B49="","",IF(COUNTIF($B$5:$B$1004,$B49)&gt;1,"중복 입력",""))</f>
        <v/>
      </c>
    </row>
    <row r="50" customFormat="false" ht="15" hidden="false" customHeight="false" outlineLevel="0" collapsed="false">
      <c r="A50" s="23"/>
      <c r="B50" s="24"/>
      <c r="C50" s="24"/>
      <c r="D50" s="24"/>
      <c r="E50" s="24"/>
      <c r="F50" s="24"/>
      <c r="G50" s="24"/>
      <c r="H50" s="25" t="str">
        <f aca="false">IF($B50="","",IFERROR(IF(INDEX(명단!$B$5:$B$404,MATCH($B50,명단!$A$5:$A$404,0))="","(이름 미입력)",INDEX(명단!$B$5:$B$404,MATCH($B50,명단!$A$5:$A$404,0))),"번호 없음"))</f>
        <v/>
      </c>
      <c r="I50" s="25" t="str">
        <f aca="false">IF($B50="","",IF(COUNTIF($B$5:$B$1004,$B50)&gt;1,"중복 입력",""))</f>
        <v/>
      </c>
    </row>
    <row r="51" customFormat="false" ht="15" hidden="false" customHeight="false" outlineLevel="0" collapsed="false">
      <c r="A51" s="23"/>
      <c r="B51" s="24"/>
      <c r="C51" s="24"/>
      <c r="D51" s="24"/>
      <c r="E51" s="24"/>
      <c r="F51" s="24"/>
      <c r="G51" s="24"/>
      <c r="H51" s="25" t="str">
        <f aca="false">IF($B51="","",IFERROR(IF(INDEX(명단!$B$5:$B$404,MATCH($B51,명단!$A$5:$A$404,0))="","(이름 미입력)",INDEX(명단!$B$5:$B$404,MATCH($B51,명단!$A$5:$A$404,0))),"번호 없음"))</f>
        <v/>
      </c>
      <c r="I51" s="25" t="str">
        <f aca="false">IF($B51="","",IF(COUNTIF($B$5:$B$1004,$B51)&gt;1,"중복 입력",""))</f>
        <v/>
      </c>
    </row>
    <row r="52" customFormat="false" ht="15" hidden="false" customHeight="false" outlineLevel="0" collapsed="false">
      <c r="A52" s="23"/>
      <c r="B52" s="24"/>
      <c r="C52" s="24"/>
      <c r="D52" s="24"/>
      <c r="E52" s="24"/>
      <c r="F52" s="24"/>
      <c r="G52" s="24"/>
      <c r="H52" s="25" t="str">
        <f aca="false">IF($B52="","",IFERROR(IF(INDEX(명단!$B$5:$B$404,MATCH($B52,명단!$A$5:$A$404,0))="","(이름 미입력)",INDEX(명단!$B$5:$B$404,MATCH($B52,명단!$A$5:$A$404,0))),"번호 없음"))</f>
        <v/>
      </c>
      <c r="I52" s="25" t="str">
        <f aca="false">IF($B52="","",IF(COUNTIF($B$5:$B$1004,$B52)&gt;1,"중복 입력",""))</f>
        <v/>
      </c>
    </row>
    <row r="53" customFormat="false" ht="15" hidden="false" customHeight="false" outlineLevel="0" collapsed="false">
      <c r="A53" s="23"/>
      <c r="B53" s="24"/>
      <c r="C53" s="24"/>
      <c r="D53" s="24"/>
      <c r="E53" s="24"/>
      <c r="F53" s="24"/>
      <c r="G53" s="24"/>
      <c r="H53" s="25" t="str">
        <f aca="false">IF($B53="","",IFERROR(IF(INDEX(명단!$B$5:$B$404,MATCH($B53,명단!$A$5:$A$404,0))="","(이름 미입력)",INDEX(명단!$B$5:$B$404,MATCH($B53,명단!$A$5:$A$404,0))),"번호 없음"))</f>
        <v/>
      </c>
      <c r="I53" s="25" t="str">
        <f aca="false">IF($B53="","",IF(COUNTIF($B$5:$B$1004,$B53)&gt;1,"중복 입력",""))</f>
        <v/>
      </c>
    </row>
    <row r="54" customFormat="false" ht="15" hidden="false" customHeight="false" outlineLevel="0" collapsed="false">
      <c r="A54" s="23"/>
      <c r="B54" s="24"/>
      <c r="C54" s="24"/>
      <c r="D54" s="24"/>
      <c r="E54" s="24"/>
      <c r="F54" s="24"/>
      <c r="G54" s="24"/>
      <c r="H54" s="25" t="str">
        <f aca="false">IF($B54="","",IFERROR(IF(INDEX(명단!$B$5:$B$404,MATCH($B54,명단!$A$5:$A$404,0))="","(이름 미입력)",INDEX(명단!$B$5:$B$404,MATCH($B54,명단!$A$5:$A$404,0))),"번호 없음"))</f>
        <v/>
      </c>
      <c r="I54" s="25" t="str">
        <f aca="false">IF($B54="","",IF(COUNTIF($B$5:$B$1004,$B54)&gt;1,"중복 입력",""))</f>
        <v/>
      </c>
    </row>
    <row r="55" customFormat="false" ht="15" hidden="false" customHeight="false" outlineLevel="0" collapsed="false">
      <c r="A55" s="23"/>
      <c r="B55" s="24"/>
      <c r="C55" s="24"/>
      <c r="D55" s="24"/>
      <c r="E55" s="24"/>
      <c r="F55" s="24"/>
      <c r="G55" s="24"/>
      <c r="H55" s="25" t="str">
        <f aca="false">IF($B55="","",IFERROR(IF(INDEX(명단!$B$5:$B$404,MATCH($B55,명단!$A$5:$A$404,0))="","(이름 미입력)",INDEX(명단!$B$5:$B$404,MATCH($B55,명단!$A$5:$A$404,0))),"번호 없음"))</f>
        <v/>
      </c>
      <c r="I55" s="25" t="str">
        <f aca="false">IF($B55="","",IF(COUNTIF($B$5:$B$1004,$B55)&gt;1,"중복 입력",""))</f>
        <v/>
      </c>
    </row>
    <row r="56" customFormat="false" ht="15" hidden="false" customHeight="false" outlineLevel="0" collapsed="false">
      <c r="A56" s="23"/>
      <c r="B56" s="24"/>
      <c r="C56" s="24"/>
      <c r="D56" s="24"/>
      <c r="E56" s="24"/>
      <c r="F56" s="24"/>
      <c r="G56" s="24"/>
      <c r="H56" s="25" t="str">
        <f aca="false">IF($B56="","",IFERROR(IF(INDEX(명단!$B$5:$B$404,MATCH($B56,명단!$A$5:$A$404,0))="","(이름 미입력)",INDEX(명단!$B$5:$B$404,MATCH($B56,명단!$A$5:$A$404,0))),"번호 없음"))</f>
        <v/>
      </c>
      <c r="I56" s="25" t="str">
        <f aca="false">IF($B56="","",IF(COUNTIF($B$5:$B$1004,$B56)&gt;1,"중복 입력",""))</f>
        <v/>
      </c>
    </row>
    <row r="57" customFormat="false" ht="15" hidden="false" customHeight="false" outlineLevel="0" collapsed="false">
      <c r="A57" s="23"/>
      <c r="B57" s="24"/>
      <c r="C57" s="24"/>
      <c r="D57" s="24"/>
      <c r="E57" s="24"/>
      <c r="F57" s="24"/>
      <c r="G57" s="24"/>
      <c r="H57" s="25" t="str">
        <f aca="false">IF($B57="","",IFERROR(IF(INDEX(명단!$B$5:$B$404,MATCH($B57,명단!$A$5:$A$404,0))="","(이름 미입력)",INDEX(명단!$B$5:$B$404,MATCH($B57,명단!$A$5:$A$404,0))),"번호 없음"))</f>
        <v/>
      </c>
      <c r="I57" s="25" t="str">
        <f aca="false">IF($B57="","",IF(COUNTIF($B$5:$B$1004,$B57)&gt;1,"중복 입력",""))</f>
        <v/>
      </c>
    </row>
    <row r="58" customFormat="false" ht="15" hidden="false" customHeight="false" outlineLevel="0" collapsed="false">
      <c r="A58" s="23"/>
      <c r="B58" s="24"/>
      <c r="C58" s="24"/>
      <c r="D58" s="24"/>
      <c r="E58" s="24"/>
      <c r="F58" s="24"/>
      <c r="G58" s="24"/>
      <c r="H58" s="25" t="str">
        <f aca="false">IF($B58="","",IFERROR(IF(INDEX(명단!$B$5:$B$404,MATCH($B58,명단!$A$5:$A$404,0))="","(이름 미입력)",INDEX(명단!$B$5:$B$404,MATCH($B58,명단!$A$5:$A$404,0))),"번호 없음"))</f>
        <v/>
      </c>
      <c r="I58" s="25" t="str">
        <f aca="false">IF($B58="","",IF(COUNTIF($B$5:$B$1004,$B58)&gt;1,"중복 입력",""))</f>
        <v/>
      </c>
    </row>
    <row r="59" customFormat="false" ht="15" hidden="false" customHeight="false" outlineLevel="0" collapsed="false">
      <c r="A59" s="23"/>
      <c r="B59" s="24"/>
      <c r="C59" s="24"/>
      <c r="D59" s="24"/>
      <c r="E59" s="24"/>
      <c r="F59" s="24"/>
      <c r="G59" s="24"/>
      <c r="H59" s="25" t="str">
        <f aca="false">IF($B59="","",IFERROR(IF(INDEX(명단!$B$5:$B$404,MATCH($B59,명단!$A$5:$A$404,0))="","(이름 미입력)",INDEX(명단!$B$5:$B$404,MATCH($B59,명단!$A$5:$A$404,0))),"번호 없음"))</f>
        <v/>
      </c>
      <c r="I59" s="25" t="str">
        <f aca="false">IF($B59="","",IF(COUNTIF($B$5:$B$1004,$B59)&gt;1,"중복 입력",""))</f>
        <v/>
      </c>
    </row>
    <row r="60" customFormat="false" ht="15" hidden="false" customHeight="false" outlineLevel="0" collapsed="false">
      <c r="A60" s="23"/>
      <c r="B60" s="24"/>
      <c r="C60" s="24"/>
      <c r="D60" s="24"/>
      <c r="E60" s="24"/>
      <c r="F60" s="24"/>
      <c r="G60" s="24"/>
      <c r="H60" s="25" t="str">
        <f aca="false">IF($B60="","",IFERROR(IF(INDEX(명단!$B$5:$B$404,MATCH($B60,명단!$A$5:$A$404,0))="","(이름 미입력)",INDEX(명단!$B$5:$B$404,MATCH($B60,명단!$A$5:$A$404,0))),"번호 없음"))</f>
        <v/>
      </c>
      <c r="I60" s="25" t="str">
        <f aca="false">IF($B60="","",IF(COUNTIF($B$5:$B$1004,$B60)&gt;1,"중복 입력",""))</f>
        <v/>
      </c>
    </row>
    <row r="61" customFormat="false" ht="15" hidden="false" customHeight="false" outlineLevel="0" collapsed="false">
      <c r="A61" s="23"/>
      <c r="B61" s="24"/>
      <c r="C61" s="24"/>
      <c r="D61" s="24"/>
      <c r="E61" s="24"/>
      <c r="F61" s="24"/>
      <c r="G61" s="24"/>
      <c r="H61" s="25" t="str">
        <f aca="false">IF($B61="","",IFERROR(IF(INDEX(명단!$B$5:$B$404,MATCH($B61,명단!$A$5:$A$404,0))="","(이름 미입력)",INDEX(명단!$B$5:$B$404,MATCH($B61,명단!$A$5:$A$404,0))),"번호 없음"))</f>
        <v/>
      </c>
      <c r="I61" s="25" t="str">
        <f aca="false">IF($B61="","",IF(COUNTIF($B$5:$B$1004,$B61)&gt;1,"중복 입력",""))</f>
        <v/>
      </c>
    </row>
    <row r="62" customFormat="false" ht="15" hidden="false" customHeight="false" outlineLevel="0" collapsed="false">
      <c r="A62" s="23"/>
      <c r="B62" s="24"/>
      <c r="C62" s="24"/>
      <c r="D62" s="24"/>
      <c r="E62" s="24"/>
      <c r="F62" s="24"/>
      <c r="G62" s="24"/>
      <c r="H62" s="25" t="str">
        <f aca="false">IF($B62="","",IFERROR(IF(INDEX(명단!$B$5:$B$404,MATCH($B62,명단!$A$5:$A$404,0))="","(이름 미입력)",INDEX(명단!$B$5:$B$404,MATCH($B62,명단!$A$5:$A$404,0))),"번호 없음"))</f>
        <v/>
      </c>
      <c r="I62" s="25" t="str">
        <f aca="false">IF($B62="","",IF(COUNTIF($B$5:$B$1004,$B62)&gt;1,"중복 입력",""))</f>
        <v/>
      </c>
    </row>
    <row r="63" customFormat="false" ht="15" hidden="false" customHeight="false" outlineLevel="0" collapsed="false">
      <c r="A63" s="23"/>
      <c r="B63" s="24"/>
      <c r="C63" s="24"/>
      <c r="D63" s="24"/>
      <c r="E63" s="24"/>
      <c r="F63" s="24"/>
      <c r="G63" s="24"/>
      <c r="H63" s="25" t="str">
        <f aca="false">IF($B63="","",IFERROR(IF(INDEX(명단!$B$5:$B$404,MATCH($B63,명단!$A$5:$A$404,0))="","(이름 미입력)",INDEX(명단!$B$5:$B$404,MATCH($B63,명단!$A$5:$A$404,0))),"번호 없음"))</f>
        <v/>
      </c>
      <c r="I63" s="25" t="str">
        <f aca="false">IF($B63="","",IF(COUNTIF($B$5:$B$1004,$B63)&gt;1,"중복 입력",""))</f>
        <v/>
      </c>
    </row>
    <row r="64" customFormat="false" ht="15" hidden="false" customHeight="false" outlineLevel="0" collapsed="false">
      <c r="A64" s="23"/>
      <c r="B64" s="24"/>
      <c r="C64" s="24"/>
      <c r="D64" s="24"/>
      <c r="E64" s="24"/>
      <c r="F64" s="24"/>
      <c r="G64" s="24"/>
      <c r="H64" s="25" t="str">
        <f aca="false">IF($B64="","",IFERROR(IF(INDEX(명단!$B$5:$B$404,MATCH($B64,명단!$A$5:$A$404,0))="","(이름 미입력)",INDEX(명단!$B$5:$B$404,MATCH($B64,명단!$A$5:$A$404,0))),"번호 없음"))</f>
        <v/>
      </c>
      <c r="I64" s="25" t="str">
        <f aca="false">IF($B64="","",IF(COUNTIF($B$5:$B$1004,$B64)&gt;1,"중복 입력",""))</f>
        <v/>
      </c>
    </row>
    <row r="65" customFormat="false" ht="15" hidden="false" customHeight="false" outlineLevel="0" collapsed="false">
      <c r="A65" s="23"/>
      <c r="B65" s="24"/>
      <c r="C65" s="24"/>
      <c r="D65" s="24"/>
      <c r="E65" s="24"/>
      <c r="F65" s="24"/>
      <c r="G65" s="24"/>
      <c r="H65" s="25" t="str">
        <f aca="false">IF($B65="","",IFERROR(IF(INDEX(명단!$B$5:$B$404,MATCH($B65,명단!$A$5:$A$404,0))="","(이름 미입력)",INDEX(명단!$B$5:$B$404,MATCH($B65,명단!$A$5:$A$404,0))),"번호 없음"))</f>
        <v/>
      </c>
      <c r="I65" s="25" t="str">
        <f aca="false">IF($B65="","",IF(COUNTIF($B$5:$B$1004,$B65)&gt;1,"중복 입력",""))</f>
        <v/>
      </c>
    </row>
    <row r="66" customFormat="false" ht="15" hidden="false" customHeight="false" outlineLevel="0" collapsed="false">
      <c r="A66" s="23"/>
      <c r="B66" s="24"/>
      <c r="C66" s="24"/>
      <c r="D66" s="24"/>
      <c r="E66" s="24"/>
      <c r="F66" s="24"/>
      <c r="G66" s="24"/>
      <c r="H66" s="25" t="str">
        <f aca="false">IF($B66="","",IFERROR(IF(INDEX(명단!$B$5:$B$404,MATCH($B66,명단!$A$5:$A$404,0))="","(이름 미입력)",INDEX(명단!$B$5:$B$404,MATCH($B66,명단!$A$5:$A$404,0))),"번호 없음"))</f>
        <v/>
      </c>
      <c r="I66" s="25" t="str">
        <f aca="false">IF($B66="","",IF(COUNTIF($B$5:$B$1004,$B66)&gt;1,"중복 입력",""))</f>
        <v/>
      </c>
    </row>
    <row r="67" customFormat="false" ht="15" hidden="false" customHeight="false" outlineLevel="0" collapsed="false">
      <c r="A67" s="23"/>
      <c r="B67" s="24"/>
      <c r="C67" s="24"/>
      <c r="D67" s="24"/>
      <c r="E67" s="24"/>
      <c r="F67" s="24"/>
      <c r="G67" s="24"/>
      <c r="H67" s="25" t="str">
        <f aca="false">IF($B67="","",IFERROR(IF(INDEX(명단!$B$5:$B$404,MATCH($B67,명단!$A$5:$A$404,0))="","(이름 미입력)",INDEX(명단!$B$5:$B$404,MATCH($B67,명단!$A$5:$A$404,0))),"번호 없음"))</f>
        <v/>
      </c>
      <c r="I67" s="25" t="str">
        <f aca="false">IF($B67="","",IF(COUNTIF($B$5:$B$1004,$B67)&gt;1,"중복 입력",""))</f>
        <v/>
      </c>
    </row>
    <row r="68" customFormat="false" ht="15" hidden="false" customHeight="false" outlineLevel="0" collapsed="false">
      <c r="A68" s="23"/>
      <c r="B68" s="24"/>
      <c r="C68" s="24"/>
      <c r="D68" s="24"/>
      <c r="E68" s="24"/>
      <c r="F68" s="24"/>
      <c r="G68" s="24"/>
      <c r="H68" s="25" t="str">
        <f aca="false">IF($B68="","",IFERROR(IF(INDEX(명단!$B$5:$B$404,MATCH($B68,명단!$A$5:$A$404,0))="","(이름 미입력)",INDEX(명단!$B$5:$B$404,MATCH($B68,명단!$A$5:$A$404,0))),"번호 없음"))</f>
        <v/>
      </c>
      <c r="I68" s="25" t="str">
        <f aca="false">IF($B68="","",IF(COUNTIF($B$5:$B$1004,$B68)&gt;1,"중복 입력",""))</f>
        <v/>
      </c>
    </row>
    <row r="69" customFormat="false" ht="15" hidden="false" customHeight="false" outlineLevel="0" collapsed="false">
      <c r="A69" s="23"/>
      <c r="B69" s="24"/>
      <c r="C69" s="24"/>
      <c r="D69" s="24"/>
      <c r="E69" s="24"/>
      <c r="F69" s="24"/>
      <c r="G69" s="24"/>
      <c r="H69" s="25" t="str">
        <f aca="false">IF($B69="","",IFERROR(IF(INDEX(명단!$B$5:$B$404,MATCH($B69,명단!$A$5:$A$404,0))="","(이름 미입력)",INDEX(명단!$B$5:$B$404,MATCH($B69,명단!$A$5:$A$404,0))),"번호 없음"))</f>
        <v/>
      </c>
      <c r="I69" s="25" t="str">
        <f aca="false">IF($B69="","",IF(COUNTIF($B$5:$B$1004,$B69)&gt;1,"중복 입력",""))</f>
        <v/>
      </c>
    </row>
    <row r="70" customFormat="false" ht="15" hidden="false" customHeight="false" outlineLevel="0" collapsed="false">
      <c r="A70" s="23"/>
      <c r="B70" s="24"/>
      <c r="C70" s="24"/>
      <c r="D70" s="24"/>
      <c r="E70" s="24"/>
      <c r="F70" s="24"/>
      <c r="G70" s="24"/>
      <c r="H70" s="25" t="str">
        <f aca="false">IF($B70="","",IFERROR(IF(INDEX(명단!$B$5:$B$404,MATCH($B70,명단!$A$5:$A$404,0))="","(이름 미입력)",INDEX(명단!$B$5:$B$404,MATCH($B70,명단!$A$5:$A$404,0))),"번호 없음"))</f>
        <v/>
      </c>
      <c r="I70" s="25" t="str">
        <f aca="false">IF($B70="","",IF(COUNTIF($B$5:$B$1004,$B70)&gt;1,"중복 입력",""))</f>
        <v/>
      </c>
    </row>
    <row r="71" customFormat="false" ht="15" hidden="false" customHeight="false" outlineLevel="0" collapsed="false">
      <c r="A71" s="23"/>
      <c r="B71" s="24"/>
      <c r="C71" s="24"/>
      <c r="D71" s="24"/>
      <c r="E71" s="24"/>
      <c r="F71" s="24"/>
      <c r="G71" s="24"/>
      <c r="H71" s="25" t="str">
        <f aca="false">IF($B71="","",IFERROR(IF(INDEX(명단!$B$5:$B$404,MATCH($B71,명단!$A$5:$A$404,0))="","(이름 미입력)",INDEX(명단!$B$5:$B$404,MATCH($B71,명단!$A$5:$A$404,0))),"번호 없음"))</f>
        <v/>
      </c>
      <c r="I71" s="25" t="str">
        <f aca="false">IF($B71="","",IF(COUNTIF($B$5:$B$1004,$B71)&gt;1,"중복 입력",""))</f>
        <v/>
      </c>
    </row>
    <row r="72" customFormat="false" ht="15" hidden="false" customHeight="false" outlineLevel="0" collapsed="false">
      <c r="A72" s="23"/>
      <c r="B72" s="24"/>
      <c r="C72" s="24"/>
      <c r="D72" s="24"/>
      <c r="E72" s="24"/>
      <c r="F72" s="24"/>
      <c r="G72" s="24"/>
      <c r="H72" s="25" t="str">
        <f aca="false">IF($B72="","",IFERROR(IF(INDEX(명단!$B$5:$B$404,MATCH($B72,명단!$A$5:$A$404,0))="","(이름 미입력)",INDEX(명단!$B$5:$B$404,MATCH($B72,명단!$A$5:$A$404,0))),"번호 없음"))</f>
        <v/>
      </c>
      <c r="I72" s="25" t="str">
        <f aca="false">IF($B72="","",IF(COUNTIF($B$5:$B$1004,$B72)&gt;1,"중복 입력",""))</f>
        <v/>
      </c>
    </row>
    <row r="73" customFormat="false" ht="15" hidden="false" customHeight="false" outlineLevel="0" collapsed="false">
      <c r="A73" s="23"/>
      <c r="B73" s="24"/>
      <c r="C73" s="24"/>
      <c r="D73" s="24"/>
      <c r="E73" s="24"/>
      <c r="F73" s="24"/>
      <c r="G73" s="24"/>
      <c r="H73" s="25" t="str">
        <f aca="false">IF($B73="","",IFERROR(IF(INDEX(명단!$B$5:$B$404,MATCH($B73,명단!$A$5:$A$404,0))="","(이름 미입력)",INDEX(명단!$B$5:$B$404,MATCH($B73,명단!$A$5:$A$404,0))),"번호 없음"))</f>
        <v/>
      </c>
      <c r="I73" s="25" t="str">
        <f aca="false">IF($B73="","",IF(COUNTIF($B$5:$B$1004,$B73)&gt;1,"중복 입력",""))</f>
        <v/>
      </c>
    </row>
    <row r="74" customFormat="false" ht="15" hidden="false" customHeight="false" outlineLevel="0" collapsed="false">
      <c r="A74" s="23"/>
      <c r="B74" s="24"/>
      <c r="C74" s="24"/>
      <c r="D74" s="24"/>
      <c r="E74" s="24"/>
      <c r="F74" s="24"/>
      <c r="G74" s="24"/>
      <c r="H74" s="25" t="str">
        <f aca="false">IF($B74="","",IFERROR(IF(INDEX(명단!$B$5:$B$404,MATCH($B74,명단!$A$5:$A$404,0))="","(이름 미입력)",INDEX(명단!$B$5:$B$404,MATCH($B74,명단!$A$5:$A$404,0))),"번호 없음"))</f>
        <v/>
      </c>
      <c r="I74" s="25" t="str">
        <f aca="false">IF($B74="","",IF(COUNTIF($B$5:$B$1004,$B74)&gt;1,"중복 입력",""))</f>
        <v/>
      </c>
    </row>
    <row r="75" customFormat="false" ht="15" hidden="false" customHeight="false" outlineLevel="0" collapsed="false">
      <c r="A75" s="23"/>
      <c r="B75" s="24"/>
      <c r="C75" s="24"/>
      <c r="D75" s="24"/>
      <c r="E75" s="24"/>
      <c r="F75" s="24"/>
      <c r="G75" s="24"/>
      <c r="H75" s="25" t="str">
        <f aca="false">IF($B75="","",IFERROR(IF(INDEX(명단!$B$5:$B$404,MATCH($B75,명단!$A$5:$A$404,0))="","(이름 미입력)",INDEX(명단!$B$5:$B$404,MATCH($B75,명단!$A$5:$A$404,0))),"번호 없음"))</f>
        <v/>
      </c>
      <c r="I75" s="25" t="str">
        <f aca="false">IF($B75="","",IF(COUNTIF($B$5:$B$1004,$B75)&gt;1,"중복 입력",""))</f>
        <v/>
      </c>
    </row>
    <row r="76" customFormat="false" ht="15" hidden="false" customHeight="false" outlineLevel="0" collapsed="false">
      <c r="A76" s="23"/>
      <c r="B76" s="24"/>
      <c r="C76" s="24"/>
      <c r="D76" s="24"/>
      <c r="E76" s="24"/>
      <c r="F76" s="24"/>
      <c r="G76" s="24"/>
      <c r="H76" s="25" t="str">
        <f aca="false">IF($B76="","",IFERROR(IF(INDEX(명단!$B$5:$B$404,MATCH($B76,명단!$A$5:$A$404,0))="","(이름 미입력)",INDEX(명단!$B$5:$B$404,MATCH($B76,명단!$A$5:$A$404,0))),"번호 없음"))</f>
        <v/>
      </c>
      <c r="I76" s="25" t="str">
        <f aca="false">IF($B76="","",IF(COUNTIF($B$5:$B$1004,$B76)&gt;1,"중복 입력",""))</f>
        <v/>
      </c>
    </row>
    <row r="77" customFormat="false" ht="15" hidden="false" customHeight="false" outlineLevel="0" collapsed="false">
      <c r="A77" s="23"/>
      <c r="B77" s="24"/>
      <c r="C77" s="24"/>
      <c r="D77" s="24"/>
      <c r="E77" s="24"/>
      <c r="F77" s="24"/>
      <c r="G77" s="24"/>
      <c r="H77" s="25" t="str">
        <f aca="false">IF($B77="","",IFERROR(IF(INDEX(명단!$B$5:$B$404,MATCH($B77,명단!$A$5:$A$404,0))="","(이름 미입력)",INDEX(명단!$B$5:$B$404,MATCH($B77,명단!$A$5:$A$404,0))),"번호 없음"))</f>
        <v/>
      </c>
      <c r="I77" s="25" t="str">
        <f aca="false">IF($B77="","",IF(COUNTIF($B$5:$B$1004,$B77)&gt;1,"중복 입력",""))</f>
        <v/>
      </c>
    </row>
    <row r="78" customFormat="false" ht="15" hidden="false" customHeight="false" outlineLevel="0" collapsed="false">
      <c r="A78" s="23"/>
      <c r="B78" s="24"/>
      <c r="C78" s="24"/>
      <c r="D78" s="24"/>
      <c r="E78" s="24"/>
      <c r="F78" s="24"/>
      <c r="G78" s="24"/>
      <c r="H78" s="25" t="str">
        <f aca="false">IF($B78="","",IFERROR(IF(INDEX(명단!$B$5:$B$404,MATCH($B78,명단!$A$5:$A$404,0))="","(이름 미입력)",INDEX(명단!$B$5:$B$404,MATCH($B78,명단!$A$5:$A$404,0))),"번호 없음"))</f>
        <v/>
      </c>
      <c r="I78" s="25" t="str">
        <f aca="false">IF($B78="","",IF(COUNTIF($B$5:$B$1004,$B78)&gt;1,"중복 입력",""))</f>
        <v/>
      </c>
    </row>
    <row r="79" customFormat="false" ht="15" hidden="false" customHeight="false" outlineLevel="0" collapsed="false">
      <c r="A79" s="23"/>
      <c r="B79" s="24"/>
      <c r="C79" s="24"/>
      <c r="D79" s="24"/>
      <c r="E79" s="24"/>
      <c r="F79" s="24"/>
      <c r="G79" s="24"/>
      <c r="H79" s="25" t="str">
        <f aca="false">IF($B79="","",IFERROR(IF(INDEX(명단!$B$5:$B$404,MATCH($B79,명단!$A$5:$A$404,0))="","(이름 미입력)",INDEX(명단!$B$5:$B$404,MATCH($B79,명단!$A$5:$A$404,0))),"번호 없음"))</f>
        <v/>
      </c>
      <c r="I79" s="25" t="str">
        <f aca="false">IF($B79="","",IF(COUNTIF($B$5:$B$1004,$B79)&gt;1,"중복 입력",""))</f>
        <v/>
      </c>
    </row>
    <row r="80" customFormat="false" ht="15" hidden="false" customHeight="false" outlineLevel="0" collapsed="false">
      <c r="A80" s="23"/>
      <c r="B80" s="24"/>
      <c r="C80" s="24"/>
      <c r="D80" s="24"/>
      <c r="E80" s="24"/>
      <c r="F80" s="24"/>
      <c r="G80" s="24"/>
      <c r="H80" s="25" t="str">
        <f aca="false">IF($B80="","",IFERROR(IF(INDEX(명단!$B$5:$B$404,MATCH($B80,명단!$A$5:$A$404,0))="","(이름 미입력)",INDEX(명단!$B$5:$B$404,MATCH($B80,명단!$A$5:$A$404,0))),"번호 없음"))</f>
        <v/>
      </c>
      <c r="I80" s="25" t="str">
        <f aca="false">IF($B80="","",IF(COUNTIF($B$5:$B$1004,$B80)&gt;1,"중복 입력",""))</f>
        <v/>
      </c>
    </row>
    <row r="81" customFormat="false" ht="15" hidden="false" customHeight="false" outlineLevel="0" collapsed="false">
      <c r="A81" s="23"/>
      <c r="B81" s="24"/>
      <c r="C81" s="24"/>
      <c r="D81" s="24"/>
      <c r="E81" s="24"/>
      <c r="F81" s="24"/>
      <c r="G81" s="24"/>
      <c r="H81" s="25" t="str">
        <f aca="false">IF($B81="","",IFERROR(IF(INDEX(명단!$B$5:$B$404,MATCH($B81,명단!$A$5:$A$404,0))="","(이름 미입력)",INDEX(명단!$B$5:$B$404,MATCH($B81,명단!$A$5:$A$404,0))),"번호 없음"))</f>
        <v/>
      </c>
      <c r="I81" s="25" t="str">
        <f aca="false">IF($B81="","",IF(COUNTIF($B$5:$B$1004,$B81)&gt;1,"중복 입력",""))</f>
        <v/>
      </c>
    </row>
    <row r="82" customFormat="false" ht="15" hidden="false" customHeight="false" outlineLevel="0" collapsed="false">
      <c r="A82" s="23"/>
      <c r="B82" s="24"/>
      <c r="C82" s="24"/>
      <c r="D82" s="24"/>
      <c r="E82" s="24"/>
      <c r="F82" s="24"/>
      <c r="G82" s="24"/>
      <c r="H82" s="25" t="str">
        <f aca="false">IF($B82="","",IFERROR(IF(INDEX(명단!$B$5:$B$404,MATCH($B82,명단!$A$5:$A$404,0))="","(이름 미입력)",INDEX(명단!$B$5:$B$404,MATCH($B82,명단!$A$5:$A$404,0))),"번호 없음"))</f>
        <v/>
      </c>
      <c r="I82" s="25" t="str">
        <f aca="false">IF($B82="","",IF(COUNTIF($B$5:$B$1004,$B82)&gt;1,"중복 입력",""))</f>
        <v/>
      </c>
    </row>
    <row r="83" customFormat="false" ht="15" hidden="false" customHeight="false" outlineLevel="0" collapsed="false">
      <c r="A83" s="23"/>
      <c r="B83" s="24"/>
      <c r="C83" s="24"/>
      <c r="D83" s="24"/>
      <c r="E83" s="24"/>
      <c r="F83" s="24"/>
      <c r="G83" s="24"/>
      <c r="H83" s="25" t="str">
        <f aca="false">IF($B83="","",IFERROR(IF(INDEX(명단!$B$5:$B$404,MATCH($B83,명단!$A$5:$A$404,0))="","(이름 미입력)",INDEX(명단!$B$5:$B$404,MATCH($B83,명단!$A$5:$A$404,0))),"번호 없음"))</f>
        <v/>
      </c>
      <c r="I83" s="25" t="str">
        <f aca="false">IF($B83="","",IF(COUNTIF($B$5:$B$1004,$B83)&gt;1,"중복 입력",""))</f>
        <v/>
      </c>
    </row>
    <row r="84" customFormat="false" ht="15" hidden="false" customHeight="false" outlineLevel="0" collapsed="false">
      <c r="A84" s="23"/>
      <c r="B84" s="24"/>
      <c r="C84" s="24"/>
      <c r="D84" s="24"/>
      <c r="E84" s="24"/>
      <c r="F84" s="24"/>
      <c r="G84" s="24"/>
      <c r="H84" s="25" t="str">
        <f aca="false">IF($B84="","",IFERROR(IF(INDEX(명단!$B$5:$B$404,MATCH($B84,명단!$A$5:$A$404,0))="","(이름 미입력)",INDEX(명단!$B$5:$B$404,MATCH($B84,명단!$A$5:$A$404,0))),"번호 없음"))</f>
        <v/>
      </c>
      <c r="I84" s="25" t="str">
        <f aca="false">IF($B84="","",IF(COUNTIF($B$5:$B$1004,$B84)&gt;1,"중복 입력",""))</f>
        <v/>
      </c>
    </row>
    <row r="85" customFormat="false" ht="15" hidden="false" customHeight="false" outlineLevel="0" collapsed="false">
      <c r="A85" s="23"/>
      <c r="B85" s="24"/>
      <c r="C85" s="24"/>
      <c r="D85" s="24"/>
      <c r="E85" s="24"/>
      <c r="F85" s="24"/>
      <c r="G85" s="24"/>
      <c r="H85" s="25" t="str">
        <f aca="false">IF($B85="","",IFERROR(IF(INDEX(명단!$B$5:$B$404,MATCH($B85,명단!$A$5:$A$404,0))="","(이름 미입력)",INDEX(명단!$B$5:$B$404,MATCH($B85,명단!$A$5:$A$404,0))),"번호 없음"))</f>
        <v/>
      </c>
      <c r="I85" s="25" t="str">
        <f aca="false">IF($B85="","",IF(COUNTIF($B$5:$B$1004,$B85)&gt;1,"중복 입력",""))</f>
        <v/>
      </c>
    </row>
    <row r="86" customFormat="false" ht="15" hidden="false" customHeight="false" outlineLevel="0" collapsed="false">
      <c r="A86" s="23"/>
      <c r="B86" s="24"/>
      <c r="C86" s="24"/>
      <c r="D86" s="24"/>
      <c r="E86" s="24"/>
      <c r="F86" s="24"/>
      <c r="G86" s="24"/>
      <c r="H86" s="25" t="str">
        <f aca="false">IF($B86="","",IFERROR(IF(INDEX(명단!$B$5:$B$404,MATCH($B86,명단!$A$5:$A$404,0))="","(이름 미입력)",INDEX(명단!$B$5:$B$404,MATCH($B86,명단!$A$5:$A$404,0))),"번호 없음"))</f>
        <v/>
      </c>
      <c r="I86" s="25" t="str">
        <f aca="false">IF($B86="","",IF(COUNTIF($B$5:$B$1004,$B86)&gt;1,"중복 입력",""))</f>
        <v/>
      </c>
    </row>
    <row r="87" customFormat="false" ht="15" hidden="false" customHeight="false" outlineLevel="0" collapsed="false">
      <c r="A87" s="23"/>
      <c r="B87" s="24"/>
      <c r="C87" s="24"/>
      <c r="D87" s="24"/>
      <c r="E87" s="24"/>
      <c r="F87" s="24"/>
      <c r="G87" s="24"/>
      <c r="H87" s="25" t="str">
        <f aca="false">IF($B87="","",IFERROR(IF(INDEX(명단!$B$5:$B$404,MATCH($B87,명단!$A$5:$A$404,0))="","(이름 미입력)",INDEX(명단!$B$5:$B$404,MATCH($B87,명단!$A$5:$A$404,0))),"번호 없음"))</f>
        <v/>
      </c>
      <c r="I87" s="25" t="str">
        <f aca="false">IF($B87="","",IF(COUNTIF($B$5:$B$1004,$B87)&gt;1,"중복 입력",""))</f>
        <v/>
      </c>
    </row>
    <row r="88" customFormat="false" ht="15" hidden="false" customHeight="false" outlineLevel="0" collapsed="false">
      <c r="A88" s="23"/>
      <c r="B88" s="24"/>
      <c r="C88" s="24"/>
      <c r="D88" s="24"/>
      <c r="E88" s="24"/>
      <c r="F88" s="24"/>
      <c r="G88" s="24"/>
      <c r="H88" s="25" t="str">
        <f aca="false">IF($B88="","",IFERROR(IF(INDEX(명단!$B$5:$B$404,MATCH($B88,명단!$A$5:$A$404,0))="","(이름 미입력)",INDEX(명단!$B$5:$B$404,MATCH($B88,명단!$A$5:$A$404,0))),"번호 없음"))</f>
        <v/>
      </c>
      <c r="I88" s="25" t="str">
        <f aca="false">IF($B88="","",IF(COUNTIF($B$5:$B$1004,$B88)&gt;1,"중복 입력",""))</f>
        <v/>
      </c>
    </row>
    <row r="89" customFormat="false" ht="15" hidden="false" customHeight="false" outlineLevel="0" collapsed="false">
      <c r="A89" s="23"/>
      <c r="B89" s="24"/>
      <c r="C89" s="24"/>
      <c r="D89" s="24"/>
      <c r="E89" s="24"/>
      <c r="F89" s="24"/>
      <c r="G89" s="24"/>
      <c r="H89" s="25" t="str">
        <f aca="false">IF($B89="","",IFERROR(IF(INDEX(명단!$B$5:$B$404,MATCH($B89,명단!$A$5:$A$404,0))="","(이름 미입력)",INDEX(명단!$B$5:$B$404,MATCH($B89,명단!$A$5:$A$404,0))),"번호 없음"))</f>
        <v/>
      </c>
      <c r="I89" s="25" t="str">
        <f aca="false">IF($B89="","",IF(COUNTIF($B$5:$B$1004,$B89)&gt;1,"중복 입력",""))</f>
        <v/>
      </c>
    </row>
    <row r="90" customFormat="false" ht="15" hidden="false" customHeight="false" outlineLevel="0" collapsed="false">
      <c r="A90" s="23"/>
      <c r="B90" s="24"/>
      <c r="C90" s="24"/>
      <c r="D90" s="24"/>
      <c r="E90" s="24"/>
      <c r="F90" s="24"/>
      <c r="G90" s="24"/>
      <c r="H90" s="25" t="str">
        <f aca="false">IF($B90="","",IFERROR(IF(INDEX(명단!$B$5:$B$404,MATCH($B90,명단!$A$5:$A$404,0))="","(이름 미입력)",INDEX(명단!$B$5:$B$404,MATCH($B90,명단!$A$5:$A$404,0))),"번호 없음"))</f>
        <v/>
      </c>
      <c r="I90" s="25" t="str">
        <f aca="false">IF($B90="","",IF(COUNTIF($B$5:$B$1004,$B90)&gt;1,"중복 입력",""))</f>
        <v/>
      </c>
    </row>
    <row r="91" customFormat="false" ht="15" hidden="false" customHeight="false" outlineLevel="0" collapsed="false">
      <c r="A91" s="23"/>
      <c r="B91" s="24"/>
      <c r="C91" s="24"/>
      <c r="D91" s="24"/>
      <c r="E91" s="24"/>
      <c r="F91" s="24"/>
      <c r="G91" s="24"/>
      <c r="H91" s="25" t="str">
        <f aca="false">IF($B91="","",IFERROR(IF(INDEX(명단!$B$5:$B$404,MATCH($B91,명단!$A$5:$A$404,0))="","(이름 미입력)",INDEX(명단!$B$5:$B$404,MATCH($B91,명단!$A$5:$A$404,0))),"번호 없음"))</f>
        <v/>
      </c>
      <c r="I91" s="25" t="str">
        <f aca="false">IF($B91="","",IF(COUNTIF($B$5:$B$1004,$B91)&gt;1,"중복 입력",""))</f>
        <v/>
      </c>
    </row>
    <row r="92" customFormat="false" ht="15" hidden="false" customHeight="false" outlineLevel="0" collapsed="false">
      <c r="A92" s="23"/>
      <c r="B92" s="24"/>
      <c r="C92" s="24"/>
      <c r="D92" s="24"/>
      <c r="E92" s="24"/>
      <c r="F92" s="24"/>
      <c r="G92" s="24"/>
      <c r="H92" s="25" t="str">
        <f aca="false">IF($B92="","",IFERROR(IF(INDEX(명단!$B$5:$B$404,MATCH($B92,명단!$A$5:$A$404,0))="","(이름 미입력)",INDEX(명단!$B$5:$B$404,MATCH($B92,명단!$A$5:$A$404,0))),"번호 없음"))</f>
        <v/>
      </c>
      <c r="I92" s="25" t="str">
        <f aca="false">IF($B92="","",IF(COUNTIF($B$5:$B$1004,$B92)&gt;1,"중복 입력",""))</f>
        <v/>
      </c>
    </row>
    <row r="93" customFormat="false" ht="15" hidden="false" customHeight="false" outlineLevel="0" collapsed="false">
      <c r="A93" s="23"/>
      <c r="B93" s="24"/>
      <c r="C93" s="24"/>
      <c r="D93" s="24"/>
      <c r="E93" s="24"/>
      <c r="F93" s="24"/>
      <c r="G93" s="24"/>
      <c r="H93" s="25" t="str">
        <f aca="false">IF($B93="","",IFERROR(IF(INDEX(명단!$B$5:$B$404,MATCH($B93,명단!$A$5:$A$404,0))="","(이름 미입력)",INDEX(명단!$B$5:$B$404,MATCH($B93,명단!$A$5:$A$404,0))),"번호 없음"))</f>
        <v/>
      </c>
      <c r="I93" s="25" t="str">
        <f aca="false">IF($B93="","",IF(COUNTIF($B$5:$B$1004,$B93)&gt;1,"중복 입력",""))</f>
        <v/>
      </c>
    </row>
    <row r="94" customFormat="false" ht="15" hidden="false" customHeight="false" outlineLevel="0" collapsed="false">
      <c r="A94" s="23"/>
      <c r="B94" s="24"/>
      <c r="C94" s="24"/>
      <c r="D94" s="24"/>
      <c r="E94" s="24"/>
      <c r="F94" s="24"/>
      <c r="G94" s="24"/>
      <c r="H94" s="25" t="str">
        <f aca="false">IF($B94="","",IFERROR(IF(INDEX(명단!$B$5:$B$404,MATCH($B94,명단!$A$5:$A$404,0))="","(이름 미입력)",INDEX(명단!$B$5:$B$404,MATCH($B94,명단!$A$5:$A$404,0))),"번호 없음"))</f>
        <v/>
      </c>
      <c r="I94" s="25" t="str">
        <f aca="false">IF($B94="","",IF(COUNTIF($B$5:$B$1004,$B94)&gt;1,"중복 입력",""))</f>
        <v/>
      </c>
    </row>
    <row r="95" customFormat="false" ht="15" hidden="false" customHeight="false" outlineLevel="0" collapsed="false">
      <c r="A95" s="23"/>
      <c r="B95" s="24"/>
      <c r="C95" s="24"/>
      <c r="D95" s="24"/>
      <c r="E95" s="24"/>
      <c r="F95" s="24"/>
      <c r="G95" s="24"/>
      <c r="H95" s="25" t="str">
        <f aca="false">IF($B95="","",IFERROR(IF(INDEX(명단!$B$5:$B$404,MATCH($B95,명단!$A$5:$A$404,0))="","(이름 미입력)",INDEX(명단!$B$5:$B$404,MATCH($B95,명단!$A$5:$A$404,0))),"번호 없음"))</f>
        <v/>
      </c>
      <c r="I95" s="25" t="str">
        <f aca="false">IF($B95="","",IF(COUNTIF($B$5:$B$1004,$B95)&gt;1,"중복 입력",""))</f>
        <v/>
      </c>
    </row>
    <row r="96" customFormat="false" ht="15" hidden="false" customHeight="false" outlineLevel="0" collapsed="false">
      <c r="A96" s="23"/>
      <c r="B96" s="24"/>
      <c r="C96" s="24"/>
      <c r="D96" s="24"/>
      <c r="E96" s="24"/>
      <c r="F96" s="24"/>
      <c r="G96" s="24"/>
      <c r="H96" s="25" t="str">
        <f aca="false">IF($B96="","",IFERROR(IF(INDEX(명단!$B$5:$B$404,MATCH($B96,명단!$A$5:$A$404,0))="","(이름 미입력)",INDEX(명단!$B$5:$B$404,MATCH($B96,명단!$A$5:$A$404,0))),"번호 없음"))</f>
        <v/>
      </c>
      <c r="I96" s="25" t="str">
        <f aca="false">IF($B96="","",IF(COUNTIF($B$5:$B$1004,$B96)&gt;1,"중복 입력",""))</f>
        <v/>
      </c>
    </row>
    <row r="97" customFormat="false" ht="15" hidden="false" customHeight="false" outlineLevel="0" collapsed="false">
      <c r="A97" s="23"/>
      <c r="B97" s="24"/>
      <c r="C97" s="24"/>
      <c r="D97" s="24"/>
      <c r="E97" s="24"/>
      <c r="F97" s="24"/>
      <c r="G97" s="24"/>
      <c r="H97" s="25" t="str">
        <f aca="false">IF($B97="","",IFERROR(IF(INDEX(명단!$B$5:$B$404,MATCH($B97,명단!$A$5:$A$404,0))="","(이름 미입력)",INDEX(명단!$B$5:$B$404,MATCH($B97,명단!$A$5:$A$404,0))),"번호 없음"))</f>
        <v/>
      </c>
      <c r="I97" s="25" t="str">
        <f aca="false">IF($B97="","",IF(COUNTIF($B$5:$B$1004,$B97)&gt;1,"중복 입력",""))</f>
        <v/>
      </c>
    </row>
    <row r="98" customFormat="false" ht="15" hidden="false" customHeight="false" outlineLevel="0" collapsed="false">
      <c r="A98" s="23"/>
      <c r="B98" s="24"/>
      <c r="C98" s="24"/>
      <c r="D98" s="24"/>
      <c r="E98" s="24"/>
      <c r="F98" s="24"/>
      <c r="G98" s="24"/>
      <c r="H98" s="25" t="str">
        <f aca="false">IF($B98="","",IFERROR(IF(INDEX(명단!$B$5:$B$404,MATCH($B98,명단!$A$5:$A$404,0))="","(이름 미입력)",INDEX(명단!$B$5:$B$404,MATCH($B98,명단!$A$5:$A$404,0))),"번호 없음"))</f>
        <v/>
      </c>
      <c r="I98" s="25" t="str">
        <f aca="false">IF($B98="","",IF(COUNTIF($B$5:$B$1004,$B98)&gt;1,"중복 입력",""))</f>
        <v/>
      </c>
    </row>
    <row r="99" customFormat="false" ht="15" hidden="false" customHeight="false" outlineLevel="0" collapsed="false">
      <c r="A99" s="23"/>
      <c r="B99" s="24"/>
      <c r="C99" s="24"/>
      <c r="D99" s="24"/>
      <c r="E99" s="24"/>
      <c r="F99" s="24"/>
      <c r="G99" s="24"/>
      <c r="H99" s="25" t="str">
        <f aca="false">IF($B99="","",IFERROR(IF(INDEX(명단!$B$5:$B$404,MATCH($B99,명단!$A$5:$A$404,0))="","(이름 미입력)",INDEX(명단!$B$5:$B$404,MATCH($B99,명단!$A$5:$A$404,0))),"번호 없음"))</f>
        <v/>
      </c>
      <c r="I99" s="25" t="str">
        <f aca="false">IF($B99="","",IF(COUNTIF($B$5:$B$1004,$B99)&gt;1,"중복 입력",""))</f>
        <v/>
      </c>
    </row>
    <row r="100" customFormat="false" ht="1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5" t="str">
        <f aca="false">IF($B100="","",IFERROR(IF(INDEX(명단!$B$5:$B$404,MATCH($B100,명단!$A$5:$A$404,0))="","(이름 미입력)",INDEX(명단!$B$5:$B$404,MATCH($B100,명단!$A$5:$A$404,0))),"번호 없음"))</f>
        <v/>
      </c>
      <c r="I100" s="25" t="str">
        <f aca="false">IF($B100="","",IF(COUNTIF($B$5:$B$1004,$B100)&gt;1,"중복 입력",""))</f>
        <v/>
      </c>
    </row>
    <row r="101" customFormat="false" ht="1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5" t="str">
        <f aca="false">IF($B101="","",IFERROR(IF(INDEX(명단!$B$5:$B$404,MATCH($B101,명단!$A$5:$A$404,0))="","(이름 미입력)",INDEX(명단!$B$5:$B$404,MATCH($B101,명단!$A$5:$A$404,0))),"번호 없음"))</f>
        <v/>
      </c>
      <c r="I101" s="25" t="str">
        <f aca="false">IF($B101="","",IF(COUNTIF($B$5:$B$1004,$B101)&gt;1,"중복 입력",""))</f>
        <v/>
      </c>
    </row>
    <row r="102" customFormat="false" ht="1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5" t="str">
        <f aca="false">IF($B102="","",IFERROR(IF(INDEX(명단!$B$5:$B$404,MATCH($B102,명단!$A$5:$A$404,0))="","(이름 미입력)",INDEX(명단!$B$5:$B$404,MATCH($B102,명단!$A$5:$A$404,0))),"번호 없음"))</f>
        <v/>
      </c>
      <c r="I102" s="25" t="str">
        <f aca="false">IF($B102="","",IF(COUNTIF($B$5:$B$1004,$B102)&gt;1,"중복 입력",""))</f>
        <v/>
      </c>
    </row>
    <row r="103" customFormat="false" ht="1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5" t="str">
        <f aca="false">IF($B103="","",IFERROR(IF(INDEX(명단!$B$5:$B$404,MATCH($B103,명단!$A$5:$A$404,0))="","(이름 미입력)",INDEX(명단!$B$5:$B$404,MATCH($B103,명단!$A$5:$A$404,0))),"번호 없음"))</f>
        <v/>
      </c>
      <c r="I103" s="25" t="str">
        <f aca="false">IF($B103="","",IF(COUNTIF($B$5:$B$1004,$B103)&gt;1,"중복 입력",""))</f>
        <v/>
      </c>
    </row>
    <row r="104" customFormat="false" ht="1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5" t="str">
        <f aca="false">IF($B104="","",IFERROR(IF(INDEX(명단!$B$5:$B$404,MATCH($B104,명단!$A$5:$A$404,0))="","(이름 미입력)",INDEX(명단!$B$5:$B$404,MATCH($B104,명단!$A$5:$A$404,0))),"번호 없음"))</f>
        <v/>
      </c>
      <c r="I104" s="25" t="str">
        <f aca="false">IF($B104="","",IF(COUNTIF($B$5:$B$1004,$B104)&gt;1,"중복 입력",""))</f>
        <v/>
      </c>
    </row>
    <row r="105" customFormat="false" ht="1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5" t="str">
        <f aca="false">IF($B105="","",IFERROR(IF(INDEX(명단!$B$5:$B$404,MATCH($B105,명단!$A$5:$A$404,0))="","(이름 미입력)",INDEX(명단!$B$5:$B$404,MATCH($B105,명단!$A$5:$A$404,0))),"번호 없음"))</f>
        <v/>
      </c>
      <c r="I105" s="25" t="str">
        <f aca="false">IF($B105="","",IF(COUNTIF($B$5:$B$1004,$B105)&gt;1,"중복 입력",""))</f>
        <v/>
      </c>
    </row>
    <row r="106" customFormat="false" ht="1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5" t="str">
        <f aca="false">IF($B106="","",IFERROR(IF(INDEX(명단!$B$5:$B$404,MATCH($B106,명단!$A$5:$A$404,0))="","(이름 미입력)",INDEX(명단!$B$5:$B$404,MATCH($B106,명단!$A$5:$A$404,0))),"번호 없음"))</f>
        <v/>
      </c>
      <c r="I106" s="25" t="str">
        <f aca="false">IF($B106="","",IF(COUNTIF($B$5:$B$1004,$B106)&gt;1,"중복 입력",""))</f>
        <v/>
      </c>
    </row>
    <row r="107" customFormat="false" ht="1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5" t="str">
        <f aca="false">IF($B107="","",IFERROR(IF(INDEX(명단!$B$5:$B$404,MATCH($B107,명단!$A$5:$A$404,0))="","(이름 미입력)",INDEX(명단!$B$5:$B$404,MATCH($B107,명단!$A$5:$A$404,0))),"번호 없음"))</f>
        <v/>
      </c>
      <c r="I107" s="25" t="str">
        <f aca="false">IF($B107="","",IF(COUNTIF($B$5:$B$1004,$B107)&gt;1,"중복 입력",""))</f>
        <v/>
      </c>
    </row>
    <row r="108" customFormat="false" ht="1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5" t="str">
        <f aca="false">IF($B108="","",IFERROR(IF(INDEX(명단!$B$5:$B$404,MATCH($B108,명단!$A$5:$A$404,0))="","(이름 미입력)",INDEX(명단!$B$5:$B$404,MATCH($B108,명단!$A$5:$A$404,0))),"번호 없음"))</f>
        <v/>
      </c>
      <c r="I108" s="25" t="str">
        <f aca="false">IF($B108="","",IF(COUNTIF($B$5:$B$1004,$B108)&gt;1,"중복 입력",""))</f>
        <v/>
      </c>
    </row>
    <row r="109" customFormat="false" ht="1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5" t="str">
        <f aca="false">IF($B109="","",IFERROR(IF(INDEX(명단!$B$5:$B$404,MATCH($B109,명단!$A$5:$A$404,0))="","(이름 미입력)",INDEX(명단!$B$5:$B$404,MATCH($B109,명단!$A$5:$A$404,0))),"번호 없음"))</f>
        <v/>
      </c>
      <c r="I109" s="25" t="str">
        <f aca="false">IF($B109="","",IF(COUNTIF($B$5:$B$1004,$B109)&gt;1,"중복 입력",""))</f>
        <v/>
      </c>
    </row>
    <row r="110" customFormat="false" ht="1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5" t="str">
        <f aca="false">IF($B110="","",IFERROR(IF(INDEX(명단!$B$5:$B$404,MATCH($B110,명단!$A$5:$A$404,0))="","(이름 미입력)",INDEX(명단!$B$5:$B$404,MATCH($B110,명단!$A$5:$A$404,0))),"번호 없음"))</f>
        <v/>
      </c>
      <c r="I110" s="25" t="str">
        <f aca="false">IF($B110="","",IF(COUNTIF($B$5:$B$1004,$B110)&gt;1,"중복 입력",""))</f>
        <v/>
      </c>
    </row>
    <row r="111" customFormat="false" ht="1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5" t="str">
        <f aca="false">IF($B111="","",IFERROR(IF(INDEX(명단!$B$5:$B$404,MATCH($B111,명단!$A$5:$A$404,0))="","(이름 미입력)",INDEX(명단!$B$5:$B$404,MATCH($B111,명단!$A$5:$A$404,0))),"번호 없음"))</f>
        <v/>
      </c>
      <c r="I111" s="25" t="str">
        <f aca="false">IF($B111="","",IF(COUNTIF($B$5:$B$1004,$B111)&gt;1,"중복 입력",""))</f>
        <v/>
      </c>
    </row>
    <row r="112" customFormat="false" ht="1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5" t="str">
        <f aca="false">IF($B112="","",IFERROR(IF(INDEX(명단!$B$5:$B$404,MATCH($B112,명단!$A$5:$A$404,0))="","(이름 미입력)",INDEX(명단!$B$5:$B$404,MATCH($B112,명단!$A$5:$A$404,0))),"번호 없음"))</f>
        <v/>
      </c>
      <c r="I112" s="25" t="str">
        <f aca="false">IF($B112="","",IF(COUNTIF($B$5:$B$1004,$B112)&gt;1,"중복 입력",""))</f>
        <v/>
      </c>
    </row>
    <row r="113" customFormat="false" ht="1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5" t="str">
        <f aca="false">IF($B113="","",IFERROR(IF(INDEX(명단!$B$5:$B$404,MATCH($B113,명단!$A$5:$A$404,0))="","(이름 미입력)",INDEX(명단!$B$5:$B$404,MATCH($B113,명단!$A$5:$A$404,0))),"번호 없음"))</f>
        <v/>
      </c>
      <c r="I113" s="25" t="str">
        <f aca="false">IF($B113="","",IF(COUNTIF($B$5:$B$1004,$B113)&gt;1,"중복 입력",""))</f>
        <v/>
      </c>
    </row>
    <row r="114" customFormat="false" ht="1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5" t="str">
        <f aca="false">IF($B114="","",IFERROR(IF(INDEX(명단!$B$5:$B$404,MATCH($B114,명단!$A$5:$A$404,0))="","(이름 미입력)",INDEX(명단!$B$5:$B$404,MATCH($B114,명단!$A$5:$A$404,0))),"번호 없음"))</f>
        <v/>
      </c>
      <c r="I114" s="25" t="str">
        <f aca="false">IF($B114="","",IF(COUNTIF($B$5:$B$1004,$B114)&gt;1,"중복 입력",""))</f>
        <v/>
      </c>
    </row>
    <row r="115" customFormat="false" ht="1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5" t="str">
        <f aca="false">IF($B115="","",IFERROR(IF(INDEX(명단!$B$5:$B$404,MATCH($B115,명단!$A$5:$A$404,0))="","(이름 미입력)",INDEX(명단!$B$5:$B$404,MATCH($B115,명단!$A$5:$A$404,0))),"번호 없음"))</f>
        <v/>
      </c>
      <c r="I115" s="25" t="str">
        <f aca="false">IF($B115="","",IF(COUNTIF($B$5:$B$1004,$B115)&gt;1,"중복 입력",""))</f>
        <v/>
      </c>
    </row>
    <row r="116" customFormat="false" ht="1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5" t="str">
        <f aca="false">IF($B116="","",IFERROR(IF(INDEX(명단!$B$5:$B$404,MATCH($B116,명단!$A$5:$A$404,0))="","(이름 미입력)",INDEX(명단!$B$5:$B$404,MATCH($B116,명단!$A$5:$A$404,0))),"번호 없음"))</f>
        <v/>
      </c>
      <c r="I116" s="25" t="str">
        <f aca="false">IF($B116="","",IF(COUNTIF($B$5:$B$1004,$B116)&gt;1,"중복 입력",""))</f>
        <v/>
      </c>
    </row>
    <row r="117" customFormat="false" ht="1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5" t="str">
        <f aca="false">IF($B117="","",IFERROR(IF(INDEX(명단!$B$5:$B$404,MATCH($B117,명단!$A$5:$A$404,0))="","(이름 미입력)",INDEX(명단!$B$5:$B$404,MATCH($B117,명단!$A$5:$A$404,0))),"번호 없음"))</f>
        <v/>
      </c>
      <c r="I117" s="25" t="str">
        <f aca="false">IF($B117="","",IF(COUNTIF($B$5:$B$1004,$B117)&gt;1,"중복 입력",""))</f>
        <v/>
      </c>
    </row>
    <row r="118" customFormat="false" ht="1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5" t="str">
        <f aca="false">IF($B118="","",IFERROR(IF(INDEX(명단!$B$5:$B$404,MATCH($B118,명단!$A$5:$A$404,0))="","(이름 미입력)",INDEX(명단!$B$5:$B$404,MATCH($B118,명단!$A$5:$A$404,0))),"번호 없음"))</f>
        <v/>
      </c>
      <c r="I118" s="25" t="str">
        <f aca="false">IF($B118="","",IF(COUNTIF($B$5:$B$1004,$B118)&gt;1,"중복 입력",""))</f>
        <v/>
      </c>
    </row>
    <row r="119" customFormat="false" ht="1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5" t="str">
        <f aca="false">IF($B119="","",IFERROR(IF(INDEX(명단!$B$5:$B$404,MATCH($B119,명단!$A$5:$A$404,0))="","(이름 미입력)",INDEX(명단!$B$5:$B$404,MATCH($B119,명단!$A$5:$A$404,0))),"번호 없음"))</f>
        <v/>
      </c>
      <c r="I119" s="25" t="str">
        <f aca="false">IF($B119="","",IF(COUNTIF($B$5:$B$1004,$B119)&gt;1,"중복 입력",""))</f>
        <v/>
      </c>
    </row>
    <row r="120" customFormat="false" ht="1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5" t="str">
        <f aca="false">IF($B120="","",IFERROR(IF(INDEX(명단!$B$5:$B$404,MATCH($B120,명단!$A$5:$A$404,0))="","(이름 미입력)",INDEX(명단!$B$5:$B$404,MATCH($B120,명단!$A$5:$A$404,0))),"번호 없음"))</f>
        <v/>
      </c>
      <c r="I120" s="25" t="str">
        <f aca="false">IF($B120="","",IF(COUNTIF($B$5:$B$1004,$B120)&gt;1,"중복 입력",""))</f>
        <v/>
      </c>
    </row>
    <row r="121" customFormat="false" ht="1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5" t="str">
        <f aca="false">IF($B121="","",IFERROR(IF(INDEX(명단!$B$5:$B$404,MATCH($B121,명단!$A$5:$A$404,0))="","(이름 미입력)",INDEX(명단!$B$5:$B$404,MATCH($B121,명단!$A$5:$A$404,0))),"번호 없음"))</f>
        <v/>
      </c>
      <c r="I121" s="25" t="str">
        <f aca="false">IF($B121="","",IF(COUNTIF($B$5:$B$1004,$B121)&gt;1,"중복 입력",""))</f>
        <v/>
      </c>
    </row>
    <row r="122" customFormat="false" ht="1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5" t="str">
        <f aca="false">IF($B122="","",IFERROR(IF(INDEX(명단!$B$5:$B$404,MATCH($B122,명단!$A$5:$A$404,0))="","(이름 미입력)",INDEX(명단!$B$5:$B$404,MATCH($B122,명단!$A$5:$A$404,0))),"번호 없음"))</f>
        <v/>
      </c>
      <c r="I122" s="25" t="str">
        <f aca="false">IF($B122="","",IF(COUNTIF($B$5:$B$1004,$B122)&gt;1,"중복 입력",""))</f>
        <v/>
      </c>
    </row>
    <row r="123" customFormat="false" ht="1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5" t="str">
        <f aca="false">IF($B123="","",IFERROR(IF(INDEX(명단!$B$5:$B$404,MATCH($B123,명단!$A$5:$A$404,0))="","(이름 미입력)",INDEX(명단!$B$5:$B$404,MATCH($B123,명단!$A$5:$A$404,0))),"번호 없음"))</f>
        <v/>
      </c>
      <c r="I123" s="25" t="str">
        <f aca="false">IF($B123="","",IF(COUNTIF($B$5:$B$1004,$B123)&gt;1,"중복 입력",""))</f>
        <v/>
      </c>
    </row>
    <row r="124" customFormat="false" ht="1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5" t="str">
        <f aca="false">IF($B124="","",IFERROR(IF(INDEX(명단!$B$5:$B$404,MATCH($B124,명단!$A$5:$A$404,0))="","(이름 미입력)",INDEX(명단!$B$5:$B$404,MATCH($B124,명단!$A$5:$A$404,0))),"번호 없음"))</f>
        <v/>
      </c>
      <c r="I124" s="25" t="str">
        <f aca="false">IF($B124="","",IF(COUNTIF($B$5:$B$1004,$B124)&gt;1,"중복 입력",""))</f>
        <v/>
      </c>
    </row>
    <row r="125" customFormat="false" ht="1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5" t="str">
        <f aca="false">IF($B125="","",IFERROR(IF(INDEX(명단!$B$5:$B$404,MATCH($B125,명단!$A$5:$A$404,0))="","(이름 미입력)",INDEX(명단!$B$5:$B$404,MATCH($B125,명단!$A$5:$A$404,0))),"번호 없음"))</f>
        <v/>
      </c>
      <c r="I125" s="25" t="str">
        <f aca="false">IF($B125="","",IF(COUNTIF($B$5:$B$1004,$B125)&gt;1,"중복 입력",""))</f>
        <v/>
      </c>
    </row>
    <row r="126" customFormat="false" ht="1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5" t="str">
        <f aca="false">IF($B126="","",IFERROR(IF(INDEX(명단!$B$5:$B$404,MATCH($B126,명단!$A$5:$A$404,0))="","(이름 미입력)",INDEX(명단!$B$5:$B$404,MATCH($B126,명단!$A$5:$A$404,0))),"번호 없음"))</f>
        <v/>
      </c>
      <c r="I126" s="25" t="str">
        <f aca="false">IF($B126="","",IF(COUNTIF($B$5:$B$1004,$B126)&gt;1,"중복 입력",""))</f>
        <v/>
      </c>
    </row>
    <row r="127" customFormat="false" ht="1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5" t="str">
        <f aca="false">IF($B127="","",IFERROR(IF(INDEX(명단!$B$5:$B$404,MATCH($B127,명단!$A$5:$A$404,0))="","(이름 미입력)",INDEX(명단!$B$5:$B$404,MATCH($B127,명단!$A$5:$A$404,0))),"번호 없음"))</f>
        <v/>
      </c>
      <c r="I127" s="25" t="str">
        <f aca="false">IF($B127="","",IF(COUNTIF($B$5:$B$1004,$B127)&gt;1,"중복 입력",""))</f>
        <v/>
      </c>
    </row>
    <row r="128" customFormat="false" ht="1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5" t="str">
        <f aca="false">IF($B128="","",IFERROR(IF(INDEX(명단!$B$5:$B$404,MATCH($B128,명단!$A$5:$A$404,0))="","(이름 미입력)",INDEX(명단!$B$5:$B$404,MATCH($B128,명단!$A$5:$A$404,0))),"번호 없음"))</f>
        <v/>
      </c>
      <c r="I128" s="25" t="str">
        <f aca="false">IF($B128="","",IF(COUNTIF($B$5:$B$1004,$B128)&gt;1,"중복 입력",""))</f>
        <v/>
      </c>
    </row>
    <row r="129" customFormat="false" ht="1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5" t="str">
        <f aca="false">IF($B129="","",IFERROR(IF(INDEX(명단!$B$5:$B$404,MATCH($B129,명단!$A$5:$A$404,0))="","(이름 미입력)",INDEX(명단!$B$5:$B$404,MATCH($B129,명단!$A$5:$A$404,0))),"번호 없음"))</f>
        <v/>
      </c>
      <c r="I129" s="25" t="str">
        <f aca="false">IF($B129="","",IF(COUNTIF($B$5:$B$1004,$B129)&gt;1,"중복 입력",""))</f>
        <v/>
      </c>
    </row>
    <row r="130" customFormat="false" ht="1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5" t="str">
        <f aca="false">IF($B130="","",IFERROR(IF(INDEX(명단!$B$5:$B$404,MATCH($B130,명단!$A$5:$A$404,0))="","(이름 미입력)",INDEX(명단!$B$5:$B$404,MATCH($B130,명단!$A$5:$A$404,0))),"번호 없음"))</f>
        <v/>
      </c>
      <c r="I130" s="25" t="str">
        <f aca="false">IF($B130="","",IF(COUNTIF($B$5:$B$1004,$B130)&gt;1,"중복 입력",""))</f>
        <v/>
      </c>
    </row>
    <row r="131" customFormat="false" ht="1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5" t="str">
        <f aca="false">IF($B131="","",IFERROR(IF(INDEX(명단!$B$5:$B$404,MATCH($B131,명단!$A$5:$A$404,0))="","(이름 미입력)",INDEX(명단!$B$5:$B$404,MATCH($B131,명단!$A$5:$A$404,0))),"번호 없음"))</f>
        <v/>
      </c>
      <c r="I131" s="25" t="str">
        <f aca="false">IF($B131="","",IF(COUNTIF($B$5:$B$1004,$B131)&gt;1,"중복 입력",""))</f>
        <v/>
      </c>
    </row>
    <row r="132" customFormat="false" ht="1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5" t="str">
        <f aca="false">IF($B132="","",IFERROR(IF(INDEX(명단!$B$5:$B$404,MATCH($B132,명단!$A$5:$A$404,0))="","(이름 미입력)",INDEX(명단!$B$5:$B$404,MATCH($B132,명단!$A$5:$A$404,0))),"번호 없음"))</f>
        <v/>
      </c>
      <c r="I132" s="25" t="str">
        <f aca="false">IF($B132="","",IF(COUNTIF($B$5:$B$1004,$B132)&gt;1,"중복 입력",""))</f>
        <v/>
      </c>
    </row>
    <row r="133" customFormat="false" ht="1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5" t="str">
        <f aca="false">IF($B133="","",IFERROR(IF(INDEX(명단!$B$5:$B$404,MATCH($B133,명단!$A$5:$A$404,0))="","(이름 미입력)",INDEX(명단!$B$5:$B$404,MATCH($B133,명단!$A$5:$A$404,0))),"번호 없음"))</f>
        <v/>
      </c>
      <c r="I133" s="25" t="str">
        <f aca="false">IF($B133="","",IF(COUNTIF($B$5:$B$1004,$B133)&gt;1,"중복 입력",""))</f>
        <v/>
      </c>
    </row>
    <row r="134" customFormat="false" ht="1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5" t="str">
        <f aca="false">IF($B134="","",IFERROR(IF(INDEX(명단!$B$5:$B$404,MATCH($B134,명단!$A$5:$A$404,0))="","(이름 미입력)",INDEX(명단!$B$5:$B$404,MATCH($B134,명단!$A$5:$A$404,0))),"번호 없음"))</f>
        <v/>
      </c>
      <c r="I134" s="25" t="str">
        <f aca="false">IF($B134="","",IF(COUNTIF($B$5:$B$1004,$B134)&gt;1,"중복 입력",""))</f>
        <v/>
      </c>
    </row>
    <row r="135" customFormat="false" ht="1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5" t="str">
        <f aca="false">IF($B135="","",IFERROR(IF(INDEX(명단!$B$5:$B$404,MATCH($B135,명단!$A$5:$A$404,0))="","(이름 미입력)",INDEX(명단!$B$5:$B$404,MATCH($B135,명단!$A$5:$A$404,0))),"번호 없음"))</f>
        <v/>
      </c>
      <c r="I135" s="25" t="str">
        <f aca="false">IF($B135="","",IF(COUNTIF($B$5:$B$1004,$B135)&gt;1,"중복 입력",""))</f>
        <v/>
      </c>
    </row>
    <row r="136" customFormat="false" ht="1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5" t="str">
        <f aca="false">IF($B136="","",IFERROR(IF(INDEX(명단!$B$5:$B$404,MATCH($B136,명단!$A$5:$A$404,0))="","(이름 미입력)",INDEX(명단!$B$5:$B$404,MATCH($B136,명단!$A$5:$A$404,0))),"번호 없음"))</f>
        <v/>
      </c>
      <c r="I136" s="25" t="str">
        <f aca="false">IF($B136="","",IF(COUNTIF($B$5:$B$1004,$B136)&gt;1,"중복 입력",""))</f>
        <v/>
      </c>
    </row>
    <row r="137" customFormat="false" ht="1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5" t="str">
        <f aca="false">IF($B137="","",IFERROR(IF(INDEX(명단!$B$5:$B$404,MATCH($B137,명단!$A$5:$A$404,0))="","(이름 미입력)",INDEX(명단!$B$5:$B$404,MATCH($B137,명단!$A$5:$A$404,0))),"번호 없음"))</f>
        <v/>
      </c>
      <c r="I137" s="25" t="str">
        <f aca="false">IF($B137="","",IF(COUNTIF($B$5:$B$1004,$B137)&gt;1,"중복 입력",""))</f>
        <v/>
      </c>
    </row>
    <row r="138" customFormat="false" ht="1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5" t="str">
        <f aca="false">IF($B138="","",IFERROR(IF(INDEX(명단!$B$5:$B$404,MATCH($B138,명단!$A$5:$A$404,0))="","(이름 미입력)",INDEX(명단!$B$5:$B$404,MATCH($B138,명단!$A$5:$A$404,0))),"번호 없음"))</f>
        <v/>
      </c>
      <c r="I138" s="25" t="str">
        <f aca="false">IF($B138="","",IF(COUNTIF($B$5:$B$1004,$B138)&gt;1,"중복 입력",""))</f>
        <v/>
      </c>
    </row>
    <row r="139" customFormat="false" ht="1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5" t="str">
        <f aca="false">IF($B139="","",IFERROR(IF(INDEX(명단!$B$5:$B$404,MATCH($B139,명단!$A$5:$A$404,0))="","(이름 미입력)",INDEX(명단!$B$5:$B$404,MATCH($B139,명단!$A$5:$A$404,0))),"번호 없음"))</f>
        <v/>
      </c>
      <c r="I139" s="25" t="str">
        <f aca="false">IF($B139="","",IF(COUNTIF($B$5:$B$1004,$B139)&gt;1,"중복 입력",""))</f>
        <v/>
      </c>
    </row>
    <row r="140" customFormat="false" ht="1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5" t="str">
        <f aca="false">IF($B140="","",IFERROR(IF(INDEX(명단!$B$5:$B$404,MATCH($B140,명단!$A$5:$A$404,0))="","(이름 미입력)",INDEX(명단!$B$5:$B$404,MATCH($B140,명단!$A$5:$A$404,0))),"번호 없음"))</f>
        <v/>
      </c>
      <c r="I140" s="25" t="str">
        <f aca="false">IF($B140="","",IF(COUNTIF($B$5:$B$1004,$B140)&gt;1,"중복 입력",""))</f>
        <v/>
      </c>
    </row>
    <row r="141" customFormat="false" ht="1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5" t="str">
        <f aca="false">IF($B141="","",IFERROR(IF(INDEX(명단!$B$5:$B$404,MATCH($B141,명단!$A$5:$A$404,0))="","(이름 미입력)",INDEX(명단!$B$5:$B$404,MATCH($B141,명단!$A$5:$A$404,0))),"번호 없음"))</f>
        <v/>
      </c>
      <c r="I141" s="25" t="str">
        <f aca="false">IF($B141="","",IF(COUNTIF($B$5:$B$1004,$B141)&gt;1,"중복 입력",""))</f>
        <v/>
      </c>
    </row>
    <row r="142" customFormat="false" ht="1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5" t="str">
        <f aca="false">IF($B142="","",IFERROR(IF(INDEX(명단!$B$5:$B$404,MATCH($B142,명단!$A$5:$A$404,0))="","(이름 미입력)",INDEX(명단!$B$5:$B$404,MATCH($B142,명단!$A$5:$A$404,0))),"번호 없음"))</f>
        <v/>
      </c>
      <c r="I142" s="25" t="str">
        <f aca="false">IF($B142="","",IF(COUNTIF($B$5:$B$1004,$B142)&gt;1,"중복 입력",""))</f>
        <v/>
      </c>
    </row>
    <row r="143" customFormat="false" ht="1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5" t="str">
        <f aca="false">IF($B143="","",IFERROR(IF(INDEX(명단!$B$5:$B$404,MATCH($B143,명단!$A$5:$A$404,0))="","(이름 미입력)",INDEX(명단!$B$5:$B$404,MATCH($B143,명단!$A$5:$A$404,0))),"번호 없음"))</f>
        <v/>
      </c>
      <c r="I143" s="25" t="str">
        <f aca="false">IF($B143="","",IF(COUNTIF($B$5:$B$1004,$B143)&gt;1,"중복 입력",""))</f>
        <v/>
      </c>
    </row>
    <row r="144" customFormat="false" ht="1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5" t="str">
        <f aca="false">IF($B144="","",IFERROR(IF(INDEX(명단!$B$5:$B$404,MATCH($B144,명단!$A$5:$A$404,0))="","(이름 미입력)",INDEX(명단!$B$5:$B$404,MATCH($B144,명단!$A$5:$A$404,0))),"번호 없음"))</f>
        <v/>
      </c>
      <c r="I144" s="25" t="str">
        <f aca="false">IF($B144="","",IF(COUNTIF($B$5:$B$1004,$B144)&gt;1,"중복 입력",""))</f>
        <v/>
      </c>
    </row>
    <row r="145" customFormat="false" ht="1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5" t="str">
        <f aca="false">IF($B145="","",IFERROR(IF(INDEX(명단!$B$5:$B$404,MATCH($B145,명단!$A$5:$A$404,0))="","(이름 미입력)",INDEX(명단!$B$5:$B$404,MATCH($B145,명단!$A$5:$A$404,0))),"번호 없음"))</f>
        <v/>
      </c>
      <c r="I145" s="25" t="str">
        <f aca="false">IF($B145="","",IF(COUNTIF($B$5:$B$1004,$B145)&gt;1,"중복 입력",""))</f>
        <v/>
      </c>
    </row>
    <row r="146" customFormat="false" ht="1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5" t="str">
        <f aca="false">IF($B146="","",IFERROR(IF(INDEX(명단!$B$5:$B$404,MATCH($B146,명단!$A$5:$A$404,0))="","(이름 미입력)",INDEX(명단!$B$5:$B$404,MATCH($B146,명단!$A$5:$A$404,0))),"번호 없음"))</f>
        <v/>
      </c>
      <c r="I146" s="25" t="str">
        <f aca="false">IF($B146="","",IF(COUNTIF($B$5:$B$1004,$B146)&gt;1,"중복 입력",""))</f>
        <v/>
      </c>
    </row>
    <row r="147" customFormat="false" ht="1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5" t="str">
        <f aca="false">IF($B147="","",IFERROR(IF(INDEX(명단!$B$5:$B$404,MATCH($B147,명단!$A$5:$A$404,0))="","(이름 미입력)",INDEX(명단!$B$5:$B$404,MATCH($B147,명단!$A$5:$A$404,0))),"번호 없음"))</f>
        <v/>
      </c>
      <c r="I147" s="25" t="str">
        <f aca="false">IF($B147="","",IF(COUNTIF($B$5:$B$1004,$B147)&gt;1,"중복 입력",""))</f>
        <v/>
      </c>
    </row>
    <row r="148" customFormat="false" ht="1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5" t="str">
        <f aca="false">IF($B148="","",IFERROR(IF(INDEX(명단!$B$5:$B$404,MATCH($B148,명단!$A$5:$A$404,0))="","(이름 미입력)",INDEX(명단!$B$5:$B$404,MATCH($B148,명단!$A$5:$A$404,0))),"번호 없음"))</f>
        <v/>
      </c>
      <c r="I148" s="25" t="str">
        <f aca="false">IF($B148="","",IF(COUNTIF($B$5:$B$1004,$B148)&gt;1,"중복 입력",""))</f>
        <v/>
      </c>
    </row>
    <row r="149" customFormat="false" ht="1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5" t="str">
        <f aca="false">IF($B149="","",IFERROR(IF(INDEX(명단!$B$5:$B$404,MATCH($B149,명단!$A$5:$A$404,0))="","(이름 미입력)",INDEX(명단!$B$5:$B$404,MATCH($B149,명단!$A$5:$A$404,0))),"번호 없음"))</f>
        <v/>
      </c>
      <c r="I149" s="25" t="str">
        <f aca="false">IF($B149="","",IF(COUNTIF($B$5:$B$1004,$B149)&gt;1,"중복 입력",""))</f>
        <v/>
      </c>
    </row>
    <row r="150" customFormat="false" ht="1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5" t="str">
        <f aca="false">IF($B150="","",IFERROR(IF(INDEX(명단!$B$5:$B$404,MATCH($B150,명단!$A$5:$A$404,0))="","(이름 미입력)",INDEX(명단!$B$5:$B$404,MATCH($B150,명단!$A$5:$A$404,0))),"번호 없음"))</f>
        <v/>
      </c>
      <c r="I150" s="25" t="str">
        <f aca="false">IF($B150="","",IF(COUNTIF($B$5:$B$1004,$B150)&gt;1,"중복 입력",""))</f>
        <v/>
      </c>
    </row>
    <row r="151" customFormat="false" ht="1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5" t="str">
        <f aca="false">IF($B151="","",IFERROR(IF(INDEX(명단!$B$5:$B$404,MATCH($B151,명단!$A$5:$A$404,0))="","(이름 미입력)",INDEX(명단!$B$5:$B$404,MATCH($B151,명단!$A$5:$A$404,0))),"번호 없음"))</f>
        <v/>
      </c>
      <c r="I151" s="25" t="str">
        <f aca="false">IF($B151="","",IF(COUNTIF($B$5:$B$1004,$B151)&gt;1,"중복 입력",""))</f>
        <v/>
      </c>
    </row>
    <row r="152" customFormat="false" ht="1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5" t="str">
        <f aca="false">IF($B152="","",IFERROR(IF(INDEX(명단!$B$5:$B$404,MATCH($B152,명단!$A$5:$A$404,0))="","(이름 미입력)",INDEX(명단!$B$5:$B$404,MATCH($B152,명단!$A$5:$A$404,0))),"번호 없음"))</f>
        <v/>
      </c>
      <c r="I152" s="25" t="str">
        <f aca="false">IF($B152="","",IF(COUNTIF($B$5:$B$1004,$B152)&gt;1,"중복 입력",""))</f>
        <v/>
      </c>
    </row>
    <row r="153" customFormat="false" ht="1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5" t="str">
        <f aca="false">IF($B153="","",IFERROR(IF(INDEX(명단!$B$5:$B$404,MATCH($B153,명단!$A$5:$A$404,0))="","(이름 미입력)",INDEX(명단!$B$5:$B$404,MATCH($B153,명단!$A$5:$A$404,0))),"번호 없음"))</f>
        <v/>
      </c>
      <c r="I153" s="25" t="str">
        <f aca="false">IF($B153="","",IF(COUNTIF($B$5:$B$1004,$B153)&gt;1,"중복 입력",""))</f>
        <v/>
      </c>
    </row>
    <row r="154" customFormat="false" ht="1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5" t="str">
        <f aca="false">IF($B154="","",IFERROR(IF(INDEX(명단!$B$5:$B$404,MATCH($B154,명단!$A$5:$A$404,0))="","(이름 미입력)",INDEX(명단!$B$5:$B$404,MATCH($B154,명단!$A$5:$A$404,0))),"번호 없음"))</f>
        <v/>
      </c>
      <c r="I154" s="25" t="str">
        <f aca="false">IF($B154="","",IF(COUNTIF($B$5:$B$1004,$B154)&gt;1,"중복 입력",""))</f>
        <v/>
      </c>
    </row>
    <row r="155" customFormat="false" ht="1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5" t="str">
        <f aca="false">IF($B155="","",IFERROR(IF(INDEX(명단!$B$5:$B$404,MATCH($B155,명단!$A$5:$A$404,0))="","(이름 미입력)",INDEX(명단!$B$5:$B$404,MATCH($B155,명단!$A$5:$A$404,0))),"번호 없음"))</f>
        <v/>
      </c>
      <c r="I155" s="25" t="str">
        <f aca="false">IF($B155="","",IF(COUNTIF($B$5:$B$1004,$B155)&gt;1,"중복 입력",""))</f>
        <v/>
      </c>
    </row>
    <row r="156" customFormat="false" ht="1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5" t="str">
        <f aca="false">IF($B156="","",IFERROR(IF(INDEX(명단!$B$5:$B$404,MATCH($B156,명단!$A$5:$A$404,0))="","(이름 미입력)",INDEX(명단!$B$5:$B$404,MATCH($B156,명단!$A$5:$A$404,0))),"번호 없음"))</f>
        <v/>
      </c>
      <c r="I156" s="25" t="str">
        <f aca="false">IF($B156="","",IF(COUNTIF($B$5:$B$1004,$B156)&gt;1,"중복 입력",""))</f>
        <v/>
      </c>
    </row>
    <row r="157" customFormat="false" ht="1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5" t="str">
        <f aca="false">IF($B157="","",IFERROR(IF(INDEX(명단!$B$5:$B$404,MATCH($B157,명단!$A$5:$A$404,0))="","(이름 미입력)",INDEX(명단!$B$5:$B$404,MATCH($B157,명단!$A$5:$A$404,0))),"번호 없음"))</f>
        <v/>
      </c>
      <c r="I157" s="25" t="str">
        <f aca="false">IF($B157="","",IF(COUNTIF($B$5:$B$1004,$B157)&gt;1,"중복 입력",""))</f>
        <v/>
      </c>
    </row>
    <row r="158" customFormat="false" ht="1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5" t="str">
        <f aca="false">IF($B158="","",IFERROR(IF(INDEX(명단!$B$5:$B$404,MATCH($B158,명단!$A$5:$A$404,0))="","(이름 미입력)",INDEX(명단!$B$5:$B$404,MATCH($B158,명단!$A$5:$A$404,0))),"번호 없음"))</f>
        <v/>
      </c>
      <c r="I158" s="25" t="str">
        <f aca="false">IF($B158="","",IF(COUNTIF($B$5:$B$1004,$B158)&gt;1,"중복 입력",""))</f>
        <v/>
      </c>
    </row>
    <row r="159" customFormat="false" ht="1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5" t="str">
        <f aca="false">IF($B159="","",IFERROR(IF(INDEX(명단!$B$5:$B$404,MATCH($B159,명단!$A$5:$A$404,0))="","(이름 미입력)",INDEX(명단!$B$5:$B$404,MATCH($B159,명단!$A$5:$A$404,0))),"번호 없음"))</f>
        <v/>
      </c>
      <c r="I159" s="25" t="str">
        <f aca="false">IF($B159="","",IF(COUNTIF($B$5:$B$1004,$B159)&gt;1,"중복 입력",""))</f>
        <v/>
      </c>
    </row>
    <row r="160" customFormat="false" ht="1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5" t="str">
        <f aca="false">IF($B160="","",IFERROR(IF(INDEX(명단!$B$5:$B$404,MATCH($B160,명단!$A$5:$A$404,0))="","(이름 미입력)",INDEX(명단!$B$5:$B$404,MATCH($B160,명단!$A$5:$A$404,0))),"번호 없음"))</f>
        <v/>
      </c>
      <c r="I160" s="25" t="str">
        <f aca="false">IF($B160="","",IF(COUNTIF($B$5:$B$1004,$B160)&gt;1,"중복 입력",""))</f>
        <v/>
      </c>
    </row>
    <row r="161" customFormat="false" ht="1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5" t="str">
        <f aca="false">IF($B161="","",IFERROR(IF(INDEX(명단!$B$5:$B$404,MATCH($B161,명단!$A$5:$A$404,0))="","(이름 미입력)",INDEX(명단!$B$5:$B$404,MATCH($B161,명단!$A$5:$A$404,0))),"번호 없음"))</f>
        <v/>
      </c>
      <c r="I161" s="25" t="str">
        <f aca="false">IF($B161="","",IF(COUNTIF($B$5:$B$1004,$B161)&gt;1,"중복 입력",""))</f>
        <v/>
      </c>
    </row>
    <row r="162" customFormat="false" ht="1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5" t="str">
        <f aca="false">IF($B162="","",IFERROR(IF(INDEX(명단!$B$5:$B$404,MATCH($B162,명단!$A$5:$A$404,0))="","(이름 미입력)",INDEX(명단!$B$5:$B$404,MATCH($B162,명단!$A$5:$A$404,0))),"번호 없음"))</f>
        <v/>
      </c>
      <c r="I162" s="25" t="str">
        <f aca="false">IF($B162="","",IF(COUNTIF($B$5:$B$1004,$B162)&gt;1,"중복 입력",""))</f>
        <v/>
      </c>
    </row>
    <row r="163" customFormat="false" ht="1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5" t="str">
        <f aca="false">IF($B163="","",IFERROR(IF(INDEX(명단!$B$5:$B$404,MATCH($B163,명단!$A$5:$A$404,0))="","(이름 미입력)",INDEX(명단!$B$5:$B$404,MATCH($B163,명단!$A$5:$A$404,0))),"번호 없음"))</f>
        <v/>
      </c>
      <c r="I163" s="25" t="str">
        <f aca="false">IF($B163="","",IF(COUNTIF($B$5:$B$1004,$B163)&gt;1,"중복 입력",""))</f>
        <v/>
      </c>
    </row>
    <row r="164" customFormat="false" ht="1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5" t="str">
        <f aca="false">IF($B164="","",IFERROR(IF(INDEX(명단!$B$5:$B$404,MATCH($B164,명단!$A$5:$A$404,0))="","(이름 미입력)",INDEX(명단!$B$5:$B$404,MATCH($B164,명단!$A$5:$A$404,0))),"번호 없음"))</f>
        <v/>
      </c>
      <c r="I164" s="25" t="str">
        <f aca="false">IF($B164="","",IF(COUNTIF($B$5:$B$1004,$B164)&gt;1,"중복 입력",""))</f>
        <v/>
      </c>
    </row>
    <row r="165" customFormat="false" ht="1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5" t="str">
        <f aca="false">IF($B165="","",IFERROR(IF(INDEX(명단!$B$5:$B$404,MATCH($B165,명단!$A$5:$A$404,0))="","(이름 미입력)",INDEX(명단!$B$5:$B$404,MATCH($B165,명단!$A$5:$A$404,0))),"번호 없음"))</f>
        <v/>
      </c>
      <c r="I165" s="25" t="str">
        <f aca="false">IF($B165="","",IF(COUNTIF($B$5:$B$1004,$B165)&gt;1,"중복 입력",""))</f>
        <v/>
      </c>
    </row>
    <row r="166" customFormat="false" ht="1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5" t="str">
        <f aca="false">IF($B166="","",IFERROR(IF(INDEX(명단!$B$5:$B$404,MATCH($B166,명단!$A$5:$A$404,0))="","(이름 미입력)",INDEX(명단!$B$5:$B$404,MATCH($B166,명단!$A$5:$A$404,0))),"번호 없음"))</f>
        <v/>
      </c>
      <c r="I166" s="25" t="str">
        <f aca="false">IF($B166="","",IF(COUNTIF($B$5:$B$1004,$B166)&gt;1,"중복 입력",""))</f>
        <v/>
      </c>
    </row>
    <row r="167" customFormat="false" ht="1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5" t="str">
        <f aca="false">IF($B167="","",IFERROR(IF(INDEX(명단!$B$5:$B$404,MATCH($B167,명단!$A$5:$A$404,0))="","(이름 미입력)",INDEX(명단!$B$5:$B$404,MATCH($B167,명단!$A$5:$A$404,0))),"번호 없음"))</f>
        <v/>
      </c>
      <c r="I167" s="25" t="str">
        <f aca="false">IF($B167="","",IF(COUNTIF($B$5:$B$1004,$B167)&gt;1,"중복 입력",""))</f>
        <v/>
      </c>
    </row>
    <row r="168" customFormat="false" ht="1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5" t="str">
        <f aca="false">IF($B168="","",IFERROR(IF(INDEX(명단!$B$5:$B$404,MATCH($B168,명단!$A$5:$A$404,0))="","(이름 미입력)",INDEX(명단!$B$5:$B$404,MATCH($B168,명단!$A$5:$A$404,0))),"번호 없음"))</f>
        <v/>
      </c>
      <c r="I168" s="25" t="str">
        <f aca="false">IF($B168="","",IF(COUNTIF($B$5:$B$1004,$B168)&gt;1,"중복 입력",""))</f>
        <v/>
      </c>
    </row>
    <row r="169" customFormat="false" ht="1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5" t="str">
        <f aca="false">IF($B169="","",IFERROR(IF(INDEX(명단!$B$5:$B$404,MATCH($B169,명단!$A$5:$A$404,0))="","(이름 미입력)",INDEX(명단!$B$5:$B$404,MATCH($B169,명단!$A$5:$A$404,0))),"번호 없음"))</f>
        <v/>
      </c>
      <c r="I169" s="25" t="str">
        <f aca="false">IF($B169="","",IF(COUNTIF($B$5:$B$1004,$B169)&gt;1,"중복 입력",""))</f>
        <v/>
      </c>
    </row>
    <row r="170" customFormat="false" ht="1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5" t="str">
        <f aca="false">IF($B170="","",IFERROR(IF(INDEX(명단!$B$5:$B$404,MATCH($B170,명단!$A$5:$A$404,0))="","(이름 미입력)",INDEX(명단!$B$5:$B$404,MATCH($B170,명단!$A$5:$A$404,0))),"번호 없음"))</f>
        <v/>
      </c>
      <c r="I170" s="25" t="str">
        <f aca="false">IF($B170="","",IF(COUNTIF($B$5:$B$1004,$B170)&gt;1,"중복 입력",""))</f>
        <v/>
      </c>
    </row>
    <row r="171" customFormat="false" ht="1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5" t="str">
        <f aca="false">IF($B171="","",IFERROR(IF(INDEX(명단!$B$5:$B$404,MATCH($B171,명단!$A$5:$A$404,0))="","(이름 미입력)",INDEX(명단!$B$5:$B$404,MATCH($B171,명단!$A$5:$A$404,0))),"번호 없음"))</f>
        <v/>
      </c>
      <c r="I171" s="25" t="str">
        <f aca="false">IF($B171="","",IF(COUNTIF($B$5:$B$1004,$B171)&gt;1,"중복 입력",""))</f>
        <v/>
      </c>
    </row>
    <row r="172" customFormat="false" ht="1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5" t="str">
        <f aca="false">IF($B172="","",IFERROR(IF(INDEX(명단!$B$5:$B$404,MATCH($B172,명단!$A$5:$A$404,0))="","(이름 미입력)",INDEX(명단!$B$5:$B$404,MATCH($B172,명단!$A$5:$A$404,0))),"번호 없음"))</f>
        <v/>
      </c>
      <c r="I172" s="25" t="str">
        <f aca="false">IF($B172="","",IF(COUNTIF($B$5:$B$1004,$B172)&gt;1,"중복 입력",""))</f>
        <v/>
      </c>
    </row>
    <row r="173" customFormat="false" ht="1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5" t="str">
        <f aca="false">IF($B173="","",IFERROR(IF(INDEX(명단!$B$5:$B$404,MATCH($B173,명단!$A$5:$A$404,0))="","(이름 미입력)",INDEX(명단!$B$5:$B$404,MATCH($B173,명단!$A$5:$A$404,0))),"번호 없음"))</f>
        <v/>
      </c>
      <c r="I173" s="25" t="str">
        <f aca="false">IF($B173="","",IF(COUNTIF($B$5:$B$1004,$B173)&gt;1,"중복 입력",""))</f>
        <v/>
      </c>
    </row>
    <row r="174" customFormat="false" ht="1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5" t="str">
        <f aca="false">IF($B174="","",IFERROR(IF(INDEX(명단!$B$5:$B$404,MATCH($B174,명단!$A$5:$A$404,0))="","(이름 미입력)",INDEX(명단!$B$5:$B$404,MATCH($B174,명단!$A$5:$A$404,0))),"번호 없음"))</f>
        <v/>
      </c>
      <c r="I174" s="25" t="str">
        <f aca="false">IF($B174="","",IF(COUNTIF($B$5:$B$1004,$B174)&gt;1,"중복 입력",""))</f>
        <v/>
      </c>
    </row>
    <row r="175" customFormat="false" ht="1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5" t="str">
        <f aca="false">IF($B175="","",IFERROR(IF(INDEX(명단!$B$5:$B$404,MATCH($B175,명단!$A$5:$A$404,0))="","(이름 미입력)",INDEX(명단!$B$5:$B$404,MATCH($B175,명단!$A$5:$A$404,0))),"번호 없음"))</f>
        <v/>
      </c>
      <c r="I175" s="25" t="str">
        <f aca="false">IF($B175="","",IF(COUNTIF($B$5:$B$1004,$B175)&gt;1,"중복 입력",""))</f>
        <v/>
      </c>
    </row>
    <row r="176" customFormat="false" ht="1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5" t="str">
        <f aca="false">IF($B176="","",IFERROR(IF(INDEX(명단!$B$5:$B$404,MATCH($B176,명단!$A$5:$A$404,0))="","(이름 미입력)",INDEX(명단!$B$5:$B$404,MATCH($B176,명단!$A$5:$A$404,0))),"번호 없음"))</f>
        <v/>
      </c>
      <c r="I176" s="25" t="str">
        <f aca="false">IF($B176="","",IF(COUNTIF($B$5:$B$1004,$B176)&gt;1,"중복 입력",""))</f>
        <v/>
      </c>
    </row>
    <row r="177" customFormat="false" ht="1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5" t="str">
        <f aca="false">IF($B177="","",IFERROR(IF(INDEX(명단!$B$5:$B$404,MATCH($B177,명단!$A$5:$A$404,0))="","(이름 미입력)",INDEX(명단!$B$5:$B$404,MATCH($B177,명단!$A$5:$A$404,0))),"번호 없음"))</f>
        <v/>
      </c>
      <c r="I177" s="25" t="str">
        <f aca="false">IF($B177="","",IF(COUNTIF($B$5:$B$1004,$B177)&gt;1,"중복 입력",""))</f>
        <v/>
      </c>
    </row>
    <row r="178" customFormat="false" ht="1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5" t="str">
        <f aca="false">IF($B178="","",IFERROR(IF(INDEX(명단!$B$5:$B$404,MATCH($B178,명단!$A$5:$A$404,0))="","(이름 미입력)",INDEX(명단!$B$5:$B$404,MATCH($B178,명단!$A$5:$A$404,0))),"번호 없음"))</f>
        <v/>
      </c>
      <c r="I178" s="25" t="str">
        <f aca="false">IF($B178="","",IF(COUNTIF($B$5:$B$1004,$B178)&gt;1,"중복 입력",""))</f>
        <v/>
      </c>
    </row>
    <row r="179" customFormat="false" ht="1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5" t="str">
        <f aca="false">IF($B179="","",IFERROR(IF(INDEX(명단!$B$5:$B$404,MATCH($B179,명단!$A$5:$A$404,0))="","(이름 미입력)",INDEX(명단!$B$5:$B$404,MATCH($B179,명단!$A$5:$A$404,0))),"번호 없음"))</f>
        <v/>
      </c>
      <c r="I179" s="25" t="str">
        <f aca="false">IF($B179="","",IF(COUNTIF($B$5:$B$1004,$B179)&gt;1,"중복 입력",""))</f>
        <v/>
      </c>
    </row>
    <row r="180" customFormat="false" ht="1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5" t="str">
        <f aca="false">IF($B180="","",IFERROR(IF(INDEX(명단!$B$5:$B$404,MATCH($B180,명단!$A$5:$A$404,0))="","(이름 미입력)",INDEX(명단!$B$5:$B$404,MATCH($B180,명단!$A$5:$A$404,0))),"번호 없음"))</f>
        <v/>
      </c>
      <c r="I180" s="25" t="str">
        <f aca="false">IF($B180="","",IF(COUNTIF($B$5:$B$1004,$B180)&gt;1,"중복 입력",""))</f>
        <v/>
      </c>
    </row>
    <row r="181" customFormat="false" ht="1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5" t="str">
        <f aca="false">IF($B181="","",IFERROR(IF(INDEX(명단!$B$5:$B$404,MATCH($B181,명단!$A$5:$A$404,0))="","(이름 미입력)",INDEX(명단!$B$5:$B$404,MATCH($B181,명단!$A$5:$A$404,0))),"번호 없음"))</f>
        <v/>
      </c>
      <c r="I181" s="25" t="str">
        <f aca="false">IF($B181="","",IF(COUNTIF($B$5:$B$1004,$B181)&gt;1,"중복 입력",""))</f>
        <v/>
      </c>
    </row>
    <row r="182" customFormat="false" ht="1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5" t="str">
        <f aca="false">IF($B182="","",IFERROR(IF(INDEX(명단!$B$5:$B$404,MATCH($B182,명단!$A$5:$A$404,0))="","(이름 미입력)",INDEX(명단!$B$5:$B$404,MATCH($B182,명단!$A$5:$A$404,0))),"번호 없음"))</f>
        <v/>
      </c>
      <c r="I182" s="25" t="str">
        <f aca="false">IF($B182="","",IF(COUNTIF($B$5:$B$1004,$B182)&gt;1,"중복 입력",""))</f>
        <v/>
      </c>
    </row>
    <row r="183" customFormat="false" ht="1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5" t="str">
        <f aca="false">IF($B183="","",IFERROR(IF(INDEX(명단!$B$5:$B$404,MATCH($B183,명단!$A$5:$A$404,0))="","(이름 미입력)",INDEX(명단!$B$5:$B$404,MATCH($B183,명단!$A$5:$A$404,0))),"번호 없음"))</f>
        <v/>
      </c>
      <c r="I183" s="25" t="str">
        <f aca="false">IF($B183="","",IF(COUNTIF($B$5:$B$1004,$B183)&gt;1,"중복 입력",""))</f>
        <v/>
      </c>
    </row>
    <row r="184" customFormat="false" ht="1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5" t="str">
        <f aca="false">IF($B184="","",IFERROR(IF(INDEX(명단!$B$5:$B$404,MATCH($B184,명단!$A$5:$A$404,0))="","(이름 미입력)",INDEX(명단!$B$5:$B$404,MATCH($B184,명단!$A$5:$A$404,0))),"번호 없음"))</f>
        <v/>
      </c>
      <c r="I184" s="25" t="str">
        <f aca="false">IF($B184="","",IF(COUNTIF($B$5:$B$1004,$B184)&gt;1,"중복 입력",""))</f>
        <v/>
      </c>
    </row>
    <row r="185" customFormat="false" ht="1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5" t="str">
        <f aca="false">IF($B185="","",IFERROR(IF(INDEX(명단!$B$5:$B$404,MATCH($B185,명단!$A$5:$A$404,0))="","(이름 미입력)",INDEX(명단!$B$5:$B$404,MATCH($B185,명단!$A$5:$A$404,0))),"번호 없음"))</f>
        <v/>
      </c>
      <c r="I185" s="25" t="str">
        <f aca="false">IF($B185="","",IF(COUNTIF($B$5:$B$1004,$B185)&gt;1,"중복 입력",""))</f>
        <v/>
      </c>
    </row>
    <row r="186" customFormat="false" ht="1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5" t="str">
        <f aca="false">IF($B186="","",IFERROR(IF(INDEX(명단!$B$5:$B$404,MATCH($B186,명단!$A$5:$A$404,0))="","(이름 미입력)",INDEX(명단!$B$5:$B$404,MATCH($B186,명단!$A$5:$A$404,0))),"번호 없음"))</f>
        <v/>
      </c>
      <c r="I186" s="25" t="str">
        <f aca="false">IF($B186="","",IF(COUNTIF($B$5:$B$1004,$B186)&gt;1,"중복 입력",""))</f>
        <v/>
      </c>
    </row>
    <row r="187" customFormat="false" ht="1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5" t="str">
        <f aca="false">IF($B187="","",IFERROR(IF(INDEX(명단!$B$5:$B$404,MATCH($B187,명단!$A$5:$A$404,0))="","(이름 미입력)",INDEX(명단!$B$5:$B$404,MATCH($B187,명단!$A$5:$A$404,0))),"번호 없음"))</f>
        <v/>
      </c>
      <c r="I187" s="25" t="str">
        <f aca="false">IF($B187="","",IF(COUNTIF($B$5:$B$1004,$B187)&gt;1,"중복 입력",""))</f>
        <v/>
      </c>
    </row>
    <row r="188" customFormat="false" ht="1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5" t="str">
        <f aca="false">IF($B188="","",IFERROR(IF(INDEX(명단!$B$5:$B$404,MATCH($B188,명단!$A$5:$A$404,0))="","(이름 미입력)",INDEX(명단!$B$5:$B$404,MATCH($B188,명단!$A$5:$A$404,0))),"번호 없음"))</f>
        <v/>
      </c>
      <c r="I188" s="25" t="str">
        <f aca="false">IF($B188="","",IF(COUNTIF($B$5:$B$1004,$B188)&gt;1,"중복 입력",""))</f>
        <v/>
      </c>
    </row>
    <row r="189" customFormat="false" ht="1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5" t="str">
        <f aca="false">IF($B189="","",IFERROR(IF(INDEX(명단!$B$5:$B$404,MATCH($B189,명단!$A$5:$A$404,0))="","(이름 미입력)",INDEX(명단!$B$5:$B$404,MATCH($B189,명단!$A$5:$A$404,0))),"번호 없음"))</f>
        <v/>
      </c>
      <c r="I189" s="25" t="str">
        <f aca="false">IF($B189="","",IF(COUNTIF($B$5:$B$1004,$B189)&gt;1,"중복 입력",""))</f>
        <v/>
      </c>
    </row>
    <row r="190" customFormat="false" ht="1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5" t="str">
        <f aca="false">IF($B190="","",IFERROR(IF(INDEX(명단!$B$5:$B$404,MATCH($B190,명단!$A$5:$A$404,0))="","(이름 미입력)",INDEX(명단!$B$5:$B$404,MATCH($B190,명단!$A$5:$A$404,0))),"번호 없음"))</f>
        <v/>
      </c>
      <c r="I190" s="25" t="str">
        <f aca="false">IF($B190="","",IF(COUNTIF($B$5:$B$1004,$B190)&gt;1,"중복 입력",""))</f>
        <v/>
      </c>
    </row>
    <row r="191" customFormat="false" ht="1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5" t="str">
        <f aca="false">IF($B191="","",IFERROR(IF(INDEX(명단!$B$5:$B$404,MATCH($B191,명단!$A$5:$A$404,0))="","(이름 미입력)",INDEX(명단!$B$5:$B$404,MATCH($B191,명단!$A$5:$A$404,0))),"번호 없음"))</f>
        <v/>
      </c>
      <c r="I191" s="25" t="str">
        <f aca="false">IF($B191="","",IF(COUNTIF($B$5:$B$1004,$B191)&gt;1,"중복 입력",""))</f>
        <v/>
      </c>
    </row>
    <row r="192" customFormat="false" ht="1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5" t="str">
        <f aca="false">IF($B192="","",IFERROR(IF(INDEX(명단!$B$5:$B$404,MATCH($B192,명단!$A$5:$A$404,0))="","(이름 미입력)",INDEX(명단!$B$5:$B$404,MATCH($B192,명단!$A$5:$A$404,0))),"번호 없음"))</f>
        <v/>
      </c>
      <c r="I192" s="25" t="str">
        <f aca="false">IF($B192="","",IF(COUNTIF($B$5:$B$1004,$B192)&gt;1,"중복 입력",""))</f>
        <v/>
      </c>
    </row>
    <row r="193" customFormat="false" ht="1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5" t="str">
        <f aca="false">IF($B193="","",IFERROR(IF(INDEX(명단!$B$5:$B$404,MATCH($B193,명단!$A$5:$A$404,0))="","(이름 미입력)",INDEX(명단!$B$5:$B$404,MATCH($B193,명단!$A$5:$A$404,0))),"번호 없음"))</f>
        <v/>
      </c>
      <c r="I193" s="25" t="str">
        <f aca="false">IF($B193="","",IF(COUNTIF($B$5:$B$1004,$B193)&gt;1,"중복 입력",""))</f>
        <v/>
      </c>
    </row>
    <row r="194" customFormat="false" ht="1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5" t="str">
        <f aca="false">IF($B194="","",IFERROR(IF(INDEX(명단!$B$5:$B$404,MATCH($B194,명단!$A$5:$A$404,0))="","(이름 미입력)",INDEX(명단!$B$5:$B$404,MATCH($B194,명단!$A$5:$A$404,0))),"번호 없음"))</f>
        <v/>
      </c>
      <c r="I194" s="25" t="str">
        <f aca="false">IF($B194="","",IF(COUNTIF($B$5:$B$1004,$B194)&gt;1,"중복 입력",""))</f>
        <v/>
      </c>
    </row>
    <row r="195" customFormat="false" ht="1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5" t="str">
        <f aca="false">IF($B195="","",IFERROR(IF(INDEX(명단!$B$5:$B$404,MATCH($B195,명단!$A$5:$A$404,0))="","(이름 미입력)",INDEX(명단!$B$5:$B$404,MATCH($B195,명단!$A$5:$A$404,0))),"번호 없음"))</f>
        <v/>
      </c>
      <c r="I195" s="25" t="str">
        <f aca="false">IF($B195="","",IF(COUNTIF($B$5:$B$1004,$B195)&gt;1,"중복 입력",""))</f>
        <v/>
      </c>
    </row>
    <row r="196" customFormat="false" ht="1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5" t="str">
        <f aca="false">IF($B196="","",IFERROR(IF(INDEX(명단!$B$5:$B$404,MATCH($B196,명단!$A$5:$A$404,0))="","(이름 미입력)",INDEX(명단!$B$5:$B$404,MATCH($B196,명단!$A$5:$A$404,0))),"번호 없음"))</f>
        <v/>
      </c>
      <c r="I196" s="25" t="str">
        <f aca="false">IF($B196="","",IF(COUNTIF($B$5:$B$1004,$B196)&gt;1,"중복 입력",""))</f>
        <v/>
      </c>
    </row>
    <row r="197" customFormat="false" ht="1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5" t="str">
        <f aca="false">IF($B197="","",IFERROR(IF(INDEX(명단!$B$5:$B$404,MATCH($B197,명단!$A$5:$A$404,0))="","(이름 미입력)",INDEX(명단!$B$5:$B$404,MATCH($B197,명단!$A$5:$A$404,0))),"번호 없음"))</f>
        <v/>
      </c>
      <c r="I197" s="25" t="str">
        <f aca="false">IF($B197="","",IF(COUNTIF($B$5:$B$1004,$B197)&gt;1,"중복 입력",""))</f>
        <v/>
      </c>
    </row>
    <row r="198" customFormat="false" ht="1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5" t="str">
        <f aca="false">IF($B198="","",IFERROR(IF(INDEX(명단!$B$5:$B$404,MATCH($B198,명단!$A$5:$A$404,0))="","(이름 미입력)",INDEX(명단!$B$5:$B$404,MATCH($B198,명단!$A$5:$A$404,0))),"번호 없음"))</f>
        <v/>
      </c>
      <c r="I198" s="25" t="str">
        <f aca="false">IF($B198="","",IF(COUNTIF($B$5:$B$1004,$B198)&gt;1,"중복 입력",""))</f>
        <v/>
      </c>
    </row>
    <row r="199" customFormat="false" ht="1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5" t="str">
        <f aca="false">IF($B199="","",IFERROR(IF(INDEX(명단!$B$5:$B$404,MATCH($B199,명단!$A$5:$A$404,0))="","(이름 미입력)",INDEX(명단!$B$5:$B$404,MATCH($B199,명단!$A$5:$A$404,0))),"번호 없음"))</f>
        <v/>
      </c>
      <c r="I199" s="25" t="str">
        <f aca="false">IF($B199="","",IF(COUNTIF($B$5:$B$1004,$B199)&gt;1,"중복 입력",""))</f>
        <v/>
      </c>
    </row>
    <row r="200" customFormat="false" ht="1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5" t="str">
        <f aca="false">IF($B200="","",IFERROR(IF(INDEX(명단!$B$5:$B$404,MATCH($B200,명단!$A$5:$A$404,0))="","(이름 미입력)",INDEX(명단!$B$5:$B$404,MATCH($B200,명단!$A$5:$A$404,0))),"번호 없음"))</f>
        <v/>
      </c>
      <c r="I200" s="25" t="str">
        <f aca="false">IF($B200="","",IF(COUNTIF($B$5:$B$1004,$B200)&gt;1,"중복 입력",""))</f>
        <v/>
      </c>
    </row>
    <row r="201" customFormat="false" ht="1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5" t="str">
        <f aca="false">IF($B201="","",IFERROR(IF(INDEX(명단!$B$5:$B$404,MATCH($B201,명단!$A$5:$A$404,0))="","(이름 미입력)",INDEX(명단!$B$5:$B$404,MATCH($B201,명단!$A$5:$A$404,0))),"번호 없음"))</f>
        <v/>
      </c>
      <c r="I201" s="25" t="str">
        <f aca="false">IF($B201="","",IF(COUNTIF($B$5:$B$1004,$B201)&gt;1,"중복 입력",""))</f>
        <v/>
      </c>
    </row>
    <row r="202" customFormat="false" ht="1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5" t="str">
        <f aca="false">IF($B202="","",IFERROR(IF(INDEX(명단!$B$5:$B$404,MATCH($B202,명단!$A$5:$A$404,0))="","(이름 미입력)",INDEX(명단!$B$5:$B$404,MATCH($B202,명단!$A$5:$A$404,0))),"번호 없음"))</f>
        <v/>
      </c>
      <c r="I202" s="25" t="str">
        <f aca="false">IF($B202="","",IF(COUNTIF($B$5:$B$1004,$B202)&gt;1,"중복 입력",""))</f>
        <v/>
      </c>
    </row>
    <row r="203" customFormat="false" ht="1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5" t="str">
        <f aca="false">IF($B203="","",IFERROR(IF(INDEX(명단!$B$5:$B$404,MATCH($B203,명단!$A$5:$A$404,0))="","(이름 미입력)",INDEX(명단!$B$5:$B$404,MATCH($B203,명단!$A$5:$A$404,0))),"번호 없음"))</f>
        <v/>
      </c>
      <c r="I203" s="25" t="str">
        <f aca="false">IF($B203="","",IF(COUNTIF($B$5:$B$1004,$B203)&gt;1,"중복 입력",""))</f>
        <v/>
      </c>
    </row>
    <row r="204" customFormat="false" ht="1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5" t="str">
        <f aca="false">IF($B204="","",IFERROR(IF(INDEX(명단!$B$5:$B$404,MATCH($B204,명단!$A$5:$A$404,0))="","(이름 미입력)",INDEX(명단!$B$5:$B$404,MATCH($B204,명단!$A$5:$A$404,0))),"번호 없음"))</f>
        <v/>
      </c>
      <c r="I204" s="25" t="str">
        <f aca="false">IF($B204="","",IF(COUNTIF($B$5:$B$1004,$B204)&gt;1,"중복 입력",""))</f>
        <v/>
      </c>
    </row>
    <row r="205" customFormat="false" ht="1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5" t="str">
        <f aca="false">IF($B205="","",IFERROR(IF(INDEX(명단!$B$5:$B$404,MATCH($B205,명단!$A$5:$A$404,0))="","(이름 미입력)",INDEX(명단!$B$5:$B$404,MATCH($B205,명단!$A$5:$A$404,0))),"번호 없음"))</f>
        <v/>
      </c>
      <c r="I205" s="25" t="str">
        <f aca="false">IF($B205="","",IF(COUNTIF($B$5:$B$1004,$B205)&gt;1,"중복 입력",""))</f>
        <v/>
      </c>
    </row>
    <row r="206" customFormat="false" ht="1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5" t="str">
        <f aca="false">IF($B206="","",IFERROR(IF(INDEX(명단!$B$5:$B$404,MATCH($B206,명단!$A$5:$A$404,0))="","(이름 미입력)",INDEX(명단!$B$5:$B$404,MATCH($B206,명단!$A$5:$A$404,0))),"번호 없음"))</f>
        <v/>
      </c>
      <c r="I206" s="25" t="str">
        <f aca="false">IF($B206="","",IF(COUNTIF($B$5:$B$1004,$B206)&gt;1,"중복 입력",""))</f>
        <v/>
      </c>
    </row>
    <row r="207" customFormat="false" ht="1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5" t="str">
        <f aca="false">IF($B207="","",IFERROR(IF(INDEX(명단!$B$5:$B$404,MATCH($B207,명단!$A$5:$A$404,0))="","(이름 미입력)",INDEX(명단!$B$5:$B$404,MATCH($B207,명단!$A$5:$A$404,0))),"번호 없음"))</f>
        <v/>
      </c>
      <c r="I207" s="25" t="str">
        <f aca="false">IF($B207="","",IF(COUNTIF($B$5:$B$1004,$B207)&gt;1,"중복 입력",""))</f>
        <v/>
      </c>
    </row>
    <row r="208" customFormat="false" ht="1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5" t="str">
        <f aca="false">IF($B208="","",IFERROR(IF(INDEX(명단!$B$5:$B$404,MATCH($B208,명단!$A$5:$A$404,0))="","(이름 미입력)",INDEX(명단!$B$5:$B$404,MATCH($B208,명단!$A$5:$A$404,0))),"번호 없음"))</f>
        <v/>
      </c>
      <c r="I208" s="25" t="str">
        <f aca="false">IF($B208="","",IF(COUNTIF($B$5:$B$1004,$B208)&gt;1,"중복 입력",""))</f>
        <v/>
      </c>
    </row>
    <row r="209" customFormat="false" ht="1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5" t="str">
        <f aca="false">IF($B209="","",IFERROR(IF(INDEX(명단!$B$5:$B$404,MATCH($B209,명단!$A$5:$A$404,0))="","(이름 미입력)",INDEX(명단!$B$5:$B$404,MATCH($B209,명단!$A$5:$A$404,0))),"번호 없음"))</f>
        <v/>
      </c>
      <c r="I209" s="25" t="str">
        <f aca="false">IF($B209="","",IF(COUNTIF($B$5:$B$1004,$B209)&gt;1,"중복 입력",""))</f>
        <v/>
      </c>
    </row>
    <row r="210" customFormat="false" ht="1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5" t="str">
        <f aca="false">IF($B210="","",IFERROR(IF(INDEX(명단!$B$5:$B$404,MATCH($B210,명단!$A$5:$A$404,0))="","(이름 미입력)",INDEX(명단!$B$5:$B$404,MATCH($B210,명단!$A$5:$A$404,0))),"번호 없음"))</f>
        <v/>
      </c>
      <c r="I210" s="25" t="str">
        <f aca="false">IF($B210="","",IF(COUNTIF($B$5:$B$1004,$B210)&gt;1,"중복 입력",""))</f>
        <v/>
      </c>
    </row>
    <row r="211" customFormat="false" ht="1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5" t="str">
        <f aca="false">IF($B211="","",IFERROR(IF(INDEX(명단!$B$5:$B$404,MATCH($B211,명단!$A$5:$A$404,0))="","(이름 미입력)",INDEX(명단!$B$5:$B$404,MATCH($B211,명단!$A$5:$A$404,0))),"번호 없음"))</f>
        <v/>
      </c>
      <c r="I211" s="25" t="str">
        <f aca="false">IF($B211="","",IF(COUNTIF($B$5:$B$1004,$B211)&gt;1,"중복 입력",""))</f>
        <v/>
      </c>
    </row>
    <row r="212" customFormat="false" ht="1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5" t="str">
        <f aca="false">IF($B212="","",IFERROR(IF(INDEX(명단!$B$5:$B$404,MATCH($B212,명단!$A$5:$A$404,0))="","(이름 미입력)",INDEX(명단!$B$5:$B$404,MATCH($B212,명단!$A$5:$A$404,0))),"번호 없음"))</f>
        <v/>
      </c>
      <c r="I212" s="25" t="str">
        <f aca="false">IF($B212="","",IF(COUNTIF($B$5:$B$1004,$B212)&gt;1,"중복 입력",""))</f>
        <v/>
      </c>
    </row>
    <row r="213" customFormat="false" ht="1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5" t="str">
        <f aca="false">IF($B213="","",IFERROR(IF(INDEX(명단!$B$5:$B$404,MATCH($B213,명단!$A$5:$A$404,0))="","(이름 미입력)",INDEX(명단!$B$5:$B$404,MATCH($B213,명단!$A$5:$A$404,0))),"번호 없음"))</f>
        <v/>
      </c>
      <c r="I213" s="25" t="str">
        <f aca="false">IF($B213="","",IF(COUNTIF($B$5:$B$1004,$B213)&gt;1,"중복 입력",""))</f>
        <v/>
      </c>
    </row>
    <row r="214" customFormat="false" ht="1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5" t="str">
        <f aca="false">IF($B214="","",IFERROR(IF(INDEX(명단!$B$5:$B$404,MATCH($B214,명단!$A$5:$A$404,0))="","(이름 미입력)",INDEX(명단!$B$5:$B$404,MATCH($B214,명단!$A$5:$A$404,0))),"번호 없음"))</f>
        <v/>
      </c>
      <c r="I214" s="25" t="str">
        <f aca="false">IF($B214="","",IF(COUNTIF($B$5:$B$1004,$B214)&gt;1,"중복 입력",""))</f>
        <v/>
      </c>
    </row>
    <row r="215" customFormat="false" ht="1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5" t="str">
        <f aca="false">IF($B215="","",IFERROR(IF(INDEX(명단!$B$5:$B$404,MATCH($B215,명단!$A$5:$A$404,0))="","(이름 미입력)",INDEX(명단!$B$5:$B$404,MATCH($B215,명단!$A$5:$A$404,0))),"번호 없음"))</f>
        <v/>
      </c>
      <c r="I215" s="25" t="str">
        <f aca="false">IF($B215="","",IF(COUNTIF($B$5:$B$1004,$B215)&gt;1,"중복 입력",""))</f>
        <v/>
      </c>
    </row>
    <row r="216" customFormat="false" ht="1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5" t="str">
        <f aca="false">IF($B216="","",IFERROR(IF(INDEX(명단!$B$5:$B$404,MATCH($B216,명단!$A$5:$A$404,0))="","(이름 미입력)",INDEX(명단!$B$5:$B$404,MATCH($B216,명단!$A$5:$A$404,0))),"번호 없음"))</f>
        <v/>
      </c>
      <c r="I216" s="25" t="str">
        <f aca="false">IF($B216="","",IF(COUNTIF($B$5:$B$1004,$B216)&gt;1,"중복 입력",""))</f>
        <v/>
      </c>
    </row>
    <row r="217" customFormat="false" ht="1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5" t="str">
        <f aca="false">IF($B217="","",IFERROR(IF(INDEX(명단!$B$5:$B$404,MATCH($B217,명단!$A$5:$A$404,0))="","(이름 미입력)",INDEX(명단!$B$5:$B$404,MATCH($B217,명단!$A$5:$A$404,0))),"번호 없음"))</f>
        <v/>
      </c>
      <c r="I217" s="25" t="str">
        <f aca="false">IF($B217="","",IF(COUNTIF($B$5:$B$1004,$B217)&gt;1,"중복 입력",""))</f>
        <v/>
      </c>
    </row>
    <row r="218" customFormat="false" ht="1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5" t="str">
        <f aca="false">IF($B218="","",IFERROR(IF(INDEX(명단!$B$5:$B$404,MATCH($B218,명단!$A$5:$A$404,0))="","(이름 미입력)",INDEX(명단!$B$5:$B$404,MATCH($B218,명단!$A$5:$A$404,0))),"번호 없음"))</f>
        <v/>
      </c>
      <c r="I218" s="25" t="str">
        <f aca="false">IF($B218="","",IF(COUNTIF($B$5:$B$1004,$B218)&gt;1,"중복 입력",""))</f>
        <v/>
      </c>
    </row>
    <row r="219" customFormat="false" ht="1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5" t="str">
        <f aca="false">IF($B219="","",IFERROR(IF(INDEX(명단!$B$5:$B$404,MATCH($B219,명단!$A$5:$A$404,0))="","(이름 미입력)",INDEX(명단!$B$5:$B$404,MATCH($B219,명단!$A$5:$A$404,0))),"번호 없음"))</f>
        <v/>
      </c>
      <c r="I219" s="25" t="str">
        <f aca="false">IF($B219="","",IF(COUNTIF($B$5:$B$1004,$B219)&gt;1,"중복 입력",""))</f>
        <v/>
      </c>
    </row>
    <row r="220" customFormat="false" ht="1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5" t="str">
        <f aca="false">IF($B220="","",IFERROR(IF(INDEX(명단!$B$5:$B$404,MATCH($B220,명단!$A$5:$A$404,0))="","(이름 미입력)",INDEX(명단!$B$5:$B$404,MATCH($B220,명단!$A$5:$A$404,0))),"번호 없음"))</f>
        <v/>
      </c>
      <c r="I220" s="25" t="str">
        <f aca="false">IF($B220="","",IF(COUNTIF($B$5:$B$1004,$B220)&gt;1,"중복 입력",""))</f>
        <v/>
      </c>
    </row>
    <row r="221" customFormat="false" ht="1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5" t="str">
        <f aca="false">IF($B221="","",IFERROR(IF(INDEX(명단!$B$5:$B$404,MATCH($B221,명단!$A$5:$A$404,0))="","(이름 미입력)",INDEX(명단!$B$5:$B$404,MATCH($B221,명단!$A$5:$A$404,0))),"번호 없음"))</f>
        <v/>
      </c>
      <c r="I221" s="25" t="str">
        <f aca="false">IF($B221="","",IF(COUNTIF($B$5:$B$1004,$B221)&gt;1,"중복 입력",""))</f>
        <v/>
      </c>
    </row>
    <row r="222" customFormat="false" ht="1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5" t="str">
        <f aca="false">IF($B222="","",IFERROR(IF(INDEX(명단!$B$5:$B$404,MATCH($B222,명단!$A$5:$A$404,0))="","(이름 미입력)",INDEX(명단!$B$5:$B$404,MATCH($B222,명단!$A$5:$A$404,0))),"번호 없음"))</f>
        <v/>
      </c>
      <c r="I222" s="25" t="str">
        <f aca="false">IF($B222="","",IF(COUNTIF($B$5:$B$1004,$B222)&gt;1,"중복 입력",""))</f>
        <v/>
      </c>
    </row>
    <row r="223" customFormat="false" ht="1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5" t="str">
        <f aca="false">IF($B223="","",IFERROR(IF(INDEX(명단!$B$5:$B$404,MATCH($B223,명단!$A$5:$A$404,0))="","(이름 미입력)",INDEX(명단!$B$5:$B$404,MATCH($B223,명단!$A$5:$A$404,0))),"번호 없음"))</f>
        <v/>
      </c>
      <c r="I223" s="25" t="str">
        <f aca="false">IF($B223="","",IF(COUNTIF($B$5:$B$1004,$B223)&gt;1,"중복 입력",""))</f>
        <v/>
      </c>
    </row>
    <row r="224" customFormat="false" ht="1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5" t="str">
        <f aca="false">IF($B224="","",IFERROR(IF(INDEX(명단!$B$5:$B$404,MATCH($B224,명단!$A$5:$A$404,0))="","(이름 미입력)",INDEX(명단!$B$5:$B$404,MATCH($B224,명단!$A$5:$A$404,0))),"번호 없음"))</f>
        <v/>
      </c>
      <c r="I224" s="25" t="str">
        <f aca="false">IF($B224="","",IF(COUNTIF($B$5:$B$1004,$B224)&gt;1,"중복 입력",""))</f>
        <v/>
      </c>
    </row>
    <row r="225" customFormat="false" ht="1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5" t="str">
        <f aca="false">IF($B225="","",IFERROR(IF(INDEX(명단!$B$5:$B$404,MATCH($B225,명단!$A$5:$A$404,0))="","(이름 미입력)",INDEX(명단!$B$5:$B$404,MATCH($B225,명단!$A$5:$A$404,0))),"번호 없음"))</f>
        <v/>
      </c>
      <c r="I225" s="25" t="str">
        <f aca="false">IF($B225="","",IF(COUNTIF($B$5:$B$1004,$B225)&gt;1,"중복 입력",""))</f>
        <v/>
      </c>
    </row>
    <row r="226" customFormat="false" ht="1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5" t="str">
        <f aca="false">IF($B226="","",IFERROR(IF(INDEX(명단!$B$5:$B$404,MATCH($B226,명단!$A$5:$A$404,0))="","(이름 미입력)",INDEX(명단!$B$5:$B$404,MATCH($B226,명단!$A$5:$A$404,0))),"번호 없음"))</f>
        <v/>
      </c>
      <c r="I226" s="25" t="str">
        <f aca="false">IF($B226="","",IF(COUNTIF($B$5:$B$1004,$B226)&gt;1,"중복 입력",""))</f>
        <v/>
      </c>
    </row>
    <row r="227" customFormat="false" ht="1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5" t="str">
        <f aca="false">IF($B227="","",IFERROR(IF(INDEX(명단!$B$5:$B$404,MATCH($B227,명단!$A$5:$A$404,0))="","(이름 미입력)",INDEX(명단!$B$5:$B$404,MATCH($B227,명단!$A$5:$A$404,0))),"번호 없음"))</f>
        <v/>
      </c>
      <c r="I227" s="25" t="str">
        <f aca="false">IF($B227="","",IF(COUNTIF($B$5:$B$1004,$B227)&gt;1,"중복 입력",""))</f>
        <v/>
      </c>
    </row>
    <row r="228" customFormat="false" ht="1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5" t="str">
        <f aca="false">IF($B228="","",IFERROR(IF(INDEX(명단!$B$5:$B$404,MATCH($B228,명단!$A$5:$A$404,0))="","(이름 미입력)",INDEX(명단!$B$5:$B$404,MATCH($B228,명단!$A$5:$A$404,0))),"번호 없음"))</f>
        <v/>
      </c>
      <c r="I228" s="25" t="str">
        <f aca="false">IF($B228="","",IF(COUNTIF($B$5:$B$1004,$B228)&gt;1,"중복 입력",""))</f>
        <v/>
      </c>
    </row>
    <row r="229" customFormat="false" ht="1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5" t="str">
        <f aca="false">IF($B229="","",IFERROR(IF(INDEX(명단!$B$5:$B$404,MATCH($B229,명단!$A$5:$A$404,0))="","(이름 미입력)",INDEX(명단!$B$5:$B$404,MATCH($B229,명단!$A$5:$A$404,0))),"번호 없음"))</f>
        <v/>
      </c>
      <c r="I229" s="25" t="str">
        <f aca="false">IF($B229="","",IF(COUNTIF($B$5:$B$1004,$B229)&gt;1,"중복 입력",""))</f>
        <v/>
      </c>
    </row>
    <row r="230" customFormat="false" ht="1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5" t="str">
        <f aca="false">IF($B230="","",IFERROR(IF(INDEX(명단!$B$5:$B$404,MATCH($B230,명단!$A$5:$A$404,0))="","(이름 미입력)",INDEX(명단!$B$5:$B$404,MATCH($B230,명단!$A$5:$A$404,0))),"번호 없음"))</f>
        <v/>
      </c>
      <c r="I230" s="25" t="str">
        <f aca="false">IF($B230="","",IF(COUNTIF($B$5:$B$1004,$B230)&gt;1,"중복 입력",""))</f>
        <v/>
      </c>
    </row>
    <row r="231" customFormat="false" ht="1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5" t="str">
        <f aca="false">IF($B231="","",IFERROR(IF(INDEX(명단!$B$5:$B$404,MATCH($B231,명단!$A$5:$A$404,0))="","(이름 미입력)",INDEX(명단!$B$5:$B$404,MATCH($B231,명단!$A$5:$A$404,0))),"번호 없음"))</f>
        <v/>
      </c>
      <c r="I231" s="25" t="str">
        <f aca="false">IF($B231="","",IF(COUNTIF($B$5:$B$1004,$B231)&gt;1,"중복 입력",""))</f>
        <v/>
      </c>
    </row>
    <row r="232" customFormat="false" ht="1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5" t="str">
        <f aca="false">IF($B232="","",IFERROR(IF(INDEX(명단!$B$5:$B$404,MATCH($B232,명단!$A$5:$A$404,0))="","(이름 미입력)",INDEX(명단!$B$5:$B$404,MATCH($B232,명단!$A$5:$A$404,0))),"번호 없음"))</f>
        <v/>
      </c>
      <c r="I232" s="25" t="str">
        <f aca="false">IF($B232="","",IF(COUNTIF($B$5:$B$1004,$B232)&gt;1,"중복 입력",""))</f>
        <v/>
      </c>
    </row>
    <row r="233" customFormat="false" ht="1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5" t="str">
        <f aca="false">IF($B233="","",IFERROR(IF(INDEX(명단!$B$5:$B$404,MATCH($B233,명단!$A$5:$A$404,0))="","(이름 미입력)",INDEX(명단!$B$5:$B$404,MATCH($B233,명단!$A$5:$A$404,0))),"번호 없음"))</f>
        <v/>
      </c>
      <c r="I233" s="25" t="str">
        <f aca="false">IF($B233="","",IF(COUNTIF($B$5:$B$1004,$B233)&gt;1,"중복 입력",""))</f>
        <v/>
      </c>
    </row>
    <row r="234" customFormat="false" ht="1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5" t="str">
        <f aca="false">IF($B234="","",IFERROR(IF(INDEX(명단!$B$5:$B$404,MATCH($B234,명단!$A$5:$A$404,0))="","(이름 미입력)",INDEX(명단!$B$5:$B$404,MATCH($B234,명단!$A$5:$A$404,0))),"번호 없음"))</f>
        <v/>
      </c>
      <c r="I234" s="25" t="str">
        <f aca="false">IF($B234="","",IF(COUNTIF($B$5:$B$1004,$B234)&gt;1,"중복 입력",""))</f>
        <v/>
      </c>
    </row>
    <row r="235" customFormat="false" ht="1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5" t="str">
        <f aca="false">IF($B235="","",IFERROR(IF(INDEX(명단!$B$5:$B$404,MATCH($B235,명단!$A$5:$A$404,0))="","(이름 미입력)",INDEX(명단!$B$5:$B$404,MATCH($B235,명단!$A$5:$A$404,0))),"번호 없음"))</f>
        <v/>
      </c>
      <c r="I235" s="25" t="str">
        <f aca="false">IF($B235="","",IF(COUNTIF($B$5:$B$1004,$B235)&gt;1,"중복 입력",""))</f>
        <v/>
      </c>
    </row>
    <row r="236" customFormat="false" ht="1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5" t="str">
        <f aca="false">IF($B236="","",IFERROR(IF(INDEX(명단!$B$5:$B$404,MATCH($B236,명단!$A$5:$A$404,0))="","(이름 미입력)",INDEX(명단!$B$5:$B$404,MATCH($B236,명단!$A$5:$A$404,0))),"번호 없음"))</f>
        <v/>
      </c>
      <c r="I236" s="25" t="str">
        <f aca="false">IF($B236="","",IF(COUNTIF($B$5:$B$1004,$B236)&gt;1,"중복 입력",""))</f>
        <v/>
      </c>
    </row>
    <row r="237" customFormat="false" ht="1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5" t="str">
        <f aca="false">IF($B237="","",IFERROR(IF(INDEX(명단!$B$5:$B$404,MATCH($B237,명단!$A$5:$A$404,0))="","(이름 미입력)",INDEX(명단!$B$5:$B$404,MATCH($B237,명단!$A$5:$A$404,0))),"번호 없음"))</f>
        <v/>
      </c>
      <c r="I237" s="25" t="str">
        <f aca="false">IF($B237="","",IF(COUNTIF($B$5:$B$1004,$B237)&gt;1,"중복 입력",""))</f>
        <v/>
      </c>
    </row>
    <row r="238" customFormat="false" ht="1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5" t="str">
        <f aca="false">IF($B238="","",IFERROR(IF(INDEX(명단!$B$5:$B$404,MATCH($B238,명단!$A$5:$A$404,0))="","(이름 미입력)",INDEX(명단!$B$5:$B$404,MATCH($B238,명단!$A$5:$A$404,0))),"번호 없음"))</f>
        <v/>
      </c>
      <c r="I238" s="25" t="str">
        <f aca="false">IF($B238="","",IF(COUNTIF($B$5:$B$1004,$B238)&gt;1,"중복 입력",""))</f>
        <v/>
      </c>
    </row>
    <row r="239" customFormat="false" ht="1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5" t="str">
        <f aca="false">IF($B239="","",IFERROR(IF(INDEX(명단!$B$5:$B$404,MATCH($B239,명단!$A$5:$A$404,0))="","(이름 미입력)",INDEX(명단!$B$5:$B$404,MATCH($B239,명단!$A$5:$A$404,0))),"번호 없음"))</f>
        <v/>
      </c>
      <c r="I239" s="25" t="str">
        <f aca="false">IF($B239="","",IF(COUNTIF($B$5:$B$1004,$B239)&gt;1,"중복 입력",""))</f>
        <v/>
      </c>
    </row>
    <row r="240" customFormat="false" ht="1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5" t="str">
        <f aca="false">IF($B240="","",IFERROR(IF(INDEX(명단!$B$5:$B$404,MATCH($B240,명단!$A$5:$A$404,0))="","(이름 미입력)",INDEX(명단!$B$5:$B$404,MATCH($B240,명단!$A$5:$A$404,0))),"번호 없음"))</f>
        <v/>
      </c>
      <c r="I240" s="25" t="str">
        <f aca="false">IF($B240="","",IF(COUNTIF($B$5:$B$1004,$B240)&gt;1,"중복 입력",""))</f>
        <v/>
      </c>
    </row>
    <row r="241" customFormat="false" ht="1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5" t="str">
        <f aca="false">IF($B241="","",IFERROR(IF(INDEX(명단!$B$5:$B$404,MATCH($B241,명단!$A$5:$A$404,0))="","(이름 미입력)",INDEX(명단!$B$5:$B$404,MATCH($B241,명단!$A$5:$A$404,0))),"번호 없음"))</f>
        <v/>
      </c>
      <c r="I241" s="25" t="str">
        <f aca="false">IF($B241="","",IF(COUNTIF($B$5:$B$1004,$B241)&gt;1,"중복 입력",""))</f>
        <v/>
      </c>
    </row>
    <row r="242" customFormat="false" ht="1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5" t="str">
        <f aca="false">IF($B242="","",IFERROR(IF(INDEX(명단!$B$5:$B$404,MATCH($B242,명단!$A$5:$A$404,0))="","(이름 미입력)",INDEX(명단!$B$5:$B$404,MATCH($B242,명단!$A$5:$A$404,0))),"번호 없음"))</f>
        <v/>
      </c>
      <c r="I242" s="25" t="str">
        <f aca="false">IF($B242="","",IF(COUNTIF($B$5:$B$1004,$B242)&gt;1,"중복 입력",""))</f>
        <v/>
      </c>
    </row>
    <row r="243" customFormat="false" ht="1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5" t="str">
        <f aca="false">IF($B243="","",IFERROR(IF(INDEX(명단!$B$5:$B$404,MATCH($B243,명단!$A$5:$A$404,0))="","(이름 미입력)",INDEX(명단!$B$5:$B$404,MATCH($B243,명단!$A$5:$A$404,0))),"번호 없음"))</f>
        <v/>
      </c>
      <c r="I243" s="25" t="str">
        <f aca="false">IF($B243="","",IF(COUNTIF($B$5:$B$1004,$B243)&gt;1,"중복 입력",""))</f>
        <v/>
      </c>
    </row>
    <row r="244" customFormat="false" ht="1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5" t="str">
        <f aca="false">IF($B244="","",IFERROR(IF(INDEX(명단!$B$5:$B$404,MATCH($B244,명단!$A$5:$A$404,0))="","(이름 미입력)",INDEX(명단!$B$5:$B$404,MATCH($B244,명단!$A$5:$A$404,0))),"번호 없음"))</f>
        <v/>
      </c>
      <c r="I244" s="25" t="str">
        <f aca="false">IF($B244="","",IF(COUNTIF($B$5:$B$1004,$B244)&gt;1,"중복 입력",""))</f>
        <v/>
      </c>
    </row>
    <row r="245" customFormat="false" ht="1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5" t="str">
        <f aca="false">IF($B245="","",IFERROR(IF(INDEX(명단!$B$5:$B$404,MATCH($B245,명단!$A$5:$A$404,0))="","(이름 미입력)",INDEX(명단!$B$5:$B$404,MATCH($B245,명단!$A$5:$A$404,0))),"번호 없음"))</f>
        <v/>
      </c>
      <c r="I245" s="25" t="str">
        <f aca="false">IF($B245="","",IF(COUNTIF($B$5:$B$1004,$B245)&gt;1,"중복 입력",""))</f>
        <v/>
      </c>
    </row>
    <row r="246" customFormat="false" ht="1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5" t="str">
        <f aca="false">IF($B246="","",IFERROR(IF(INDEX(명단!$B$5:$B$404,MATCH($B246,명단!$A$5:$A$404,0))="","(이름 미입력)",INDEX(명단!$B$5:$B$404,MATCH($B246,명단!$A$5:$A$404,0))),"번호 없음"))</f>
        <v/>
      </c>
      <c r="I246" s="25" t="str">
        <f aca="false">IF($B246="","",IF(COUNTIF($B$5:$B$1004,$B246)&gt;1,"중복 입력",""))</f>
        <v/>
      </c>
    </row>
    <row r="247" customFormat="false" ht="1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5" t="str">
        <f aca="false">IF($B247="","",IFERROR(IF(INDEX(명단!$B$5:$B$404,MATCH($B247,명단!$A$5:$A$404,0))="","(이름 미입력)",INDEX(명단!$B$5:$B$404,MATCH($B247,명단!$A$5:$A$404,0))),"번호 없음"))</f>
        <v/>
      </c>
      <c r="I247" s="25" t="str">
        <f aca="false">IF($B247="","",IF(COUNTIF($B$5:$B$1004,$B247)&gt;1,"중복 입력",""))</f>
        <v/>
      </c>
    </row>
    <row r="248" customFormat="false" ht="1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5" t="str">
        <f aca="false">IF($B248="","",IFERROR(IF(INDEX(명단!$B$5:$B$404,MATCH($B248,명단!$A$5:$A$404,0))="","(이름 미입력)",INDEX(명단!$B$5:$B$404,MATCH($B248,명단!$A$5:$A$404,0))),"번호 없음"))</f>
        <v/>
      </c>
      <c r="I248" s="25" t="str">
        <f aca="false">IF($B248="","",IF(COUNTIF($B$5:$B$1004,$B248)&gt;1,"중복 입력",""))</f>
        <v/>
      </c>
    </row>
    <row r="249" customFormat="false" ht="1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5" t="str">
        <f aca="false">IF($B249="","",IFERROR(IF(INDEX(명단!$B$5:$B$404,MATCH($B249,명단!$A$5:$A$404,0))="","(이름 미입력)",INDEX(명단!$B$5:$B$404,MATCH($B249,명단!$A$5:$A$404,0))),"번호 없음"))</f>
        <v/>
      </c>
      <c r="I249" s="25" t="str">
        <f aca="false">IF($B249="","",IF(COUNTIF($B$5:$B$1004,$B249)&gt;1,"중복 입력",""))</f>
        <v/>
      </c>
    </row>
    <row r="250" customFormat="false" ht="1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5" t="str">
        <f aca="false">IF($B250="","",IFERROR(IF(INDEX(명단!$B$5:$B$404,MATCH($B250,명단!$A$5:$A$404,0))="","(이름 미입력)",INDEX(명단!$B$5:$B$404,MATCH($B250,명단!$A$5:$A$404,0))),"번호 없음"))</f>
        <v/>
      </c>
      <c r="I250" s="25" t="str">
        <f aca="false">IF($B250="","",IF(COUNTIF($B$5:$B$1004,$B250)&gt;1,"중복 입력",""))</f>
        <v/>
      </c>
    </row>
    <row r="251" customFormat="false" ht="1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5" t="str">
        <f aca="false">IF($B251="","",IFERROR(IF(INDEX(명단!$B$5:$B$404,MATCH($B251,명단!$A$5:$A$404,0))="","(이름 미입력)",INDEX(명단!$B$5:$B$404,MATCH($B251,명단!$A$5:$A$404,0))),"번호 없음"))</f>
        <v/>
      </c>
      <c r="I251" s="25" t="str">
        <f aca="false">IF($B251="","",IF(COUNTIF($B$5:$B$1004,$B251)&gt;1,"중복 입력",""))</f>
        <v/>
      </c>
    </row>
    <row r="252" customFormat="false" ht="1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5" t="str">
        <f aca="false">IF($B252="","",IFERROR(IF(INDEX(명단!$B$5:$B$404,MATCH($B252,명단!$A$5:$A$404,0))="","(이름 미입력)",INDEX(명단!$B$5:$B$404,MATCH($B252,명단!$A$5:$A$404,0))),"번호 없음"))</f>
        <v/>
      </c>
      <c r="I252" s="25" t="str">
        <f aca="false">IF($B252="","",IF(COUNTIF($B$5:$B$1004,$B252)&gt;1,"중복 입력",""))</f>
        <v/>
      </c>
    </row>
    <row r="253" customFormat="false" ht="1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5" t="str">
        <f aca="false">IF($B253="","",IFERROR(IF(INDEX(명단!$B$5:$B$404,MATCH($B253,명단!$A$5:$A$404,0))="","(이름 미입력)",INDEX(명단!$B$5:$B$404,MATCH($B253,명단!$A$5:$A$404,0))),"번호 없음"))</f>
        <v/>
      </c>
      <c r="I253" s="25" t="str">
        <f aca="false">IF($B253="","",IF(COUNTIF($B$5:$B$1004,$B253)&gt;1,"중복 입력",""))</f>
        <v/>
      </c>
    </row>
    <row r="254" customFormat="false" ht="1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5" t="str">
        <f aca="false">IF($B254="","",IFERROR(IF(INDEX(명단!$B$5:$B$404,MATCH($B254,명단!$A$5:$A$404,0))="","(이름 미입력)",INDEX(명단!$B$5:$B$404,MATCH($B254,명단!$A$5:$A$404,0))),"번호 없음"))</f>
        <v/>
      </c>
      <c r="I254" s="25" t="str">
        <f aca="false">IF($B254="","",IF(COUNTIF($B$5:$B$1004,$B254)&gt;1,"중복 입력",""))</f>
        <v/>
      </c>
    </row>
    <row r="255" customFormat="false" ht="1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5" t="str">
        <f aca="false">IF($B255="","",IFERROR(IF(INDEX(명단!$B$5:$B$404,MATCH($B255,명단!$A$5:$A$404,0))="","(이름 미입력)",INDEX(명단!$B$5:$B$404,MATCH($B255,명단!$A$5:$A$404,0))),"번호 없음"))</f>
        <v/>
      </c>
      <c r="I255" s="25" t="str">
        <f aca="false">IF($B255="","",IF(COUNTIF($B$5:$B$1004,$B255)&gt;1,"중복 입력",""))</f>
        <v/>
      </c>
    </row>
    <row r="256" customFormat="false" ht="1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5" t="str">
        <f aca="false">IF($B256="","",IFERROR(IF(INDEX(명단!$B$5:$B$404,MATCH($B256,명단!$A$5:$A$404,0))="","(이름 미입력)",INDEX(명단!$B$5:$B$404,MATCH($B256,명단!$A$5:$A$404,0))),"번호 없음"))</f>
        <v/>
      </c>
      <c r="I256" s="25" t="str">
        <f aca="false">IF($B256="","",IF(COUNTIF($B$5:$B$1004,$B256)&gt;1,"중복 입력",""))</f>
        <v/>
      </c>
    </row>
    <row r="257" customFormat="false" ht="1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5" t="str">
        <f aca="false">IF($B257="","",IFERROR(IF(INDEX(명단!$B$5:$B$404,MATCH($B257,명단!$A$5:$A$404,0))="","(이름 미입력)",INDEX(명단!$B$5:$B$404,MATCH($B257,명단!$A$5:$A$404,0))),"번호 없음"))</f>
        <v/>
      </c>
      <c r="I257" s="25" t="str">
        <f aca="false">IF($B257="","",IF(COUNTIF($B$5:$B$1004,$B257)&gt;1,"중복 입력",""))</f>
        <v/>
      </c>
    </row>
    <row r="258" customFormat="false" ht="1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5" t="str">
        <f aca="false">IF($B258="","",IFERROR(IF(INDEX(명단!$B$5:$B$404,MATCH($B258,명단!$A$5:$A$404,0))="","(이름 미입력)",INDEX(명단!$B$5:$B$404,MATCH($B258,명단!$A$5:$A$404,0))),"번호 없음"))</f>
        <v/>
      </c>
      <c r="I258" s="25" t="str">
        <f aca="false">IF($B258="","",IF(COUNTIF($B$5:$B$1004,$B258)&gt;1,"중복 입력",""))</f>
        <v/>
      </c>
    </row>
    <row r="259" customFormat="false" ht="1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5" t="str">
        <f aca="false">IF($B259="","",IFERROR(IF(INDEX(명단!$B$5:$B$404,MATCH($B259,명단!$A$5:$A$404,0))="","(이름 미입력)",INDEX(명단!$B$5:$B$404,MATCH($B259,명단!$A$5:$A$404,0))),"번호 없음"))</f>
        <v/>
      </c>
      <c r="I259" s="25" t="str">
        <f aca="false">IF($B259="","",IF(COUNTIF($B$5:$B$1004,$B259)&gt;1,"중복 입력",""))</f>
        <v/>
      </c>
    </row>
    <row r="260" customFormat="false" ht="1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5" t="str">
        <f aca="false">IF($B260="","",IFERROR(IF(INDEX(명단!$B$5:$B$404,MATCH($B260,명단!$A$5:$A$404,0))="","(이름 미입력)",INDEX(명단!$B$5:$B$404,MATCH($B260,명단!$A$5:$A$404,0))),"번호 없음"))</f>
        <v/>
      </c>
      <c r="I260" s="25" t="str">
        <f aca="false">IF($B260="","",IF(COUNTIF($B$5:$B$1004,$B260)&gt;1,"중복 입력",""))</f>
        <v/>
      </c>
    </row>
    <row r="261" customFormat="false" ht="1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5" t="str">
        <f aca="false">IF($B261="","",IFERROR(IF(INDEX(명단!$B$5:$B$404,MATCH($B261,명단!$A$5:$A$404,0))="","(이름 미입력)",INDEX(명단!$B$5:$B$404,MATCH($B261,명단!$A$5:$A$404,0))),"번호 없음"))</f>
        <v/>
      </c>
      <c r="I261" s="25" t="str">
        <f aca="false">IF($B261="","",IF(COUNTIF($B$5:$B$1004,$B261)&gt;1,"중복 입력",""))</f>
        <v/>
      </c>
    </row>
    <row r="262" customFormat="false" ht="1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5" t="str">
        <f aca="false">IF($B262="","",IFERROR(IF(INDEX(명단!$B$5:$B$404,MATCH($B262,명단!$A$5:$A$404,0))="","(이름 미입력)",INDEX(명단!$B$5:$B$404,MATCH($B262,명단!$A$5:$A$404,0))),"번호 없음"))</f>
        <v/>
      </c>
      <c r="I262" s="25" t="str">
        <f aca="false">IF($B262="","",IF(COUNTIF($B$5:$B$1004,$B262)&gt;1,"중복 입력",""))</f>
        <v/>
      </c>
    </row>
    <row r="263" customFormat="false" ht="1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5" t="str">
        <f aca="false">IF($B263="","",IFERROR(IF(INDEX(명단!$B$5:$B$404,MATCH($B263,명단!$A$5:$A$404,0))="","(이름 미입력)",INDEX(명단!$B$5:$B$404,MATCH($B263,명단!$A$5:$A$404,0))),"번호 없음"))</f>
        <v/>
      </c>
      <c r="I263" s="25" t="str">
        <f aca="false">IF($B263="","",IF(COUNTIF($B$5:$B$1004,$B263)&gt;1,"중복 입력",""))</f>
        <v/>
      </c>
    </row>
    <row r="264" customFormat="false" ht="1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5" t="str">
        <f aca="false">IF($B264="","",IFERROR(IF(INDEX(명단!$B$5:$B$404,MATCH($B264,명단!$A$5:$A$404,0))="","(이름 미입력)",INDEX(명단!$B$5:$B$404,MATCH($B264,명단!$A$5:$A$404,0))),"번호 없음"))</f>
        <v/>
      </c>
      <c r="I264" s="25" t="str">
        <f aca="false">IF($B264="","",IF(COUNTIF($B$5:$B$1004,$B264)&gt;1,"중복 입력",""))</f>
        <v/>
      </c>
    </row>
    <row r="265" customFormat="false" ht="1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5" t="str">
        <f aca="false">IF($B265="","",IFERROR(IF(INDEX(명단!$B$5:$B$404,MATCH($B265,명단!$A$5:$A$404,0))="","(이름 미입력)",INDEX(명단!$B$5:$B$404,MATCH($B265,명단!$A$5:$A$404,0))),"번호 없음"))</f>
        <v/>
      </c>
      <c r="I265" s="25" t="str">
        <f aca="false">IF($B265="","",IF(COUNTIF($B$5:$B$1004,$B265)&gt;1,"중복 입력",""))</f>
        <v/>
      </c>
    </row>
    <row r="266" customFormat="false" ht="1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5" t="str">
        <f aca="false">IF($B266="","",IFERROR(IF(INDEX(명단!$B$5:$B$404,MATCH($B266,명단!$A$5:$A$404,0))="","(이름 미입력)",INDEX(명단!$B$5:$B$404,MATCH($B266,명단!$A$5:$A$404,0))),"번호 없음"))</f>
        <v/>
      </c>
      <c r="I266" s="25" t="str">
        <f aca="false">IF($B266="","",IF(COUNTIF($B$5:$B$1004,$B266)&gt;1,"중복 입력",""))</f>
        <v/>
      </c>
    </row>
    <row r="267" customFormat="false" ht="1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5" t="str">
        <f aca="false">IF($B267="","",IFERROR(IF(INDEX(명단!$B$5:$B$404,MATCH($B267,명단!$A$5:$A$404,0))="","(이름 미입력)",INDEX(명단!$B$5:$B$404,MATCH($B267,명단!$A$5:$A$404,0))),"번호 없음"))</f>
        <v/>
      </c>
      <c r="I267" s="25" t="str">
        <f aca="false">IF($B267="","",IF(COUNTIF($B$5:$B$1004,$B267)&gt;1,"중복 입력",""))</f>
        <v/>
      </c>
    </row>
    <row r="268" customFormat="false" ht="1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5" t="str">
        <f aca="false">IF($B268="","",IFERROR(IF(INDEX(명단!$B$5:$B$404,MATCH($B268,명단!$A$5:$A$404,0))="","(이름 미입력)",INDEX(명단!$B$5:$B$404,MATCH($B268,명단!$A$5:$A$404,0))),"번호 없음"))</f>
        <v/>
      </c>
      <c r="I268" s="25" t="str">
        <f aca="false">IF($B268="","",IF(COUNTIF($B$5:$B$1004,$B268)&gt;1,"중복 입력",""))</f>
        <v/>
      </c>
    </row>
    <row r="269" customFormat="false" ht="1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5" t="str">
        <f aca="false">IF($B269="","",IFERROR(IF(INDEX(명단!$B$5:$B$404,MATCH($B269,명단!$A$5:$A$404,0))="","(이름 미입력)",INDEX(명단!$B$5:$B$404,MATCH($B269,명단!$A$5:$A$404,0))),"번호 없음"))</f>
        <v/>
      </c>
      <c r="I269" s="25" t="str">
        <f aca="false">IF($B269="","",IF(COUNTIF($B$5:$B$1004,$B269)&gt;1,"중복 입력",""))</f>
        <v/>
      </c>
    </row>
    <row r="270" customFormat="false" ht="1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5" t="str">
        <f aca="false">IF($B270="","",IFERROR(IF(INDEX(명단!$B$5:$B$404,MATCH($B270,명단!$A$5:$A$404,0))="","(이름 미입력)",INDEX(명단!$B$5:$B$404,MATCH($B270,명단!$A$5:$A$404,0))),"번호 없음"))</f>
        <v/>
      </c>
      <c r="I270" s="25" t="str">
        <f aca="false">IF($B270="","",IF(COUNTIF($B$5:$B$1004,$B270)&gt;1,"중복 입력",""))</f>
        <v/>
      </c>
    </row>
    <row r="271" customFormat="false" ht="1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5" t="str">
        <f aca="false">IF($B271="","",IFERROR(IF(INDEX(명단!$B$5:$B$404,MATCH($B271,명단!$A$5:$A$404,0))="","(이름 미입력)",INDEX(명단!$B$5:$B$404,MATCH($B271,명단!$A$5:$A$404,0))),"번호 없음"))</f>
        <v/>
      </c>
      <c r="I271" s="25" t="str">
        <f aca="false">IF($B271="","",IF(COUNTIF($B$5:$B$1004,$B271)&gt;1,"중복 입력",""))</f>
        <v/>
      </c>
    </row>
    <row r="272" customFormat="false" ht="1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5" t="str">
        <f aca="false">IF($B272="","",IFERROR(IF(INDEX(명단!$B$5:$B$404,MATCH($B272,명단!$A$5:$A$404,0))="","(이름 미입력)",INDEX(명단!$B$5:$B$404,MATCH($B272,명단!$A$5:$A$404,0))),"번호 없음"))</f>
        <v/>
      </c>
      <c r="I272" s="25" t="str">
        <f aca="false">IF($B272="","",IF(COUNTIF($B$5:$B$1004,$B272)&gt;1,"중복 입력",""))</f>
        <v/>
      </c>
    </row>
    <row r="273" customFormat="false" ht="1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5" t="str">
        <f aca="false">IF($B273="","",IFERROR(IF(INDEX(명단!$B$5:$B$404,MATCH($B273,명단!$A$5:$A$404,0))="","(이름 미입력)",INDEX(명단!$B$5:$B$404,MATCH($B273,명단!$A$5:$A$404,0))),"번호 없음"))</f>
        <v/>
      </c>
      <c r="I273" s="25" t="str">
        <f aca="false">IF($B273="","",IF(COUNTIF($B$5:$B$1004,$B273)&gt;1,"중복 입력",""))</f>
        <v/>
      </c>
    </row>
    <row r="274" customFormat="false" ht="1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5" t="str">
        <f aca="false">IF($B274="","",IFERROR(IF(INDEX(명단!$B$5:$B$404,MATCH($B274,명단!$A$5:$A$404,0))="","(이름 미입력)",INDEX(명단!$B$5:$B$404,MATCH($B274,명단!$A$5:$A$404,0))),"번호 없음"))</f>
        <v/>
      </c>
      <c r="I274" s="25" t="str">
        <f aca="false">IF($B274="","",IF(COUNTIF($B$5:$B$1004,$B274)&gt;1,"중복 입력",""))</f>
        <v/>
      </c>
    </row>
    <row r="275" customFormat="false" ht="1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5" t="str">
        <f aca="false">IF($B275="","",IFERROR(IF(INDEX(명단!$B$5:$B$404,MATCH($B275,명단!$A$5:$A$404,0))="","(이름 미입력)",INDEX(명단!$B$5:$B$404,MATCH($B275,명단!$A$5:$A$404,0))),"번호 없음"))</f>
        <v/>
      </c>
      <c r="I275" s="25" t="str">
        <f aca="false">IF($B275="","",IF(COUNTIF($B$5:$B$1004,$B275)&gt;1,"중복 입력",""))</f>
        <v/>
      </c>
    </row>
    <row r="276" customFormat="false" ht="1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5" t="str">
        <f aca="false">IF($B276="","",IFERROR(IF(INDEX(명단!$B$5:$B$404,MATCH($B276,명단!$A$5:$A$404,0))="","(이름 미입력)",INDEX(명단!$B$5:$B$404,MATCH($B276,명단!$A$5:$A$404,0))),"번호 없음"))</f>
        <v/>
      </c>
      <c r="I276" s="25" t="str">
        <f aca="false">IF($B276="","",IF(COUNTIF($B$5:$B$1004,$B276)&gt;1,"중복 입력",""))</f>
        <v/>
      </c>
    </row>
    <row r="277" customFormat="false" ht="1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5" t="str">
        <f aca="false">IF($B277="","",IFERROR(IF(INDEX(명단!$B$5:$B$404,MATCH($B277,명단!$A$5:$A$404,0))="","(이름 미입력)",INDEX(명단!$B$5:$B$404,MATCH($B277,명단!$A$5:$A$404,0))),"번호 없음"))</f>
        <v/>
      </c>
      <c r="I277" s="25" t="str">
        <f aca="false">IF($B277="","",IF(COUNTIF($B$5:$B$1004,$B277)&gt;1,"중복 입력",""))</f>
        <v/>
      </c>
    </row>
    <row r="278" customFormat="false" ht="1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5" t="str">
        <f aca="false">IF($B278="","",IFERROR(IF(INDEX(명단!$B$5:$B$404,MATCH($B278,명단!$A$5:$A$404,0))="","(이름 미입력)",INDEX(명단!$B$5:$B$404,MATCH($B278,명단!$A$5:$A$404,0))),"번호 없음"))</f>
        <v/>
      </c>
      <c r="I278" s="25" t="str">
        <f aca="false">IF($B278="","",IF(COUNTIF($B$5:$B$1004,$B278)&gt;1,"중복 입력",""))</f>
        <v/>
      </c>
    </row>
    <row r="279" customFormat="false" ht="1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5" t="str">
        <f aca="false">IF($B279="","",IFERROR(IF(INDEX(명단!$B$5:$B$404,MATCH($B279,명단!$A$5:$A$404,0))="","(이름 미입력)",INDEX(명단!$B$5:$B$404,MATCH($B279,명단!$A$5:$A$404,0))),"번호 없음"))</f>
        <v/>
      </c>
      <c r="I279" s="25" t="str">
        <f aca="false">IF($B279="","",IF(COUNTIF($B$5:$B$1004,$B279)&gt;1,"중복 입력",""))</f>
        <v/>
      </c>
    </row>
    <row r="280" customFormat="false" ht="1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5" t="str">
        <f aca="false">IF($B280="","",IFERROR(IF(INDEX(명단!$B$5:$B$404,MATCH($B280,명단!$A$5:$A$404,0))="","(이름 미입력)",INDEX(명단!$B$5:$B$404,MATCH($B280,명단!$A$5:$A$404,0))),"번호 없음"))</f>
        <v/>
      </c>
      <c r="I280" s="25" t="str">
        <f aca="false">IF($B280="","",IF(COUNTIF($B$5:$B$1004,$B280)&gt;1,"중복 입력",""))</f>
        <v/>
      </c>
    </row>
    <row r="281" customFormat="false" ht="1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5" t="str">
        <f aca="false">IF($B281="","",IFERROR(IF(INDEX(명단!$B$5:$B$404,MATCH($B281,명단!$A$5:$A$404,0))="","(이름 미입력)",INDEX(명단!$B$5:$B$404,MATCH($B281,명단!$A$5:$A$404,0))),"번호 없음"))</f>
        <v/>
      </c>
      <c r="I281" s="25" t="str">
        <f aca="false">IF($B281="","",IF(COUNTIF($B$5:$B$1004,$B281)&gt;1,"중복 입력",""))</f>
        <v/>
      </c>
    </row>
    <row r="282" customFormat="false" ht="1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5" t="str">
        <f aca="false">IF($B282="","",IFERROR(IF(INDEX(명단!$B$5:$B$404,MATCH($B282,명단!$A$5:$A$404,0))="","(이름 미입력)",INDEX(명단!$B$5:$B$404,MATCH($B282,명단!$A$5:$A$404,0))),"번호 없음"))</f>
        <v/>
      </c>
      <c r="I282" s="25" t="str">
        <f aca="false">IF($B282="","",IF(COUNTIF($B$5:$B$1004,$B282)&gt;1,"중복 입력",""))</f>
        <v/>
      </c>
    </row>
    <row r="283" customFormat="false" ht="1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5" t="str">
        <f aca="false">IF($B283="","",IFERROR(IF(INDEX(명단!$B$5:$B$404,MATCH($B283,명단!$A$5:$A$404,0))="","(이름 미입력)",INDEX(명단!$B$5:$B$404,MATCH($B283,명단!$A$5:$A$404,0))),"번호 없음"))</f>
        <v/>
      </c>
      <c r="I283" s="25" t="str">
        <f aca="false">IF($B283="","",IF(COUNTIF($B$5:$B$1004,$B283)&gt;1,"중복 입력",""))</f>
        <v/>
      </c>
    </row>
    <row r="284" customFormat="false" ht="1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5" t="str">
        <f aca="false">IF($B284="","",IFERROR(IF(INDEX(명단!$B$5:$B$404,MATCH($B284,명단!$A$5:$A$404,0))="","(이름 미입력)",INDEX(명단!$B$5:$B$404,MATCH($B284,명단!$A$5:$A$404,0))),"번호 없음"))</f>
        <v/>
      </c>
      <c r="I284" s="25" t="str">
        <f aca="false">IF($B284="","",IF(COUNTIF($B$5:$B$1004,$B284)&gt;1,"중복 입력",""))</f>
        <v/>
      </c>
    </row>
    <row r="285" customFormat="false" ht="1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5" t="str">
        <f aca="false">IF($B285="","",IFERROR(IF(INDEX(명단!$B$5:$B$404,MATCH($B285,명단!$A$5:$A$404,0))="","(이름 미입력)",INDEX(명단!$B$5:$B$404,MATCH($B285,명단!$A$5:$A$404,0))),"번호 없음"))</f>
        <v/>
      </c>
      <c r="I285" s="25" t="str">
        <f aca="false">IF($B285="","",IF(COUNTIF($B$5:$B$1004,$B285)&gt;1,"중복 입력",""))</f>
        <v/>
      </c>
    </row>
    <row r="286" customFormat="false" ht="1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5" t="str">
        <f aca="false">IF($B286="","",IFERROR(IF(INDEX(명단!$B$5:$B$404,MATCH($B286,명단!$A$5:$A$404,0))="","(이름 미입력)",INDEX(명단!$B$5:$B$404,MATCH($B286,명단!$A$5:$A$404,0))),"번호 없음"))</f>
        <v/>
      </c>
      <c r="I286" s="25" t="str">
        <f aca="false">IF($B286="","",IF(COUNTIF($B$5:$B$1004,$B286)&gt;1,"중복 입력",""))</f>
        <v/>
      </c>
    </row>
    <row r="287" customFormat="false" ht="1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5" t="str">
        <f aca="false">IF($B287="","",IFERROR(IF(INDEX(명단!$B$5:$B$404,MATCH($B287,명단!$A$5:$A$404,0))="","(이름 미입력)",INDEX(명단!$B$5:$B$404,MATCH($B287,명단!$A$5:$A$404,0))),"번호 없음"))</f>
        <v/>
      </c>
      <c r="I287" s="25" t="str">
        <f aca="false">IF($B287="","",IF(COUNTIF($B$5:$B$1004,$B287)&gt;1,"중복 입력",""))</f>
        <v/>
      </c>
    </row>
    <row r="288" customFormat="false" ht="1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5" t="str">
        <f aca="false">IF($B288="","",IFERROR(IF(INDEX(명단!$B$5:$B$404,MATCH($B288,명단!$A$5:$A$404,0))="","(이름 미입력)",INDEX(명단!$B$5:$B$404,MATCH($B288,명단!$A$5:$A$404,0))),"번호 없음"))</f>
        <v/>
      </c>
      <c r="I288" s="25" t="str">
        <f aca="false">IF($B288="","",IF(COUNTIF($B$5:$B$1004,$B288)&gt;1,"중복 입력",""))</f>
        <v/>
      </c>
    </row>
    <row r="289" customFormat="false" ht="1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5" t="str">
        <f aca="false">IF($B289="","",IFERROR(IF(INDEX(명단!$B$5:$B$404,MATCH($B289,명단!$A$5:$A$404,0))="","(이름 미입력)",INDEX(명단!$B$5:$B$404,MATCH($B289,명단!$A$5:$A$404,0))),"번호 없음"))</f>
        <v/>
      </c>
      <c r="I289" s="25" t="str">
        <f aca="false">IF($B289="","",IF(COUNTIF($B$5:$B$1004,$B289)&gt;1,"중복 입력",""))</f>
        <v/>
      </c>
    </row>
    <row r="290" customFormat="false" ht="1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5" t="str">
        <f aca="false">IF($B290="","",IFERROR(IF(INDEX(명단!$B$5:$B$404,MATCH($B290,명단!$A$5:$A$404,0))="","(이름 미입력)",INDEX(명단!$B$5:$B$404,MATCH($B290,명단!$A$5:$A$404,0))),"번호 없음"))</f>
        <v/>
      </c>
      <c r="I290" s="25" t="str">
        <f aca="false">IF($B290="","",IF(COUNTIF($B$5:$B$1004,$B290)&gt;1,"중복 입력",""))</f>
        <v/>
      </c>
    </row>
    <row r="291" customFormat="false" ht="1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5" t="str">
        <f aca="false">IF($B291="","",IFERROR(IF(INDEX(명단!$B$5:$B$404,MATCH($B291,명단!$A$5:$A$404,0))="","(이름 미입력)",INDEX(명단!$B$5:$B$404,MATCH($B291,명단!$A$5:$A$404,0))),"번호 없음"))</f>
        <v/>
      </c>
      <c r="I291" s="25" t="str">
        <f aca="false">IF($B291="","",IF(COUNTIF($B$5:$B$1004,$B291)&gt;1,"중복 입력",""))</f>
        <v/>
      </c>
    </row>
    <row r="292" customFormat="false" ht="1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5" t="str">
        <f aca="false">IF($B292="","",IFERROR(IF(INDEX(명단!$B$5:$B$404,MATCH($B292,명단!$A$5:$A$404,0))="","(이름 미입력)",INDEX(명단!$B$5:$B$404,MATCH($B292,명단!$A$5:$A$404,0))),"번호 없음"))</f>
        <v/>
      </c>
      <c r="I292" s="25" t="str">
        <f aca="false">IF($B292="","",IF(COUNTIF($B$5:$B$1004,$B292)&gt;1,"중복 입력",""))</f>
        <v/>
      </c>
    </row>
    <row r="293" customFormat="false" ht="1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5" t="str">
        <f aca="false">IF($B293="","",IFERROR(IF(INDEX(명단!$B$5:$B$404,MATCH($B293,명단!$A$5:$A$404,0))="","(이름 미입력)",INDEX(명단!$B$5:$B$404,MATCH($B293,명단!$A$5:$A$404,0))),"번호 없음"))</f>
        <v/>
      </c>
      <c r="I293" s="25" t="str">
        <f aca="false">IF($B293="","",IF(COUNTIF($B$5:$B$1004,$B293)&gt;1,"중복 입력",""))</f>
        <v/>
      </c>
    </row>
    <row r="294" customFormat="false" ht="1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5" t="str">
        <f aca="false">IF($B294="","",IFERROR(IF(INDEX(명단!$B$5:$B$404,MATCH($B294,명단!$A$5:$A$404,0))="","(이름 미입력)",INDEX(명단!$B$5:$B$404,MATCH($B294,명단!$A$5:$A$404,0))),"번호 없음"))</f>
        <v/>
      </c>
      <c r="I294" s="25" t="str">
        <f aca="false">IF($B294="","",IF(COUNTIF($B$5:$B$1004,$B294)&gt;1,"중복 입력",""))</f>
        <v/>
      </c>
    </row>
    <row r="295" customFormat="false" ht="1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5" t="str">
        <f aca="false">IF($B295="","",IFERROR(IF(INDEX(명단!$B$5:$B$404,MATCH($B295,명단!$A$5:$A$404,0))="","(이름 미입력)",INDEX(명단!$B$5:$B$404,MATCH($B295,명단!$A$5:$A$404,0))),"번호 없음"))</f>
        <v/>
      </c>
      <c r="I295" s="25" t="str">
        <f aca="false">IF($B295="","",IF(COUNTIF($B$5:$B$1004,$B295)&gt;1,"중복 입력",""))</f>
        <v/>
      </c>
    </row>
    <row r="296" customFormat="false" ht="1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5" t="str">
        <f aca="false">IF($B296="","",IFERROR(IF(INDEX(명단!$B$5:$B$404,MATCH($B296,명단!$A$5:$A$404,0))="","(이름 미입력)",INDEX(명단!$B$5:$B$404,MATCH($B296,명단!$A$5:$A$404,0))),"번호 없음"))</f>
        <v/>
      </c>
      <c r="I296" s="25" t="str">
        <f aca="false">IF($B296="","",IF(COUNTIF($B$5:$B$1004,$B296)&gt;1,"중복 입력",""))</f>
        <v/>
      </c>
    </row>
    <row r="297" customFormat="false" ht="1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5" t="str">
        <f aca="false">IF($B297="","",IFERROR(IF(INDEX(명단!$B$5:$B$404,MATCH($B297,명단!$A$5:$A$404,0))="","(이름 미입력)",INDEX(명단!$B$5:$B$404,MATCH($B297,명단!$A$5:$A$404,0))),"번호 없음"))</f>
        <v/>
      </c>
      <c r="I297" s="25" t="str">
        <f aca="false">IF($B297="","",IF(COUNTIF($B$5:$B$1004,$B297)&gt;1,"중복 입력",""))</f>
        <v/>
      </c>
    </row>
    <row r="298" customFormat="false" ht="1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5" t="str">
        <f aca="false">IF($B298="","",IFERROR(IF(INDEX(명단!$B$5:$B$404,MATCH($B298,명단!$A$5:$A$404,0))="","(이름 미입력)",INDEX(명단!$B$5:$B$404,MATCH($B298,명단!$A$5:$A$404,0))),"번호 없음"))</f>
        <v/>
      </c>
      <c r="I298" s="25" t="str">
        <f aca="false">IF($B298="","",IF(COUNTIF($B$5:$B$1004,$B298)&gt;1,"중복 입력",""))</f>
        <v/>
      </c>
    </row>
    <row r="299" customFormat="false" ht="1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5" t="str">
        <f aca="false">IF($B299="","",IFERROR(IF(INDEX(명단!$B$5:$B$404,MATCH($B299,명단!$A$5:$A$404,0))="","(이름 미입력)",INDEX(명단!$B$5:$B$404,MATCH($B299,명단!$A$5:$A$404,0))),"번호 없음"))</f>
        <v/>
      </c>
      <c r="I299" s="25" t="str">
        <f aca="false">IF($B299="","",IF(COUNTIF($B$5:$B$1004,$B299)&gt;1,"중복 입력",""))</f>
        <v/>
      </c>
    </row>
    <row r="300" customFormat="false" ht="1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5" t="str">
        <f aca="false">IF($B300="","",IFERROR(IF(INDEX(명단!$B$5:$B$404,MATCH($B300,명단!$A$5:$A$404,0))="","(이름 미입력)",INDEX(명단!$B$5:$B$404,MATCH($B300,명단!$A$5:$A$404,0))),"번호 없음"))</f>
        <v/>
      </c>
      <c r="I300" s="25" t="str">
        <f aca="false">IF($B300="","",IF(COUNTIF($B$5:$B$1004,$B300)&gt;1,"중복 입력",""))</f>
        <v/>
      </c>
    </row>
    <row r="301" customFormat="false" ht="1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5" t="str">
        <f aca="false">IF($B301="","",IFERROR(IF(INDEX(명단!$B$5:$B$404,MATCH($B301,명단!$A$5:$A$404,0))="","(이름 미입력)",INDEX(명단!$B$5:$B$404,MATCH($B301,명단!$A$5:$A$404,0))),"번호 없음"))</f>
        <v/>
      </c>
      <c r="I301" s="25" t="str">
        <f aca="false">IF($B301="","",IF(COUNTIF($B$5:$B$1004,$B301)&gt;1,"중복 입력",""))</f>
        <v/>
      </c>
    </row>
    <row r="302" customFormat="false" ht="1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5" t="str">
        <f aca="false">IF($B302="","",IFERROR(IF(INDEX(명단!$B$5:$B$404,MATCH($B302,명단!$A$5:$A$404,0))="","(이름 미입력)",INDEX(명단!$B$5:$B$404,MATCH($B302,명단!$A$5:$A$404,0))),"번호 없음"))</f>
        <v/>
      </c>
      <c r="I302" s="25" t="str">
        <f aca="false">IF($B302="","",IF(COUNTIF($B$5:$B$1004,$B302)&gt;1,"중복 입력",""))</f>
        <v/>
      </c>
    </row>
    <row r="303" customFormat="false" ht="1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5" t="str">
        <f aca="false">IF($B303="","",IFERROR(IF(INDEX(명단!$B$5:$B$404,MATCH($B303,명단!$A$5:$A$404,0))="","(이름 미입력)",INDEX(명단!$B$5:$B$404,MATCH($B303,명단!$A$5:$A$404,0))),"번호 없음"))</f>
        <v/>
      </c>
      <c r="I303" s="25" t="str">
        <f aca="false">IF($B303="","",IF(COUNTIF($B$5:$B$1004,$B303)&gt;1,"중복 입력",""))</f>
        <v/>
      </c>
    </row>
    <row r="304" customFormat="false" ht="1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5" t="str">
        <f aca="false">IF($B304="","",IFERROR(IF(INDEX(명단!$B$5:$B$404,MATCH($B304,명단!$A$5:$A$404,0))="","(이름 미입력)",INDEX(명단!$B$5:$B$404,MATCH($B304,명단!$A$5:$A$404,0))),"번호 없음"))</f>
        <v/>
      </c>
      <c r="I304" s="25" t="str">
        <f aca="false">IF($B304="","",IF(COUNTIF($B$5:$B$1004,$B304)&gt;1,"중복 입력",""))</f>
        <v/>
      </c>
    </row>
    <row r="305" customFormat="false" ht="1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5" t="str">
        <f aca="false">IF($B305="","",IFERROR(IF(INDEX(명단!$B$5:$B$404,MATCH($B305,명단!$A$5:$A$404,0))="","(이름 미입력)",INDEX(명단!$B$5:$B$404,MATCH($B305,명단!$A$5:$A$404,0))),"번호 없음"))</f>
        <v/>
      </c>
      <c r="I305" s="25" t="str">
        <f aca="false">IF($B305="","",IF(COUNTIF($B$5:$B$1004,$B305)&gt;1,"중복 입력",""))</f>
        <v/>
      </c>
    </row>
    <row r="306" customFormat="false" ht="1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5" t="str">
        <f aca="false">IF($B306="","",IFERROR(IF(INDEX(명단!$B$5:$B$404,MATCH($B306,명단!$A$5:$A$404,0))="","(이름 미입력)",INDEX(명단!$B$5:$B$404,MATCH($B306,명단!$A$5:$A$404,0))),"번호 없음"))</f>
        <v/>
      </c>
      <c r="I306" s="25" t="str">
        <f aca="false">IF($B306="","",IF(COUNTIF($B$5:$B$1004,$B306)&gt;1,"중복 입력",""))</f>
        <v/>
      </c>
    </row>
    <row r="307" customFormat="false" ht="1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5" t="str">
        <f aca="false">IF($B307="","",IFERROR(IF(INDEX(명단!$B$5:$B$404,MATCH($B307,명단!$A$5:$A$404,0))="","(이름 미입력)",INDEX(명단!$B$5:$B$404,MATCH($B307,명단!$A$5:$A$404,0))),"번호 없음"))</f>
        <v/>
      </c>
      <c r="I307" s="25" t="str">
        <f aca="false">IF($B307="","",IF(COUNTIF($B$5:$B$1004,$B307)&gt;1,"중복 입력",""))</f>
        <v/>
      </c>
    </row>
    <row r="308" customFormat="false" ht="1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5" t="str">
        <f aca="false">IF($B308="","",IFERROR(IF(INDEX(명단!$B$5:$B$404,MATCH($B308,명단!$A$5:$A$404,0))="","(이름 미입력)",INDEX(명단!$B$5:$B$404,MATCH($B308,명단!$A$5:$A$404,0))),"번호 없음"))</f>
        <v/>
      </c>
      <c r="I308" s="25" t="str">
        <f aca="false">IF($B308="","",IF(COUNTIF($B$5:$B$1004,$B308)&gt;1,"중복 입력",""))</f>
        <v/>
      </c>
    </row>
    <row r="309" customFormat="false" ht="1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5" t="str">
        <f aca="false">IF($B309="","",IFERROR(IF(INDEX(명단!$B$5:$B$404,MATCH($B309,명단!$A$5:$A$404,0))="","(이름 미입력)",INDEX(명단!$B$5:$B$404,MATCH($B309,명단!$A$5:$A$404,0))),"번호 없음"))</f>
        <v/>
      </c>
      <c r="I309" s="25" t="str">
        <f aca="false">IF($B309="","",IF(COUNTIF($B$5:$B$1004,$B309)&gt;1,"중복 입력",""))</f>
        <v/>
      </c>
    </row>
    <row r="310" customFormat="false" ht="1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5" t="str">
        <f aca="false">IF($B310="","",IFERROR(IF(INDEX(명단!$B$5:$B$404,MATCH($B310,명단!$A$5:$A$404,0))="","(이름 미입력)",INDEX(명단!$B$5:$B$404,MATCH($B310,명단!$A$5:$A$404,0))),"번호 없음"))</f>
        <v/>
      </c>
      <c r="I310" s="25" t="str">
        <f aca="false">IF($B310="","",IF(COUNTIF($B$5:$B$1004,$B310)&gt;1,"중복 입력",""))</f>
        <v/>
      </c>
    </row>
    <row r="311" customFormat="false" ht="1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5" t="str">
        <f aca="false">IF($B311="","",IFERROR(IF(INDEX(명단!$B$5:$B$404,MATCH($B311,명단!$A$5:$A$404,0))="","(이름 미입력)",INDEX(명단!$B$5:$B$404,MATCH($B311,명단!$A$5:$A$404,0))),"번호 없음"))</f>
        <v/>
      </c>
      <c r="I311" s="25" t="str">
        <f aca="false">IF($B311="","",IF(COUNTIF($B$5:$B$1004,$B311)&gt;1,"중복 입력",""))</f>
        <v/>
      </c>
    </row>
    <row r="312" customFormat="false" ht="1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5" t="str">
        <f aca="false">IF($B312="","",IFERROR(IF(INDEX(명단!$B$5:$B$404,MATCH($B312,명단!$A$5:$A$404,0))="","(이름 미입력)",INDEX(명단!$B$5:$B$404,MATCH($B312,명단!$A$5:$A$404,0))),"번호 없음"))</f>
        <v/>
      </c>
      <c r="I312" s="25" t="str">
        <f aca="false">IF($B312="","",IF(COUNTIF($B$5:$B$1004,$B312)&gt;1,"중복 입력",""))</f>
        <v/>
      </c>
    </row>
    <row r="313" customFormat="false" ht="1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5" t="str">
        <f aca="false">IF($B313="","",IFERROR(IF(INDEX(명단!$B$5:$B$404,MATCH($B313,명단!$A$5:$A$404,0))="","(이름 미입력)",INDEX(명단!$B$5:$B$404,MATCH($B313,명단!$A$5:$A$404,0))),"번호 없음"))</f>
        <v/>
      </c>
      <c r="I313" s="25" t="str">
        <f aca="false">IF($B313="","",IF(COUNTIF($B$5:$B$1004,$B313)&gt;1,"중복 입력",""))</f>
        <v/>
      </c>
    </row>
    <row r="314" customFormat="false" ht="1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5" t="str">
        <f aca="false">IF($B314="","",IFERROR(IF(INDEX(명단!$B$5:$B$404,MATCH($B314,명단!$A$5:$A$404,0))="","(이름 미입력)",INDEX(명단!$B$5:$B$404,MATCH($B314,명단!$A$5:$A$404,0))),"번호 없음"))</f>
        <v/>
      </c>
      <c r="I314" s="25" t="str">
        <f aca="false">IF($B314="","",IF(COUNTIF($B$5:$B$1004,$B314)&gt;1,"중복 입력",""))</f>
        <v/>
      </c>
    </row>
    <row r="315" customFormat="false" ht="1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5" t="str">
        <f aca="false">IF($B315="","",IFERROR(IF(INDEX(명단!$B$5:$B$404,MATCH($B315,명단!$A$5:$A$404,0))="","(이름 미입력)",INDEX(명단!$B$5:$B$404,MATCH($B315,명단!$A$5:$A$404,0))),"번호 없음"))</f>
        <v/>
      </c>
      <c r="I315" s="25" t="str">
        <f aca="false">IF($B315="","",IF(COUNTIF($B$5:$B$1004,$B315)&gt;1,"중복 입력",""))</f>
        <v/>
      </c>
    </row>
    <row r="316" customFormat="false" ht="1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5" t="str">
        <f aca="false">IF($B316="","",IFERROR(IF(INDEX(명단!$B$5:$B$404,MATCH($B316,명단!$A$5:$A$404,0))="","(이름 미입력)",INDEX(명단!$B$5:$B$404,MATCH($B316,명단!$A$5:$A$404,0))),"번호 없음"))</f>
        <v/>
      </c>
      <c r="I316" s="25" t="str">
        <f aca="false">IF($B316="","",IF(COUNTIF($B$5:$B$1004,$B316)&gt;1,"중복 입력",""))</f>
        <v/>
      </c>
    </row>
    <row r="317" customFormat="false" ht="1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5" t="str">
        <f aca="false">IF($B317="","",IFERROR(IF(INDEX(명단!$B$5:$B$404,MATCH($B317,명단!$A$5:$A$404,0))="","(이름 미입력)",INDEX(명단!$B$5:$B$404,MATCH($B317,명단!$A$5:$A$404,0))),"번호 없음"))</f>
        <v/>
      </c>
      <c r="I317" s="25" t="str">
        <f aca="false">IF($B317="","",IF(COUNTIF($B$5:$B$1004,$B317)&gt;1,"중복 입력",""))</f>
        <v/>
      </c>
    </row>
    <row r="318" customFormat="false" ht="1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5" t="str">
        <f aca="false">IF($B318="","",IFERROR(IF(INDEX(명단!$B$5:$B$404,MATCH($B318,명단!$A$5:$A$404,0))="","(이름 미입력)",INDEX(명단!$B$5:$B$404,MATCH($B318,명단!$A$5:$A$404,0))),"번호 없음"))</f>
        <v/>
      </c>
      <c r="I318" s="25" t="str">
        <f aca="false">IF($B318="","",IF(COUNTIF($B$5:$B$1004,$B318)&gt;1,"중복 입력",""))</f>
        <v/>
      </c>
    </row>
    <row r="319" customFormat="false" ht="1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5" t="str">
        <f aca="false">IF($B319="","",IFERROR(IF(INDEX(명단!$B$5:$B$404,MATCH($B319,명단!$A$5:$A$404,0))="","(이름 미입력)",INDEX(명단!$B$5:$B$404,MATCH($B319,명단!$A$5:$A$404,0))),"번호 없음"))</f>
        <v/>
      </c>
      <c r="I319" s="25" t="str">
        <f aca="false">IF($B319="","",IF(COUNTIF($B$5:$B$1004,$B319)&gt;1,"중복 입력",""))</f>
        <v/>
      </c>
    </row>
    <row r="320" customFormat="false" ht="1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5" t="str">
        <f aca="false">IF($B320="","",IFERROR(IF(INDEX(명단!$B$5:$B$404,MATCH($B320,명단!$A$5:$A$404,0))="","(이름 미입력)",INDEX(명단!$B$5:$B$404,MATCH($B320,명단!$A$5:$A$404,0))),"번호 없음"))</f>
        <v/>
      </c>
      <c r="I320" s="25" t="str">
        <f aca="false">IF($B320="","",IF(COUNTIF($B$5:$B$1004,$B320)&gt;1,"중복 입력",""))</f>
        <v/>
      </c>
    </row>
    <row r="321" customFormat="false" ht="1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5" t="str">
        <f aca="false">IF($B321="","",IFERROR(IF(INDEX(명단!$B$5:$B$404,MATCH($B321,명단!$A$5:$A$404,0))="","(이름 미입력)",INDEX(명단!$B$5:$B$404,MATCH($B321,명단!$A$5:$A$404,0))),"번호 없음"))</f>
        <v/>
      </c>
      <c r="I321" s="25" t="str">
        <f aca="false">IF($B321="","",IF(COUNTIF($B$5:$B$1004,$B321)&gt;1,"중복 입력",""))</f>
        <v/>
      </c>
    </row>
    <row r="322" customFormat="false" ht="1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5" t="str">
        <f aca="false">IF($B322="","",IFERROR(IF(INDEX(명단!$B$5:$B$404,MATCH($B322,명단!$A$5:$A$404,0))="","(이름 미입력)",INDEX(명단!$B$5:$B$404,MATCH($B322,명단!$A$5:$A$404,0))),"번호 없음"))</f>
        <v/>
      </c>
      <c r="I322" s="25" t="str">
        <f aca="false">IF($B322="","",IF(COUNTIF($B$5:$B$1004,$B322)&gt;1,"중복 입력",""))</f>
        <v/>
      </c>
    </row>
    <row r="323" customFormat="false" ht="1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5" t="str">
        <f aca="false">IF($B323="","",IFERROR(IF(INDEX(명단!$B$5:$B$404,MATCH($B323,명단!$A$5:$A$404,0))="","(이름 미입력)",INDEX(명단!$B$5:$B$404,MATCH($B323,명단!$A$5:$A$404,0))),"번호 없음"))</f>
        <v/>
      </c>
      <c r="I323" s="25" t="str">
        <f aca="false">IF($B323="","",IF(COUNTIF($B$5:$B$1004,$B323)&gt;1,"중복 입력",""))</f>
        <v/>
      </c>
    </row>
    <row r="324" customFormat="false" ht="1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5" t="str">
        <f aca="false">IF($B324="","",IFERROR(IF(INDEX(명단!$B$5:$B$404,MATCH($B324,명단!$A$5:$A$404,0))="","(이름 미입력)",INDEX(명단!$B$5:$B$404,MATCH($B324,명단!$A$5:$A$404,0))),"번호 없음"))</f>
        <v/>
      </c>
      <c r="I324" s="25" t="str">
        <f aca="false">IF($B324="","",IF(COUNTIF($B$5:$B$1004,$B324)&gt;1,"중복 입력",""))</f>
        <v/>
      </c>
    </row>
    <row r="325" customFormat="false" ht="1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5" t="str">
        <f aca="false">IF($B325="","",IFERROR(IF(INDEX(명단!$B$5:$B$404,MATCH($B325,명단!$A$5:$A$404,0))="","(이름 미입력)",INDEX(명단!$B$5:$B$404,MATCH($B325,명단!$A$5:$A$404,0))),"번호 없음"))</f>
        <v/>
      </c>
      <c r="I325" s="25" t="str">
        <f aca="false">IF($B325="","",IF(COUNTIF($B$5:$B$1004,$B325)&gt;1,"중복 입력",""))</f>
        <v/>
      </c>
    </row>
    <row r="326" customFormat="false" ht="1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5" t="str">
        <f aca="false">IF($B326="","",IFERROR(IF(INDEX(명단!$B$5:$B$404,MATCH($B326,명단!$A$5:$A$404,0))="","(이름 미입력)",INDEX(명단!$B$5:$B$404,MATCH($B326,명단!$A$5:$A$404,0))),"번호 없음"))</f>
        <v/>
      </c>
      <c r="I326" s="25" t="str">
        <f aca="false">IF($B326="","",IF(COUNTIF($B$5:$B$1004,$B326)&gt;1,"중복 입력",""))</f>
        <v/>
      </c>
    </row>
    <row r="327" customFormat="false" ht="1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5" t="str">
        <f aca="false">IF($B327="","",IFERROR(IF(INDEX(명단!$B$5:$B$404,MATCH($B327,명단!$A$5:$A$404,0))="","(이름 미입력)",INDEX(명단!$B$5:$B$404,MATCH($B327,명단!$A$5:$A$404,0))),"번호 없음"))</f>
        <v/>
      </c>
      <c r="I327" s="25" t="str">
        <f aca="false">IF($B327="","",IF(COUNTIF($B$5:$B$1004,$B327)&gt;1,"중복 입력",""))</f>
        <v/>
      </c>
    </row>
    <row r="328" customFormat="false" ht="1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5" t="str">
        <f aca="false">IF($B328="","",IFERROR(IF(INDEX(명단!$B$5:$B$404,MATCH($B328,명단!$A$5:$A$404,0))="","(이름 미입력)",INDEX(명단!$B$5:$B$404,MATCH($B328,명단!$A$5:$A$404,0))),"번호 없음"))</f>
        <v/>
      </c>
      <c r="I328" s="25" t="str">
        <f aca="false">IF($B328="","",IF(COUNTIF($B$5:$B$1004,$B328)&gt;1,"중복 입력",""))</f>
        <v/>
      </c>
    </row>
    <row r="329" customFormat="false" ht="1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5" t="str">
        <f aca="false">IF($B329="","",IFERROR(IF(INDEX(명단!$B$5:$B$404,MATCH($B329,명단!$A$5:$A$404,0))="","(이름 미입력)",INDEX(명단!$B$5:$B$404,MATCH($B329,명단!$A$5:$A$404,0))),"번호 없음"))</f>
        <v/>
      </c>
      <c r="I329" s="25" t="str">
        <f aca="false">IF($B329="","",IF(COUNTIF($B$5:$B$1004,$B329)&gt;1,"중복 입력",""))</f>
        <v/>
      </c>
    </row>
    <row r="330" customFormat="false" ht="1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5" t="str">
        <f aca="false">IF($B330="","",IFERROR(IF(INDEX(명단!$B$5:$B$404,MATCH($B330,명단!$A$5:$A$404,0))="","(이름 미입력)",INDEX(명단!$B$5:$B$404,MATCH($B330,명단!$A$5:$A$404,0))),"번호 없음"))</f>
        <v/>
      </c>
      <c r="I330" s="25" t="str">
        <f aca="false">IF($B330="","",IF(COUNTIF($B$5:$B$1004,$B330)&gt;1,"중복 입력",""))</f>
        <v/>
      </c>
    </row>
    <row r="331" customFormat="false" ht="1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5" t="str">
        <f aca="false">IF($B331="","",IFERROR(IF(INDEX(명단!$B$5:$B$404,MATCH($B331,명단!$A$5:$A$404,0))="","(이름 미입력)",INDEX(명단!$B$5:$B$404,MATCH($B331,명단!$A$5:$A$404,0))),"번호 없음"))</f>
        <v/>
      </c>
      <c r="I331" s="25" t="str">
        <f aca="false">IF($B331="","",IF(COUNTIF($B$5:$B$1004,$B331)&gt;1,"중복 입력",""))</f>
        <v/>
      </c>
    </row>
    <row r="332" customFormat="false" ht="1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5" t="str">
        <f aca="false">IF($B332="","",IFERROR(IF(INDEX(명단!$B$5:$B$404,MATCH($B332,명단!$A$5:$A$404,0))="","(이름 미입력)",INDEX(명단!$B$5:$B$404,MATCH($B332,명단!$A$5:$A$404,0))),"번호 없음"))</f>
        <v/>
      </c>
      <c r="I332" s="25" t="str">
        <f aca="false">IF($B332="","",IF(COUNTIF($B$5:$B$1004,$B332)&gt;1,"중복 입력",""))</f>
        <v/>
      </c>
    </row>
    <row r="333" customFormat="false" ht="1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5" t="str">
        <f aca="false">IF($B333="","",IFERROR(IF(INDEX(명단!$B$5:$B$404,MATCH($B333,명단!$A$5:$A$404,0))="","(이름 미입력)",INDEX(명단!$B$5:$B$404,MATCH($B333,명단!$A$5:$A$404,0))),"번호 없음"))</f>
        <v/>
      </c>
      <c r="I333" s="25" t="str">
        <f aca="false">IF($B333="","",IF(COUNTIF($B$5:$B$1004,$B333)&gt;1,"중복 입력",""))</f>
        <v/>
      </c>
    </row>
    <row r="334" customFormat="false" ht="1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5" t="str">
        <f aca="false">IF($B334="","",IFERROR(IF(INDEX(명단!$B$5:$B$404,MATCH($B334,명단!$A$5:$A$404,0))="","(이름 미입력)",INDEX(명단!$B$5:$B$404,MATCH($B334,명단!$A$5:$A$404,0))),"번호 없음"))</f>
        <v/>
      </c>
      <c r="I334" s="25" t="str">
        <f aca="false">IF($B334="","",IF(COUNTIF($B$5:$B$1004,$B334)&gt;1,"중복 입력",""))</f>
        <v/>
      </c>
    </row>
    <row r="335" customFormat="false" ht="1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5" t="str">
        <f aca="false">IF($B335="","",IFERROR(IF(INDEX(명단!$B$5:$B$404,MATCH($B335,명단!$A$5:$A$404,0))="","(이름 미입력)",INDEX(명단!$B$5:$B$404,MATCH($B335,명단!$A$5:$A$404,0))),"번호 없음"))</f>
        <v/>
      </c>
      <c r="I335" s="25" t="str">
        <f aca="false">IF($B335="","",IF(COUNTIF($B$5:$B$1004,$B335)&gt;1,"중복 입력",""))</f>
        <v/>
      </c>
    </row>
    <row r="336" customFormat="false" ht="1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5" t="str">
        <f aca="false">IF($B336="","",IFERROR(IF(INDEX(명단!$B$5:$B$404,MATCH($B336,명단!$A$5:$A$404,0))="","(이름 미입력)",INDEX(명단!$B$5:$B$404,MATCH($B336,명단!$A$5:$A$404,0))),"번호 없음"))</f>
        <v/>
      </c>
      <c r="I336" s="25" t="str">
        <f aca="false">IF($B336="","",IF(COUNTIF($B$5:$B$1004,$B336)&gt;1,"중복 입력",""))</f>
        <v/>
      </c>
    </row>
    <row r="337" customFormat="false" ht="1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5" t="str">
        <f aca="false">IF($B337="","",IFERROR(IF(INDEX(명단!$B$5:$B$404,MATCH($B337,명단!$A$5:$A$404,0))="","(이름 미입력)",INDEX(명단!$B$5:$B$404,MATCH($B337,명단!$A$5:$A$404,0))),"번호 없음"))</f>
        <v/>
      </c>
      <c r="I337" s="25" t="str">
        <f aca="false">IF($B337="","",IF(COUNTIF($B$5:$B$1004,$B337)&gt;1,"중복 입력",""))</f>
        <v/>
      </c>
    </row>
    <row r="338" customFormat="false" ht="1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5" t="str">
        <f aca="false">IF($B338="","",IFERROR(IF(INDEX(명단!$B$5:$B$404,MATCH($B338,명단!$A$5:$A$404,0))="","(이름 미입력)",INDEX(명단!$B$5:$B$404,MATCH($B338,명단!$A$5:$A$404,0))),"번호 없음"))</f>
        <v/>
      </c>
      <c r="I338" s="25" t="str">
        <f aca="false">IF($B338="","",IF(COUNTIF($B$5:$B$1004,$B338)&gt;1,"중복 입력",""))</f>
        <v/>
      </c>
    </row>
    <row r="339" customFormat="false" ht="1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5" t="str">
        <f aca="false">IF($B339="","",IFERROR(IF(INDEX(명단!$B$5:$B$404,MATCH($B339,명단!$A$5:$A$404,0))="","(이름 미입력)",INDEX(명단!$B$5:$B$404,MATCH($B339,명단!$A$5:$A$404,0))),"번호 없음"))</f>
        <v/>
      </c>
      <c r="I339" s="25" t="str">
        <f aca="false">IF($B339="","",IF(COUNTIF($B$5:$B$1004,$B339)&gt;1,"중복 입력",""))</f>
        <v/>
      </c>
    </row>
    <row r="340" customFormat="false" ht="1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5" t="str">
        <f aca="false">IF($B340="","",IFERROR(IF(INDEX(명단!$B$5:$B$404,MATCH($B340,명단!$A$5:$A$404,0))="","(이름 미입력)",INDEX(명단!$B$5:$B$404,MATCH($B340,명단!$A$5:$A$404,0))),"번호 없음"))</f>
        <v/>
      </c>
      <c r="I340" s="25" t="str">
        <f aca="false">IF($B340="","",IF(COUNTIF($B$5:$B$1004,$B340)&gt;1,"중복 입력",""))</f>
        <v/>
      </c>
    </row>
    <row r="341" customFormat="false" ht="1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5" t="str">
        <f aca="false">IF($B341="","",IFERROR(IF(INDEX(명단!$B$5:$B$404,MATCH($B341,명단!$A$5:$A$404,0))="","(이름 미입력)",INDEX(명단!$B$5:$B$404,MATCH($B341,명단!$A$5:$A$404,0))),"번호 없음"))</f>
        <v/>
      </c>
      <c r="I341" s="25" t="str">
        <f aca="false">IF($B341="","",IF(COUNTIF($B$5:$B$1004,$B341)&gt;1,"중복 입력",""))</f>
        <v/>
      </c>
    </row>
    <row r="342" customFormat="false" ht="1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5" t="str">
        <f aca="false">IF($B342="","",IFERROR(IF(INDEX(명단!$B$5:$B$404,MATCH($B342,명단!$A$5:$A$404,0))="","(이름 미입력)",INDEX(명단!$B$5:$B$404,MATCH($B342,명단!$A$5:$A$404,0))),"번호 없음"))</f>
        <v/>
      </c>
      <c r="I342" s="25" t="str">
        <f aca="false">IF($B342="","",IF(COUNTIF($B$5:$B$1004,$B342)&gt;1,"중복 입력",""))</f>
        <v/>
      </c>
    </row>
    <row r="343" customFormat="false" ht="1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5" t="str">
        <f aca="false">IF($B343="","",IFERROR(IF(INDEX(명단!$B$5:$B$404,MATCH($B343,명단!$A$5:$A$404,0))="","(이름 미입력)",INDEX(명단!$B$5:$B$404,MATCH($B343,명단!$A$5:$A$404,0))),"번호 없음"))</f>
        <v/>
      </c>
      <c r="I343" s="25" t="str">
        <f aca="false">IF($B343="","",IF(COUNTIF($B$5:$B$1004,$B343)&gt;1,"중복 입력",""))</f>
        <v/>
      </c>
    </row>
    <row r="344" customFormat="false" ht="1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5" t="str">
        <f aca="false">IF($B344="","",IFERROR(IF(INDEX(명단!$B$5:$B$404,MATCH($B344,명단!$A$5:$A$404,0))="","(이름 미입력)",INDEX(명단!$B$5:$B$404,MATCH($B344,명단!$A$5:$A$404,0))),"번호 없음"))</f>
        <v/>
      </c>
      <c r="I344" s="25" t="str">
        <f aca="false">IF($B344="","",IF(COUNTIF($B$5:$B$1004,$B344)&gt;1,"중복 입력",""))</f>
        <v/>
      </c>
    </row>
    <row r="345" customFormat="false" ht="1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5" t="str">
        <f aca="false">IF($B345="","",IFERROR(IF(INDEX(명단!$B$5:$B$404,MATCH($B345,명단!$A$5:$A$404,0))="","(이름 미입력)",INDEX(명단!$B$5:$B$404,MATCH($B345,명단!$A$5:$A$404,0))),"번호 없음"))</f>
        <v/>
      </c>
      <c r="I345" s="25" t="str">
        <f aca="false">IF($B345="","",IF(COUNTIF($B$5:$B$1004,$B345)&gt;1,"중복 입력",""))</f>
        <v/>
      </c>
    </row>
    <row r="346" customFormat="false" ht="1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5" t="str">
        <f aca="false">IF($B346="","",IFERROR(IF(INDEX(명단!$B$5:$B$404,MATCH($B346,명단!$A$5:$A$404,0))="","(이름 미입력)",INDEX(명단!$B$5:$B$404,MATCH($B346,명단!$A$5:$A$404,0))),"번호 없음"))</f>
        <v/>
      </c>
      <c r="I346" s="25" t="str">
        <f aca="false">IF($B346="","",IF(COUNTIF($B$5:$B$1004,$B346)&gt;1,"중복 입력",""))</f>
        <v/>
      </c>
    </row>
    <row r="347" customFormat="false" ht="1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5" t="str">
        <f aca="false">IF($B347="","",IFERROR(IF(INDEX(명단!$B$5:$B$404,MATCH($B347,명단!$A$5:$A$404,0))="","(이름 미입력)",INDEX(명단!$B$5:$B$404,MATCH($B347,명단!$A$5:$A$404,0))),"번호 없음"))</f>
        <v/>
      </c>
      <c r="I347" s="25" t="str">
        <f aca="false">IF($B347="","",IF(COUNTIF($B$5:$B$1004,$B347)&gt;1,"중복 입력",""))</f>
        <v/>
      </c>
    </row>
    <row r="348" customFormat="false" ht="1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5" t="str">
        <f aca="false">IF($B348="","",IFERROR(IF(INDEX(명단!$B$5:$B$404,MATCH($B348,명단!$A$5:$A$404,0))="","(이름 미입력)",INDEX(명단!$B$5:$B$404,MATCH($B348,명단!$A$5:$A$404,0))),"번호 없음"))</f>
        <v/>
      </c>
      <c r="I348" s="25" t="str">
        <f aca="false">IF($B348="","",IF(COUNTIF($B$5:$B$1004,$B348)&gt;1,"중복 입력",""))</f>
        <v/>
      </c>
    </row>
    <row r="349" customFormat="false" ht="1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5" t="str">
        <f aca="false">IF($B349="","",IFERROR(IF(INDEX(명단!$B$5:$B$404,MATCH($B349,명단!$A$5:$A$404,0))="","(이름 미입력)",INDEX(명단!$B$5:$B$404,MATCH($B349,명단!$A$5:$A$404,0))),"번호 없음"))</f>
        <v/>
      </c>
      <c r="I349" s="25" t="str">
        <f aca="false">IF($B349="","",IF(COUNTIF($B$5:$B$1004,$B349)&gt;1,"중복 입력",""))</f>
        <v/>
      </c>
    </row>
    <row r="350" customFormat="false" ht="1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5" t="str">
        <f aca="false">IF($B350="","",IFERROR(IF(INDEX(명단!$B$5:$B$404,MATCH($B350,명단!$A$5:$A$404,0))="","(이름 미입력)",INDEX(명단!$B$5:$B$404,MATCH($B350,명단!$A$5:$A$404,0))),"번호 없음"))</f>
        <v/>
      </c>
      <c r="I350" s="25" t="str">
        <f aca="false">IF($B350="","",IF(COUNTIF($B$5:$B$1004,$B350)&gt;1,"중복 입력",""))</f>
        <v/>
      </c>
    </row>
    <row r="351" customFormat="false" ht="1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5" t="str">
        <f aca="false">IF($B351="","",IFERROR(IF(INDEX(명단!$B$5:$B$404,MATCH($B351,명단!$A$5:$A$404,0))="","(이름 미입력)",INDEX(명단!$B$5:$B$404,MATCH($B351,명단!$A$5:$A$404,0))),"번호 없음"))</f>
        <v/>
      </c>
      <c r="I351" s="25" t="str">
        <f aca="false">IF($B351="","",IF(COUNTIF($B$5:$B$1004,$B351)&gt;1,"중복 입력",""))</f>
        <v/>
      </c>
    </row>
    <row r="352" customFormat="false" ht="1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5" t="str">
        <f aca="false">IF($B352="","",IFERROR(IF(INDEX(명단!$B$5:$B$404,MATCH($B352,명단!$A$5:$A$404,0))="","(이름 미입력)",INDEX(명단!$B$5:$B$404,MATCH($B352,명단!$A$5:$A$404,0))),"번호 없음"))</f>
        <v/>
      </c>
      <c r="I352" s="25" t="str">
        <f aca="false">IF($B352="","",IF(COUNTIF($B$5:$B$1004,$B352)&gt;1,"중복 입력",""))</f>
        <v/>
      </c>
    </row>
    <row r="353" customFormat="false" ht="1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5" t="str">
        <f aca="false">IF($B353="","",IFERROR(IF(INDEX(명단!$B$5:$B$404,MATCH($B353,명단!$A$5:$A$404,0))="","(이름 미입력)",INDEX(명단!$B$5:$B$404,MATCH($B353,명단!$A$5:$A$404,0))),"번호 없음"))</f>
        <v/>
      </c>
      <c r="I353" s="25" t="str">
        <f aca="false">IF($B353="","",IF(COUNTIF($B$5:$B$1004,$B353)&gt;1,"중복 입력",""))</f>
        <v/>
      </c>
    </row>
    <row r="354" customFormat="false" ht="1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5" t="str">
        <f aca="false">IF($B354="","",IFERROR(IF(INDEX(명단!$B$5:$B$404,MATCH($B354,명단!$A$5:$A$404,0))="","(이름 미입력)",INDEX(명단!$B$5:$B$404,MATCH($B354,명단!$A$5:$A$404,0))),"번호 없음"))</f>
        <v/>
      </c>
      <c r="I354" s="25" t="str">
        <f aca="false">IF($B354="","",IF(COUNTIF($B$5:$B$1004,$B354)&gt;1,"중복 입력",""))</f>
        <v/>
      </c>
    </row>
    <row r="355" customFormat="false" ht="1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5" t="str">
        <f aca="false">IF($B355="","",IFERROR(IF(INDEX(명단!$B$5:$B$404,MATCH($B355,명단!$A$5:$A$404,0))="","(이름 미입력)",INDEX(명단!$B$5:$B$404,MATCH($B355,명단!$A$5:$A$404,0))),"번호 없음"))</f>
        <v/>
      </c>
      <c r="I355" s="25" t="str">
        <f aca="false">IF($B355="","",IF(COUNTIF($B$5:$B$1004,$B355)&gt;1,"중복 입력",""))</f>
        <v/>
      </c>
    </row>
    <row r="356" customFormat="false" ht="1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5" t="str">
        <f aca="false">IF($B356="","",IFERROR(IF(INDEX(명단!$B$5:$B$404,MATCH($B356,명단!$A$5:$A$404,0))="","(이름 미입력)",INDEX(명단!$B$5:$B$404,MATCH($B356,명단!$A$5:$A$404,0))),"번호 없음"))</f>
        <v/>
      </c>
      <c r="I356" s="25" t="str">
        <f aca="false">IF($B356="","",IF(COUNTIF($B$5:$B$1004,$B356)&gt;1,"중복 입력",""))</f>
        <v/>
      </c>
    </row>
    <row r="357" customFormat="false" ht="1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5" t="str">
        <f aca="false">IF($B357="","",IFERROR(IF(INDEX(명단!$B$5:$B$404,MATCH($B357,명단!$A$5:$A$404,0))="","(이름 미입력)",INDEX(명단!$B$5:$B$404,MATCH($B357,명단!$A$5:$A$404,0))),"번호 없음"))</f>
        <v/>
      </c>
      <c r="I357" s="25" t="str">
        <f aca="false">IF($B357="","",IF(COUNTIF($B$5:$B$1004,$B357)&gt;1,"중복 입력",""))</f>
        <v/>
      </c>
    </row>
    <row r="358" customFormat="false" ht="1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5" t="str">
        <f aca="false">IF($B358="","",IFERROR(IF(INDEX(명단!$B$5:$B$404,MATCH($B358,명단!$A$5:$A$404,0))="","(이름 미입력)",INDEX(명단!$B$5:$B$404,MATCH($B358,명단!$A$5:$A$404,0))),"번호 없음"))</f>
        <v/>
      </c>
      <c r="I358" s="25" t="str">
        <f aca="false">IF($B358="","",IF(COUNTIF($B$5:$B$1004,$B358)&gt;1,"중복 입력",""))</f>
        <v/>
      </c>
    </row>
    <row r="359" customFormat="false" ht="1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5" t="str">
        <f aca="false">IF($B359="","",IFERROR(IF(INDEX(명단!$B$5:$B$404,MATCH($B359,명단!$A$5:$A$404,0))="","(이름 미입력)",INDEX(명단!$B$5:$B$404,MATCH($B359,명단!$A$5:$A$404,0))),"번호 없음"))</f>
        <v/>
      </c>
      <c r="I359" s="25" t="str">
        <f aca="false">IF($B359="","",IF(COUNTIF($B$5:$B$1004,$B359)&gt;1,"중복 입력",""))</f>
        <v/>
      </c>
    </row>
    <row r="360" customFormat="false" ht="1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5" t="str">
        <f aca="false">IF($B360="","",IFERROR(IF(INDEX(명단!$B$5:$B$404,MATCH($B360,명단!$A$5:$A$404,0))="","(이름 미입력)",INDEX(명단!$B$5:$B$404,MATCH($B360,명단!$A$5:$A$404,0))),"번호 없음"))</f>
        <v/>
      </c>
      <c r="I360" s="25" t="str">
        <f aca="false">IF($B360="","",IF(COUNTIF($B$5:$B$1004,$B360)&gt;1,"중복 입력",""))</f>
        <v/>
      </c>
    </row>
    <row r="361" customFormat="false" ht="1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5" t="str">
        <f aca="false">IF($B361="","",IFERROR(IF(INDEX(명단!$B$5:$B$404,MATCH($B361,명단!$A$5:$A$404,0))="","(이름 미입력)",INDEX(명단!$B$5:$B$404,MATCH($B361,명단!$A$5:$A$404,0))),"번호 없음"))</f>
        <v/>
      </c>
      <c r="I361" s="25" t="str">
        <f aca="false">IF($B361="","",IF(COUNTIF($B$5:$B$1004,$B361)&gt;1,"중복 입력",""))</f>
        <v/>
      </c>
    </row>
    <row r="362" customFormat="false" ht="1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5" t="str">
        <f aca="false">IF($B362="","",IFERROR(IF(INDEX(명단!$B$5:$B$404,MATCH($B362,명단!$A$5:$A$404,0))="","(이름 미입력)",INDEX(명단!$B$5:$B$404,MATCH($B362,명단!$A$5:$A$404,0))),"번호 없음"))</f>
        <v/>
      </c>
      <c r="I362" s="25" t="str">
        <f aca="false">IF($B362="","",IF(COUNTIF($B$5:$B$1004,$B362)&gt;1,"중복 입력",""))</f>
        <v/>
      </c>
    </row>
    <row r="363" customFormat="false" ht="1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5" t="str">
        <f aca="false">IF($B363="","",IFERROR(IF(INDEX(명단!$B$5:$B$404,MATCH($B363,명단!$A$5:$A$404,0))="","(이름 미입력)",INDEX(명단!$B$5:$B$404,MATCH($B363,명단!$A$5:$A$404,0))),"번호 없음"))</f>
        <v/>
      </c>
      <c r="I363" s="25" t="str">
        <f aca="false">IF($B363="","",IF(COUNTIF($B$5:$B$1004,$B363)&gt;1,"중복 입력",""))</f>
        <v/>
      </c>
    </row>
    <row r="364" customFormat="false" ht="1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5" t="str">
        <f aca="false">IF($B364="","",IFERROR(IF(INDEX(명단!$B$5:$B$404,MATCH($B364,명단!$A$5:$A$404,0))="","(이름 미입력)",INDEX(명단!$B$5:$B$404,MATCH($B364,명단!$A$5:$A$404,0))),"번호 없음"))</f>
        <v/>
      </c>
      <c r="I364" s="25" t="str">
        <f aca="false">IF($B364="","",IF(COUNTIF($B$5:$B$1004,$B364)&gt;1,"중복 입력",""))</f>
        <v/>
      </c>
    </row>
    <row r="365" customFormat="false" ht="1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5" t="str">
        <f aca="false">IF($B365="","",IFERROR(IF(INDEX(명단!$B$5:$B$404,MATCH($B365,명단!$A$5:$A$404,0))="","(이름 미입력)",INDEX(명단!$B$5:$B$404,MATCH($B365,명단!$A$5:$A$404,0))),"번호 없음"))</f>
        <v/>
      </c>
      <c r="I365" s="25" t="str">
        <f aca="false">IF($B365="","",IF(COUNTIF($B$5:$B$1004,$B365)&gt;1,"중복 입력",""))</f>
        <v/>
      </c>
    </row>
    <row r="366" customFormat="false" ht="1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5" t="str">
        <f aca="false">IF($B366="","",IFERROR(IF(INDEX(명단!$B$5:$B$404,MATCH($B366,명단!$A$5:$A$404,0))="","(이름 미입력)",INDEX(명단!$B$5:$B$404,MATCH($B366,명단!$A$5:$A$404,0))),"번호 없음"))</f>
        <v/>
      </c>
      <c r="I366" s="25" t="str">
        <f aca="false">IF($B366="","",IF(COUNTIF($B$5:$B$1004,$B366)&gt;1,"중복 입력",""))</f>
        <v/>
      </c>
    </row>
    <row r="367" customFormat="false" ht="1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5" t="str">
        <f aca="false">IF($B367="","",IFERROR(IF(INDEX(명단!$B$5:$B$404,MATCH($B367,명단!$A$5:$A$404,0))="","(이름 미입력)",INDEX(명단!$B$5:$B$404,MATCH($B367,명단!$A$5:$A$404,0))),"번호 없음"))</f>
        <v/>
      </c>
      <c r="I367" s="25" t="str">
        <f aca="false">IF($B367="","",IF(COUNTIF($B$5:$B$1004,$B367)&gt;1,"중복 입력",""))</f>
        <v/>
      </c>
    </row>
    <row r="368" customFormat="false" ht="1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5" t="str">
        <f aca="false">IF($B368="","",IFERROR(IF(INDEX(명단!$B$5:$B$404,MATCH($B368,명단!$A$5:$A$404,0))="","(이름 미입력)",INDEX(명단!$B$5:$B$404,MATCH($B368,명단!$A$5:$A$404,0))),"번호 없음"))</f>
        <v/>
      </c>
      <c r="I368" s="25" t="str">
        <f aca="false">IF($B368="","",IF(COUNTIF($B$5:$B$1004,$B368)&gt;1,"중복 입력",""))</f>
        <v/>
      </c>
    </row>
    <row r="369" customFormat="false" ht="1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5" t="str">
        <f aca="false">IF($B369="","",IFERROR(IF(INDEX(명단!$B$5:$B$404,MATCH($B369,명단!$A$5:$A$404,0))="","(이름 미입력)",INDEX(명단!$B$5:$B$404,MATCH($B369,명단!$A$5:$A$404,0))),"번호 없음"))</f>
        <v/>
      </c>
      <c r="I369" s="25" t="str">
        <f aca="false">IF($B369="","",IF(COUNTIF($B$5:$B$1004,$B369)&gt;1,"중복 입력",""))</f>
        <v/>
      </c>
    </row>
    <row r="370" customFormat="false" ht="1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5" t="str">
        <f aca="false">IF($B370="","",IFERROR(IF(INDEX(명단!$B$5:$B$404,MATCH($B370,명단!$A$5:$A$404,0))="","(이름 미입력)",INDEX(명단!$B$5:$B$404,MATCH($B370,명단!$A$5:$A$404,0))),"번호 없음"))</f>
        <v/>
      </c>
      <c r="I370" s="25" t="str">
        <f aca="false">IF($B370="","",IF(COUNTIF($B$5:$B$1004,$B370)&gt;1,"중복 입력",""))</f>
        <v/>
      </c>
    </row>
    <row r="371" customFormat="false" ht="1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5" t="str">
        <f aca="false">IF($B371="","",IFERROR(IF(INDEX(명단!$B$5:$B$404,MATCH($B371,명단!$A$5:$A$404,0))="","(이름 미입력)",INDEX(명단!$B$5:$B$404,MATCH($B371,명단!$A$5:$A$404,0))),"번호 없음"))</f>
        <v/>
      </c>
      <c r="I371" s="25" t="str">
        <f aca="false">IF($B371="","",IF(COUNTIF($B$5:$B$1004,$B371)&gt;1,"중복 입력",""))</f>
        <v/>
      </c>
    </row>
    <row r="372" customFormat="false" ht="1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5" t="str">
        <f aca="false">IF($B372="","",IFERROR(IF(INDEX(명단!$B$5:$B$404,MATCH($B372,명단!$A$5:$A$404,0))="","(이름 미입력)",INDEX(명단!$B$5:$B$404,MATCH($B372,명단!$A$5:$A$404,0))),"번호 없음"))</f>
        <v/>
      </c>
      <c r="I372" s="25" t="str">
        <f aca="false">IF($B372="","",IF(COUNTIF($B$5:$B$1004,$B372)&gt;1,"중복 입력",""))</f>
        <v/>
      </c>
    </row>
    <row r="373" customFormat="false" ht="1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5" t="str">
        <f aca="false">IF($B373="","",IFERROR(IF(INDEX(명단!$B$5:$B$404,MATCH($B373,명단!$A$5:$A$404,0))="","(이름 미입력)",INDEX(명단!$B$5:$B$404,MATCH($B373,명단!$A$5:$A$404,0))),"번호 없음"))</f>
        <v/>
      </c>
      <c r="I373" s="25" t="str">
        <f aca="false">IF($B373="","",IF(COUNTIF($B$5:$B$1004,$B373)&gt;1,"중복 입력",""))</f>
        <v/>
      </c>
    </row>
    <row r="374" customFormat="false" ht="1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5" t="str">
        <f aca="false">IF($B374="","",IFERROR(IF(INDEX(명단!$B$5:$B$404,MATCH($B374,명단!$A$5:$A$404,0))="","(이름 미입력)",INDEX(명단!$B$5:$B$404,MATCH($B374,명단!$A$5:$A$404,0))),"번호 없음"))</f>
        <v/>
      </c>
      <c r="I374" s="25" t="str">
        <f aca="false">IF($B374="","",IF(COUNTIF($B$5:$B$1004,$B374)&gt;1,"중복 입력",""))</f>
        <v/>
      </c>
    </row>
    <row r="375" customFormat="false" ht="1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5" t="str">
        <f aca="false">IF($B375="","",IFERROR(IF(INDEX(명단!$B$5:$B$404,MATCH($B375,명단!$A$5:$A$404,0))="","(이름 미입력)",INDEX(명단!$B$5:$B$404,MATCH($B375,명단!$A$5:$A$404,0))),"번호 없음"))</f>
        <v/>
      </c>
      <c r="I375" s="25" t="str">
        <f aca="false">IF($B375="","",IF(COUNTIF($B$5:$B$1004,$B375)&gt;1,"중복 입력",""))</f>
        <v/>
      </c>
    </row>
    <row r="376" customFormat="false" ht="1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5" t="str">
        <f aca="false">IF($B376="","",IFERROR(IF(INDEX(명단!$B$5:$B$404,MATCH($B376,명단!$A$5:$A$404,0))="","(이름 미입력)",INDEX(명단!$B$5:$B$404,MATCH($B376,명단!$A$5:$A$404,0))),"번호 없음"))</f>
        <v/>
      </c>
      <c r="I376" s="25" t="str">
        <f aca="false">IF($B376="","",IF(COUNTIF($B$5:$B$1004,$B376)&gt;1,"중복 입력",""))</f>
        <v/>
      </c>
    </row>
    <row r="377" customFormat="false" ht="1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5" t="str">
        <f aca="false">IF($B377="","",IFERROR(IF(INDEX(명단!$B$5:$B$404,MATCH($B377,명단!$A$5:$A$404,0))="","(이름 미입력)",INDEX(명단!$B$5:$B$404,MATCH($B377,명단!$A$5:$A$404,0))),"번호 없음"))</f>
        <v/>
      </c>
      <c r="I377" s="25" t="str">
        <f aca="false">IF($B377="","",IF(COUNTIF($B$5:$B$1004,$B377)&gt;1,"중복 입력",""))</f>
        <v/>
      </c>
    </row>
    <row r="378" customFormat="false" ht="1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5" t="str">
        <f aca="false">IF($B378="","",IFERROR(IF(INDEX(명단!$B$5:$B$404,MATCH($B378,명단!$A$5:$A$404,0))="","(이름 미입력)",INDEX(명단!$B$5:$B$404,MATCH($B378,명단!$A$5:$A$404,0))),"번호 없음"))</f>
        <v/>
      </c>
      <c r="I378" s="25" t="str">
        <f aca="false">IF($B378="","",IF(COUNTIF($B$5:$B$1004,$B378)&gt;1,"중복 입력",""))</f>
        <v/>
      </c>
    </row>
    <row r="379" customFormat="false" ht="1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5" t="str">
        <f aca="false">IF($B379="","",IFERROR(IF(INDEX(명단!$B$5:$B$404,MATCH($B379,명단!$A$5:$A$404,0))="","(이름 미입력)",INDEX(명단!$B$5:$B$404,MATCH($B379,명단!$A$5:$A$404,0))),"번호 없음"))</f>
        <v/>
      </c>
      <c r="I379" s="25" t="str">
        <f aca="false">IF($B379="","",IF(COUNTIF($B$5:$B$1004,$B379)&gt;1,"중복 입력",""))</f>
        <v/>
      </c>
    </row>
    <row r="380" customFormat="false" ht="1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5" t="str">
        <f aca="false">IF($B380="","",IFERROR(IF(INDEX(명단!$B$5:$B$404,MATCH($B380,명단!$A$5:$A$404,0))="","(이름 미입력)",INDEX(명단!$B$5:$B$404,MATCH($B380,명단!$A$5:$A$404,0))),"번호 없음"))</f>
        <v/>
      </c>
      <c r="I380" s="25" t="str">
        <f aca="false">IF($B380="","",IF(COUNTIF($B$5:$B$1004,$B380)&gt;1,"중복 입력",""))</f>
        <v/>
      </c>
    </row>
    <row r="381" customFormat="false" ht="1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5" t="str">
        <f aca="false">IF($B381="","",IFERROR(IF(INDEX(명단!$B$5:$B$404,MATCH($B381,명단!$A$5:$A$404,0))="","(이름 미입력)",INDEX(명단!$B$5:$B$404,MATCH($B381,명단!$A$5:$A$404,0))),"번호 없음"))</f>
        <v/>
      </c>
      <c r="I381" s="25" t="str">
        <f aca="false">IF($B381="","",IF(COUNTIF($B$5:$B$1004,$B381)&gt;1,"중복 입력",""))</f>
        <v/>
      </c>
    </row>
    <row r="382" customFormat="false" ht="1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5" t="str">
        <f aca="false">IF($B382="","",IFERROR(IF(INDEX(명단!$B$5:$B$404,MATCH($B382,명단!$A$5:$A$404,0))="","(이름 미입력)",INDEX(명단!$B$5:$B$404,MATCH($B382,명단!$A$5:$A$404,0))),"번호 없음"))</f>
        <v/>
      </c>
      <c r="I382" s="25" t="str">
        <f aca="false">IF($B382="","",IF(COUNTIF($B$5:$B$1004,$B382)&gt;1,"중복 입력",""))</f>
        <v/>
      </c>
    </row>
    <row r="383" customFormat="false" ht="1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5" t="str">
        <f aca="false">IF($B383="","",IFERROR(IF(INDEX(명단!$B$5:$B$404,MATCH($B383,명단!$A$5:$A$404,0))="","(이름 미입력)",INDEX(명단!$B$5:$B$404,MATCH($B383,명단!$A$5:$A$404,0))),"번호 없음"))</f>
        <v/>
      </c>
      <c r="I383" s="25" t="str">
        <f aca="false">IF($B383="","",IF(COUNTIF($B$5:$B$1004,$B383)&gt;1,"중복 입력",""))</f>
        <v/>
      </c>
    </row>
    <row r="384" customFormat="false" ht="1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5" t="str">
        <f aca="false">IF($B384="","",IFERROR(IF(INDEX(명단!$B$5:$B$404,MATCH($B384,명단!$A$5:$A$404,0))="","(이름 미입력)",INDEX(명단!$B$5:$B$404,MATCH($B384,명단!$A$5:$A$404,0))),"번호 없음"))</f>
        <v/>
      </c>
      <c r="I384" s="25" t="str">
        <f aca="false">IF($B384="","",IF(COUNTIF($B$5:$B$1004,$B384)&gt;1,"중복 입력",""))</f>
        <v/>
      </c>
    </row>
    <row r="385" customFormat="false" ht="1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5" t="str">
        <f aca="false">IF($B385="","",IFERROR(IF(INDEX(명단!$B$5:$B$404,MATCH($B385,명단!$A$5:$A$404,0))="","(이름 미입력)",INDEX(명단!$B$5:$B$404,MATCH($B385,명단!$A$5:$A$404,0))),"번호 없음"))</f>
        <v/>
      </c>
      <c r="I385" s="25" t="str">
        <f aca="false">IF($B385="","",IF(COUNTIF($B$5:$B$1004,$B385)&gt;1,"중복 입력",""))</f>
        <v/>
      </c>
    </row>
    <row r="386" customFormat="false" ht="1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5" t="str">
        <f aca="false">IF($B386="","",IFERROR(IF(INDEX(명단!$B$5:$B$404,MATCH($B386,명단!$A$5:$A$404,0))="","(이름 미입력)",INDEX(명단!$B$5:$B$404,MATCH($B386,명단!$A$5:$A$404,0))),"번호 없음"))</f>
        <v/>
      </c>
      <c r="I386" s="25" t="str">
        <f aca="false">IF($B386="","",IF(COUNTIF($B$5:$B$1004,$B386)&gt;1,"중복 입력",""))</f>
        <v/>
      </c>
    </row>
    <row r="387" customFormat="false" ht="1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5" t="str">
        <f aca="false">IF($B387="","",IFERROR(IF(INDEX(명단!$B$5:$B$404,MATCH($B387,명단!$A$5:$A$404,0))="","(이름 미입력)",INDEX(명단!$B$5:$B$404,MATCH($B387,명단!$A$5:$A$404,0))),"번호 없음"))</f>
        <v/>
      </c>
      <c r="I387" s="25" t="str">
        <f aca="false">IF($B387="","",IF(COUNTIF($B$5:$B$1004,$B387)&gt;1,"중복 입력",""))</f>
        <v/>
      </c>
    </row>
    <row r="388" customFormat="false" ht="1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5" t="str">
        <f aca="false">IF($B388="","",IFERROR(IF(INDEX(명단!$B$5:$B$404,MATCH($B388,명단!$A$5:$A$404,0))="","(이름 미입력)",INDEX(명단!$B$5:$B$404,MATCH($B388,명단!$A$5:$A$404,0))),"번호 없음"))</f>
        <v/>
      </c>
      <c r="I388" s="25" t="str">
        <f aca="false">IF($B388="","",IF(COUNTIF($B$5:$B$1004,$B388)&gt;1,"중복 입력",""))</f>
        <v/>
      </c>
    </row>
    <row r="389" customFormat="false" ht="1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5" t="str">
        <f aca="false">IF($B389="","",IFERROR(IF(INDEX(명단!$B$5:$B$404,MATCH($B389,명단!$A$5:$A$404,0))="","(이름 미입력)",INDEX(명단!$B$5:$B$404,MATCH($B389,명단!$A$5:$A$404,0))),"번호 없음"))</f>
        <v/>
      </c>
      <c r="I389" s="25" t="str">
        <f aca="false">IF($B389="","",IF(COUNTIF($B$5:$B$1004,$B389)&gt;1,"중복 입력",""))</f>
        <v/>
      </c>
    </row>
    <row r="390" customFormat="false" ht="1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5" t="str">
        <f aca="false">IF($B390="","",IFERROR(IF(INDEX(명단!$B$5:$B$404,MATCH($B390,명단!$A$5:$A$404,0))="","(이름 미입력)",INDEX(명단!$B$5:$B$404,MATCH($B390,명단!$A$5:$A$404,0))),"번호 없음"))</f>
        <v/>
      </c>
      <c r="I390" s="25" t="str">
        <f aca="false">IF($B390="","",IF(COUNTIF($B$5:$B$1004,$B390)&gt;1,"중복 입력",""))</f>
        <v/>
      </c>
    </row>
    <row r="391" customFormat="false" ht="1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5" t="str">
        <f aca="false">IF($B391="","",IFERROR(IF(INDEX(명단!$B$5:$B$404,MATCH($B391,명단!$A$5:$A$404,0))="","(이름 미입력)",INDEX(명단!$B$5:$B$404,MATCH($B391,명단!$A$5:$A$404,0))),"번호 없음"))</f>
        <v/>
      </c>
      <c r="I391" s="25" t="str">
        <f aca="false">IF($B391="","",IF(COUNTIF($B$5:$B$1004,$B391)&gt;1,"중복 입력",""))</f>
        <v/>
      </c>
    </row>
    <row r="392" customFormat="false" ht="1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5" t="str">
        <f aca="false">IF($B392="","",IFERROR(IF(INDEX(명단!$B$5:$B$404,MATCH($B392,명단!$A$5:$A$404,0))="","(이름 미입력)",INDEX(명단!$B$5:$B$404,MATCH($B392,명단!$A$5:$A$404,0))),"번호 없음"))</f>
        <v/>
      </c>
      <c r="I392" s="25" t="str">
        <f aca="false">IF($B392="","",IF(COUNTIF($B$5:$B$1004,$B392)&gt;1,"중복 입력",""))</f>
        <v/>
      </c>
    </row>
    <row r="393" customFormat="false" ht="1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5" t="str">
        <f aca="false">IF($B393="","",IFERROR(IF(INDEX(명단!$B$5:$B$404,MATCH($B393,명단!$A$5:$A$404,0))="","(이름 미입력)",INDEX(명단!$B$5:$B$404,MATCH($B393,명단!$A$5:$A$404,0))),"번호 없음"))</f>
        <v/>
      </c>
      <c r="I393" s="25" t="str">
        <f aca="false">IF($B393="","",IF(COUNTIF($B$5:$B$1004,$B393)&gt;1,"중복 입력",""))</f>
        <v/>
      </c>
    </row>
    <row r="394" customFormat="false" ht="1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5" t="str">
        <f aca="false">IF($B394="","",IFERROR(IF(INDEX(명단!$B$5:$B$404,MATCH($B394,명단!$A$5:$A$404,0))="","(이름 미입력)",INDEX(명단!$B$5:$B$404,MATCH($B394,명단!$A$5:$A$404,0))),"번호 없음"))</f>
        <v/>
      </c>
      <c r="I394" s="25" t="str">
        <f aca="false">IF($B394="","",IF(COUNTIF($B$5:$B$1004,$B394)&gt;1,"중복 입력",""))</f>
        <v/>
      </c>
    </row>
    <row r="395" customFormat="false" ht="1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5" t="str">
        <f aca="false">IF($B395="","",IFERROR(IF(INDEX(명단!$B$5:$B$404,MATCH($B395,명단!$A$5:$A$404,0))="","(이름 미입력)",INDEX(명단!$B$5:$B$404,MATCH($B395,명단!$A$5:$A$404,0))),"번호 없음"))</f>
        <v/>
      </c>
      <c r="I395" s="25" t="str">
        <f aca="false">IF($B395="","",IF(COUNTIF($B$5:$B$1004,$B395)&gt;1,"중복 입력",""))</f>
        <v/>
      </c>
    </row>
    <row r="396" customFormat="false" ht="1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5" t="str">
        <f aca="false">IF($B396="","",IFERROR(IF(INDEX(명단!$B$5:$B$404,MATCH($B396,명단!$A$5:$A$404,0))="","(이름 미입력)",INDEX(명단!$B$5:$B$404,MATCH($B396,명단!$A$5:$A$404,0))),"번호 없음"))</f>
        <v/>
      </c>
      <c r="I396" s="25" t="str">
        <f aca="false">IF($B396="","",IF(COUNTIF($B$5:$B$1004,$B396)&gt;1,"중복 입력",""))</f>
        <v/>
      </c>
    </row>
    <row r="397" customFormat="false" ht="1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5" t="str">
        <f aca="false">IF($B397="","",IFERROR(IF(INDEX(명단!$B$5:$B$404,MATCH($B397,명단!$A$5:$A$404,0))="","(이름 미입력)",INDEX(명단!$B$5:$B$404,MATCH($B397,명단!$A$5:$A$404,0))),"번호 없음"))</f>
        <v/>
      </c>
      <c r="I397" s="25" t="str">
        <f aca="false">IF($B397="","",IF(COUNTIF($B$5:$B$1004,$B397)&gt;1,"중복 입력",""))</f>
        <v/>
      </c>
    </row>
    <row r="398" customFormat="false" ht="1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5" t="str">
        <f aca="false">IF($B398="","",IFERROR(IF(INDEX(명단!$B$5:$B$404,MATCH($B398,명단!$A$5:$A$404,0))="","(이름 미입력)",INDEX(명단!$B$5:$B$404,MATCH($B398,명단!$A$5:$A$404,0))),"번호 없음"))</f>
        <v/>
      </c>
      <c r="I398" s="25" t="str">
        <f aca="false">IF($B398="","",IF(COUNTIF($B$5:$B$1004,$B398)&gt;1,"중복 입력",""))</f>
        <v/>
      </c>
    </row>
    <row r="399" customFormat="false" ht="1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5" t="str">
        <f aca="false">IF($B399="","",IFERROR(IF(INDEX(명단!$B$5:$B$404,MATCH($B399,명단!$A$5:$A$404,0))="","(이름 미입력)",INDEX(명단!$B$5:$B$404,MATCH($B399,명단!$A$5:$A$404,0))),"번호 없음"))</f>
        <v/>
      </c>
      <c r="I399" s="25" t="str">
        <f aca="false">IF($B399="","",IF(COUNTIF($B$5:$B$1004,$B399)&gt;1,"중복 입력",""))</f>
        <v/>
      </c>
    </row>
    <row r="400" customFormat="false" ht="1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5" t="str">
        <f aca="false">IF($B400="","",IFERROR(IF(INDEX(명단!$B$5:$B$404,MATCH($B400,명단!$A$5:$A$404,0))="","(이름 미입력)",INDEX(명단!$B$5:$B$404,MATCH($B400,명단!$A$5:$A$404,0))),"번호 없음"))</f>
        <v/>
      </c>
      <c r="I400" s="25" t="str">
        <f aca="false">IF($B400="","",IF(COUNTIF($B$5:$B$1004,$B400)&gt;1,"중복 입력",""))</f>
        <v/>
      </c>
    </row>
    <row r="401" customFormat="false" ht="1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5" t="str">
        <f aca="false">IF($B401="","",IFERROR(IF(INDEX(명단!$B$5:$B$404,MATCH($B401,명단!$A$5:$A$404,0))="","(이름 미입력)",INDEX(명단!$B$5:$B$404,MATCH($B401,명단!$A$5:$A$404,0))),"번호 없음"))</f>
        <v/>
      </c>
      <c r="I401" s="25" t="str">
        <f aca="false">IF($B401="","",IF(COUNTIF($B$5:$B$1004,$B401)&gt;1,"중복 입력",""))</f>
        <v/>
      </c>
    </row>
    <row r="402" customFormat="false" ht="15" hidden="false" customHeight="false" outlineLevel="0" collapsed="false">
      <c r="A402" s="23"/>
      <c r="B402" s="24"/>
      <c r="C402" s="24"/>
      <c r="D402" s="24"/>
      <c r="E402" s="24"/>
      <c r="F402" s="24"/>
      <c r="G402" s="24"/>
      <c r="H402" s="25" t="str">
        <f aca="false">IF($B402="","",IFERROR(IF(INDEX(명단!$B$5:$B$404,MATCH($B402,명단!$A$5:$A$404,0))="","(이름 미입력)",INDEX(명단!$B$5:$B$404,MATCH($B402,명단!$A$5:$A$404,0))),"번호 없음"))</f>
        <v/>
      </c>
      <c r="I402" s="25" t="str">
        <f aca="false">IF($B402="","",IF(COUNTIF($B$5:$B$1004,$B402)&gt;1,"중복 입력",""))</f>
        <v/>
      </c>
    </row>
    <row r="403" customFormat="false" ht="15" hidden="false" customHeight="false" outlineLevel="0" collapsed="false">
      <c r="A403" s="23"/>
      <c r="B403" s="24"/>
      <c r="C403" s="24"/>
      <c r="D403" s="24"/>
      <c r="E403" s="24"/>
      <c r="F403" s="24"/>
      <c r="G403" s="24"/>
      <c r="H403" s="25" t="str">
        <f aca="false">IF($B403="","",IFERROR(IF(INDEX(명단!$B$5:$B$404,MATCH($B403,명단!$A$5:$A$404,0))="","(이름 미입력)",INDEX(명단!$B$5:$B$404,MATCH($B403,명단!$A$5:$A$404,0))),"번호 없음"))</f>
        <v/>
      </c>
      <c r="I403" s="25" t="str">
        <f aca="false">IF($B403="","",IF(COUNTIF($B$5:$B$1004,$B403)&gt;1,"중복 입력",""))</f>
        <v/>
      </c>
    </row>
    <row r="404" customFormat="false" ht="15" hidden="false" customHeight="false" outlineLevel="0" collapsed="false">
      <c r="A404" s="23"/>
      <c r="B404" s="24"/>
      <c r="C404" s="24"/>
      <c r="D404" s="24"/>
      <c r="E404" s="24"/>
      <c r="F404" s="24"/>
      <c r="G404" s="24"/>
      <c r="H404" s="25" t="str">
        <f aca="false">IF($B404="","",IFERROR(IF(INDEX(명단!$B$5:$B$404,MATCH($B404,명단!$A$5:$A$404,0))="","(이름 미입력)",INDEX(명단!$B$5:$B$404,MATCH($B404,명단!$A$5:$A$404,0))),"번호 없음"))</f>
        <v/>
      </c>
      <c r="I404" s="25" t="str">
        <f aca="false">IF($B404="","",IF(COUNTIF($B$5:$B$1004,$B404)&gt;1,"중복 입력",""))</f>
        <v/>
      </c>
    </row>
    <row r="405" customFormat="false" ht="15" hidden="false" customHeight="false" outlineLevel="0" collapsed="false">
      <c r="A405" s="23"/>
      <c r="B405" s="24"/>
      <c r="C405" s="24"/>
      <c r="D405" s="24"/>
      <c r="E405" s="24"/>
      <c r="F405" s="24"/>
      <c r="G405" s="24"/>
      <c r="H405" s="25" t="str">
        <f aca="false">IF($B405="","",IFERROR(IF(INDEX(명단!$B$5:$B$404,MATCH($B405,명단!$A$5:$A$404,0))="","(이름 미입력)",INDEX(명단!$B$5:$B$404,MATCH($B405,명단!$A$5:$A$404,0))),"번호 없음"))</f>
        <v/>
      </c>
      <c r="I405" s="25" t="str">
        <f aca="false">IF($B405="","",IF(COUNTIF($B$5:$B$1004,$B405)&gt;1,"중복 입력",""))</f>
        <v/>
      </c>
    </row>
    <row r="406" customFormat="false" ht="15" hidden="false" customHeight="false" outlineLevel="0" collapsed="false">
      <c r="A406" s="23"/>
      <c r="B406" s="24"/>
      <c r="C406" s="24"/>
      <c r="D406" s="24"/>
      <c r="E406" s="24"/>
      <c r="F406" s="24"/>
      <c r="G406" s="24"/>
      <c r="H406" s="25" t="str">
        <f aca="false">IF($B406="","",IFERROR(IF(INDEX(명단!$B$5:$B$404,MATCH($B406,명단!$A$5:$A$404,0))="","(이름 미입력)",INDEX(명단!$B$5:$B$404,MATCH($B406,명단!$A$5:$A$404,0))),"번호 없음"))</f>
        <v/>
      </c>
      <c r="I406" s="25" t="str">
        <f aca="false">IF($B406="","",IF(COUNTIF($B$5:$B$1004,$B406)&gt;1,"중복 입력",""))</f>
        <v/>
      </c>
    </row>
    <row r="407" customFormat="false" ht="15" hidden="false" customHeight="false" outlineLevel="0" collapsed="false">
      <c r="A407" s="23"/>
      <c r="B407" s="24"/>
      <c r="C407" s="24"/>
      <c r="D407" s="24"/>
      <c r="E407" s="24"/>
      <c r="F407" s="24"/>
      <c r="G407" s="24"/>
      <c r="H407" s="25" t="str">
        <f aca="false">IF($B407="","",IFERROR(IF(INDEX(명단!$B$5:$B$404,MATCH($B407,명단!$A$5:$A$404,0))="","(이름 미입력)",INDEX(명단!$B$5:$B$404,MATCH($B407,명단!$A$5:$A$404,0))),"번호 없음"))</f>
        <v/>
      </c>
      <c r="I407" s="25" t="str">
        <f aca="false">IF($B407="","",IF(COUNTIF($B$5:$B$1004,$B407)&gt;1,"중복 입력",""))</f>
        <v/>
      </c>
    </row>
    <row r="408" customFormat="false" ht="15" hidden="false" customHeight="false" outlineLevel="0" collapsed="false">
      <c r="A408" s="23"/>
      <c r="B408" s="24"/>
      <c r="C408" s="24"/>
      <c r="D408" s="24"/>
      <c r="E408" s="24"/>
      <c r="F408" s="24"/>
      <c r="G408" s="24"/>
      <c r="H408" s="25" t="str">
        <f aca="false">IF($B408="","",IFERROR(IF(INDEX(명단!$B$5:$B$404,MATCH($B408,명단!$A$5:$A$404,0))="","(이름 미입력)",INDEX(명단!$B$5:$B$404,MATCH($B408,명단!$A$5:$A$404,0))),"번호 없음"))</f>
        <v/>
      </c>
      <c r="I408" s="25" t="str">
        <f aca="false">IF($B408="","",IF(COUNTIF($B$5:$B$1004,$B408)&gt;1,"중복 입력",""))</f>
        <v/>
      </c>
    </row>
    <row r="409" customFormat="false" ht="15" hidden="false" customHeight="false" outlineLevel="0" collapsed="false">
      <c r="A409" s="23"/>
      <c r="B409" s="24"/>
      <c r="C409" s="24"/>
      <c r="D409" s="24"/>
      <c r="E409" s="24"/>
      <c r="F409" s="24"/>
      <c r="G409" s="24"/>
      <c r="H409" s="25" t="str">
        <f aca="false">IF($B409="","",IFERROR(IF(INDEX(명단!$B$5:$B$404,MATCH($B409,명단!$A$5:$A$404,0))="","(이름 미입력)",INDEX(명단!$B$5:$B$404,MATCH($B409,명단!$A$5:$A$404,0))),"번호 없음"))</f>
        <v/>
      </c>
      <c r="I409" s="25" t="str">
        <f aca="false">IF($B409="","",IF(COUNTIF($B$5:$B$1004,$B409)&gt;1,"중복 입력",""))</f>
        <v/>
      </c>
    </row>
    <row r="410" customFormat="false" ht="15" hidden="false" customHeight="false" outlineLevel="0" collapsed="false">
      <c r="A410" s="23"/>
      <c r="B410" s="24"/>
      <c r="C410" s="24"/>
      <c r="D410" s="24"/>
      <c r="E410" s="24"/>
      <c r="F410" s="24"/>
      <c r="G410" s="24"/>
      <c r="H410" s="25" t="str">
        <f aca="false">IF($B410="","",IFERROR(IF(INDEX(명단!$B$5:$B$404,MATCH($B410,명단!$A$5:$A$404,0))="","(이름 미입력)",INDEX(명단!$B$5:$B$404,MATCH($B410,명단!$A$5:$A$404,0))),"번호 없음"))</f>
        <v/>
      </c>
      <c r="I410" s="25" t="str">
        <f aca="false">IF($B410="","",IF(COUNTIF($B$5:$B$1004,$B410)&gt;1,"중복 입력",""))</f>
        <v/>
      </c>
    </row>
    <row r="411" customFormat="false" ht="15" hidden="false" customHeight="false" outlineLevel="0" collapsed="false">
      <c r="A411" s="23"/>
      <c r="B411" s="24"/>
      <c r="C411" s="24"/>
      <c r="D411" s="24"/>
      <c r="E411" s="24"/>
      <c r="F411" s="24"/>
      <c r="G411" s="24"/>
      <c r="H411" s="25" t="str">
        <f aca="false">IF($B411="","",IFERROR(IF(INDEX(명단!$B$5:$B$404,MATCH($B411,명단!$A$5:$A$404,0))="","(이름 미입력)",INDEX(명단!$B$5:$B$404,MATCH($B411,명단!$A$5:$A$404,0))),"번호 없음"))</f>
        <v/>
      </c>
      <c r="I411" s="25" t="str">
        <f aca="false">IF($B411="","",IF(COUNTIF($B$5:$B$1004,$B411)&gt;1,"중복 입력",""))</f>
        <v/>
      </c>
    </row>
    <row r="412" customFormat="false" ht="15" hidden="false" customHeight="false" outlineLevel="0" collapsed="false">
      <c r="A412" s="23"/>
      <c r="B412" s="24"/>
      <c r="C412" s="24"/>
      <c r="D412" s="24"/>
      <c r="E412" s="24"/>
      <c r="F412" s="24"/>
      <c r="G412" s="24"/>
      <c r="H412" s="25" t="str">
        <f aca="false">IF($B412="","",IFERROR(IF(INDEX(명단!$B$5:$B$404,MATCH($B412,명단!$A$5:$A$404,0))="","(이름 미입력)",INDEX(명단!$B$5:$B$404,MATCH($B412,명단!$A$5:$A$404,0))),"번호 없음"))</f>
        <v/>
      </c>
      <c r="I412" s="25" t="str">
        <f aca="false">IF($B412="","",IF(COUNTIF($B$5:$B$1004,$B412)&gt;1,"중복 입력",""))</f>
        <v/>
      </c>
    </row>
    <row r="413" customFormat="false" ht="15" hidden="false" customHeight="false" outlineLevel="0" collapsed="false">
      <c r="A413" s="23"/>
      <c r="B413" s="24"/>
      <c r="C413" s="24"/>
      <c r="D413" s="24"/>
      <c r="E413" s="24"/>
      <c r="F413" s="24"/>
      <c r="G413" s="24"/>
      <c r="H413" s="25" t="str">
        <f aca="false">IF($B413="","",IFERROR(IF(INDEX(명단!$B$5:$B$404,MATCH($B413,명단!$A$5:$A$404,0))="","(이름 미입력)",INDEX(명단!$B$5:$B$404,MATCH($B413,명단!$A$5:$A$404,0))),"번호 없음"))</f>
        <v/>
      </c>
      <c r="I413" s="25" t="str">
        <f aca="false">IF($B413="","",IF(COUNTIF($B$5:$B$1004,$B413)&gt;1,"중복 입력",""))</f>
        <v/>
      </c>
    </row>
    <row r="414" customFormat="false" ht="15" hidden="false" customHeight="false" outlineLevel="0" collapsed="false">
      <c r="A414" s="23"/>
      <c r="B414" s="24"/>
      <c r="C414" s="24"/>
      <c r="D414" s="24"/>
      <c r="E414" s="24"/>
      <c r="F414" s="24"/>
      <c r="G414" s="24"/>
      <c r="H414" s="25" t="str">
        <f aca="false">IF($B414="","",IFERROR(IF(INDEX(명단!$B$5:$B$404,MATCH($B414,명단!$A$5:$A$404,0))="","(이름 미입력)",INDEX(명단!$B$5:$B$404,MATCH($B414,명단!$A$5:$A$404,0))),"번호 없음"))</f>
        <v/>
      </c>
      <c r="I414" s="25" t="str">
        <f aca="false">IF($B414="","",IF(COUNTIF($B$5:$B$1004,$B414)&gt;1,"중복 입력",""))</f>
        <v/>
      </c>
    </row>
    <row r="415" customFormat="false" ht="15" hidden="false" customHeight="false" outlineLevel="0" collapsed="false">
      <c r="A415" s="23"/>
      <c r="B415" s="24"/>
      <c r="C415" s="24"/>
      <c r="D415" s="24"/>
      <c r="E415" s="24"/>
      <c r="F415" s="24"/>
      <c r="G415" s="24"/>
      <c r="H415" s="25" t="str">
        <f aca="false">IF($B415="","",IFERROR(IF(INDEX(명단!$B$5:$B$404,MATCH($B415,명단!$A$5:$A$404,0))="","(이름 미입력)",INDEX(명단!$B$5:$B$404,MATCH($B415,명단!$A$5:$A$404,0))),"번호 없음"))</f>
        <v/>
      </c>
      <c r="I415" s="25" t="str">
        <f aca="false">IF($B415="","",IF(COUNTIF($B$5:$B$1004,$B415)&gt;1,"중복 입력",""))</f>
        <v/>
      </c>
    </row>
    <row r="416" customFormat="false" ht="15" hidden="false" customHeight="false" outlineLevel="0" collapsed="false">
      <c r="A416" s="23"/>
      <c r="B416" s="24"/>
      <c r="C416" s="24"/>
      <c r="D416" s="24"/>
      <c r="E416" s="24"/>
      <c r="F416" s="24"/>
      <c r="G416" s="24"/>
      <c r="H416" s="25" t="str">
        <f aca="false">IF($B416="","",IFERROR(IF(INDEX(명단!$B$5:$B$404,MATCH($B416,명단!$A$5:$A$404,0))="","(이름 미입력)",INDEX(명단!$B$5:$B$404,MATCH($B416,명단!$A$5:$A$404,0))),"번호 없음"))</f>
        <v/>
      </c>
      <c r="I416" s="25" t="str">
        <f aca="false">IF($B416="","",IF(COUNTIF($B$5:$B$1004,$B416)&gt;1,"중복 입력",""))</f>
        <v/>
      </c>
    </row>
    <row r="417" customFormat="false" ht="15" hidden="false" customHeight="false" outlineLevel="0" collapsed="false">
      <c r="A417" s="23"/>
      <c r="B417" s="24"/>
      <c r="C417" s="24"/>
      <c r="D417" s="24"/>
      <c r="E417" s="24"/>
      <c r="F417" s="24"/>
      <c r="G417" s="24"/>
      <c r="H417" s="25" t="str">
        <f aca="false">IF($B417="","",IFERROR(IF(INDEX(명단!$B$5:$B$404,MATCH($B417,명단!$A$5:$A$404,0))="","(이름 미입력)",INDEX(명단!$B$5:$B$404,MATCH($B417,명단!$A$5:$A$404,0))),"번호 없음"))</f>
        <v/>
      </c>
      <c r="I417" s="25" t="str">
        <f aca="false">IF($B417="","",IF(COUNTIF($B$5:$B$1004,$B417)&gt;1,"중복 입력",""))</f>
        <v/>
      </c>
    </row>
    <row r="418" customFormat="false" ht="15" hidden="false" customHeight="false" outlineLevel="0" collapsed="false">
      <c r="A418" s="23"/>
      <c r="B418" s="24"/>
      <c r="C418" s="24"/>
      <c r="D418" s="24"/>
      <c r="E418" s="24"/>
      <c r="F418" s="24"/>
      <c r="G418" s="24"/>
      <c r="H418" s="25" t="str">
        <f aca="false">IF($B418="","",IFERROR(IF(INDEX(명단!$B$5:$B$404,MATCH($B418,명단!$A$5:$A$404,0))="","(이름 미입력)",INDEX(명단!$B$5:$B$404,MATCH($B418,명단!$A$5:$A$404,0))),"번호 없음"))</f>
        <v/>
      </c>
      <c r="I418" s="25" t="str">
        <f aca="false">IF($B418="","",IF(COUNTIF($B$5:$B$1004,$B418)&gt;1,"중복 입력",""))</f>
        <v/>
      </c>
    </row>
    <row r="419" customFormat="false" ht="15" hidden="false" customHeight="false" outlineLevel="0" collapsed="false">
      <c r="A419" s="23"/>
      <c r="B419" s="24"/>
      <c r="C419" s="24"/>
      <c r="D419" s="24"/>
      <c r="E419" s="24"/>
      <c r="F419" s="24"/>
      <c r="G419" s="24"/>
      <c r="H419" s="25" t="str">
        <f aca="false">IF($B419="","",IFERROR(IF(INDEX(명단!$B$5:$B$404,MATCH($B419,명단!$A$5:$A$404,0))="","(이름 미입력)",INDEX(명단!$B$5:$B$404,MATCH($B419,명단!$A$5:$A$404,0))),"번호 없음"))</f>
        <v/>
      </c>
      <c r="I419" s="25" t="str">
        <f aca="false">IF($B419="","",IF(COUNTIF($B$5:$B$1004,$B419)&gt;1,"중복 입력",""))</f>
        <v/>
      </c>
    </row>
    <row r="420" customFormat="false" ht="15" hidden="false" customHeight="false" outlineLevel="0" collapsed="false">
      <c r="A420" s="23"/>
      <c r="B420" s="24"/>
      <c r="C420" s="24"/>
      <c r="D420" s="24"/>
      <c r="E420" s="24"/>
      <c r="F420" s="24"/>
      <c r="G420" s="24"/>
      <c r="H420" s="25" t="str">
        <f aca="false">IF($B420="","",IFERROR(IF(INDEX(명단!$B$5:$B$404,MATCH($B420,명단!$A$5:$A$404,0))="","(이름 미입력)",INDEX(명단!$B$5:$B$404,MATCH($B420,명단!$A$5:$A$404,0))),"번호 없음"))</f>
        <v/>
      </c>
      <c r="I420" s="25" t="str">
        <f aca="false">IF($B420="","",IF(COUNTIF($B$5:$B$1004,$B420)&gt;1,"중복 입력",""))</f>
        <v/>
      </c>
    </row>
    <row r="421" customFormat="false" ht="15" hidden="false" customHeight="false" outlineLevel="0" collapsed="false">
      <c r="A421" s="23"/>
      <c r="B421" s="24"/>
      <c r="C421" s="24"/>
      <c r="D421" s="24"/>
      <c r="E421" s="24"/>
      <c r="F421" s="24"/>
      <c r="G421" s="24"/>
      <c r="H421" s="25" t="str">
        <f aca="false">IF($B421="","",IFERROR(IF(INDEX(명단!$B$5:$B$404,MATCH($B421,명단!$A$5:$A$404,0))="","(이름 미입력)",INDEX(명단!$B$5:$B$404,MATCH($B421,명단!$A$5:$A$404,0))),"번호 없음"))</f>
        <v/>
      </c>
      <c r="I421" s="25" t="str">
        <f aca="false">IF($B421="","",IF(COUNTIF($B$5:$B$1004,$B421)&gt;1,"중복 입력",""))</f>
        <v/>
      </c>
    </row>
    <row r="422" customFormat="false" ht="15" hidden="false" customHeight="false" outlineLevel="0" collapsed="false">
      <c r="A422" s="23"/>
      <c r="B422" s="24"/>
      <c r="C422" s="24"/>
      <c r="D422" s="24"/>
      <c r="E422" s="24"/>
      <c r="F422" s="24"/>
      <c r="G422" s="24"/>
      <c r="H422" s="25" t="str">
        <f aca="false">IF($B422="","",IFERROR(IF(INDEX(명단!$B$5:$B$404,MATCH($B422,명단!$A$5:$A$404,0))="","(이름 미입력)",INDEX(명단!$B$5:$B$404,MATCH($B422,명단!$A$5:$A$404,0))),"번호 없음"))</f>
        <v/>
      </c>
      <c r="I422" s="25" t="str">
        <f aca="false">IF($B422="","",IF(COUNTIF($B$5:$B$1004,$B422)&gt;1,"중복 입력",""))</f>
        <v/>
      </c>
    </row>
    <row r="423" customFormat="false" ht="15" hidden="false" customHeight="false" outlineLevel="0" collapsed="false">
      <c r="A423" s="23"/>
      <c r="B423" s="24"/>
      <c r="C423" s="24"/>
      <c r="D423" s="24"/>
      <c r="E423" s="24"/>
      <c r="F423" s="24"/>
      <c r="G423" s="24"/>
      <c r="H423" s="25" t="str">
        <f aca="false">IF($B423="","",IFERROR(IF(INDEX(명단!$B$5:$B$404,MATCH($B423,명단!$A$5:$A$404,0))="","(이름 미입력)",INDEX(명단!$B$5:$B$404,MATCH($B423,명단!$A$5:$A$404,0))),"번호 없음"))</f>
        <v/>
      </c>
      <c r="I423" s="25" t="str">
        <f aca="false">IF($B423="","",IF(COUNTIF($B$5:$B$1004,$B423)&gt;1,"중복 입력",""))</f>
        <v/>
      </c>
    </row>
    <row r="424" customFormat="false" ht="15" hidden="false" customHeight="false" outlineLevel="0" collapsed="false">
      <c r="A424" s="23"/>
      <c r="B424" s="24"/>
      <c r="C424" s="24"/>
      <c r="D424" s="24"/>
      <c r="E424" s="24"/>
      <c r="F424" s="24"/>
      <c r="G424" s="24"/>
      <c r="H424" s="25" t="str">
        <f aca="false">IF($B424="","",IFERROR(IF(INDEX(명단!$B$5:$B$404,MATCH($B424,명단!$A$5:$A$404,0))="","(이름 미입력)",INDEX(명단!$B$5:$B$404,MATCH($B424,명단!$A$5:$A$404,0))),"번호 없음"))</f>
        <v/>
      </c>
      <c r="I424" s="25" t="str">
        <f aca="false">IF($B424="","",IF(COUNTIF($B$5:$B$1004,$B424)&gt;1,"중복 입력",""))</f>
        <v/>
      </c>
    </row>
    <row r="425" customFormat="false" ht="15" hidden="false" customHeight="false" outlineLevel="0" collapsed="false">
      <c r="A425" s="23"/>
      <c r="B425" s="24"/>
      <c r="C425" s="24"/>
      <c r="D425" s="24"/>
      <c r="E425" s="24"/>
      <c r="F425" s="24"/>
      <c r="G425" s="24"/>
      <c r="H425" s="25" t="str">
        <f aca="false">IF($B425="","",IFERROR(IF(INDEX(명단!$B$5:$B$404,MATCH($B425,명단!$A$5:$A$404,0))="","(이름 미입력)",INDEX(명단!$B$5:$B$404,MATCH($B425,명단!$A$5:$A$404,0))),"번호 없음"))</f>
        <v/>
      </c>
      <c r="I425" s="25" t="str">
        <f aca="false">IF($B425="","",IF(COUNTIF($B$5:$B$1004,$B425)&gt;1,"중복 입력",""))</f>
        <v/>
      </c>
    </row>
    <row r="426" customFormat="false" ht="15" hidden="false" customHeight="false" outlineLevel="0" collapsed="false">
      <c r="A426" s="23"/>
      <c r="B426" s="24"/>
      <c r="C426" s="24"/>
      <c r="D426" s="24"/>
      <c r="E426" s="24"/>
      <c r="F426" s="24"/>
      <c r="G426" s="24"/>
      <c r="H426" s="25" t="str">
        <f aca="false">IF($B426="","",IFERROR(IF(INDEX(명단!$B$5:$B$404,MATCH($B426,명단!$A$5:$A$404,0))="","(이름 미입력)",INDEX(명단!$B$5:$B$404,MATCH($B426,명단!$A$5:$A$404,0))),"번호 없음"))</f>
        <v/>
      </c>
      <c r="I426" s="25" t="str">
        <f aca="false">IF($B426="","",IF(COUNTIF($B$5:$B$1004,$B426)&gt;1,"중복 입력",""))</f>
        <v/>
      </c>
    </row>
    <row r="427" customFormat="false" ht="15" hidden="false" customHeight="false" outlineLevel="0" collapsed="false">
      <c r="A427" s="23"/>
      <c r="B427" s="24"/>
      <c r="C427" s="24"/>
      <c r="D427" s="24"/>
      <c r="E427" s="24"/>
      <c r="F427" s="24"/>
      <c r="G427" s="24"/>
      <c r="H427" s="25" t="str">
        <f aca="false">IF($B427="","",IFERROR(IF(INDEX(명단!$B$5:$B$404,MATCH($B427,명단!$A$5:$A$404,0))="","(이름 미입력)",INDEX(명단!$B$5:$B$404,MATCH($B427,명단!$A$5:$A$404,0))),"번호 없음"))</f>
        <v/>
      </c>
      <c r="I427" s="25" t="str">
        <f aca="false">IF($B427="","",IF(COUNTIF($B$5:$B$1004,$B427)&gt;1,"중복 입력",""))</f>
        <v/>
      </c>
    </row>
    <row r="428" customFormat="false" ht="15" hidden="false" customHeight="false" outlineLevel="0" collapsed="false">
      <c r="A428" s="23"/>
      <c r="B428" s="24"/>
      <c r="C428" s="24"/>
      <c r="D428" s="24"/>
      <c r="E428" s="24"/>
      <c r="F428" s="24"/>
      <c r="G428" s="24"/>
      <c r="H428" s="25" t="str">
        <f aca="false">IF($B428="","",IFERROR(IF(INDEX(명단!$B$5:$B$404,MATCH($B428,명단!$A$5:$A$404,0))="","(이름 미입력)",INDEX(명단!$B$5:$B$404,MATCH($B428,명단!$A$5:$A$404,0))),"번호 없음"))</f>
        <v/>
      </c>
      <c r="I428" s="25" t="str">
        <f aca="false">IF($B428="","",IF(COUNTIF($B$5:$B$1004,$B428)&gt;1,"중복 입력",""))</f>
        <v/>
      </c>
    </row>
    <row r="429" customFormat="false" ht="15" hidden="false" customHeight="false" outlineLevel="0" collapsed="false">
      <c r="A429" s="23"/>
      <c r="B429" s="24"/>
      <c r="C429" s="24"/>
      <c r="D429" s="24"/>
      <c r="E429" s="24"/>
      <c r="F429" s="24"/>
      <c r="G429" s="24"/>
      <c r="H429" s="25" t="str">
        <f aca="false">IF($B429="","",IFERROR(IF(INDEX(명단!$B$5:$B$404,MATCH($B429,명단!$A$5:$A$404,0))="","(이름 미입력)",INDEX(명단!$B$5:$B$404,MATCH($B429,명단!$A$5:$A$404,0))),"번호 없음"))</f>
        <v/>
      </c>
      <c r="I429" s="25" t="str">
        <f aca="false">IF($B429="","",IF(COUNTIF($B$5:$B$1004,$B429)&gt;1,"중복 입력",""))</f>
        <v/>
      </c>
    </row>
    <row r="430" customFormat="false" ht="15" hidden="false" customHeight="false" outlineLevel="0" collapsed="false">
      <c r="A430" s="23"/>
      <c r="B430" s="24"/>
      <c r="C430" s="24"/>
      <c r="D430" s="24"/>
      <c r="E430" s="24"/>
      <c r="F430" s="24"/>
      <c r="G430" s="24"/>
      <c r="H430" s="25" t="str">
        <f aca="false">IF($B430="","",IFERROR(IF(INDEX(명단!$B$5:$B$404,MATCH($B430,명단!$A$5:$A$404,0))="","(이름 미입력)",INDEX(명단!$B$5:$B$404,MATCH($B430,명단!$A$5:$A$404,0))),"번호 없음"))</f>
        <v/>
      </c>
      <c r="I430" s="25" t="str">
        <f aca="false">IF($B430="","",IF(COUNTIF($B$5:$B$1004,$B430)&gt;1,"중복 입력",""))</f>
        <v/>
      </c>
    </row>
    <row r="431" customFormat="false" ht="15" hidden="false" customHeight="false" outlineLevel="0" collapsed="false">
      <c r="A431" s="23"/>
      <c r="B431" s="24"/>
      <c r="C431" s="24"/>
      <c r="D431" s="24"/>
      <c r="E431" s="24"/>
      <c r="F431" s="24"/>
      <c r="G431" s="24"/>
      <c r="H431" s="25" t="str">
        <f aca="false">IF($B431="","",IFERROR(IF(INDEX(명단!$B$5:$B$404,MATCH($B431,명단!$A$5:$A$404,0))="","(이름 미입력)",INDEX(명단!$B$5:$B$404,MATCH($B431,명단!$A$5:$A$404,0))),"번호 없음"))</f>
        <v/>
      </c>
      <c r="I431" s="25" t="str">
        <f aca="false">IF($B431="","",IF(COUNTIF($B$5:$B$1004,$B431)&gt;1,"중복 입력",""))</f>
        <v/>
      </c>
    </row>
    <row r="432" customFormat="false" ht="15" hidden="false" customHeight="false" outlineLevel="0" collapsed="false">
      <c r="A432" s="23"/>
      <c r="B432" s="24"/>
      <c r="C432" s="24"/>
      <c r="D432" s="24"/>
      <c r="E432" s="24"/>
      <c r="F432" s="24"/>
      <c r="G432" s="24"/>
      <c r="H432" s="25" t="str">
        <f aca="false">IF($B432="","",IFERROR(IF(INDEX(명단!$B$5:$B$404,MATCH($B432,명단!$A$5:$A$404,0))="","(이름 미입력)",INDEX(명단!$B$5:$B$404,MATCH($B432,명단!$A$5:$A$404,0))),"번호 없음"))</f>
        <v/>
      </c>
      <c r="I432" s="25" t="str">
        <f aca="false">IF($B432="","",IF(COUNTIF($B$5:$B$1004,$B432)&gt;1,"중복 입력",""))</f>
        <v/>
      </c>
    </row>
    <row r="433" customFormat="false" ht="15" hidden="false" customHeight="false" outlineLevel="0" collapsed="false">
      <c r="A433" s="23"/>
      <c r="B433" s="24"/>
      <c r="C433" s="24"/>
      <c r="D433" s="24"/>
      <c r="E433" s="24"/>
      <c r="F433" s="24"/>
      <c r="G433" s="24"/>
      <c r="H433" s="25" t="str">
        <f aca="false">IF($B433="","",IFERROR(IF(INDEX(명단!$B$5:$B$404,MATCH($B433,명단!$A$5:$A$404,0))="","(이름 미입력)",INDEX(명단!$B$5:$B$404,MATCH($B433,명단!$A$5:$A$404,0))),"번호 없음"))</f>
        <v/>
      </c>
      <c r="I433" s="25" t="str">
        <f aca="false">IF($B433="","",IF(COUNTIF($B$5:$B$1004,$B433)&gt;1,"중복 입력",""))</f>
        <v/>
      </c>
    </row>
    <row r="434" customFormat="false" ht="15" hidden="false" customHeight="false" outlineLevel="0" collapsed="false">
      <c r="A434" s="23"/>
      <c r="B434" s="24"/>
      <c r="C434" s="24"/>
      <c r="D434" s="24"/>
      <c r="E434" s="24"/>
      <c r="F434" s="24"/>
      <c r="G434" s="24"/>
      <c r="H434" s="25" t="str">
        <f aca="false">IF($B434="","",IFERROR(IF(INDEX(명단!$B$5:$B$404,MATCH($B434,명단!$A$5:$A$404,0))="","(이름 미입력)",INDEX(명단!$B$5:$B$404,MATCH($B434,명단!$A$5:$A$404,0))),"번호 없음"))</f>
        <v/>
      </c>
      <c r="I434" s="25" t="str">
        <f aca="false">IF($B434="","",IF(COUNTIF($B$5:$B$1004,$B434)&gt;1,"중복 입력",""))</f>
        <v/>
      </c>
    </row>
    <row r="435" customFormat="false" ht="15" hidden="false" customHeight="false" outlineLevel="0" collapsed="false">
      <c r="A435" s="23"/>
      <c r="B435" s="24"/>
      <c r="C435" s="24"/>
      <c r="D435" s="24"/>
      <c r="E435" s="24"/>
      <c r="F435" s="24"/>
      <c r="G435" s="24"/>
      <c r="H435" s="25" t="str">
        <f aca="false">IF($B435="","",IFERROR(IF(INDEX(명단!$B$5:$B$404,MATCH($B435,명단!$A$5:$A$404,0))="","(이름 미입력)",INDEX(명단!$B$5:$B$404,MATCH($B435,명단!$A$5:$A$404,0))),"번호 없음"))</f>
        <v/>
      </c>
      <c r="I435" s="25" t="str">
        <f aca="false">IF($B435="","",IF(COUNTIF($B$5:$B$1004,$B435)&gt;1,"중복 입력",""))</f>
        <v/>
      </c>
    </row>
    <row r="436" customFormat="false" ht="15" hidden="false" customHeight="false" outlineLevel="0" collapsed="false">
      <c r="A436" s="23"/>
      <c r="B436" s="24"/>
      <c r="C436" s="24"/>
      <c r="D436" s="24"/>
      <c r="E436" s="24"/>
      <c r="F436" s="24"/>
      <c r="G436" s="24"/>
      <c r="H436" s="25" t="str">
        <f aca="false">IF($B436="","",IFERROR(IF(INDEX(명단!$B$5:$B$404,MATCH($B436,명단!$A$5:$A$404,0))="","(이름 미입력)",INDEX(명단!$B$5:$B$404,MATCH($B436,명단!$A$5:$A$404,0))),"번호 없음"))</f>
        <v/>
      </c>
      <c r="I436" s="25" t="str">
        <f aca="false">IF($B436="","",IF(COUNTIF($B$5:$B$1004,$B436)&gt;1,"중복 입력",""))</f>
        <v/>
      </c>
    </row>
    <row r="437" customFormat="false" ht="15" hidden="false" customHeight="false" outlineLevel="0" collapsed="false">
      <c r="A437" s="23"/>
      <c r="B437" s="24"/>
      <c r="C437" s="24"/>
      <c r="D437" s="24"/>
      <c r="E437" s="24"/>
      <c r="F437" s="24"/>
      <c r="G437" s="24"/>
      <c r="H437" s="25" t="str">
        <f aca="false">IF($B437="","",IFERROR(IF(INDEX(명단!$B$5:$B$404,MATCH($B437,명단!$A$5:$A$404,0))="","(이름 미입력)",INDEX(명단!$B$5:$B$404,MATCH($B437,명단!$A$5:$A$404,0))),"번호 없음"))</f>
        <v/>
      </c>
      <c r="I437" s="25" t="str">
        <f aca="false">IF($B437="","",IF(COUNTIF($B$5:$B$1004,$B437)&gt;1,"중복 입력",""))</f>
        <v/>
      </c>
    </row>
    <row r="438" customFormat="false" ht="15" hidden="false" customHeight="false" outlineLevel="0" collapsed="false">
      <c r="A438" s="23"/>
      <c r="B438" s="24"/>
      <c r="C438" s="24"/>
      <c r="D438" s="24"/>
      <c r="E438" s="24"/>
      <c r="F438" s="24"/>
      <c r="G438" s="24"/>
      <c r="H438" s="25" t="str">
        <f aca="false">IF($B438="","",IFERROR(IF(INDEX(명단!$B$5:$B$404,MATCH($B438,명단!$A$5:$A$404,0))="","(이름 미입력)",INDEX(명단!$B$5:$B$404,MATCH($B438,명단!$A$5:$A$404,0))),"번호 없음"))</f>
        <v/>
      </c>
      <c r="I438" s="25" t="str">
        <f aca="false">IF($B438="","",IF(COUNTIF($B$5:$B$1004,$B438)&gt;1,"중복 입력",""))</f>
        <v/>
      </c>
    </row>
    <row r="439" customFormat="false" ht="15" hidden="false" customHeight="false" outlineLevel="0" collapsed="false">
      <c r="A439" s="23"/>
      <c r="B439" s="24"/>
      <c r="C439" s="24"/>
      <c r="D439" s="24"/>
      <c r="E439" s="24"/>
      <c r="F439" s="24"/>
      <c r="G439" s="24"/>
      <c r="H439" s="25" t="str">
        <f aca="false">IF($B439="","",IFERROR(IF(INDEX(명단!$B$5:$B$404,MATCH($B439,명단!$A$5:$A$404,0))="","(이름 미입력)",INDEX(명단!$B$5:$B$404,MATCH($B439,명단!$A$5:$A$404,0))),"번호 없음"))</f>
        <v/>
      </c>
      <c r="I439" s="25" t="str">
        <f aca="false">IF($B439="","",IF(COUNTIF($B$5:$B$1004,$B439)&gt;1,"중복 입력",""))</f>
        <v/>
      </c>
    </row>
    <row r="440" customFormat="false" ht="15" hidden="false" customHeight="false" outlineLevel="0" collapsed="false">
      <c r="A440" s="23"/>
      <c r="B440" s="24"/>
      <c r="C440" s="24"/>
      <c r="D440" s="24"/>
      <c r="E440" s="24"/>
      <c r="F440" s="24"/>
      <c r="G440" s="24"/>
      <c r="H440" s="25" t="str">
        <f aca="false">IF($B440="","",IFERROR(IF(INDEX(명단!$B$5:$B$404,MATCH($B440,명단!$A$5:$A$404,0))="","(이름 미입력)",INDEX(명단!$B$5:$B$404,MATCH($B440,명단!$A$5:$A$404,0))),"번호 없음"))</f>
        <v/>
      </c>
      <c r="I440" s="25" t="str">
        <f aca="false">IF($B440="","",IF(COUNTIF($B$5:$B$1004,$B440)&gt;1,"중복 입력",""))</f>
        <v/>
      </c>
    </row>
    <row r="441" customFormat="false" ht="15" hidden="false" customHeight="false" outlineLevel="0" collapsed="false">
      <c r="A441" s="23"/>
      <c r="B441" s="24"/>
      <c r="C441" s="24"/>
      <c r="D441" s="24"/>
      <c r="E441" s="24"/>
      <c r="F441" s="24"/>
      <c r="G441" s="24"/>
      <c r="H441" s="25" t="str">
        <f aca="false">IF($B441="","",IFERROR(IF(INDEX(명단!$B$5:$B$404,MATCH($B441,명단!$A$5:$A$404,0))="","(이름 미입력)",INDEX(명단!$B$5:$B$404,MATCH($B441,명단!$A$5:$A$404,0))),"번호 없음"))</f>
        <v/>
      </c>
      <c r="I441" s="25" t="str">
        <f aca="false">IF($B441="","",IF(COUNTIF($B$5:$B$1004,$B441)&gt;1,"중복 입력",""))</f>
        <v/>
      </c>
    </row>
    <row r="442" customFormat="false" ht="15" hidden="false" customHeight="false" outlineLevel="0" collapsed="false">
      <c r="A442" s="23"/>
      <c r="B442" s="24"/>
      <c r="C442" s="24"/>
      <c r="D442" s="24"/>
      <c r="E442" s="24"/>
      <c r="F442" s="24"/>
      <c r="G442" s="24"/>
      <c r="H442" s="25" t="str">
        <f aca="false">IF($B442="","",IFERROR(IF(INDEX(명단!$B$5:$B$404,MATCH($B442,명단!$A$5:$A$404,0))="","(이름 미입력)",INDEX(명단!$B$5:$B$404,MATCH($B442,명단!$A$5:$A$404,0))),"번호 없음"))</f>
        <v/>
      </c>
      <c r="I442" s="25" t="str">
        <f aca="false">IF($B442="","",IF(COUNTIF($B$5:$B$1004,$B442)&gt;1,"중복 입력",""))</f>
        <v/>
      </c>
    </row>
    <row r="443" customFormat="false" ht="15" hidden="false" customHeight="false" outlineLevel="0" collapsed="false">
      <c r="A443" s="23"/>
      <c r="B443" s="24"/>
      <c r="C443" s="24"/>
      <c r="D443" s="24"/>
      <c r="E443" s="24"/>
      <c r="F443" s="24"/>
      <c r="G443" s="24"/>
      <c r="H443" s="25" t="str">
        <f aca="false">IF($B443="","",IFERROR(IF(INDEX(명단!$B$5:$B$404,MATCH($B443,명단!$A$5:$A$404,0))="","(이름 미입력)",INDEX(명단!$B$5:$B$404,MATCH($B443,명단!$A$5:$A$404,0))),"번호 없음"))</f>
        <v/>
      </c>
      <c r="I443" s="25" t="str">
        <f aca="false">IF($B443="","",IF(COUNTIF($B$5:$B$1004,$B443)&gt;1,"중복 입력",""))</f>
        <v/>
      </c>
    </row>
    <row r="444" customFormat="false" ht="15" hidden="false" customHeight="false" outlineLevel="0" collapsed="false">
      <c r="A444" s="23"/>
      <c r="B444" s="24"/>
      <c r="C444" s="24"/>
      <c r="D444" s="24"/>
      <c r="E444" s="24"/>
      <c r="F444" s="24"/>
      <c r="G444" s="24"/>
      <c r="H444" s="25" t="str">
        <f aca="false">IF($B444="","",IFERROR(IF(INDEX(명단!$B$5:$B$404,MATCH($B444,명단!$A$5:$A$404,0))="","(이름 미입력)",INDEX(명단!$B$5:$B$404,MATCH($B444,명단!$A$5:$A$404,0))),"번호 없음"))</f>
        <v/>
      </c>
      <c r="I444" s="25" t="str">
        <f aca="false">IF($B444="","",IF(COUNTIF($B$5:$B$1004,$B444)&gt;1,"중복 입력",""))</f>
        <v/>
      </c>
    </row>
    <row r="445" customFormat="false" ht="15" hidden="false" customHeight="false" outlineLevel="0" collapsed="false">
      <c r="A445" s="23"/>
      <c r="B445" s="24"/>
      <c r="C445" s="24"/>
      <c r="D445" s="24"/>
      <c r="E445" s="24"/>
      <c r="F445" s="24"/>
      <c r="G445" s="24"/>
      <c r="H445" s="25" t="str">
        <f aca="false">IF($B445="","",IFERROR(IF(INDEX(명단!$B$5:$B$404,MATCH($B445,명단!$A$5:$A$404,0))="","(이름 미입력)",INDEX(명단!$B$5:$B$404,MATCH($B445,명단!$A$5:$A$404,0))),"번호 없음"))</f>
        <v/>
      </c>
      <c r="I445" s="25" t="str">
        <f aca="false">IF($B445="","",IF(COUNTIF($B$5:$B$1004,$B445)&gt;1,"중복 입력",""))</f>
        <v/>
      </c>
    </row>
    <row r="446" customFormat="false" ht="15" hidden="false" customHeight="false" outlineLevel="0" collapsed="false">
      <c r="A446" s="23"/>
      <c r="B446" s="24"/>
      <c r="C446" s="24"/>
      <c r="D446" s="24"/>
      <c r="E446" s="24"/>
      <c r="F446" s="24"/>
      <c r="G446" s="24"/>
      <c r="H446" s="25" t="str">
        <f aca="false">IF($B446="","",IFERROR(IF(INDEX(명단!$B$5:$B$404,MATCH($B446,명단!$A$5:$A$404,0))="","(이름 미입력)",INDEX(명단!$B$5:$B$404,MATCH($B446,명단!$A$5:$A$404,0))),"번호 없음"))</f>
        <v/>
      </c>
      <c r="I446" s="25" t="str">
        <f aca="false">IF($B446="","",IF(COUNTIF($B$5:$B$1004,$B446)&gt;1,"중복 입력",""))</f>
        <v/>
      </c>
    </row>
    <row r="447" customFormat="false" ht="15" hidden="false" customHeight="false" outlineLevel="0" collapsed="false">
      <c r="A447" s="23"/>
      <c r="B447" s="24"/>
      <c r="C447" s="24"/>
      <c r="D447" s="24"/>
      <c r="E447" s="24"/>
      <c r="F447" s="24"/>
      <c r="G447" s="24"/>
      <c r="H447" s="25" t="str">
        <f aca="false">IF($B447="","",IFERROR(IF(INDEX(명단!$B$5:$B$404,MATCH($B447,명단!$A$5:$A$404,0))="","(이름 미입력)",INDEX(명단!$B$5:$B$404,MATCH($B447,명단!$A$5:$A$404,0))),"번호 없음"))</f>
        <v/>
      </c>
      <c r="I447" s="25" t="str">
        <f aca="false">IF($B447="","",IF(COUNTIF($B$5:$B$1004,$B447)&gt;1,"중복 입력",""))</f>
        <v/>
      </c>
    </row>
    <row r="448" customFormat="false" ht="15" hidden="false" customHeight="false" outlineLevel="0" collapsed="false">
      <c r="A448" s="23"/>
      <c r="B448" s="24"/>
      <c r="C448" s="24"/>
      <c r="D448" s="24"/>
      <c r="E448" s="24"/>
      <c r="F448" s="24"/>
      <c r="G448" s="24"/>
      <c r="H448" s="25" t="str">
        <f aca="false">IF($B448="","",IFERROR(IF(INDEX(명단!$B$5:$B$404,MATCH($B448,명단!$A$5:$A$404,0))="","(이름 미입력)",INDEX(명단!$B$5:$B$404,MATCH($B448,명단!$A$5:$A$404,0))),"번호 없음"))</f>
        <v/>
      </c>
      <c r="I448" s="25" t="str">
        <f aca="false">IF($B448="","",IF(COUNTIF($B$5:$B$1004,$B448)&gt;1,"중복 입력",""))</f>
        <v/>
      </c>
    </row>
    <row r="449" customFormat="false" ht="15" hidden="false" customHeight="false" outlineLevel="0" collapsed="false">
      <c r="A449" s="23"/>
      <c r="B449" s="24"/>
      <c r="C449" s="24"/>
      <c r="D449" s="24"/>
      <c r="E449" s="24"/>
      <c r="F449" s="24"/>
      <c r="G449" s="24"/>
      <c r="H449" s="25" t="str">
        <f aca="false">IF($B449="","",IFERROR(IF(INDEX(명단!$B$5:$B$404,MATCH($B449,명단!$A$5:$A$404,0))="","(이름 미입력)",INDEX(명단!$B$5:$B$404,MATCH($B449,명단!$A$5:$A$404,0))),"번호 없음"))</f>
        <v/>
      </c>
      <c r="I449" s="25" t="str">
        <f aca="false">IF($B449="","",IF(COUNTIF($B$5:$B$1004,$B449)&gt;1,"중복 입력",""))</f>
        <v/>
      </c>
    </row>
    <row r="450" customFormat="false" ht="15" hidden="false" customHeight="false" outlineLevel="0" collapsed="false">
      <c r="A450" s="23"/>
      <c r="B450" s="24"/>
      <c r="C450" s="24"/>
      <c r="D450" s="24"/>
      <c r="E450" s="24"/>
      <c r="F450" s="24"/>
      <c r="G450" s="24"/>
      <c r="H450" s="25" t="str">
        <f aca="false">IF($B450="","",IFERROR(IF(INDEX(명단!$B$5:$B$404,MATCH($B450,명단!$A$5:$A$404,0))="","(이름 미입력)",INDEX(명단!$B$5:$B$404,MATCH($B450,명단!$A$5:$A$404,0))),"번호 없음"))</f>
        <v/>
      </c>
      <c r="I450" s="25" t="str">
        <f aca="false">IF($B450="","",IF(COUNTIF($B$5:$B$1004,$B450)&gt;1,"중복 입력",""))</f>
        <v/>
      </c>
    </row>
    <row r="451" customFormat="false" ht="15" hidden="false" customHeight="false" outlineLevel="0" collapsed="false">
      <c r="A451" s="23"/>
      <c r="B451" s="24"/>
      <c r="C451" s="24"/>
      <c r="D451" s="24"/>
      <c r="E451" s="24"/>
      <c r="F451" s="24"/>
      <c r="G451" s="24"/>
      <c r="H451" s="25" t="str">
        <f aca="false">IF($B451="","",IFERROR(IF(INDEX(명단!$B$5:$B$404,MATCH($B451,명단!$A$5:$A$404,0))="","(이름 미입력)",INDEX(명단!$B$5:$B$404,MATCH($B451,명단!$A$5:$A$404,0))),"번호 없음"))</f>
        <v/>
      </c>
      <c r="I451" s="25" t="str">
        <f aca="false">IF($B451="","",IF(COUNTIF($B$5:$B$1004,$B451)&gt;1,"중복 입력",""))</f>
        <v/>
      </c>
    </row>
    <row r="452" customFormat="false" ht="15" hidden="false" customHeight="false" outlineLevel="0" collapsed="false">
      <c r="A452" s="23"/>
      <c r="B452" s="24"/>
      <c r="C452" s="24"/>
      <c r="D452" s="24"/>
      <c r="E452" s="24"/>
      <c r="F452" s="24"/>
      <c r="G452" s="24"/>
      <c r="H452" s="25" t="str">
        <f aca="false">IF($B452="","",IFERROR(IF(INDEX(명단!$B$5:$B$404,MATCH($B452,명단!$A$5:$A$404,0))="","(이름 미입력)",INDEX(명단!$B$5:$B$404,MATCH($B452,명단!$A$5:$A$404,0))),"번호 없음"))</f>
        <v/>
      </c>
      <c r="I452" s="25" t="str">
        <f aca="false">IF($B452="","",IF(COUNTIF($B$5:$B$1004,$B452)&gt;1,"중복 입력",""))</f>
        <v/>
      </c>
    </row>
    <row r="453" customFormat="false" ht="15" hidden="false" customHeight="false" outlineLevel="0" collapsed="false">
      <c r="A453" s="23"/>
      <c r="B453" s="24"/>
      <c r="C453" s="24"/>
      <c r="D453" s="24"/>
      <c r="E453" s="24"/>
      <c r="F453" s="24"/>
      <c r="G453" s="24"/>
      <c r="H453" s="25" t="str">
        <f aca="false">IF($B453="","",IFERROR(IF(INDEX(명단!$B$5:$B$404,MATCH($B453,명단!$A$5:$A$404,0))="","(이름 미입력)",INDEX(명단!$B$5:$B$404,MATCH($B453,명단!$A$5:$A$404,0))),"번호 없음"))</f>
        <v/>
      </c>
      <c r="I453" s="25" t="str">
        <f aca="false">IF($B453="","",IF(COUNTIF($B$5:$B$1004,$B453)&gt;1,"중복 입력",""))</f>
        <v/>
      </c>
    </row>
    <row r="454" customFormat="false" ht="15" hidden="false" customHeight="false" outlineLevel="0" collapsed="false">
      <c r="A454" s="23"/>
      <c r="B454" s="24"/>
      <c r="C454" s="24"/>
      <c r="D454" s="24"/>
      <c r="E454" s="24"/>
      <c r="F454" s="24"/>
      <c r="G454" s="24"/>
      <c r="H454" s="25" t="str">
        <f aca="false">IF($B454="","",IFERROR(IF(INDEX(명단!$B$5:$B$404,MATCH($B454,명단!$A$5:$A$404,0))="","(이름 미입력)",INDEX(명단!$B$5:$B$404,MATCH($B454,명단!$A$5:$A$404,0))),"번호 없음"))</f>
        <v/>
      </c>
      <c r="I454" s="25" t="str">
        <f aca="false">IF($B454="","",IF(COUNTIF($B$5:$B$1004,$B454)&gt;1,"중복 입력",""))</f>
        <v/>
      </c>
    </row>
    <row r="455" customFormat="false" ht="15" hidden="false" customHeight="false" outlineLevel="0" collapsed="false">
      <c r="A455" s="23"/>
      <c r="B455" s="24"/>
      <c r="C455" s="24"/>
      <c r="D455" s="24"/>
      <c r="E455" s="24"/>
      <c r="F455" s="24"/>
      <c r="G455" s="24"/>
      <c r="H455" s="25" t="str">
        <f aca="false">IF($B455="","",IFERROR(IF(INDEX(명단!$B$5:$B$404,MATCH($B455,명단!$A$5:$A$404,0))="","(이름 미입력)",INDEX(명단!$B$5:$B$404,MATCH($B455,명단!$A$5:$A$404,0))),"번호 없음"))</f>
        <v/>
      </c>
      <c r="I455" s="25" t="str">
        <f aca="false">IF($B455="","",IF(COUNTIF($B$5:$B$1004,$B455)&gt;1,"중복 입력",""))</f>
        <v/>
      </c>
    </row>
    <row r="456" customFormat="false" ht="15" hidden="false" customHeight="false" outlineLevel="0" collapsed="false">
      <c r="A456" s="23"/>
      <c r="B456" s="24"/>
      <c r="C456" s="24"/>
      <c r="D456" s="24"/>
      <c r="E456" s="24"/>
      <c r="F456" s="24"/>
      <c r="G456" s="24"/>
      <c r="H456" s="25" t="str">
        <f aca="false">IF($B456="","",IFERROR(IF(INDEX(명단!$B$5:$B$404,MATCH($B456,명단!$A$5:$A$404,0))="","(이름 미입력)",INDEX(명단!$B$5:$B$404,MATCH($B456,명단!$A$5:$A$404,0))),"번호 없음"))</f>
        <v/>
      </c>
      <c r="I456" s="25" t="str">
        <f aca="false">IF($B456="","",IF(COUNTIF($B$5:$B$1004,$B456)&gt;1,"중복 입력",""))</f>
        <v/>
      </c>
    </row>
    <row r="457" customFormat="false" ht="15" hidden="false" customHeight="false" outlineLevel="0" collapsed="false">
      <c r="A457" s="23"/>
      <c r="B457" s="24"/>
      <c r="C457" s="24"/>
      <c r="D457" s="24"/>
      <c r="E457" s="24"/>
      <c r="F457" s="24"/>
      <c r="G457" s="24"/>
      <c r="H457" s="25" t="str">
        <f aca="false">IF($B457="","",IFERROR(IF(INDEX(명단!$B$5:$B$404,MATCH($B457,명단!$A$5:$A$404,0))="","(이름 미입력)",INDEX(명단!$B$5:$B$404,MATCH($B457,명단!$A$5:$A$404,0))),"번호 없음"))</f>
        <v/>
      </c>
      <c r="I457" s="25" t="str">
        <f aca="false">IF($B457="","",IF(COUNTIF($B$5:$B$1004,$B457)&gt;1,"중복 입력",""))</f>
        <v/>
      </c>
    </row>
    <row r="458" customFormat="false" ht="15" hidden="false" customHeight="false" outlineLevel="0" collapsed="false">
      <c r="A458" s="23"/>
      <c r="B458" s="24"/>
      <c r="C458" s="24"/>
      <c r="D458" s="24"/>
      <c r="E458" s="24"/>
      <c r="F458" s="24"/>
      <c r="G458" s="24"/>
      <c r="H458" s="25" t="str">
        <f aca="false">IF($B458="","",IFERROR(IF(INDEX(명단!$B$5:$B$404,MATCH($B458,명단!$A$5:$A$404,0))="","(이름 미입력)",INDEX(명단!$B$5:$B$404,MATCH($B458,명단!$A$5:$A$404,0))),"번호 없음"))</f>
        <v/>
      </c>
      <c r="I458" s="25" t="str">
        <f aca="false">IF($B458="","",IF(COUNTIF($B$5:$B$1004,$B458)&gt;1,"중복 입력",""))</f>
        <v/>
      </c>
    </row>
    <row r="459" customFormat="false" ht="15" hidden="false" customHeight="false" outlineLevel="0" collapsed="false">
      <c r="A459" s="23"/>
      <c r="B459" s="24"/>
      <c r="C459" s="24"/>
      <c r="D459" s="24"/>
      <c r="E459" s="24"/>
      <c r="F459" s="24"/>
      <c r="G459" s="24"/>
      <c r="H459" s="25" t="str">
        <f aca="false">IF($B459="","",IFERROR(IF(INDEX(명단!$B$5:$B$404,MATCH($B459,명단!$A$5:$A$404,0))="","(이름 미입력)",INDEX(명단!$B$5:$B$404,MATCH($B459,명단!$A$5:$A$404,0))),"번호 없음"))</f>
        <v/>
      </c>
      <c r="I459" s="25" t="str">
        <f aca="false">IF($B459="","",IF(COUNTIF($B$5:$B$1004,$B459)&gt;1,"중복 입력",""))</f>
        <v/>
      </c>
    </row>
    <row r="460" customFormat="false" ht="15" hidden="false" customHeight="false" outlineLevel="0" collapsed="false">
      <c r="A460" s="23"/>
      <c r="B460" s="24"/>
      <c r="C460" s="24"/>
      <c r="D460" s="24"/>
      <c r="E460" s="24"/>
      <c r="F460" s="24"/>
      <c r="G460" s="24"/>
      <c r="H460" s="25" t="str">
        <f aca="false">IF($B460="","",IFERROR(IF(INDEX(명단!$B$5:$B$404,MATCH($B460,명단!$A$5:$A$404,0))="","(이름 미입력)",INDEX(명단!$B$5:$B$404,MATCH($B460,명단!$A$5:$A$404,0))),"번호 없음"))</f>
        <v/>
      </c>
      <c r="I460" s="25" t="str">
        <f aca="false">IF($B460="","",IF(COUNTIF($B$5:$B$1004,$B460)&gt;1,"중복 입력",""))</f>
        <v/>
      </c>
    </row>
    <row r="461" customFormat="false" ht="15" hidden="false" customHeight="false" outlineLevel="0" collapsed="false">
      <c r="A461" s="23"/>
      <c r="B461" s="24"/>
      <c r="C461" s="24"/>
      <c r="D461" s="24"/>
      <c r="E461" s="24"/>
      <c r="F461" s="24"/>
      <c r="G461" s="24"/>
      <c r="H461" s="25" t="str">
        <f aca="false">IF($B461="","",IFERROR(IF(INDEX(명단!$B$5:$B$404,MATCH($B461,명단!$A$5:$A$404,0))="","(이름 미입력)",INDEX(명단!$B$5:$B$404,MATCH($B461,명단!$A$5:$A$404,0))),"번호 없음"))</f>
        <v/>
      </c>
      <c r="I461" s="25" t="str">
        <f aca="false">IF($B461="","",IF(COUNTIF($B$5:$B$1004,$B461)&gt;1,"중복 입력",""))</f>
        <v/>
      </c>
    </row>
    <row r="462" customFormat="false" ht="15" hidden="false" customHeight="false" outlineLevel="0" collapsed="false">
      <c r="A462" s="23"/>
      <c r="B462" s="24"/>
      <c r="C462" s="24"/>
      <c r="D462" s="24"/>
      <c r="E462" s="24"/>
      <c r="F462" s="24"/>
      <c r="G462" s="24"/>
      <c r="H462" s="25" t="str">
        <f aca="false">IF($B462="","",IFERROR(IF(INDEX(명단!$B$5:$B$404,MATCH($B462,명단!$A$5:$A$404,0))="","(이름 미입력)",INDEX(명단!$B$5:$B$404,MATCH($B462,명단!$A$5:$A$404,0))),"번호 없음"))</f>
        <v/>
      </c>
      <c r="I462" s="25" t="str">
        <f aca="false">IF($B462="","",IF(COUNTIF($B$5:$B$1004,$B462)&gt;1,"중복 입력",""))</f>
        <v/>
      </c>
    </row>
    <row r="463" customFormat="false" ht="15" hidden="false" customHeight="false" outlineLevel="0" collapsed="false">
      <c r="A463" s="23"/>
      <c r="B463" s="24"/>
      <c r="C463" s="24"/>
      <c r="D463" s="24"/>
      <c r="E463" s="24"/>
      <c r="F463" s="24"/>
      <c r="G463" s="24"/>
      <c r="H463" s="25" t="str">
        <f aca="false">IF($B463="","",IFERROR(IF(INDEX(명단!$B$5:$B$404,MATCH($B463,명단!$A$5:$A$404,0))="","(이름 미입력)",INDEX(명단!$B$5:$B$404,MATCH($B463,명단!$A$5:$A$404,0))),"번호 없음"))</f>
        <v/>
      </c>
      <c r="I463" s="25" t="str">
        <f aca="false">IF($B463="","",IF(COUNTIF($B$5:$B$1004,$B463)&gt;1,"중복 입력",""))</f>
        <v/>
      </c>
    </row>
    <row r="464" customFormat="false" ht="15" hidden="false" customHeight="false" outlineLevel="0" collapsed="false">
      <c r="A464" s="23"/>
      <c r="B464" s="24"/>
      <c r="C464" s="24"/>
      <c r="D464" s="24"/>
      <c r="E464" s="24"/>
      <c r="F464" s="24"/>
      <c r="G464" s="24"/>
      <c r="H464" s="25" t="str">
        <f aca="false">IF($B464="","",IFERROR(IF(INDEX(명단!$B$5:$B$404,MATCH($B464,명단!$A$5:$A$404,0))="","(이름 미입력)",INDEX(명단!$B$5:$B$404,MATCH($B464,명단!$A$5:$A$404,0))),"번호 없음"))</f>
        <v/>
      </c>
      <c r="I464" s="25" t="str">
        <f aca="false">IF($B464="","",IF(COUNTIF($B$5:$B$1004,$B464)&gt;1,"중복 입력",""))</f>
        <v/>
      </c>
    </row>
    <row r="465" customFormat="false" ht="15" hidden="false" customHeight="false" outlineLevel="0" collapsed="false">
      <c r="A465" s="23"/>
      <c r="B465" s="24"/>
      <c r="C465" s="24"/>
      <c r="D465" s="24"/>
      <c r="E465" s="24"/>
      <c r="F465" s="24"/>
      <c r="G465" s="24"/>
      <c r="H465" s="25" t="str">
        <f aca="false">IF($B465="","",IFERROR(IF(INDEX(명단!$B$5:$B$404,MATCH($B465,명단!$A$5:$A$404,0))="","(이름 미입력)",INDEX(명단!$B$5:$B$404,MATCH($B465,명단!$A$5:$A$404,0))),"번호 없음"))</f>
        <v/>
      </c>
      <c r="I465" s="25" t="str">
        <f aca="false">IF($B465="","",IF(COUNTIF($B$5:$B$1004,$B465)&gt;1,"중복 입력",""))</f>
        <v/>
      </c>
    </row>
    <row r="466" customFormat="false" ht="15" hidden="false" customHeight="false" outlineLevel="0" collapsed="false">
      <c r="A466" s="23"/>
      <c r="B466" s="24"/>
      <c r="C466" s="24"/>
      <c r="D466" s="24"/>
      <c r="E466" s="24"/>
      <c r="F466" s="24"/>
      <c r="G466" s="24"/>
      <c r="H466" s="25" t="str">
        <f aca="false">IF($B466="","",IFERROR(IF(INDEX(명단!$B$5:$B$404,MATCH($B466,명단!$A$5:$A$404,0))="","(이름 미입력)",INDEX(명단!$B$5:$B$404,MATCH($B466,명단!$A$5:$A$404,0))),"번호 없음"))</f>
        <v/>
      </c>
      <c r="I466" s="25" t="str">
        <f aca="false">IF($B466="","",IF(COUNTIF($B$5:$B$1004,$B466)&gt;1,"중복 입력",""))</f>
        <v/>
      </c>
    </row>
    <row r="467" customFormat="false" ht="15" hidden="false" customHeight="false" outlineLevel="0" collapsed="false">
      <c r="A467" s="23"/>
      <c r="B467" s="24"/>
      <c r="C467" s="24"/>
      <c r="D467" s="24"/>
      <c r="E467" s="24"/>
      <c r="F467" s="24"/>
      <c r="G467" s="24"/>
      <c r="H467" s="25" t="str">
        <f aca="false">IF($B467="","",IFERROR(IF(INDEX(명단!$B$5:$B$404,MATCH($B467,명단!$A$5:$A$404,0))="","(이름 미입력)",INDEX(명단!$B$5:$B$404,MATCH($B467,명단!$A$5:$A$404,0))),"번호 없음"))</f>
        <v/>
      </c>
      <c r="I467" s="25" t="str">
        <f aca="false">IF($B467="","",IF(COUNTIF($B$5:$B$1004,$B467)&gt;1,"중복 입력",""))</f>
        <v/>
      </c>
    </row>
    <row r="468" customFormat="false" ht="15" hidden="false" customHeight="false" outlineLevel="0" collapsed="false">
      <c r="A468" s="23"/>
      <c r="B468" s="24"/>
      <c r="C468" s="24"/>
      <c r="D468" s="24"/>
      <c r="E468" s="24"/>
      <c r="F468" s="24"/>
      <c r="G468" s="24"/>
      <c r="H468" s="25" t="str">
        <f aca="false">IF($B468="","",IFERROR(IF(INDEX(명단!$B$5:$B$404,MATCH($B468,명단!$A$5:$A$404,0))="","(이름 미입력)",INDEX(명단!$B$5:$B$404,MATCH($B468,명단!$A$5:$A$404,0))),"번호 없음"))</f>
        <v/>
      </c>
      <c r="I468" s="25" t="str">
        <f aca="false">IF($B468="","",IF(COUNTIF($B$5:$B$1004,$B468)&gt;1,"중복 입력",""))</f>
        <v/>
      </c>
    </row>
    <row r="469" customFormat="false" ht="15" hidden="false" customHeight="false" outlineLevel="0" collapsed="false">
      <c r="A469" s="23"/>
      <c r="B469" s="24"/>
      <c r="C469" s="24"/>
      <c r="D469" s="24"/>
      <c r="E469" s="24"/>
      <c r="F469" s="24"/>
      <c r="G469" s="24"/>
      <c r="H469" s="25" t="str">
        <f aca="false">IF($B469="","",IFERROR(IF(INDEX(명단!$B$5:$B$404,MATCH($B469,명단!$A$5:$A$404,0))="","(이름 미입력)",INDEX(명단!$B$5:$B$404,MATCH($B469,명단!$A$5:$A$404,0))),"번호 없음"))</f>
        <v/>
      </c>
      <c r="I469" s="25" t="str">
        <f aca="false">IF($B469="","",IF(COUNTIF($B$5:$B$1004,$B469)&gt;1,"중복 입력",""))</f>
        <v/>
      </c>
    </row>
    <row r="470" customFormat="false" ht="15" hidden="false" customHeight="false" outlineLevel="0" collapsed="false">
      <c r="A470" s="23"/>
      <c r="B470" s="24"/>
      <c r="C470" s="24"/>
      <c r="D470" s="24"/>
      <c r="E470" s="24"/>
      <c r="F470" s="24"/>
      <c r="G470" s="24"/>
      <c r="H470" s="25" t="str">
        <f aca="false">IF($B470="","",IFERROR(IF(INDEX(명단!$B$5:$B$404,MATCH($B470,명단!$A$5:$A$404,0))="","(이름 미입력)",INDEX(명단!$B$5:$B$404,MATCH($B470,명단!$A$5:$A$404,0))),"번호 없음"))</f>
        <v/>
      </c>
      <c r="I470" s="25" t="str">
        <f aca="false">IF($B470="","",IF(COUNTIF($B$5:$B$1004,$B470)&gt;1,"중복 입력",""))</f>
        <v/>
      </c>
    </row>
    <row r="471" customFormat="false" ht="15" hidden="false" customHeight="false" outlineLevel="0" collapsed="false">
      <c r="A471" s="23"/>
      <c r="B471" s="24"/>
      <c r="C471" s="24"/>
      <c r="D471" s="24"/>
      <c r="E471" s="24"/>
      <c r="F471" s="24"/>
      <c r="G471" s="24"/>
      <c r="H471" s="25" t="str">
        <f aca="false">IF($B471="","",IFERROR(IF(INDEX(명단!$B$5:$B$404,MATCH($B471,명단!$A$5:$A$404,0))="","(이름 미입력)",INDEX(명단!$B$5:$B$404,MATCH($B471,명단!$A$5:$A$404,0))),"번호 없음"))</f>
        <v/>
      </c>
      <c r="I471" s="25" t="str">
        <f aca="false">IF($B471="","",IF(COUNTIF($B$5:$B$1004,$B471)&gt;1,"중복 입력",""))</f>
        <v/>
      </c>
    </row>
    <row r="472" customFormat="false" ht="15" hidden="false" customHeight="false" outlineLevel="0" collapsed="false">
      <c r="A472" s="23"/>
      <c r="B472" s="24"/>
      <c r="C472" s="24"/>
      <c r="D472" s="24"/>
      <c r="E472" s="24"/>
      <c r="F472" s="24"/>
      <c r="G472" s="24"/>
      <c r="H472" s="25" t="str">
        <f aca="false">IF($B472="","",IFERROR(IF(INDEX(명단!$B$5:$B$404,MATCH($B472,명단!$A$5:$A$404,0))="","(이름 미입력)",INDEX(명단!$B$5:$B$404,MATCH($B472,명단!$A$5:$A$404,0))),"번호 없음"))</f>
        <v/>
      </c>
      <c r="I472" s="25" t="str">
        <f aca="false">IF($B472="","",IF(COUNTIF($B$5:$B$1004,$B472)&gt;1,"중복 입력",""))</f>
        <v/>
      </c>
    </row>
    <row r="473" customFormat="false" ht="15" hidden="false" customHeight="false" outlineLevel="0" collapsed="false">
      <c r="A473" s="23"/>
      <c r="B473" s="24"/>
      <c r="C473" s="24"/>
      <c r="D473" s="24"/>
      <c r="E473" s="24"/>
      <c r="F473" s="24"/>
      <c r="G473" s="24"/>
      <c r="H473" s="25" t="str">
        <f aca="false">IF($B473="","",IFERROR(IF(INDEX(명단!$B$5:$B$404,MATCH($B473,명단!$A$5:$A$404,0))="","(이름 미입력)",INDEX(명단!$B$5:$B$404,MATCH($B473,명단!$A$5:$A$404,0))),"번호 없음"))</f>
        <v/>
      </c>
      <c r="I473" s="25" t="str">
        <f aca="false">IF($B473="","",IF(COUNTIF($B$5:$B$1004,$B473)&gt;1,"중복 입력",""))</f>
        <v/>
      </c>
    </row>
    <row r="474" customFormat="false" ht="15" hidden="false" customHeight="false" outlineLevel="0" collapsed="false">
      <c r="A474" s="23"/>
      <c r="B474" s="24"/>
      <c r="C474" s="24"/>
      <c r="D474" s="24"/>
      <c r="E474" s="24"/>
      <c r="F474" s="24"/>
      <c r="G474" s="24"/>
      <c r="H474" s="25" t="str">
        <f aca="false">IF($B474="","",IFERROR(IF(INDEX(명단!$B$5:$B$404,MATCH($B474,명단!$A$5:$A$404,0))="","(이름 미입력)",INDEX(명단!$B$5:$B$404,MATCH($B474,명단!$A$5:$A$404,0))),"번호 없음"))</f>
        <v/>
      </c>
      <c r="I474" s="25" t="str">
        <f aca="false">IF($B474="","",IF(COUNTIF($B$5:$B$1004,$B474)&gt;1,"중복 입력",""))</f>
        <v/>
      </c>
    </row>
    <row r="475" customFormat="false" ht="15" hidden="false" customHeight="false" outlineLevel="0" collapsed="false">
      <c r="A475" s="23"/>
      <c r="B475" s="24"/>
      <c r="C475" s="24"/>
      <c r="D475" s="24"/>
      <c r="E475" s="24"/>
      <c r="F475" s="24"/>
      <c r="G475" s="24"/>
      <c r="H475" s="25" t="str">
        <f aca="false">IF($B475="","",IFERROR(IF(INDEX(명단!$B$5:$B$404,MATCH($B475,명단!$A$5:$A$404,0))="","(이름 미입력)",INDEX(명단!$B$5:$B$404,MATCH($B475,명단!$A$5:$A$404,0))),"번호 없음"))</f>
        <v/>
      </c>
      <c r="I475" s="25" t="str">
        <f aca="false">IF($B475="","",IF(COUNTIF($B$5:$B$1004,$B475)&gt;1,"중복 입력",""))</f>
        <v/>
      </c>
    </row>
    <row r="476" customFormat="false" ht="15" hidden="false" customHeight="false" outlineLevel="0" collapsed="false">
      <c r="A476" s="23"/>
      <c r="B476" s="24"/>
      <c r="C476" s="24"/>
      <c r="D476" s="24"/>
      <c r="E476" s="24"/>
      <c r="F476" s="24"/>
      <c r="G476" s="24"/>
      <c r="H476" s="25" t="str">
        <f aca="false">IF($B476="","",IFERROR(IF(INDEX(명단!$B$5:$B$404,MATCH($B476,명단!$A$5:$A$404,0))="","(이름 미입력)",INDEX(명단!$B$5:$B$404,MATCH($B476,명단!$A$5:$A$404,0))),"번호 없음"))</f>
        <v/>
      </c>
      <c r="I476" s="25" t="str">
        <f aca="false">IF($B476="","",IF(COUNTIF($B$5:$B$1004,$B476)&gt;1,"중복 입력",""))</f>
        <v/>
      </c>
    </row>
    <row r="477" customFormat="false" ht="15" hidden="false" customHeight="false" outlineLevel="0" collapsed="false">
      <c r="A477" s="23"/>
      <c r="B477" s="24"/>
      <c r="C477" s="24"/>
      <c r="D477" s="24"/>
      <c r="E477" s="24"/>
      <c r="F477" s="24"/>
      <c r="G477" s="24"/>
      <c r="H477" s="25" t="str">
        <f aca="false">IF($B477="","",IFERROR(IF(INDEX(명단!$B$5:$B$404,MATCH($B477,명단!$A$5:$A$404,0))="","(이름 미입력)",INDEX(명단!$B$5:$B$404,MATCH($B477,명단!$A$5:$A$404,0))),"번호 없음"))</f>
        <v/>
      </c>
      <c r="I477" s="25" t="str">
        <f aca="false">IF($B477="","",IF(COUNTIF($B$5:$B$1004,$B477)&gt;1,"중복 입력",""))</f>
        <v/>
      </c>
    </row>
    <row r="478" customFormat="false" ht="15" hidden="false" customHeight="false" outlineLevel="0" collapsed="false">
      <c r="A478" s="23"/>
      <c r="B478" s="24"/>
      <c r="C478" s="24"/>
      <c r="D478" s="24"/>
      <c r="E478" s="24"/>
      <c r="F478" s="24"/>
      <c r="G478" s="24"/>
      <c r="H478" s="25" t="str">
        <f aca="false">IF($B478="","",IFERROR(IF(INDEX(명단!$B$5:$B$404,MATCH($B478,명단!$A$5:$A$404,0))="","(이름 미입력)",INDEX(명단!$B$5:$B$404,MATCH($B478,명단!$A$5:$A$404,0))),"번호 없음"))</f>
        <v/>
      </c>
      <c r="I478" s="25" t="str">
        <f aca="false">IF($B478="","",IF(COUNTIF($B$5:$B$1004,$B478)&gt;1,"중복 입력",""))</f>
        <v/>
      </c>
    </row>
    <row r="479" customFormat="false" ht="15" hidden="false" customHeight="false" outlineLevel="0" collapsed="false">
      <c r="A479" s="23"/>
      <c r="B479" s="24"/>
      <c r="C479" s="24"/>
      <c r="D479" s="24"/>
      <c r="E479" s="24"/>
      <c r="F479" s="24"/>
      <c r="G479" s="24"/>
      <c r="H479" s="25" t="str">
        <f aca="false">IF($B479="","",IFERROR(IF(INDEX(명단!$B$5:$B$404,MATCH($B479,명단!$A$5:$A$404,0))="","(이름 미입력)",INDEX(명단!$B$5:$B$404,MATCH($B479,명단!$A$5:$A$404,0))),"번호 없음"))</f>
        <v/>
      </c>
      <c r="I479" s="25" t="str">
        <f aca="false">IF($B479="","",IF(COUNTIF($B$5:$B$1004,$B479)&gt;1,"중복 입력",""))</f>
        <v/>
      </c>
    </row>
    <row r="480" customFormat="false" ht="15" hidden="false" customHeight="false" outlineLevel="0" collapsed="false">
      <c r="A480" s="23"/>
      <c r="B480" s="24"/>
      <c r="C480" s="24"/>
      <c r="D480" s="24"/>
      <c r="E480" s="24"/>
      <c r="F480" s="24"/>
      <c r="G480" s="24"/>
      <c r="H480" s="25" t="str">
        <f aca="false">IF($B480="","",IFERROR(IF(INDEX(명단!$B$5:$B$404,MATCH($B480,명단!$A$5:$A$404,0))="","(이름 미입력)",INDEX(명단!$B$5:$B$404,MATCH($B480,명단!$A$5:$A$404,0))),"번호 없음"))</f>
        <v/>
      </c>
      <c r="I480" s="25" t="str">
        <f aca="false">IF($B480="","",IF(COUNTIF($B$5:$B$1004,$B480)&gt;1,"중복 입력",""))</f>
        <v/>
      </c>
    </row>
    <row r="481" customFormat="false" ht="15" hidden="false" customHeight="false" outlineLevel="0" collapsed="false">
      <c r="A481" s="23"/>
      <c r="B481" s="24"/>
      <c r="C481" s="24"/>
      <c r="D481" s="24"/>
      <c r="E481" s="24"/>
      <c r="F481" s="24"/>
      <c r="G481" s="24"/>
      <c r="H481" s="25" t="str">
        <f aca="false">IF($B481="","",IFERROR(IF(INDEX(명단!$B$5:$B$404,MATCH($B481,명단!$A$5:$A$404,0))="","(이름 미입력)",INDEX(명단!$B$5:$B$404,MATCH($B481,명단!$A$5:$A$404,0))),"번호 없음"))</f>
        <v/>
      </c>
      <c r="I481" s="25" t="str">
        <f aca="false">IF($B481="","",IF(COUNTIF($B$5:$B$1004,$B481)&gt;1,"중복 입력",""))</f>
        <v/>
      </c>
    </row>
    <row r="482" customFormat="false" ht="15" hidden="false" customHeight="false" outlineLevel="0" collapsed="false">
      <c r="A482" s="23"/>
      <c r="B482" s="24"/>
      <c r="C482" s="24"/>
      <c r="D482" s="24"/>
      <c r="E482" s="24"/>
      <c r="F482" s="24"/>
      <c r="G482" s="24"/>
      <c r="H482" s="25" t="str">
        <f aca="false">IF($B482="","",IFERROR(IF(INDEX(명단!$B$5:$B$404,MATCH($B482,명단!$A$5:$A$404,0))="","(이름 미입력)",INDEX(명단!$B$5:$B$404,MATCH($B482,명단!$A$5:$A$404,0))),"번호 없음"))</f>
        <v/>
      </c>
      <c r="I482" s="25" t="str">
        <f aca="false">IF($B482="","",IF(COUNTIF($B$5:$B$1004,$B482)&gt;1,"중복 입력",""))</f>
        <v/>
      </c>
    </row>
    <row r="483" customFormat="false" ht="15" hidden="false" customHeight="false" outlineLevel="0" collapsed="false">
      <c r="A483" s="23"/>
      <c r="B483" s="24"/>
      <c r="C483" s="24"/>
      <c r="D483" s="24"/>
      <c r="E483" s="24"/>
      <c r="F483" s="24"/>
      <c r="G483" s="24"/>
      <c r="H483" s="25" t="str">
        <f aca="false">IF($B483="","",IFERROR(IF(INDEX(명단!$B$5:$B$404,MATCH($B483,명단!$A$5:$A$404,0))="","(이름 미입력)",INDEX(명단!$B$5:$B$404,MATCH($B483,명단!$A$5:$A$404,0))),"번호 없음"))</f>
        <v/>
      </c>
      <c r="I483" s="25" t="str">
        <f aca="false">IF($B483="","",IF(COUNTIF($B$5:$B$1004,$B483)&gt;1,"중복 입력",""))</f>
        <v/>
      </c>
    </row>
    <row r="484" customFormat="false" ht="15" hidden="false" customHeight="false" outlineLevel="0" collapsed="false">
      <c r="A484" s="23"/>
      <c r="B484" s="24"/>
      <c r="C484" s="24"/>
      <c r="D484" s="24"/>
      <c r="E484" s="24"/>
      <c r="F484" s="24"/>
      <c r="G484" s="24"/>
      <c r="H484" s="25" t="str">
        <f aca="false">IF($B484="","",IFERROR(IF(INDEX(명단!$B$5:$B$404,MATCH($B484,명단!$A$5:$A$404,0))="","(이름 미입력)",INDEX(명단!$B$5:$B$404,MATCH($B484,명단!$A$5:$A$404,0))),"번호 없음"))</f>
        <v/>
      </c>
      <c r="I484" s="25" t="str">
        <f aca="false">IF($B484="","",IF(COUNTIF($B$5:$B$1004,$B484)&gt;1,"중복 입력",""))</f>
        <v/>
      </c>
    </row>
    <row r="485" customFormat="false" ht="15" hidden="false" customHeight="false" outlineLevel="0" collapsed="false">
      <c r="A485" s="23"/>
      <c r="B485" s="24"/>
      <c r="C485" s="24"/>
      <c r="D485" s="24"/>
      <c r="E485" s="24"/>
      <c r="F485" s="24"/>
      <c r="G485" s="24"/>
      <c r="H485" s="25" t="str">
        <f aca="false">IF($B485="","",IFERROR(IF(INDEX(명단!$B$5:$B$404,MATCH($B485,명단!$A$5:$A$404,0))="","(이름 미입력)",INDEX(명단!$B$5:$B$404,MATCH($B485,명단!$A$5:$A$404,0))),"번호 없음"))</f>
        <v/>
      </c>
      <c r="I485" s="25" t="str">
        <f aca="false">IF($B485="","",IF(COUNTIF($B$5:$B$1004,$B485)&gt;1,"중복 입력",""))</f>
        <v/>
      </c>
    </row>
    <row r="486" customFormat="false" ht="15" hidden="false" customHeight="false" outlineLevel="0" collapsed="false">
      <c r="A486" s="23"/>
      <c r="B486" s="24"/>
      <c r="C486" s="24"/>
      <c r="D486" s="24"/>
      <c r="E486" s="24"/>
      <c r="F486" s="24"/>
      <c r="G486" s="24"/>
      <c r="H486" s="25" t="str">
        <f aca="false">IF($B486="","",IFERROR(IF(INDEX(명단!$B$5:$B$404,MATCH($B486,명단!$A$5:$A$404,0))="","(이름 미입력)",INDEX(명단!$B$5:$B$404,MATCH($B486,명단!$A$5:$A$404,0))),"번호 없음"))</f>
        <v/>
      </c>
      <c r="I486" s="25" t="str">
        <f aca="false">IF($B486="","",IF(COUNTIF($B$5:$B$1004,$B486)&gt;1,"중복 입력",""))</f>
        <v/>
      </c>
    </row>
    <row r="487" customFormat="false" ht="15" hidden="false" customHeight="false" outlineLevel="0" collapsed="false">
      <c r="A487" s="23"/>
      <c r="B487" s="24"/>
      <c r="C487" s="24"/>
      <c r="D487" s="24"/>
      <c r="E487" s="24"/>
      <c r="F487" s="24"/>
      <c r="G487" s="24"/>
      <c r="H487" s="25" t="str">
        <f aca="false">IF($B487="","",IFERROR(IF(INDEX(명단!$B$5:$B$404,MATCH($B487,명단!$A$5:$A$404,0))="","(이름 미입력)",INDEX(명단!$B$5:$B$404,MATCH($B487,명단!$A$5:$A$404,0))),"번호 없음"))</f>
        <v/>
      </c>
      <c r="I487" s="25" t="str">
        <f aca="false">IF($B487="","",IF(COUNTIF($B$5:$B$1004,$B487)&gt;1,"중복 입력",""))</f>
        <v/>
      </c>
    </row>
    <row r="488" customFormat="false" ht="15" hidden="false" customHeight="false" outlineLevel="0" collapsed="false">
      <c r="A488" s="23"/>
      <c r="B488" s="24"/>
      <c r="C488" s="24"/>
      <c r="D488" s="24"/>
      <c r="E488" s="24"/>
      <c r="F488" s="24"/>
      <c r="G488" s="24"/>
      <c r="H488" s="25" t="str">
        <f aca="false">IF($B488="","",IFERROR(IF(INDEX(명단!$B$5:$B$404,MATCH($B488,명단!$A$5:$A$404,0))="","(이름 미입력)",INDEX(명단!$B$5:$B$404,MATCH($B488,명단!$A$5:$A$404,0))),"번호 없음"))</f>
        <v/>
      </c>
      <c r="I488" s="25" t="str">
        <f aca="false">IF($B488="","",IF(COUNTIF($B$5:$B$1004,$B488)&gt;1,"중복 입력",""))</f>
        <v/>
      </c>
    </row>
    <row r="489" customFormat="false" ht="15" hidden="false" customHeight="false" outlineLevel="0" collapsed="false">
      <c r="A489" s="23"/>
      <c r="B489" s="24"/>
      <c r="C489" s="24"/>
      <c r="D489" s="24"/>
      <c r="E489" s="24"/>
      <c r="F489" s="24"/>
      <c r="G489" s="24"/>
      <c r="H489" s="25" t="str">
        <f aca="false">IF($B489="","",IFERROR(IF(INDEX(명단!$B$5:$B$404,MATCH($B489,명단!$A$5:$A$404,0))="","(이름 미입력)",INDEX(명단!$B$5:$B$404,MATCH($B489,명단!$A$5:$A$404,0))),"번호 없음"))</f>
        <v/>
      </c>
      <c r="I489" s="25" t="str">
        <f aca="false">IF($B489="","",IF(COUNTIF($B$5:$B$1004,$B489)&gt;1,"중복 입력",""))</f>
        <v/>
      </c>
    </row>
    <row r="490" customFormat="false" ht="15" hidden="false" customHeight="false" outlineLevel="0" collapsed="false">
      <c r="A490" s="23"/>
      <c r="B490" s="24"/>
      <c r="C490" s="24"/>
      <c r="D490" s="24"/>
      <c r="E490" s="24"/>
      <c r="F490" s="24"/>
      <c r="G490" s="24"/>
      <c r="H490" s="25" t="str">
        <f aca="false">IF($B490="","",IFERROR(IF(INDEX(명단!$B$5:$B$404,MATCH($B490,명단!$A$5:$A$404,0))="","(이름 미입력)",INDEX(명단!$B$5:$B$404,MATCH($B490,명단!$A$5:$A$404,0))),"번호 없음"))</f>
        <v/>
      </c>
      <c r="I490" s="25" t="str">
        <f aca="false">IF($B490="","",IF(COUNTIF($B$5:$B$1004,$B490)&gt;1,"중복 입력",""))</f>
        <v/>
      </c>
    </row>
    <row r="491" customFormat="false" ht="15" hidden="false" customHeight="false" outlineLevel="0" collapsed="false">
      <c r="A491" s="23"/>
      <c r="B491" s="24"/>
      <c r="C491" s="24"/>
      <c r="D491" s="24"/>
      <c r="E491" s="24"/>
      <c r="F491" s="24"/>
      <c r="G491" s="24"/>
      <c r="H491" s="25" t="str">
        <f aca="false">IF($B491="","",IFERROR(IF(INDEX(명단!$B$5:$B$404,MATCH($B491,명단!$A$5:$A$404,0))="","(이름 미입력)",INDEX(명단!$B$5:$B$404,MATCH($B491,명단!$A$5:$A$404,0))),"번호 없음"))</f>
        <v/>
      </c>
      <c r="I491" s="25" t="str">
        <f aca="false">IF($B491="","",IF(COUNTIF($B$5:$B$1004,$B491)&gt;1,"중복 입력",""))</f>
        <v/>
      </c>
    </row>
    <row r="492" customFormat="false" ht="15" hidden="false" customHeight="false" outlineLevel="0" collapsed="false">
      <c r="A492" s="23"/>
      <c r="B492" s="24"/>
      <c r="C492" s="24"/>
      <c r="D492" s="24"/>
      <c r="E492" s="24"/>
      <c r="F492" s="24"/>
      <c r="G492" s="24"/>
      <c r="H492" s="25" t="str">
        <f aca="false">IF($B492="","",IFERROR(IF(INDEX(명단!$B$5:$B$404,MATCH($B492,명단!$A$5:$A$404,0))="","(이름 미입력)",INDEX(명단!$B$5:$B$404,MATCH($B492,명단!$A$5:$A$404,0))),"번호 없음"))</f>
        <v/>
      </c>
      <c r="I492" s="25" t="str">
        <f aca="false">IF($B492="","",IF(COUNTIF($B$5:$B$1004,$B492)&gt;1,"중복 입력",""))</f>
        <v/>
      </c>
    </row>
    <row r="493" customFormat="false" ht="15" hidden="false" customHeight="false" outlineLevel="0" collapsed="false">
      <c r="A493" s="23"/>
      <c r="B493" s="24"/>
      <c r="C493" s="24"/>
      <c r="D493" s="24"/>
      <c r="E493" s="24"/>
      <c r="F493" s="24"/>
      <c r="G493" s="24"/>
      <c r="H493" s="25" t="str">
        <f aca="false">IF($B493="","",IFERROR(IF(INDEX(명단!$B$5:$B$404,MATCH($B493,명단!$A$5:$A$404,0))="","(이름 미입력)",INDEX(명단!$B$5:$B$404,MATCH($B493,명단!$A$5:$A$404,0))),"번호 없음"))</f>
        <v/>
      </c>
      <c r="I493" s="25" t="str">
        <f aca="false">IF($B493="","",IF(COUNTIF($B$5:$B$1004,$B493)&gt;1,"중복 입력",""))</f>
        <v/>
      </c>
    </row>
    <row r="494" customFormat="false" ht="15" hidden="false" customHeight="false" outlineLevel="0" collapsed="false">
      <c r="A494" s="23"/>
      <c r="B494" s="24"/>
      <c r="C494" s="24"/>
      <c r="D494" s="24"/>
      <c r="E494" s="24"/>
      <c r="F494" s="24"/>
      <c r="G494" s="24"/>
      <c r="H494" s="25" t="str">
        <f aca="false">IF($B494="","",IFERROR(IF(INDEX(명단!$B$5:$B$404,MATCH($B494,명단!$A$5:$A$404,0))="","(이름 미입력)",INDEX(명단!$B$5:$B$404,MATCH($B494,명단!$A$5:$A$404,0))),"번호 없음"))</f>
        <v/>
      </c>
      <c r="I494" s="25" t="str">
        <f aca="false">IF($B494="","",IF(COUNTIF($B$5:$B$1004,$B494)&gt;1,"중복 입력",""))</f>
        <v/>
      </c>
    </row>
    <row r="495" customFormat="false" ht="15" hidden="false" customHeight="false" outlineLevel="0" collapsed="false">
      <c r="A495" s="23"/>
      <c r="B495" s="24"/>
      <c r="C495" s="24"/>
      <c r="D495" s="24"/>
      <c r="E495" s="24"/>
      <c r="F495" s="24"/>
      <c r="G495" s="24"/>
      <c r="H495" s="25" t="str">
        <f aca="false">IF($B495="","",IFERROR(IF(INDEX(명단!$B$5:$B$404,MATCH($B495,명단!$A$5:$A$404,0))="","(이름 미입력)",INDEX(명단!$B$5:$B$404,MATCH($B495,명단!$A$5:$A$404,0))),"번호 없음"))</f>
        <v/>
      </c>
      <c r="I495" s="25" t="str">
        <f aca="false">IF($B495="","",IF(COUNTIF($B$5:$B$1004,$B495)&gt;1,"중복 입력",""))</f>
        <v/>
      </c>
    </row>
    <row r="496" customFormat="false" ht="15" hidden="false" customHeight="false" outlineLevel="0" collapsed="false">
      <c r="A496" s="23"/>
      <c r="B496" s="24"/>
      <c r="C496" s="24"/>
      <c r="D496" s="24"/>
      <c r="E496" s="24"/>
      <c r="F496" s="24"/>
      <c r="G496" s="24"/>
      <c r="H496" s="25" t="str">
        <f aca="false">IF($B496="","",IFERROR(IF(INDEX(명단!$B$5:$B$404,MATCH($B496,명단!$A$5:$A$404,0))="","(이름 미입력)",INDEX(명단!$B$5:$B$404,MATCH($B496,명단!$A$5:$A$404,0))),"번호 없음"))</f>
        <v/>
      </c>
      <c r="I496" s="25" t="str">
        <f aca="false">IF($B496="","",IF(COUNTIF($B$5:$B$1004,$B496)&gt;1,"중복 입력",""))</f>
        <v/>
      </c>
    </row>
    <row r="497" customFormat="false" ht="15" hidden="false" customHeight="false" outlineLevel="0" collapsed="false">
      <c r="A497" s="23"/>
      <c r="B497" s="24"/>
      <c r="C497" s="24"/>
      <c r="D497" s="24"/>
      <c r="E497" s="24"/>
      <c r="F497" s="24"/>
      <c r="G497" s="24"/>
      <c r="H497" s="25" t="str">
        <f aca="false">IF($B497="","",IFERROR(IF(INDEX(명단!$B$5:$B$404,MATCH($B497,명단!$A$5:$A$404,0))="","(이름 미입력)",INDEX(명단!$B$5:$B$404,MATCH($B497,명단!$A$5:$A$404,0))),"번호 없음"))</f>
        <v/>
      </c>
      <c r="I497" s="25" t="str">
        <f aca="false">IF($B497="","",IF(COUNTIF($B$5:$B$1004,$B497)&gt;1,"중복 입력",""))</f>
        <v/>
      </c>
    </row>
    <row r="498" customFormat="false" ht="15" hidden="false" customHeight="false" outlineLevel="0" collapsed="false">
      <c r="A498" s="23"/>
      <c r="B498" s="24"/>
      <c r="C498" s="24"/>
      <c r="D498" s="24"/>
      <c r="E498" s="24"/>
      <c r="F498" s="24"/>
      <c r="G498" s="24"/>
      <c r="H498" s="25" t="str">
        <f aca="false">IF($B498="","",IFERROR(IF(INDEX(명단!$B$5:$B$404,MATCH($B498,명단!$A$5:$A$404,0))="","(이름 미입력)",INDEX(명단!$B$5:$B$404,MATCH($B498,명단!$A$5:$A$404,0))),"번호 없음"))</f>
        <v/>
      </c>
      <c r="I498" s="25" t="str">
        <f aca="false">IF($B498="","",IF(COUNTIF($B$5:$B$1004,$B498)&gt;1,"중복 입력",""))</f>
        <v/>
      </c>
    </row>
    <row r="499" customFormat="false" ht="15" hidden="false" customHeight="false" outlineLevel="0" collapsed="false">
      <c r="A499" s="23"/>
      <c r="B499" s="24"/>
      <c r="C499" s="24"/>
      <c r="D499" s="24"/>
      <c r="E499" s="24"/>
      <c r="F499" s="24"/>
      <c r="G499" s="24"/>
      <c r="H499" s="25" t="str">
        <f aca="false">IF($B499="","",IFERROR(IF(INDEX(명단!$B$5:$B$404,MATCH($B499,명단!$A$5:$A$404,0))="","(이름 미입력)",INDEX(명단!$B$5:$B$404,MATCH($B499,명단!$A$5:$A$404,0))),"번호 없음"))</f>
        <v/>
      </c>
      <c r="I499" s="25" t="str">
        <f aca="false">IF($B499="","",IF(COUNTIF($B$5:$B$1004,$B499)&gt;1,"중복 입력",""))</f>
        <v/>
      </c>
    </row>
    <row r="500" customFormat="false" ht="15" hidden="false" customHeight="false" outlineLevel="0" collapsed="false">
      <c r="A500" s="23"/>
      <c r="B500" s="24"/>
      <c r="C500" s="24"/>
      <c r="D500" s="24"/>
      <c r="E500" s="24"/>
      <c r="F500" s="24"/>
      <c r="G500" s="24"/>
      <c r="H500" s="25" t="str">
        <f aca="false">IF($B500="","",IFERROR(IF(INDEX(명단!$B$5:$B$404,MATCH($B500,명단!$A$5:$A$404,0))="","(이름 미입력)",INDEX(명단!$B$5:$B$404,MATCH($B500,명단!$A$5:$A$404,0))),"번호 없음"))</f>
        <v/>
      </c>
      <c r="I500" s="25" t="str">
        <f aca="false">IF($B500="","",IF(COUNTIF($B$5:$B$1004,$B500)&gt;1,"중복 입력",""))</f>
        <v/>
      </c>
    </row>
    <row r="501" customFormat="false" ht="15" hidden="false" customHeight="false" outlineLevel="0" collapsed="false">
      <c r="A501" s="23"/>
      <c r="B501" s="24"/>
      <c r="C501" s="24"/>
      <c r="D501" s="24"/>
      <c r="E501" s="24"/>
      <c r="F501" s="24"/>
      <c r="G501" s="24"/>
      <c r="H501" s="25" t="str">
        <f aca="false">IF($B501="","",IFERROR(IF(INDEX(명단!$B$5:$B$404,MATCH($B501,명단!$A$5:$A$404,0))="","(이름 미입력)",INDEX(명단!$B$5:$B$404,MATCH($B501,명단!$A$5:$A$404,0))),"번호 없음"))</f>
        <v/>
      </c>
      <c r="I501" s="25" t="str">
        <f aca="false">IF($B501="","",IF(COUNTIF($B$5:$B$1004,$B501)&gt;1,"중복 입력",""))</f>
        <v/>
      </c>
    </row>
    <row r="502" customFormat="false" ht="15" hidden="false" customHeight="false" outlineLevel="0" collapsed="false">
      <c r="A502" s="23"/>
      <c r="B502" s="24"/>
      <c r="C502" s="24"/>
      <c r="D502" s="24"/>
      <c r="E502" s="24"/>
      <c r="F502" s="24"/>
      <c r="G502" s="24"/>
      <c r="H502" s="25" t="str">
        <f aca="false">IF($B502="","",IFERROR(IF(INDEX(명단!$B$5:$B$404,MATCH($B502,명단!$A$5:$A$404,0))="","(이름 미입력)",INDEX(명단!$B$5:$B$404,MATCH($B502,명단!$A$5:$A$404,0))),"번호 없음"))</f>
        <v/>
      </c>
      <c r="I502" s="25" t="str">
        <f aca="false">IF($B502="","",IF(COUNTIF($B$5:$B$1004,$B502)&gt;1,"중복 입력",""))</f>
        <v/>
      </c>
    </row>
    <row r="503" customFormat="false" ht="15" hidden="false" customHeight="false" outlineLevel="0" collapsed="false">
      <c r="A503" s="23"/>
      <c r="B503" s="24"/>
      <c r="C503" s="24"/>
      <c r="D503" s="24"/>
      <c r="E503" s="24"/>
      <c r="F503" s="24"/>
      <c r="G503" s="24"/>
      <c r="H503" s="25" t="str">
        <f aca="false">IF($B503="","",IFERROR(IF(INDEX(명단!$B$5:$B$404,MATCH($B503,명단!$A$5:$A$404,0))="","(이름 미입력)",INDEX(명단!$B$5:$B$404,MATCH($B503,명단!$A$5:$A$404,0))),"번호 없음"))</f>
        <v/>
      </c>
      <c r="I503" s="25" t="str">
        <f aca="false">IF($B503="","",IF(COUNTIF($B$5:$B$1004,$B503)&gt;1,"중복 입력",""))</f>
        <v/>
      </c>
    </row>
    <row r="504" customFormat="false" ht="15" hidden="false" customHeight="false" outlineLevel="0" collapsed="false">
      <c r="A504" s="23"/>
      <c r="B504" s="24"/>
      <c r="C504" s="24"/>
      <c r="D504" s="24"/>
      <c r="E504" s="24"/>
      <c r="F504" s="24"/>
      <c r="G504" s="24"/>
      <c r="H504" s="25" t="str">
        <f aca="false">IF($B504="","",IFERROR(IF(INDEX(명단!$B$5:$B$404,MATCH($B504,명단!$A$5:$A$404,0))="","(이름 미입력)",INDEX(명단!$B$5:$B$404,MATCH($B504,명단!$A$5:$A$404,0))),"번호 없음"))</f>
        <v/>
      </c>
      <c r="I504" s="25" t="str">
        <f aca="false">IF($B504="","",IF(COUNTIF($B$5:$B$1004,$B504)&gt;1,"중복 입력",""))</f>
        <v/>
      </c>
    </row>
    <row r="505" customFormat="false" ht="15" hidden="false" customHeight="false" outlineLevel="0" collapsed="false">
      <c r="A505" s="23"/>
      <c r="B505" s="24"/>
      <c r="C505" s="24"/>
      <c r="D505" s="24"/>
      <c r="E505" s="24"/>
      <c r="F505" s="24"/>
      <c r="G505" s="24"/>
      <c r="H505" s="25" t="str">
        <f aca="false">IF($B505="","",IFERROR(IF(INDEX(명단!$B$5:$B$404,MATCH($B505,명단!$A$5:$A$404,0))="","(이름 미입력)",INDEX(명단!$B$5:$B$404,MATCH($B505,명단!$A$5:$A$404,0))),"번호 없음"))</f>
        <v/>
      </c>
      <c r="I505" s="25" t="str">
        <f aca="false">IF($B505="","",IF(COUNTIF($B$5:$B$1004,$B505)&gt;1,"중복 입력",""))</f>
        <v/>
      </c>
    </row>
    <row r="506" customFormat="false" ht="15" hidden="false" customHeight="false" outlineLevel="0" collapsed="false">
      <c r="A506" s="23"/>
      <c r="B506" s="24"/>
      <c r="C506" s="24"/>
      <c r="D506" s="24"/>
      <c r="E506" s="24"/>
      <c r="F506" s="24"/>
      <c r="G506" s="24"/>
      <c r="H506" s="25" t="str">
        <f aca="false">IF($B506="","",IFERROR(IF(INDEX(명단!$B$5:$B$404,MATCH($B506,명단!$A$5:$A$404,0))="","(이름 미입력)",INDEX(명단!$B$5:$B$404,MATCH($B506,명단!$A$5:$A$404,0))),"번호 없음"))</f>
        <v/>
      </c>
      <c r="I506" s="25" t="str">
        <f aca="false">IF($B506="","",IF(COUNTIF($B$5:$B$1004,$B506)&gt;1,"중복 입력",""))</f>
        <v/>
      </c>
    </row>
    <row r="507" customFormat="false" ht="15" hidden="false" customHeight="false" outlineLevel="0" collapsed="false">
      <c r="A507" s="23"/>
      <c r="B507" s="24"/>
      <c r="C507" s="24"/>
      <c r="D507" s="24"/>
      <c r="E507" s="24"/>
      <c r="F507" s="24"/>
      <c r="G507" s="24"/>
      <c r="H507" s="25" t="str">
        <f aca="false">IF($B507="","",IFERROR(IF(INDEX(명단!$B$5:$B$404,MATCH($B507,명단!$A$5:$A$404,0))="","(이름 미입력)",INDEX(명단!$B$5:$B$404,MATCH($B507,명단!$A$5:$A$404,0))),"번호 없음"))</f>
        <v/>
      </c>
      <c r="I507" s="25" t="str">
        <f aca="false">IF($B507="","",IF(COUNTIF($B$5:$B$1004,$B507)&gt;1,"중복 입력",""))</f>
        <v/>
      </c>
    </row>
    <row r="508" customFormat="false" ht="15" hidden="false" customHeight="false" outlineLevel="0" collapsed="false">
      <c r="A508" s="23"/>
      <c r="B508" s="24"/>
      <c r="C508" s="24"/>
      <c r="D508" s="24"/>
      <c r="E508" s="24"/>
      <c r="F508" s="24"/>
      <c r="G508" s="24"/>
      <c r="H508" s="25" t="str">
        <f aca="false">IF($B508="","",IFERROR(IF(INDEX(명단!$B$5:$B$404,MATCH($B508,명단!$A$5:$A$404,0))="","(이름 미입력)",INDEX(명단!$B$5:$B$404,MATCH($B508,명단!$A$5:$A$404,0))),"번호 없음"))</f>
        <v/>
      </c>
      <c r="I508" s="25" t="str">
        <f aca="false">IF($B508="","",IF(COUNTIF($B$5:$B$1004,$B508)&gt;1,"중복 입력",""))</f>
        <v/>
      </c>
    </row>
    <row r="509" customFormat="false" ht="15" hidden="false" customHeight="false" outlineLevel="0" collapsed="false">
      <c r="A509" s="23"/>
      <c r="B509" s="24"/>
      <c r="C509" s="24"/>
      <c r="D509" s="24"/>
      <c r="E509" s="24"/>
      <c r="F509" s="24"/>
      <c r="G509" s="24"/>
      <c r="H509" s="25" t="str">
        <f aca="false">IF($B509="","",IFERROR(IF(INDEX(명단!$B$5:$B$404,MATCH($B509,명단!$A$5:$A$404,0))="","(이름 미입력)",INDEX(명단!$B$5:$B$404,MATCH($B509,명단!$A$5:$A$404,0))),"번호 없음"))</f>
        <v/>
      </c>
      <c r="I509" s="25" t="str">
        <f aca="false">IF($B509="","",IF(COUNTIF($B$5:$B$1004,$B509)&gt;1,"중복 입력",""))</f>
        <v/>
      </c>
    </row>
    <row r="510" customFormat="false" ht="15" hidden="false" customHeight="false" outlineLevel="0" collapsed="false">
      <c r="A510" s="23"/>
      <c r="B510" s="24"/>
      <c r="C510" s="24"/>
      <c r="D510" s="24"/>
      <c r="E510" s="24"/>
      <c r="F510" s="24"/>
      <c r="G510" s="24"/>
      <c r="H510" s="25" t="str">
        <f aca="false">IF($B510="","",IFERROR(IF(INDEX(명단!$B$5:$B$404,MATCH($B510,명단!$A$5:$A$404,0))="","(이름 미입력)",INDEX(명단!$B$5:$B$404,MATCH($B510,명단!$A$5:$A$404,0))),"번호 없음"))</f>
        <v/>
      </c>
      <c r="I510" s="25" t="str">
        <f aca="false">IF($B510="","",IF(COUNTIF($B$5:$B$1004,$B510)&gt;1,"중복 입력",""))</f>
        <v/>
      </c>
    </row>
    <row r="511" customFormat="false" ht="15" hidden="false" customHeight="false" outlineLevel="0" collapsed="false">
      <c r="A511" s="23"/>
      <c r="B511" s="24"/>
      <c r="C511" s="24"/>
      <c r="D511" s="24"/>
      <c r="E511" s="24"/>
      <c r="F511" s="24"/>
      <c r="G511" s="24"/>
      <c r="H511" s="25" t="str">
        <f aca="false">IF($B511="","",IFERROR(IF(INDEX(명단!$B$5:$B$404,MATCH($B511,명단!$A$5:$A$404,0))="","(이름 미입력)",INDEX(명단!$B$5:$B$404,MATCH($B511,명단!$A$5:$A$404,0))),"번호 없음"))</f>
        <v/>
      </c>
      <c r="I511" s="25" t="str">
        <f aca="false">IF($B511="","",IF(COUNTIF($B$5:$B$1004,$B511)&gt;1,"중복 입력",""))</f>
        <v/>
      </c>
    </row>
    <row r="512" customFormat="false" ht="15" hidden="false" customHeight="false" outlineLevel="0" collapsed="false">
      <c r="A512" s="23"/>
      <c r="B512" s="24"/>
      <c r="C512" s="24"/>
      <c r="D512" s="24"/>
      <c r="E512" s="24"/>
      <c r="F512" s="24"/>
      <c r="G512" s="24"/>
      <c r="H512" s="25" t="str">
        <f aca="false">IF($B512="","",IFERROR(IF(INDEX(명단!$B$5:$B$404,MATCH($B512,명단!$A$5:$A$404,0))="","(이름 미입력)",INDEX(명단!$B$5:$B$404,MATCH($B512,명단!$A$5:$A$404,0))),"번호 없음"))</f>
        <v/>
      </c>
      <c r="I512" s="25" t="str">
        <f aca="false">IF($B512="","",IF(COUNTIF($B$5:$B$1004,$B512)&gt;1,"중복 입력",""))</f>
        <v/>
      </c>
    </row>
    <row r="513" customFormat="false" ht="15" hidden="false" customHeight="false" outlineLevel="0" collapsed="false">
      <c r="A513" s="23"/>
      <c r="B513" s="24"/>
      <c r="C513" s="24"/>
      <c r="D513" s="24"/>
      <c r="E513" s="24"/>
      <c r="F513" s="24"/>
      <c r="G513" s="24"/>
      <c r="H513" s="25" t="str">
        <f aca="false">IF($B513="","",IFERROR(IF(INDEX(명단!$B$5:$B$404,MATCH($B513,명단!$A$5:$A$404,0))="","(이름 미입력)",INDEX(명단!$B$5:$B$404,MATCH($B513,명단!$A$5:$A$404,0))),"번호 없음"))</f>
        <v/>
      </c>
      <c r="I513" s="25" t="str">
        <f aca="false">IF($B513="","",IF(COUNTIF($B$5:$B$1004,$B513)&gt;1,"중복 입력",""))</f>
        <v/>
      </c>
    </row>
    <row r="514" customFormat="false" ht="15" hidden="false" customHeight="false" outlineLevel="0" collapsed="false">
      <c r="A514" s="23"/>
      <c r="B514" s="24"/>
      <c r="C514" s="24"/>
      <c r="D514" s="24"/>
      <c r="E514" s="24"/>
      <c r="F514" s="24"/>
      <c r="G514" s="24"/>
      <c r="H514" s="25" t="str">
        <f aca="false">IF($B514="","",IFERROR(IF(INDEX(명단!$B$5:$B$404,MATCH($B514,명단!$A$5:$A$404,0))="","(이름 미입력)",INDEX(명단!$B$5:$B$404,MATCH($B514,명단!$A$5:$A$404,0))),"번호 없음"))</f>
        <v/>
      </c>
      <c r="I514" s="25" t="str">
        <f aca="false">IF($B514="","",IF(COUNTIF($B$5:$B$1004,$B514)&gt;1,"중복 입력",""))</f>
        <v/>
      </c>
    </row>
    <row r="515" customFormat="false" ht="15" hidden="false" customHeight="false" outlineLevel="0" collapsed="false">
      <c r="A515" s="23"/>
      <c r="B515" s="24"/>
      <c r="C515" s="24"/>
      <c r="D515" s="24"/>
      <c r="E515" s="24"/>
      <c r="F515" s="24"/>
      <c r="G515" s="24"/>
      <c r="H515" s="25" t="str">
        <f aca="false">IF($B515="","",IFERROR(IF(INDEX(명단!$B$5:$B$404,MATCH($B515,명단!$A$5:$A$404,0))="","(이름 미입력)",INDEX(명단!$B$5:$B$404,MATCH($B515,명단!$A$5:$A$404,0))),"번호 없음"))</f>
        <v/>
      </c>
      <c r="I515" s="25" t="str">
        <f aca="false">IF($B515="","",IF(COUNTIF($B$5:$B$1004,$B515)&gt;1,"중복 입력",""))</f>
        <v/>
      </c>
    </row>
    <row r="516" customFormat="false" ht="15" hidden="false" customHeight="false" outlineLevel="0" collapsed="false">
      <c r="A516" s="23"/>
      <c r="B516" s="24"/>
      <c r="C516" s="24"/>
      <c r="D516" s="24"/>
      <c r="E516" s="24"/>
      <c r="F516" s="24"/>
      <c r="G516" s="24"/>
      <c r="H516" s="25" t="str">
        <f aca="false">IF($B516="","",IFERROR(IF(INDEX(명단!$B$5:$B$404,MATCH($B516,명단!$A$5:$A$404,0))="","(이름 미입력)",INDEX(명단!$B$5:$B$404,MATCH($B516,명단!$A$5:$A$404,0))),"번호 없음"))</f>
        <v/>
      </c>
      <c r="I516" s="25" t="str">
        <f aca="false">IF($B516="","",IF(COUNTIF($B$5:$B$1004,$B516)&gt;1,"중복 입력",""))</f>
        <v/>
      </c>
    </row>
    <row r="517" customFormat="false" ht="15" hidden="false" customHeight="false" outlineLevel="0" collapsed="false">
      <c r="A517" s="23"/>
      <c r="B517" s="24"/>
      <c r="C517" s="24"/>
      <c r="D517" s="24"/>
      <c r="E517" s="24"/>
      <c r="F517" s="24"/>
      <c r="G517" s="24"/>
      <c r="H517" s="25" t="str">
        <f aca="false">IF($B517="","",IFERROR(IF(INDEX(명단!$B$5:$B$404,MATCH($B517,명단!$A$5:$A$404,0))="","(이름 미입력)",INDEX(명단!$B$5:$B$404,MATCH($B517,명단!$A$5:$A$404,0))),"번호 없음"))</f>
        <v/>
      </c>
      <c r="I517" s="25" t="str">
        <f aca="false">IF($B517="","",IF(COUNTIF($B$5:$B$1004,$B517)&gt;1,"중복 입력",""))</f>
        <v/>
      </c>
    </row>
    <row r="518" customFormat="false" ht="15" hidden="false" customHeight="false" outlineLevel="0" collapsed="false">
      <c r="A518" s="23"/>
      <c r="B518" s="24"/>
      <c r="C518" s="24"/>
      <c r="D518" s="24"/>
      <c r="E518" s="24"/>
      <c r="F518" s="24"/>
      <c r="G518" s="24"/>
      <c r="H518" s="25" t="str">
        <f aca="false">IF($B518="","",IFERROR(IF(INDEX(명단!$B$5:$B$404,MATCH($B518,명단!$A$5:$A$404,0))="","(이름 미입력)",INDEX(명단!$B$5:$B$404,MATCH($B518,명단!$A$5:$A$404,0))),"번호 없음"))</f>
        <v/>
      </c>
      <c r="I518" s="25" t="str">
        <f aca="false">IF($B518="","",IF(COUNTIF($B$5:$B$1004,$B518)&gt;1,"중복 입력",""))</f>
        <v/>
      </c>
    </row>
    <row r="519" customFormat="false" ht="15" hidden="false" customHeight="false" outlineLevel="0" collapsed="false">
      <c r="A519" s="23"/>
      <c r="B519" s="24"/>
      <c r="C519" s="24"/>
      <c r="D519" s="24"/>
      <c r="E519" s="24"/>
      <c r="F519" s="24"/>
      <c r="G519" s="24"/>
      <c r="H519" s="25" t="str">
        <f aca="false">IF($B519="","",IFERROR(IF(INDEX(명단!$B$5:$B$404,MATCH($B519,명단!$A$5:$A$404,0))="","(이름 미입력)",INDEX(명단!$B$5:$B$404,MATCH($B519,명단!$A$5:$A$404,0))),"번호 없음"))</f>
        <v/>
      </c>
      <c r="I519" s="25" t="str">
        <f aca="false">IF($B519="","",IF(COUNTIF($B$5:$B$1004,$B519)&gt;1,"중복 입력",""))</f>
        <v/>
      </c>
    </row>
    <row r="520" customFormat="false" ht="15" hidden="false" customHeight="false" outlineLevel="0" collapsed="false">
      <c r="A520" s="23"/>
      <c r="B520" s="24"/>
      <c r="C520" s="24"/>
      <c r="D520" s="24"/>
      <c r="E520" s="24"/>
      <c r="F520" s="24"/>
      <c r="G520" s="24"/>
      <c r="H520" s="25" t="str">
        <f aca="false">IF($B520="","",IFERROR(IF(INDEX(명단!$B$5:$B$404,MATCH($B520,명단!$A$5:$A$404,0))="","(이름 미입력)",INDEX(명단!$B$5:$B$404,MATCH($B520,명단!$A$5:$A$404,0))),"번호 없음"))</f>
        <v/>
      </c>
      <c r="I520" s="25" t="str">
        <f aca="false">IF($B520="","",IF(COUNTIF($B$5:$B$1004,$B520)&gt;1,"중복 입력",""))</f>
        <v/>
      </c>
    </row>
    <row r="521" customFormat="false" ht="15" hidden="false" customHeight="false" outlineLevel="0" collapsed="false">
      <c r="A521" s="23"/>
      <c r="B521" s="24"/>
      <c r="C521" s="24"/>
      <c r="D521" s="24"/>
      <c r="E521" s="24"/>
      <c r="F521" s="24"/>
      <c r="G521" s="24"/>
      <c r="H521" s="25" t="str">
        <f aca="false">IF($B521="","",IFERROR(IF(INDEX(명단!$B$5:$B$404,MATCH($B521,명단!$A$5:$A$404,0))="","(이름 미입력)",INDEX(명단!$B$5:$B$404,MATCH($B521,명단!$A$5:$A$404,0))),"번호 없음"))</f>
        <v/>
      </c>
      <c r="I521" s="25" t="str">
        <f aca="false">IF($B521="","",IF(COUNTIF($B$5:$B$1004,$B521)&gt;1,"중복 입력",""))</f>
        <v/>
      </c>
    </row>
    <row r="522" customFormat="false" ht="15" hidden="false" customHeight="false" outlineLevel="0" collapsed="false">
      <c r="A522" s="23"/>
      <c r="B522" s="24"/>
      <c r="C522" s="24"/>
      <c r="D522" s="24"/>
      <c r="E522" s="24"/>
      <c r="F522" s="24"/>
      <c r="G522" s="24"/>
      <c r="H522" s="25" t="str">
        <f aca="false">IF($B522="","",IFERROR(IF(INDEX(명단!$B$5:$B$404,MATCH($B522,명단!$A$5:$A$404,0))="","(이름 미입력)",INDEX(명단!$B$5:$B$404,MATCH($B522,명단!$A$5:$A$404,0))),"번호 없음"))</f>
        <v/>
      </c>
      <c r="I522" s="25" t="str">
        <f aca="false">IF($B522="","",IF(COUNTIF($B$5:$B$1004,$B522)&gt;1,"중복 입력",""))</f>
        <v/>
      </c>
    </row>
    <row r="523" customFormat="false" ht="15" hidden="false" customHeight="false" outlineLevel="0" collapsed="false">
      <c r="A523" s="23"/>
      <c r="B523" s="24"/>
      <c r="C523" s="24"/>
      <c r="D523" s="24"/>
      <c r="E523" s="24"/>
      <c r="F523" s="24"/>
      <c r="G523" s="24"/>
      <c r="H523" s="25" t="str">
        <f aca="false">IF($B523="","",IFERROR(IF(INDEX(명단!$B$5:$B$404,MATCH($B523,명단!$A$5:$A$404,0))="","(이름 미입력)",INDEX(명단!$B$5:$B$404,MATCH($B523,명단!$A$5:$A$404,0))),"번호 없음"))</f>
        <v/>
      </c>
      <c r="I523" s="25" t="str">
        <f aca="false">IF($B523="","",IF(COUNTIF($B$5:$B$1004,$B523)&gt;1,"중복 입력",""))</f>
        <v/>
      </c>
    </row>
    <row r="524" customFormat="false" ht="15" hidden="false" customHeight="false" outlineLevel="0" collapsed="false">
      <c r="A524" s="23"/>
      <c r="B524" s="24"/>
      <c r="C524" s="24"/>
      <c r="D524" s="24"/>
      <c r="E524" s="24"/>
      <c r="F524" s="24"/>
      <c r="G524" s="24"/>
      <c r="H524" s="25" t="str">
        <f aca="false">IF($B524="","",IFERROR(IF(INDEX(명단!$B$5:$B$404,MATCH($B524,명단!$A$5:$A$404,0))="","(이름 미입력)",INDEX(명단!$B$5:$B$404,MATCH($B524,명단!$A$5:$A$404,0))),"번호 없음"))</f>
        <v/>
      </c>
      <c r="I524" s="25" t="str">
        <f aca="false">IF($B524="","",IF(COUNTIF($B$5:$B$1004,$B524)&gt;1,"중복 입력",""))</f>
        <v/>
      </c>
    </row>
    <row r="525" customFormat="false" ht="15" hidden="false" customHeight="false" outlineLevel="0" collapsed="false">
      <c r="A525" s="23"/>
      <c r="B525" s="24"/>
      <c r="C525" s="24"/>
      <c r="D525" s="24"/>
      <c r="E525" s="24"/>
      <c r="F525" s="24"/>
      <c r="G525" s="24"/>
      <c r="H525" s="25" t="str">
        <f aca="false">IF($B525="","",IFERROR(IF(INDEX(명단!$B$5:$B$404,MATCH($B525,명단!$A$5:$A$404,0))="","(이름 미입력)",INDEX(명단!$B$5:$B$404,MATCH($B525,명단!$A$5:$A$404,0))),"번호 없음"))</f>
        <v/>
      </c>
      <c r="I525" s="25" t="str">
        <f aca="false">IF($B525="","",IF(COUNTIF($B$5:$B$1004,$B525)&gt;1,"중복 입력",""))</f>
        <v/>
      </c>
    </row>
    <row r="526" customFormat="false" ht="15" hidden="false" customHeight="false" outlineLevel="0" collapsed="false">
      <c r="A526" s="23"/>
      <c r="B526" s="24"/>
      <c r="C526" s="24"/>
      <c r="D526" s="24"/>
      <c r="E526" s="24"/>
      <c r="F526" s="24"/>
      <c r="G526" s="24"/>
      <c r="H526" s="25" t="str">
        <f aca="false">IF($B526="","",IFERROR(IF(INDEX(명단!$B$5:$B$404,MATCH($B526,명단!$A$5:$A$404,0))="","(이름 미입력)",INDEX(명단!$B$5:$B$404,MATCH($B526,명단!$A$5:$A$404,0))),"번호 없음"))</f>
        <v/>
      </c>
      <c r="I526" s="25" t="str">
        <f aca="false">IF($B526="","",IF(COUNTIF($B$5:$B$1004,$B526)&gt;1,"중복 입력",""))</f>
        <v/>
      </c>
    </row>
    <row r="527" customFormat="false" ht="15" hidden="false" customHeight="false" outlineLevel="0" collapsed="false">
      <c r="A527" s="23"/>
      <c r="B527" s="24"/>
      <c r="C527" s="24"/>
      <c r="D527" s="24"/>
      <c r="E527" s="24"/>
      <c r="F527" s="24"/>
      <c r="G527" s="24"/>
      <c r="H527" s="25" t="str">
        <f aca="false">IF($B527="","",IFERROR(IF(INDEX(명단!$B$5:$B$404,MATCH($B527,명단!$A$5:$A$404,0))="","(이름 미입력)",INDEX(명단!$B$5:$B$404,MATCH($B527,명단!$A$5:$A$404,0))),"번호 없음"))</f>
        <v/>
      </c>
      <c r="I527" s="25" t="str">
        <f aca="false">IF($B527="","",IF(COUNTIF($B$5:$B$1004,$B527)&gt;1,"중복 입력",""))</f>
        <v/>
      </c>
    </row>
    <row r="528" customFormat="false" ht="15" hidden="false" customHeight="false" outlineLevel="0" collapsed="false">
      <c r="A528" s="23"/>
      <c r="B528" s="24"/>
      <c r="C528" s="24"/>
      <c r="D528" s="24"/>
      <c r="E528" s="24"/>
      <c r="F528" s="24"/>
      <c r="G528" s="24"/>
      <c r="H528" s="25" t="str">
        <f aca="false">IF($B528="","",IFERROR(IF(INDEX(명단!$B$5:$B$404,MATCH($B528,명단!$A$5:$A$404,0))="","(이름 미입력)",INDEX(명단!$B$5:$B$404,MATCH($B528,명단!$A$5:$A$404,0))),"번호 없음"))</f>
        <v/>
      </c>
      <c r="I528" s="25" t="str">
        <f aca="false">IF($B528="","",IF(COUNTIF($B$5:$B$1004,$B528)&gt;1,"중복 입력",""))</f>
        <v/>
      </c>
    </row>
    <row r="529" customFormat="false" ht="15" hidden="false" customHeight="false" outlineLevel="0" collapsed="false">
      <c r="A529" s="23"/>
      <c r="B529" s="24"/>
      <c r="C529" s="24"/>
      <c r="D529" s="24"/>
      <c r="E529" s="24"/>
      <c r="F529" s="24"/>
      <c r="G529" s="24"/>
      <c r="H529" s="25" t="str">
        <f aca="false">IF($B529="","",IFERROR(IF(INDEX(명단!$B$5:$B$404,MATCH($B529,명단!$A$5:$A$404,0))="","(이름 미입력)",INDEX(명단!$B$5:$B$404,MATCH($B529,명단!$A$5:$A$404,0))),"번호 없음"))</f>
        <v/>
      </c>
      <c r="I529" s="25" t="str">
        <f aca="false">IF($B529="","",IF(COUNTIF($B$5:$B$1004,$B529)&gt;1,"중복 입력",""))</f>
        <v/>
      </c>
    </row>
    <row r="530" customFormat="false" ht="15" hidden="false" customHeight="false" outlineLevel="0" collapsed="false">
      <c r="A530" s="23"/>
      <c r="B530" s="24"/>
      <c r="C530" s="24"/>
      <c r="D530" s="24"/>
      <c r="E530" s="24"/>
      <c r="F530" s="24"/>
      <c r="G530" s="24"/>
      <c r="H530" s="25" t="str">
        <f aca="false">IF($B530="","",IFERROR(IF(INDEX(명단!$B$5:$B$404,MATCH($B530,명단!$A$5:$A$404,0))="","(이름 미입력)",INDEX(명단!$B$5:$B$404,MATCH($B530,명단!$A$5:$A$404,0))),"번호 없음"))</f>
        <v/>
      </c>
      <c r="I530" s="25" t="str">
        <f aca="false">IF($B530="","",IF(COUNTIF($B$5:$B$1004,$B530)&gt;1,"중복 입력",""))</f>
        <v/>
      </c>
    </row>
    <row r="531" customFormat="false" ht="15" hidden="false" customHeight="false" outlineLevel="0" collapsed="false">
      <c r="A531" s="23"/>
      <c r="B531" s="24"/>
      <c r="C531" s="24"/>
      <c r="D531" s="24"/>
      <c r="E531" s="24"/>
      <c r="F531" s="24"/>
      <c r="G531" s="24"/>
      <c r="H531" s="25" t="str">
        <f aca="false">IF($B531="","",IFERROR(IF(INDEX(명단!$B$5:$B$404,MATCH($B531,명단!$A$5:$A$404,0))="","(이름 미입력)",INDEX(명단!$B$5:$B$404,MATCH($B531,명단!$A$5:$A$404,0))),"번호 없음"))</f>
        <v/>
      </c>
      <c r="I531" s="25" t="str">
        <f aca="false">IF($B531="","",IF(COUNTIF($B$5:$B$1004,$B531)&gt;1,"중복 입력",""))</f>
        <v/>
      </c>
    </row>
    <row r="532" customFormat="false" ht="15" hidden="false" customHeight="false" outlineLevel="0" collapsed="false">
      <c r="A532" s="23"/>
      <c r="B532" s="24"/>
      <c r="C532" s="24"/>
      <c r="D532" s="24"/>
      <c r="E532" s="24"/>
      <c r="F532" s="24"/>
      <c r="G532" s="24"/>
      <c r="H532" s="25" t="str">
        <f aca="false">IF($B532="","",IFERROR(IF(INDEX(명단!$B$5:$B$404,MATCH($B532,명단!$A$5:$A$404,0))="","(이름 미입력)",INDEX(명단!$B$5:$B$404,MATCH($B532,명단!$A$5:$A$404,0))),"번호 없음"))</f>
        <v/>
      </c>
      <c r="I532" s="25" t="str">
        <f aca="false">IF($B532="","",IF(COUNTIF($B$5:$B$1004,$B532)&gt;1,"중복 입력",""))</f>
        <v/>
      </c>
    </row>
    <row r="533" customFormat="false" ht="15" hidden="false" customHeight="false" outlineLevel="0" collapsed="false">
      <c r="A533" s="23"/>
      <c r="B533" s="24"/>
      <c r="C533" s="24"/>
      <c r="D533" s="24"/>
      <c r="E533" s="24"/>
      <c r="F533" s="24"/>
      <c r="G533" s="24"/>
      <c r="H533" s="25" t="str">
        <f aca="false">IF($B533="","",IFERROR(IF(INDEX(명단!$B$5:$B$404,MATCH($B533,명단!$A$5:$A$404,0))="","(이름 미입력)",INDEX(명단!$B$5:$B$404,MATCH($B533,명단!$A$5:$A$404,0))),"번호 없음"))</f>
        <v/>
      </c>
      <c r="I533" s="25" t="str">
        <f aca="false">IF($B533="","",IF(COUNTIF($B$5:$B$1004,$B533)&gt;1,"중복 입력",""))</f>
        <v/>
      </c>
    </row>
    <row r="534" customFormat="false" ht="15" hidden="false" customHeight="false" outlineLevel="0" collapsed="false">
      <c r="A534" s="23"/>
      <c r="B534" s="24"/>
      <c r="C534" s="24"/>
      <c r="D534" s="24"/>
      <c r="E534" s="24"/>
      <c r="F534" s="24"/>
      <c r="G534" s="24"/>
      <c r="H534" s="25" t="str">
        <f aca="false">IF($B534="","",IFERROR(IF(INDEX(명단!$B$5:$B$404,MATCH($B534,명단!$A$5:$A$404,0))="","(이름 미입력)",INDEX(명단!$B$5:$B$404,MATCH($B534,명단!$A$5:$A$404,0))),"번호 없음"))</f>
        <v/>
      </c>
      <c r="I534" s="25" t="str">
        <f aca="false">IF($B534="","",IF(COUNTIF($B$5:$B$1004,$B534)&gt;1,"중복 입력",""))</f>
        <v/>
      </c>
    </row>
    <row r="535" customFormat="false" ht="15" hidden="false" customHeight="false" outlineLevel="0" collapsed="false">
      <c r="A535" s="23"/>
      <c r="B535" s="24"/>
      <c r="C535" s="24"/>
      <c r="D535" s="24"/>
      <c r="E535" s="24"/>
      <c r="F535" s="24"/>
      <c r="G535" s="24"/>
      <c r="H535" s="25" t="str">
        <f aca="false">IF($B535="","",IFERROR(IF(INDEX(명단!$B$5:$B$404,MATCH($B535,명단!$A$5:$A$404,0))="","(이름 미입력)",INDEX(명단!$B$5:$B$404,MATCH($B535,명단!$A$5:$A$404,0))),"번호 없음"))</f>
        <v/>
      </c>
      <c r="I535" s="25" t="str">
        <f aca="false">IF($B535="","",IF(COUNTIF($B$5:$B$1004,$B535)&gt;1,"중복 입력",""))</f>
        <v/>
      </c>
    </row>
    <row r="536" customFormat="false" ht="15" hidden="false" customHeight="false" outlineLevel="0" collapsed="false">
      <c r="A536" s="23"/>
      <c r="B536" s="24"/>
      <c r="C536" s="24"/>
      <c r="D536" s="24"/>
      <c r="E536" s="24"/>
      <c r="F536" s="24"/>
      <c r="G536" s="24"/>
      <c r="H536" s="25" t="str">
        <f aca="false">IF($B536="","",IFERROR(IF(INDEX(명단!$B$5:$B$404,MATCH($B536,명단!$A$5:$A$404,0))="","(이름 미입력)",INDEX(명단!$B$5:$B$404,MATCH($B536,명단!$A$5:$A$404,0))),"번호 없음"))</f>
        <v/>
      </c>
      <c r="I536" s="25" t="str">
        <f aca="false">IF($B536="","",IF(COUNTIF($B$5:$B$1004,$B536)&gt;1,"중복 입력",""))</f>
        <v/>
      </c>
    </row>
    <row r="537" customFormat="false" ht="15" hidden="false" customHeight="false" outlineLevel="0" collapsed="false">
      <c r="A537" s="23"/>
      <c r="B537" s="24"/>
      <c r="C537" s="24"/>
      <c r="D537" s="24"/>
      <c r="E537" s="24"/>
      <c r="F537" s="24"/>
      <c r="G537" s="24"/>
      <c r="H537" s="25" t="str">
        <f aca="false">IF($B537="","",IFERROR(IF(INDEX(명단!$B$5:$B$404,MATCH($B537,명단!$A$5:$A$404,0))="","(이름 미입력)",INDEX(명단!$B$5:$B$404,MATCH($B537,명단!$A$5:$A$404,0))),"번호 없음"))</f>
        <v/>
      </c>
      <c r="I537" s="25" t="str">
        <f aca="false">IF($B537="","",IF(COUNTIF($B$5:$B$1004,$B537)&gt;1,"중복 입력",""))</f>
        <v/>
      </c>
    </row>
    <row r="538" customFormat="false" ht="15" hidden="false" customHeight="false" outlineLevel="0" collapsed="false">
      <c r="A538" s="23"/>
      <c r="B538" s="24"/>
      <c r="C538" s="24"/>
      <c r="D538" s="24"/>
      <c r="E538" s="24"/>
      <c r="F538" s="24"/>
      <c r="G538" s="24"/>
      <c r="H538" s="25" t="str">
        <f aca="false">IF($B538="","",IFERROR(IF(INDEX(명단!$B$5:$B$404,MATCH($B538,명단!$A$5:$A$404,0))="","(이름 미입력)",INDEX(명단!$B$5:$B$404,MATCH($B538,명단!$A$5:$A$404,0))),"번호 없음"))</f>
        <v/>
      </c>
      <c r="I538" s="25" t="str">
        <f aca="false">IF($B538="","",IF(COUNTIF($B$5:$B$1004,$B538)&gt;1,"중복 입력",""))</f>
        <v/>
      </c>
    </row>
    <row r="539" customFormat="false" ht="15" hidden="false" customHeight="false" outlineLevel="0" collapsed="false">
      <c r="A539" s="23"/>
      <c r="B539" s="24"/>
      <c r="C539" s="24"/>
      <c r="D539" s="24"/>
      <c r="E539" s="24"/>
      <c r="F539" s="24"/>
      <c r="G539" s="24"/>
      <c r="H539" s="25" t="str">
        <f aca="false">IF($B539="","",IFERROR(IF(INDEX(명단!$B$5:$B$404,MATCH($B539,명단!$A$5:$A$404,0))="","(이름 미입력)",INDEX(명단!$B$5:$B$404,MATCH($B539,명단!$A$5:$A$404,0))),"번호 없음"))</f>
        <v/>
      </c>
      <c r="I539" s="25" t="str">
        <f aca="false">IF($B539="","",IF(COUNTIF($B$5:$B$1004,$B539)&gt;1,"중복 입력",""))</f>
        <v/>
      </c>
    </row>
    <row r="540" customFormat="false" ht="15" hidden="false" customHeight="false" outlineLevel="0" collapsed="false">
      <c r="A540" s="23"/>
      <c r="B540" s="24"/>
      <c r="C540" s="24"/>
      <c r="D540" s="24"/>
      <c r="E540" s="24"/>
      <c r="F540" s="24"/>
      <c r="G540" s="24"/>
      <c r="H540" s="25" t="str">
        <f aca="false">IF($B540="","",IFERROR(IF(INDEX(명단!$B$5:$B$404,MATCH($B540,명단!$A$5:$A$404,0))="","(이름 미입력)",INDEX(명단!$B$5:$B$404,MATCH($B540,명단!$A$5:$A$404,0))),"번호 없음"))</f>
        <v/>
      </c>
      <c r="I540" s="25" t="str">
        <f aca="false">IF($B540="","",IF(COUNTIF($B$5:$B$1004,$B540)&gt;1,"중복 입력",""))</f>
        <v/>
      </c>
    </row>
    <row r="541" customFormat="false" ht="15" hidden="false" customHeight="false" outlineLevel="0" collapsed="false">
      <c r="A541" s="23"/>
      <c r="B541" s="24"/>
      <c r="C541" s="24"/>
      <c r="D541" s="24"/>
      <c r="E541" s="24"/>
      <c r="F541" s="24"/>
      <c r="G541" s="24"/>
      <c r="H541" s="25" t="str">
        <f aca="false">IF($B541="","",IFERROR(IF(INDEX(명단!$B$5:$B$404,MATCH($B541,명단!$A$5:$A$404,0))="","(이름 미입력)",INDEX(명단!$B$5:$B$404,MATCH($B541,명단!$A$5:$A$404,0))),"번호 없음"))</f>
        <v/>
      </c>
      <c r="I541" s="25" t="str">
        <f aca="false">IF($B541="","",IF(COUNTIF($B$5:$B$1004,$B541)&gt;1,"중복 입력",""))</f>
        <v/>
      </c>
    </row>
    <row r="542" customFormat="false" ht="15" hidden="false" customHeight="false" outlineLevel="0" collapsed="false">
      <c r="A542" s="23"/>
      <c r="B542" s="24"/>
      <c r="C542" s="24"/>
      <c r="D542" s="24"/>
      <c r="E542" s="24"/>
      <c r="F542" s="24"/>
      <c r="G542" s="24"/>
      <c r="H542" s="25" t="str">
        <f aca="false">IF($B542="","",IFERROR(IF(INDEX(명단!$B$5:$B$404,MATCH($B542,명단!$A$5:$A$404,0))="","(이름 미입력)",INDEX(명단!$B$5:$B$404,MATCH($B542,명단!$A$5:$A$404,0))),"번호 없음"))</f>
        <v/>
      </c>
      <c r="I542" s="25" t="str">
        <f aca="false">IF($B542="","",IF(COUNTIF($B$5:$B$1004,$B542)&gt;1,"중복 입력",""))</f>
        <v/>
      </c>
    </row>
    <row r="543" customFormat="false" ht="15" hidden="false" customHeight="false" outlineLevel="0" collapsed="false">
      <c r="A543" s="23"/>
      <c r="B543" s="24"/>
      <c r="C543" s="24"/>
      <c r="D543" s="24"/>
      <c r="E543" s="24"/>
      <c r="F543" s="24"/>
      <c r="G543" s="24"/>
      <c r="H543" s="25" t="str">
        <f aca="false">IF($B543="","",IFERROR(IF(INDEX(명단!$B$5:$B$404,MATCH($B543,명단!$A$5:$A$404,0))="","(이름 미입력)",INDEX(명단!$B$5:$B$404,MATCH($B543,명단!$A$5:$A$404,0))),"번호 없음"))</f>
        <v/>
      </c>
      <c r="I543" s="25" t="str">
        <f aca="false">IF($B543="","",IF(COUNTIF($B$5:$B$1004,$B543)&gt;1,"중복 입력",""))</f>
        <v/>
      </c>
    </row>
    <row r="544" customFormat="false" ht="15" hidden="false" customHeight="false" outlineLevel="0" collapsed="false">
      <c r="A544" s="23"/>
      <c r="B544" s="24"/>
      <c r="C544" s="24"/>
      <c r="D544" s="24"/>
      <c r="E544" s="24"/>
      <c r="F544" s="24"/>
      <c r="G544" s="24"/>
      <c r="H544" s="25" t="str">
        <f aca="false">IF($B544="","",IFERROR(IF(INDEX(명단!$B$5:$B$404,MATCH($B544,명단!$A$5:$A$404,0))="","(이름 미입력)",INDEX(명단!$B$5:$B$404,MATCH($B544,명단!$A$5:$A$404,0))),"번호 없음"))</f>
        <v/>
      </c>
      <c r="I544" s="25" t="str">
        <f aca="false">IF($B544="","",IF(COUNTIF($B$5:$B$1004,$B544)&gt;1,"중복 입력",""))</f>
        <v/>
      </c>
    </row>
    <row r="545" customFormat="false" ht="15" hidden="false" customHeight="false" outlineLevel="0" collapsed="false">
      <c r="A545" s="23"/>
      <c r="B545" s="24"/>
      <c r="C545" s="24"/>
      <c r="D545" s="24"/>
      <c r="E545" s="24"/>
      <c r="F545" s="24"/>
      <c r="G545" s="24"/>
      <c r="H545" s="25" t="str">
        <f aca="false">IF($B545="","",IFERROR(IF(INDEX(명단!$B$5:$B$404,MATCH($B545,명단!$A$5:$A$404,0))="","(이름 미입력)",INDEX(명단!$B$5:$B$404,MATCH($B545,명단!$A$5:$A$404,0))),"번호 없음"))</f>
        <v/>
      </c>
      <c r="I545" s="25" t="str">
        <f aca="false">IF($B545="","",IF(COUNTIF($B$5:$B$1004,$B545)&gt;1,"중복 입력",""))</f>
        <v/>
      </c>
    </row>
    <row r="546" customFormat="false" ht="15" hidden="false" customHeight="false" outlineLevel="0" collapsed="false">
      <c r="A546" s="23"/>
      <c r="B546" s="24"/>
      <c r="C546" s="24"/>
      <c r="D546" s="24"/>
      <c r="E546" s="24"/>
      <c r="F546" s="24"/>
      <c r="G546" s="24"/>
      <c r="H546" s="25" t="str">
        <f aca="false">IF($B546="","",IFERROR(IF(INDEX(명단!$B$5:$B$404,MATCH($B546,명단!$A$5:$A$404,0))="","(이름 미입력)",INDEX(명단!$B$5:$B$404,MATCH($B546,명단!$A$5:$A$404,0))),"번호 없음"))</f>
        <v/>
      </c>
      <c r="I546" s="25" t="str">
        <f aca="false">IF($B546="","",IF(COUNTIF($B$5:$B$1004,$B546)&gt;1,"중복 입력",""))</f>
        <v/>
      </c>
    </row>
    <row r="547" customFormat="false" ht="15" hidden="false" customHeight="false" outlineLevel="0" collapsed="false">
      <c r="A547" s="23"/>
      <c r="B547" s="24"/>
      <c r="C547" s="24"/>
      <c r="D547" s="24"/>
      <c r="E547" s="24"/>
      <c r="F547" s="24"/>
      <c r="G547" s="24"/>
      <c r="H547" s="25" t="str">
        <f aca="false">IF($B547="","",IFERROR(IF(INDEX(명단!$B$5:$B$404,MATCH($B547,명단!$A$5:$A$404,0))="","(이름 미입력)",INDEX(명단!$B$5:$B$404,MATCH($B547,명단!$A$5:$A$404,0))),"번호 없음"))</f>
        <v/>
      </c>
      <c r="I547" s="25" t="str">
        <f aca="false">IF($B547="","",IF(COUNTIF($B$5:$B$1004,$B547)&gt;1,"중복 입력",""))</f>
        <v/>
      </c>
    </row>
    <row r="548" customFormat="false" ht="15" hidden="false" customHeight="false" outlineLevel="0" collapsed="false">
      <c r="A548" s="23"/>
      <c r="B548" s="24"/>
      <c r="C548" s="24"/>
      <c r="D548" s="24"/>
      <c r="E548" s="24"/>
      <c r="F548" s="24"/>
      <c r="G548" s="24"/>
      <c r="H548" s="25" t="str">
        <f aca="false">IF($B548="","",IFERROR(IF(INDEX(명단!$B$5:$B$404,MATCH($B548,명단!$A$5:$A$404,0))="","(이름 미입력)",INDEX(명단!$B$5:$B$404,MATCH($B548,명단!$A$5:$A$404,0))),"번호 없음"))</f>
        <v/>
      </c>
      <c r="I548" s="25" t="str">
        <f aca="false">IF($B548="","",IF(COUNTIF($B$5:$B$1004,$B548)&gt;1,"중복 입력",""))</f>
        <v/>
      </c>
    </row>
    <row r="549" customFormat="false" ht="15" hidden="false" customHeight="false" outlineLevel="0" collapsed="false">
      <c r="A549" s="23"/>
      <c r="B549" s="24"/>
      <c r="C549" s="24"/>
      <c r="D549" s="24"/>
      <c r="E549" s="24"/>
      <c r="F549" s="24"/>
      <c r="G549" s="24"/>
      <c r="H549" s="25" t="str">
        <f aca="false">IF($B549="","",IFERROR(IF(INDEX(명단!$B$5:$B$404,MATCH($B549,명단!$A$5:$A$404,0))="","(이름 미입력)",INDEX(명단!$B$5:$B$404,MATCH($B549,명단!$A$5:$A$404,0))),"번호 없음"))</f>
        <v/>
      </c>
      <c r="I549" s="25" t="str">
        <f aca="false">IF($B549="","",IF(COUNTIF($B$5:$B$1004,$B549)&gt;1,"중복 입력",""))</f>
        <v/>
      </c>
    </row>
    <row r="550" customFormat="false" ht="15" hidden="false" customHeight="false" outlineLevel="0" collapsed="false">
      <c r="A550" s="23"/>
      <c r="B550" s="24"/>
      <c r="C550" s="24"/>
      <c r="D550" s="24"/>
      <c r="E550" s="24"/>
      <c r="F550" s="24"/>
      <c r="G550" s="24"/>
      <c r="H550" s="25" t="str">
        <f aca="false">IF($B550="","",IFERROR(IF(INDEX(명단!$B$5:$B$404,MATCH($B550,명단!$A$5:$A$404,0))="","(이름 미입력)",INDEX(명단!$B$5:$B$404,MATCH($B550,명단!$A$5:$A$404,0))),"번호 없음"))</f>
        <v/>
      </c>
      <c r="I550" s="25" t="str">
        <f aca="false">IF($B550="","",IF(COUNTIF($B$5:$B$1004,$B550)&gt;1,"중복 입력",""))</f>
        <v/>
      </c>
    </row>
    <row r="551" customFormat="false" ht="15" hidden="false" customHeight="false" outlineLevel="0" collapsed="false">
      <c r="A551" s="23"/>
      <c r="B551" s="24"/>
      <c r="C551" s="24"/>
      <c r="D551" s="24"/>
      <c r="E551" s="24"/>
      <c r="F551" s="24"/>
      <c r="G551" s="24"/>
      <c r="H551" s="25" t="str">
        <f aca="false">IF($B551="","",IFERROR(IF(INDEX(명단!$B$5:$B$404,MATCH($B551,명단!$A$5:$A$404,0))="","(이름 미입력)",INDEX(명단!$B$5:$B$404,MATCH($B551,명단!$A$5:$A$404,0))),"번호 없음"))</f>
        <v/>
      </c>
      <c r="I551" s="25" t="str">
        <f aca="false">IF($B551="","",IF(COUNTIF($B$5:$B$1004,$B551)&gt;1,"중복 입력",""))</f>
        <v/>
      </c>
    </row>
    <row r="552" customFormat="false" ht="15" hidden="false" customHeight="false" outlineLevel="0" collapsed="false">
      <c r="A552" s="23"/>
      <c r="B552" s="24"/>
      <c r="C552" s="24"/>
      <c r="D552" s="24"/>
      <c r="E552" s="24"/>
      <c r="F552" s="24"/>
      <c r="G552" s="24"/>
      <c r="H552" s="25" t="str">
        <f aca="false">IF($B552="","",IFERROR(IF(INDEX(명단!$B$5:$B$404,MATCH($B552,명단!$A$5:$A$404,0))="","(이름 미입력)",INDEX(명단!$B$5:$B$404,MATCH($B552,명단!$A$5:$A$404,0))),"번호 없음"))</f>
        <v/>
      </c>
      <c r="I552" s="25" t="str">
        <f aca="false">IF($B552="","",IF(COUNTIF($B$5:$B$1004,$B552)&gt;1,"중복 입력",""))</f>
        <v/>
      </c>
    </row>
    <row r="553" customFormat="false" ht="15" hidden="false" customHeight="false" outlineLevel="0" collapsed="false">
      <c r="A553" s="23"/>
      <c r="B553" s="24"/>
      <c r="C553" s="24"/>
      <c r="D553" s="24"/>
      <c r="E553" s="24"/>
      <c r="F553" s="24"/>
      <c r="G553" s="24"/>
      <c r="H553" s="25" t="str">
        <f aca="false">IF($B553="","",IFERROR(IF(INDEX(명단!$B$5:$B$404,MATCH($B553,명단!$A$5:$A$404,0))="","(이름 미입력)",INDEX(명단!$B$5:$B$404,MATCH($B553,명단!$A$5:$A$404,0))),"번호 없음"))</f>
        <v/>
      </c>
      <c r="I553" s="25" t="str">
        <f aca="false">IF($B553="","",IF(COUNTIF($B$5:$B$1004,$B553)&gt;1,"중복 입력",""))</f>
        <v/>
      </c>
    </row>
    <row r="554" customFormat="false" ht="15" hidden="false" customHeight="false" outlineLevel="0" collapsed="false">
      <c r="A554" s="23"/>
      <c r="B554" s="24"/>
      <c r="C554" s="24"/>
      <c r="D554" s="24"/>
      <c r="E554" s="24"/>
      <c r="F554" s="24"/>
      <c r="G554" s="24"/>
      <c r="H554" s="25" t="str">
        <f aca="false">IF($B554="","",IFERROR(IF(INDEX(명단!$B$5:$B$404,MATCH($B554,명단!$A$5:$A$404,0))="","(이름 미입력)",INDEX(명단!$B$5:$B$404,MATCH($B554,명단!$A$5:$A$404,0))),"번호 없음"))</f>
        <v/>
      </c>
      <c r="I554" s="25" t="str">
        <f aca="false">IF($B554="","",IF(COUNTIF($B$5:$B$1004,$B554)&gt;1,"중복 입력",""))</f>
        <v/>
      </c>
    </row>
    <row r="555" customFormat="false" ht="15" hidden="false" customHeight="false" outlineLevel="0" collapsed="false">
      <c r="A555" s="23"/>
      <c r="B555" s="24"/>
      <c r="C555" s="24"/>
      <c r="D555" s="24"/>
      <c r="E555" s="24"/>
      <c r="F555" s="24"/>
      <c r="G555" s="24"/>
      <c r="H555" s="25" t="str">
        <f aca="false">IF($B555="","",IFERROR(IF(INDEX(명단!$B$5:$B$404,MATCH($B555,명단!$A$5:$A$404,0))="","(이름 미입력)",INDEX(명단!$B$5:$B$404,MATCH($B555,명단!$A$5:$A$404,0))),"번호 없음"))</f>
        <v/>
      </c>
      <c r="I555" s="25" t="str">
        <f aca="false">IF($B555="","",IF(COUNTIF($B$5:$B$1004,$B555)&gt;1,"중복 입력",""))</f>
        <v/>
      </c>
    </row>
    <row r="556" customFormat="false" ht="15" hidden="false" customHeight="false" outlineLevel="0" collapsed="false">
      <c r="A556" s="23"/>
      <c r="B556" s="24"/>
      <c r="C556" s="24"/>
      <c r="D556" s="24"/>
      <c r="E556" s="24"/>
      <c r="F556" s="24"/>
      <c r="G556" s="24"/>
      <c r="H556" s="25" t="str">
        <f aca="false">IF($B556="","",IFERROR(IF(INDEX(명단!$B$5:$B$404,MATCH($B556,명단!$A$5:$A$404,0))="","(이름 미입력)",INDEX(명단!$B$5:$B$404,MATCH($B556,명단!$A$5:$A$404,0))),"번호 없음"))</f>
        <v/>
      </c>
      <c r="I556" s="25" t="str">
        <f aca="false">IF($B556="","",IF(COUNTIF($B$5:$B$1004,$B556)&gt;1,"중복 입력",""))</f>
        <v/>
      </c>
    </row>
    <row r="557" customFormat="false" ht="15" hidden="false" customHeight="false" outlineLevel="0" collapsed="false">
      <c r="A557" s="23"/>
      <c r="B557" s="24"/>
      <c r="C557" s="24"/>
      <c r="D557" s="24"/>
      <c r="E557" s="24"/>
      <c r="F557" s="24"/>
      <c r="G557" s="24"/>
      <c r="H557" s="25" t="str">
        <f aca="false">IF($B557="","",IFERROR(IF(INDEX(명단!$B$5:$B$404,MATCH($B557,명단!$A$5:$A$404,0))="","(이름 미입력)",INDEX(명단!$B$5:$B$404,MATCH($B557,명단!$A$5:$A$404,0))),"번호 없음"))</f>
        <v/>
      </c>
      <c r="I557" s="25" t="str">
        <f aca="false">IF($B557="","",IF(COUNTIF($B$5:$B$1004,$B557)&gt;1,"중복 입력",""))</f>
        <v/>
      </c>
    </row>
    <row r="558" customFormat="false" ht="15" hidden="false" customHeight="false" outlineLevel="0" collapsed="false">
      <c r="A558" s="23"/>
      <c r="B558" s="24"/>
      <c r="C558" s="24"/>
      <c r="D558" s="24"/>
      <c r="E558" s="24"/>
      <c r="F558" s="24"/>
      <c r="G558" s="24"/>
      <c r="H558" s="25" t="str">
        <f aca="false">IF($B558="","",IFERROR(IF(INDEX(명단!$B$5:$B$404,MATCH($B558,명단!$A$5:$A$404,0))="","(이름 미입력)",INDEX(명단!$B$5:$B$404,MATCH($B558,명단!$A$5:$A$404,0))),"번호 없음"))</f>
        <v/>
      </c>
      <c r="I558" s="25" t="str">
        <f aca="false">IF($B558="","",IF(COUNTIF($B$5:$B$1004,$B558)&gt;1,"중복 입력",""))</f>
        <v/>
      </c>
    </row>
    <row r="559" customFormat="false" ht="15" hidden="false" customHeight="false" outlineLevel="0" collapsed="false">
      <c r="A559" s="23"/>
      <c r="B559" s="24"/>
      <c r="C559" s="24"/>
      <c r="D559" s="24"/>
      <c r="E559" s="24"/>
      <c r="F559" s="24"/>
      <c r="G559" s="24"/>
      <c r="H559" s="25" t="str">
        <f aca="false">IF($B559="","",IFERROR(IF(INDEX(명단!$B$5:$B$404,MATCH($B559,명단!$A$5:$A$404,0))="","(이름 미입력)",INDEX(명단!$B$5:$B$404,MATCH($B559,명단!$A$5:$A$404,0))),"번호 없음"))</f>
        <v/>
      </c>
      <c r="I559" s="25" t="str">
        <f aca="false">IF($B559="","",IF(COUNTIF($B$5:$B$1004,$B559)&gt;1,"중복 입력",""))</f>
        <v/>
      </c>
    </row>
    <row r="560" customFormat="false" ht="15" hidden="false" customHeight="false" outlineLevel="0" collapsed="false">
      <c r="A560" s="23"/>
      <c r="B560" s="24"/>
      <c r="C560" s="24"/>
      <c r="D560" s="24"/>
      <c r="E560" s="24"/>
      <c r="F560" s="24"/>
      <c r="G560" s="24"/>
      <c r="H560" s="25" t="str">
        <f aca="false">IF($B560="","",IFERROR(IF(INDEX(명단!$B$5:$B$404,MATCH($B560,명단!$A$5:$A$404,0))="","(이름 미입력)",INDEX(명단!$B$5:$B$404,MATCH($B560,명단!$A$5:$A$404,0))),"번호 없음"))</f>
        <v/>
      </c>
      <c r="I560" s="25" t="str">
        <f aca="false">IF($B560="","",IF(COUNTIF($B$5:$B$1004,$B560)&gt;1,"중복 입력",""))</f>
        <v/>
      </c>
    </row>
    <row r="561" customFormat="false" ht="15" hidden="false" customHeight="false" outlineLevel="0" collapsed="false">
      <c r="A561" s="23"/>
      <c r="B561" s="24"/>
      <c r="C561" s="24"/>
      <c r="D561" s="24"/>
      <c r="E561" s="24"/>
      <c r="F561" s="24"/>
      <c r="G561" s="24"/>
      <c r="H561" s="25" t="str">
        <f aca="false">IF($B561="","",IFERROR(IF(INDEX(명단!$B$5:$B$404,MATCH($B561,명단!$A$5:$A$404,0))="","(이름 미입력)",INDEX(명단!$B$5:$B$404,MATCH($B561,명단!$A$5:$A$404,0))),"번호 없음"))</f>
        <v/>
      </c>
      <c r="I561" s="25" t="str">
        <f aca="false">IF($B561="","",IF(COUNTIF($B$5:$B$1004,$B561)&gt;1,"중복 입력",""))</f>
        <v/>
      </c>
    </row>
    <row r="562" customFormat="false" ht="15" hidden="false" customHeight="false" outlineLevel="0" collapsed="false">
      <c r="A562" s="23"/>
      <c r="B562" s="24"/>
      <c r="C562" s="24"/>
      <c r="D562" s="24"/>
      <c r="E562" s="24"/>
      <c r="F562" s="24"/>
      <c r="G562" s="24"/>
      <c r="H562" s="25" t="str">
        <f aca="false">IF($B562="","",IFERROR(IF(INDEX(명단!$B$5:$B$404,MATCH($B562,명단!$A$5:$A$404,0))="","(이름 미입력)",INDEX(명단!$B$5:$B$404,MATCH($B562,명단!$A$5:$A$404,0))),"번호 없음"))</f>
        <v/>
      </c>
      <c r="I562" s="25" t="str">
        <f aca="false">IF($B562="","",IF(COUNTIF($B$5:$B$1004,$B562)&gt;1,"중복 입력",""))</f>
        <v/>
      </c>
    </row>
    <row r="563" customFormat="false" ht="15" hidden="false" customHeight="false" outlineLevel="0" collapsed="false">
      <c r="A563" s="23"/>
      <c r="B563" s="24"/>
      <c r="C563" s="24"/>
      <c r="D563" s="24"/>
      <c r="E563" s="24"/>
      <c r="F563" s="24"/>
      <c r="G563" s="24"/>
      <c r="H563" s="25" t="str">
        <f aca="false">IF($B563="","",IFERROR(IF(INDEX(명단!$B$5:$B$404,MATCH($B563,명단!$A$5:$A$404,0))="","(이름 미입력)",INDEX(명단!$B$5:$B$404,MATCH($B563,명단!$A$5:$A$404,0))),"번호 없음"))</f>
        <v/>
      </c>
      <c r="I563" s="25" t="str">
        <f aca="false">IF($B563="","",IF(COUNTIF($B$5:$B$1004,$B563)&gt;1,"중복 입력",""))</f>
        <v/>
      </c>
    </row>
    <row r="564" customFormat="false" ht="15" hidden="false" customHeight="false" outlineLevel="0" collapsed="false">
      <c r="A564" s="23"/>
      <c r="B564" s="24"/>
      <c r="C564" s="24"/>
      <c r="D564" s="24"/>
      <c r="E564" s="24"/>
      <c r="F564" s="24"/>
      <c r="G564" s="24"/>
      <c r="H564" s="25" t="str">
        <f aca="false">IF($B564="","",IFERROR(IF(INDEX(명단!$B$5:$B$404,MATCH($B564,명단!$A$5:$A$404,0))="","(이름 미입력)",INDEX(명단!$B$5:$B$404,MATCH($B564,명단!$A$5:$A$404,0))),"번호 없음"))</f>
        <v/>
      </c>
      <c r="I564" s="25" t="str">
        <f aca="false">IF($B564="","",IF(COUNTIF($B$5:$B$1004,$B564)&gt;1,"중복 입력",""))</f>
        <v/>
      </c>
    </row>
    <row r="565" customFormat="false" ht="15" hidden="false" customHeight="false" outlineLevel="0" collapsed="false">
      <c r="A565" s="23"/>
      <c r="B565" s="24"/>
      <c r="C565" s="24"/>
      <c r="D565" s="24"/>
      <c r="E565" s="24"/>
      <c r="F565" s="24"/>
      <c r="G565" s="24"/>
      <c r="H565" s="25" t="str">
        <f aca="false">IF($B565="","",IFERROR(IF(INDEX(명단!$B$5:$B$404,MATCH($B565,명단!$A$5:$A$404,0))="","(이름 미입력)",INDEX(명단!$B$5:$B$404,MATCH($B565,명단!$A$5:$A$404,0))),"번호 없음"))</f>
        <v/>
      </c>
      <c r="I565" s="25" t="str">
        <f aca="false">IF($B565="","",IF(COUNTIF($B$5:$B$1004,$B565)&gt;1,"중복 입력",""))</f>
        <v/>
      </c>
    </row>
    <row r="566" customFormat="false" ht="15" hidden="false" customHeight="false" outlineLevel="0" collapsed="false">
      <c r="A566" s="23"/>
      <c r="B566" s="24"/>
      <c r="C566" s="24"/>
      <c r="D566" s="24"/>
      <c r="E566" s="24"/>
      <c r="F566" s="24"/>
      <c r="G566" s="24"/>
      <c r="H566" s="25" t="str">
        <f aca="false">IF($B566="","",IFERROR(IF(INDEX(명단!$B$5:$B$404,MATCH($B566,명단!$A$5:$A$404,0))="","(이름 미입력)",INDEX(명단!$B$5:$B$404,MATCH($B566,명단!$A$5:$A$404,0))),"번호 없음"))</f>
        <v/>
      </c>
      <c r="I566" s="25" t="str">
        <f aca="false">IF($B566="","",IF(COUNTIF($B$5:$B$1004,$B566)&gt;1,"중복 입력",""))</f>
        <v/>
      </c>
    </row>
    <row r="567" customFormat="false" ht="15" hidden="false" customHeight="false" outlineLevel="0" collapsed="false">
      <c r="A567" s="23"/>
      <c r="B567" s="24"/>
      <c r="C567" s="24"/>
      <c r="D567" s="24"/>
      <c r="E567" s="24"/>
      <c r="F567" s="24"/>
      <c r="G567" s="24"/>
      <c r="H567" s="25" t="str">
        <f aca="false">IF($B567="","",IFERROR(IF(INDEX(명단!$B$5:$B$404,MATCH($B567,명단!$A$5:$A$404,0))="","(이름 미입력)",INDEX(명단!$B$5:$B$404,MATCH($B567,명단!$A$5:$A$404,0))),"번호 없음"))</f>
        <v/>
      </c>
      <c r="I567" s="25" t="str">
        <f aca="false">IF($B567="","",IF(COUNTIF($B$5:$B$1004,$B567)&gt;1,"중복 입력",""))</f>
        <v/>
      </c>
    </row>
    <row r="568" customFormat="false" ht="15" hidden="false" customHeight="false" outlineLevel="0" collapsed="false">
      <c r="A568" s="23"/>
      <c r="B568" s="24"/>
      <c r="C568" s="24"/>
      <c r="D568" s="24"/>
      <c r="E568" s="24"/>
      <c r="F568" s="24"/>
      <c r="G568" s="24"/>
      <c r="H568" s="25" t="str">
        <f aca="false">IF($B568="","",IFERROR(IF(INDEX(명단!$B$5:$B$404,MATCH($B568,명단!$A$5:$A$404,0))="","(이름 미입력)",INDEX(명단!$B$5:$B$404,MATCH($B568,명단!$A$5:$A$404,0))),"번호 없음"))</f>
        <v/>
      </c>
      <c r="I568" s="25" t="str">
        <f aca="false">IF($B568="","",IF(COUNTIF($B$5:$B$1004,$B568)&gt;1,"중복 입력",""))</f>
        <v/>
      </c>
    </row>
    <row r="569" customFormat="false" ht="15" hidden="false" customHeight="false" outlineLevel="0" collapsed="false">
      <c r="A569" s="23"/>
      <c r="B569" s="24"/>
      <c r="C569" s="24"/>
      <c r="D569" s="24"/>
      <c r="E569" s="24"/>
      <c r="F569" s="24"/>
      <c r="G569" s="24"/>
      <c r="H569" s="25" t="str">
        <f aca="false">IF($B569="","",IFERROR(IF(INDEX(명단!$B$5:$B$404,MATCH($B569,명단!$A$5:$A$404,0))="","(이름 미입력)",INDEX(명단!$B$5:$B$404,MATCH($B569,명단!$A$5:$A$404,0))),"번호 없음"))</f>
        <v/>
      </c>
      <c r="I569" s="25" t="str">
        <f aca="false">IF($B569="","",IF(COUNTIF($B$5:$B$1004,$B569)&gt;1,"중복 입력",""))</f>
        <v/>
      </c>
    </row>
    <row r="570" customFormat="false" ht="15" hidden="false" customHeight="false" outlineLevel="0" collapsed="false">
      <c r="A570" s="23"/>
      <c r="B570" s="24"/>
      <c r="C570" s="24"/>
      <c r="D570" s="24"/>
      <c r="E570" s="24"/>
      <c r="F570" s="24"/>
      <c r="G570" s="24"/>
      <c r="H570" s="25" t="str">
        <f aca="false">IF($B570="","",IFERROR(IF(INDEX(명단!$B$5:$B$404,MATCH($B570,명단!$A$5:$A$404,0))="","(이름 미입력)",INDEX(명단!$B$5:$B$404,MATCH($B570,명단!$A$5:$A$404,0))),"번호 없음"))</f>
        <v/>
      </c>
      <c r="I570" s="25" t="str">
        <f aca="false">IF($B570="","",IF(COUNTIF($B$5:$B$1004,$B570)&gt;1,"중복 입력",""))</f>
        <v/>
      </c>
    </row>
    <row r="571" customFormat="false" ht="15" hidden="false" customHeight="false" outlineLevel="0" collapsed="false">
      <c r="A571" s="23"/>
      <c r="B571" s="24"/>
      <c r="C571" s="24"/>
      <c r="D571" s="24"/>
      <c r="E571" s="24"/>
      <c r="F571" s="24"/>
      <c r="G571" s="24"/>
      <c r="H571" s="25" t="str">
        <f aca="false">IF($B571="","",IFERROR(IF(INDEX(명단!$B$5:$B$404,MATCH($B571,명단!$A$5:$A$404,0))="","(이름 미입력)",INDEX(명단!$B$5:$B$404,MATCH($B571,명단!$A$5:$A$404,0))),"번호 없음"))</f>
        <v/>
      </c>
      <c r="I571" s="25" t="str">
        <f aca="false">IF($B571="","",IF(COUNTIF($B$5:$B$1004,$B571)&gt;1,"중복 입력",""))</f>
        <v/>
      </c>
    </row>
    <row r="572" customFormat="false" ht="15" hidden="false" customHeight="false" outlineLevel="0" collapsed="false">
      <c r="A572" s="23"/>
      <c r="B572" s="24"/>
      <c r="C572" s="24"/>
      <c r="D572" s="24"/>
      <c r="E572" s="24"/>
      <c r="F572" s="24"/>
      <c r="G572" s="24"/>
      <c r="H572" s="25" t="str">
        <f aca="false">IF($B572="","",IFERROR(IF(INDEX(명단!$B$5:$B$404,MATCH($B572,명단!$A$5:$A$404,0))="","(이름 미입력)",INDEX(명단!$B$5:$B$404,MATCH($B572,명단!$A$5:$A$404,0))),"번호 없음"))</f>
        <v/>
      </c>
      <c r="I572" s="25" t="str">
        <f aca="false">IF($B572="","",IF(COUNTIF($B$5:$B$1004,$B572)&gt;1,"중복 입력",""))</f>
        <v/>
      </c>
    </row>
    <row r="573" customFormat="false" ht="15" hidden="false" customHeight="false" outlineLevel="0" collapsed="false">
      <c r="A573" s="23"/>
      <c r="B573" s="24"/>
      <c r="C573" s="24"/>
      <c r="D573" s="24"/>
      <c r="E573" s="24"/>
      <c r="F573" s="24"/>
      <c r="G573" s="24"/>
      <c r="H573" s="25" t="str">
        <f aca="false">IF($B573="","",IFERROR(IF(INDEX(명단!$B$5:$B$404,MATCH($B573,명단!$A$5:$A$404,0))="","(이름 미입력)",INDEX(명단!$B$5:$B$404,MATCH($B573,명단!$A$5:$A$404,0))),"번호 없음"))</f>
        <v/>
      </c>
      <c r="I573" s="25" t="str">
        <f aca="false">IF($B573="","",IF(COUNTIF($B$5:$B$1004,$B573)&gt;1,"중복 입력",""))</f>
        <v/>
      </c>
    </row>
    <row r="574" customFormat="false" ht="15" hidden="false" customHeight="false" outlineLevel="0" collapsed="false">
      <c r="A574" s="23"/>
      <c r="B574" s="24"/>
      <c r="C574" s="24"/>
      <c r="D574" s="24"/>
      <c r="E574" s="24"/>
      <c r="F574" s="24"/>
      <c r="G574" s="24"/>
      <c r="H574" s="25" t="str">
        <f aca="false">IF($B574="","",IFERROR(IF(INDEX(명단!$B$5:$B$404,MATCH($B574,명단!$A$5:$A$404,0))="","(이름 미입력)",INDEX(명단!$B$5:$B$404,MATCH($B574,명단!$A$5:$A$404,0))),"번호 없음"))</f>
        <v/>
      </c>
      <c r="I574" s="25" t="str">
        <f aca="false">IF($B574="","",IF(COUNTIF($B$5:$B$1004,$B574)&gt;1,"중복 입력",""))</f>
        <v/>
      </c>
    </row>
    <row r="575" customFormat="false" ht="15" hidden="false" customHeight="false" outlineLevel="0" collapsed="false">
      <c r="A575" s="23"/>
      <c r="B575" s="24"/>
      <c r="C575" s="24"/>
      <c r="D575" s="24"/>
      <c r="E575" s="24"/>
      <c r="F575" s="24"/>
      <c r="G575" s="24"/>
      <c r="H575" s="25" t="str">
        <f aca="false">IF($B575="","",IFERROR(IF(INDEX(명단!$B$5:$B$404,MATCH($B575,명단!$A$5:$A$404,0))="","(이름 미입력)",INDEX(명단!$B$5:$B$404,MATCH($B575,명단!$A$5:$A$404,0))),"번호 없음"))</f>
        <v/>
      </c>
      <c r="I575" s="25" t="str">
        <f aca="false">IF($B575="","",IF(COUNTIF($B$5:$B$1004,$B575)&gt;1,"중복 입력",""))</f>
        <v/>
      </c>
    </row>
    <row r="576" customFormat="false" ht="15" hidden="false" customHeight="false" outlineLevel="0" collapsed="false">
      <c r="A576" s="23"/>
      <c r="B576" s="24"/>
      <c r="C576" s="24"/>
      <c r="D576" s="24"/>
      <c r="E576" s="24"/>
      <c r="F576" s="24"/>
      <c r="G576" s="24"/>
      <c r="H576" s="25" t="str">
        <f aca="false">IF($B576="","",IFERROR(IF(INDEX(명단!$B$5:$B$404,MATCH($B576,명단!$A$5:$A$404,0))="","(이름 미입력)",INDEX(명단!$B$5:$B$404,MATCH($B576,명단!$A$5:$A$404,0))),"번호 없음"))</f>
        <v/>
      </c>
      <c r="I576" s="25" t="str">
        <f aca="false">IF($B576="","",IF(COUNTIF($B$5:$B$1004,$B576)&gt;1,"중복 입력",""))</f>
        <v/>
      </c>
    </row>
    <row r="577" customFormat="false" ht="15" hidden="false" customHeight="false" outlineLevel="0" collapsed="false">
      <c r="A577" s="23"/>
      <c r="B577" s="24"/>
      <c r="C577" s="24"/>
      <c r="D577" s="24"/>
      <c r="E577" s="24"/>
      <c r="F577" s="24"/>
      <c r="G577" s="24"/>
      <c r="H577" s="25" t="str">
        <f aca="false">IF($B577="","",IFERROR(IF(INDEX(명단!$B$5:$B$404,MATCH($B577,명단!$A$5:$A$404,0))="","(이름 미입력)",INDEX(명단!$B$5:$B$404,MATCH($B577,명단!$A$5:$A$404,0))),"번호 없음"))</f>
        <v/>
      </c>
      <c r="I577" s="25" t="str">
        <f aca="false">IF($B577="","",IF(COUNTIF($B$5:$B$1004,$B577)&gt;1,"중복 입력",""))</f>
        <v/>
      </c>
    </row>
    <row r="578" customFormat="false" ht="15" hidden="false" customHeight="false" outlineLevel="0" collapsed="false">
      <c r="A578" s="23"/>
      <c r="B578" s="24"/>
      <c r="C578" s="24"/>
      <c r="D578" s="24"/>
      <c r="E578" s="24"/>
      <c r="F578" s="24"/>
      <c r="G578" s="24"/>
      <c r="H578" s="25" t="str">
        <f aca="false">IF($B578="","",IFERROR(IF(INDEX(명단!$B$5:$B$404,MATCH($B578,명단!$A$5:$A$404,0))="","(이름 미입력)",INDEX(명단!$B$5:$B$404,MATCH($B578,명단!$A$5:$A$404,0))),"번호 없음"))</f>
        <v/>
      </c>
      <c r="I578" s="25" t="str">
        <f aca="false">IF($B578="","",IF(COUNTIF($B$5:$B$1004,$B578)&gt;1,"중복 입력",""))</f>
        <v/>
      </c>
    </row>
    <row r="579" customFormat="false" ht="15" hidden="false" customHeight="false" outlineLevel="0" collapsed="false">
      <c r="A579" s="23"/>
      <c r="B579" s="24"/>
      <c r="C579" s="24"/>
      <c r="D579" s="24"/>
      <c r="E579" s="24"/>
      <c r="F579" s="24"/>
      <c r="G579" s="24"/>
      <c r="H579" s="25" t="str">
        <f aca="false">IF($B579="","",IFERROR(IF(INDEX(명단!$B$5:$B$404,MATCH($B579,명단!$A$5:$A$404,0))="","(이름 미입력)",INDEX(명단!$B$5:$B$404,MATCH($B579,명단!$A$5:$A$404,0))),"번호 없음"))</f>
        <v/>
      </c>
      <c r="I579" s="25" t="str">
        <f aca="false">IF($B579="","",IF(COUNTIF($B$5:$B$1004,$B579)&gt;1,"중복 입력",""))</f>
        <v/>
      </c>
    </row>
    <row r="580" customFormat="false" ht="15" hidden="false" customHeight="false" outlineLevel="0" collapsed="false">
      <c r="A580" s="23"/>
      <c r="B580" s="24"/>
      <c r="C580" s="24"/>
      <c r="D580" s="24"/>
      <c r="E580" s="24"/>
      <c r="F580" s="24"/>
      <c r="G580" s="24"/>
      <c r="H580" s="25" t="str">
        <f aca="false">IF($B580="","",IFERROR(IF(INDEX(명단!$B$5:$B$404,MATCH($B580,명단!$A$5:$A$404,0))="","(이름 미입력)",INDEX(명단!$B$5:$B$404,MATCH($B580,명단!$A$5:$A$404,0))),"번호 없음"))</f>
        <v/>
      </c>
      <c r="I580" s="25" t="str">
        <f aca="false">IF($B580="","",IF(COUNTIF($B$5:$B$1004,$B580)&gt;1,"중복 입력",""))</f>
        <v/>
      </c>
    </row>
    <row r="581" customFormat="false" ht="15" hidden="false" customHeight="false" outlineLevel="0" collapsed="false">
      <c r="A581" s="23"/>
      <c r="B581" s="24"/>
      <c r="C581" s="24"/>
      <c r="D581" s="24"/>
      <c r="E581" s="24"/>
      <c r="F581" s="24"/>
      <c r="G581" s="24"/>
      <c r="H581" s="25" t="str">
        <f aca="false">IF($B581="","",IFERROR(IF(INDEX(명단!$B$5:$B$404,MATCH($B581,명단!$A$5:$A$404,0))="","(이름 미입력)",INDEX(명단!$B$5:$B$404,MATCH($B581,명단!$A$5:$A$404,0))),"번호 없음"))</f>
        <v/>
      </c>
      <c r="I581" s="25" t="str">
        <f aca="false">IF($B581="","",IF(COUNTIF($B$5:$B$1004,$B581)&gt;1,"중복 입력",""))</f>
        <v/>
      </c>
    </row>
    <row r="582" customFormat="false" ht="15" hidden="false" customHeight="false" outlineLevel="0" collapsed="false">
      <c r="A582" s="23"/>
      <c r="B582" s="24"/>
      <c r="C582" s="24"/>
      <c r="D582" s="24"/>
      <c r="E582" s="24"/>
      <c r="F582" s="24"/>
      <c r="G582" s="24"/>
      <c r="H582" s="25" t="str">
        <f aca="false">IF($B582="","",IFERROR(IF(INDEX(명단!$B$5:$B$404,MATCH($B582,명단!$A$5:$A$404,0))="","(이름 미입력)",INDEX(명단!$B$5:$B$404,MATCH($B582,명단!$A$5:$A$404,0))),"번호 없음"))</f>
        <v/>
      </c>
      <c r="I582" s="25" t="str">
        <f aca="false">IF($B582="","",IF(COUNTIF($B$5:$B$1004,$B582)&gt;1,"중복 입력",""))</f>
        <v/>
      </c>
    </row>
    <row r="583" customFormat="false" ht="15" hidden="false" customHeight="false" outlineLevel="0" collapsed="false">
      <c r="A583" s="23"/>
      <c r="B583" s="24"/>
      <c r="C583" s="24"/>
      <c r="D583" s="24"/>
      <c r="E583" s="24"/>
      <c r="F583" s="24"/>
      <c r="G583" s="24"/>
      <c r="H583" s="25" t="str">
        <f aca="false">IF($B583="","",IFERROR(IF(INDEX(명단!$B$5:$B$404,MATCH($B583,명단!$A$5:$A$404,0))="","(이름 미입력)",INDEX(명단!$B$5:$B$404,MATCH($B583,명단!$A$5:$A$404,0))),"번호 없음"))</f>
        <v/>
      </c>
      <c r="I583" s="25" t="str">
        <f aca="false">IF($B583="","",IF(COUNTIF($B$5:$B$1004,$B583)&gt;1,"중복 입력",""))</f>
        <v/>
      </c>
    </row>
    <row r="584" customFormat="false" ht="15" hidden="false" customHeight="false" outlineLevel="0" collapsed="false">
      <c r="A584" s="23"/>
      <c r="B584" s="24"/>
      <c r="C584" s="24"/>
      <c r="D584" s="24"/>
      <c r="E584" s="24"/>
      <c r="F584" s="24"/>
      <c r="G584" s="24"/>
      <c r="H584" s="25" t="str">
        <f aca="false">IF($B584="","",IFERROR(IF(INDEX(명단!$B$5:$B$404,MATCH($B584,명단!$A$5:$A$404,0))="","(이름 미입력)",INDEX(명단!$B$5:$B$404,MATCH($B584,명단!$A$5:$A$404,0))),"번호 없음"))</f>
        <v/>
      </c>
      <c r="I584" s="25" t="str">
        <f aca="false">IF($B584="","",IF(COUNTIF($B$5:$B$1004,$B584)&gt;1,"중복 입력",""))</f>
        <v/>
      </c>
    </row>
    <row r="585" customFormat="false" ht="15" hidden="false" customHeight="false" outlineLevel="0" collapsed="false">
      <c r="A585" s="23"/>
      <c r="B585" s="24"/>
      <c r="C585" s="24"/>
      <c r="D585" s="24"/>
      <c r="E585" s="24"/>
      <c r="F585" s="24"/>
      <c r="G585" s="24"/>
      <c r="H585" s="25" t="str">
        <f aca="false">IF($B585="","",IFERROR(IF(INDEX(명단!$B$5:$B$404,MATCH($B585,명단!$A$5:$A$404,0))="","(이름 미입력)",INDEX(명단!$B$5:$B$404,MATCH($B585,명단!$A$5:$A$404,0))),"번호 없음"))</f>
        <v/>
      </c>
      <c r="I585" s="25" t="str">
        <f aca="false">IF($B585="","",IF(COUNTIF($B$5:$B$1004,$B585)&gt;1,"중복 입력",""))</f>
        <v/>
      </c>
    </row>
    <row r="586" customFormat="false" ht="15" hidden="false" customHeight="false" outlineLevel="0" collapsed="false">
      <c r="A586" s="23"/>
      <c r="B586" s="24"/>
      <c r="C586" s="24"/>
      <c r="D586" s="24"/>
      <c r="E586" s="24"/>
      <c r="F586" s="24"/>
      <c r="G586" s="24"/>
      <c r="H586" s="25" t="str">
        <f aca="false">IF($B586="","",IFERROR(IF(INDEX(명단!$B$5:$B$404,MATCH($B586,명단!$A$5:$A$404,0))="","(이름 미입력)",INDEX(명단!$B$5:$B$404,MATCH($B586,명단!$A$5:$A$404,0))),"번호 없음"))</f>
        <v/>
      </c>
      <c r="I586" s="25" t="str">
        <f aca="false">IF($B586="","",IF(COUNTIF($B$5:$B$1004,$B586)&gt;1,"중복 입력",""))</f>
        <v/>
      </c>
    </row>
    <row r="587" customFormat="false" ht="15" hidden="false" customHeight="false" outlineLevel="0" collapsed="false">
      <c r="A587" s="23"/>
      <c r="B587" s="24"/>
      <c r="C587" s="24"/>
      <c r="D587" s="24"/>
      <c r="E587" s="24"/>
      <c r="F587" s="24"/>
      <c r="G587" s="24"/>
      <c r="H587" s="25" t="str">
        <f aca="false">IF($B587="","",IFERROR(IF(INDEX(명단!$B$5:$B$404,MATCH($B587,명단!$A$5:$A$404,0))="","(이름 미입력)",INDEX(명단!$B$5:$B$404,MATCH($B587,명단!$A$5:$A$404,0))),"번호 없음"))</f>
        <v/>
      </c>
      <c r="I587" s="25" t="str">
        <f aca="false">IF($B587="","",IF(COUNTIF($B$5:$B$1004,$B587)&gt;1,"중복 입력",""))</f>
        <v/>
      </c>
    </row>
    <row r="588" customFormat="false" ht="15" hidden="false" customHeight="false" outlineLevel="0" collapsed="false">
      <c r="A588" s="23"/>
      <c r="B588" s="24"/>
      <c r="C588" s="24"/>
      <c r="D588" s="24"/>
      <c r="E588" s="24"/>
      <c r="F588" s="24"/>
      <c r="G588" s="24"/>
      <c r="H588" s="25" t="str">
        <f aca="false">IF($B588="","",IFERROR(IF(INDEX(명단!$B$5:$B$404,MATCH($B588,명단!$A$5:$A$404,0))="","(이름 미입력)",INDEX(명단!$B$5:$B$404,MATCH($B588,명단!$A$5:$A$404,0))),"번호 없음"))</f>
        <v/>
      </c>
      <c r="I588" s="25" t="str">
        <f aca="false">IF($B588="","",IF(COUNTIF($B$5:$B$1004,$B588)&gt;1,"중복 입력",""))</f>
        <v/>
      </c>
    </row>
    <row r="589" customFormat="false" ht="15" hidden="false" customHeight="false" outlineLevel="0" collapsed="false">
      <c r="A589" s="23"/>
      <c r="B589" s="24"/>
      <c r="C589" s="24"/>
      <c r="D589" s="24"/>
      <c r="E589" s="24"/>
      <c r="F589" s="24"/>
      <c r="G589" s="24"/>
      <c r="H589" s="25" t="str">
        <f aca="false">IF($B589="","",IFERROR(IF(INDEX(명단!$B$5:$B$404,MATCH($B589,명단!$A$5:$A$404,0))="","(이름 미입력)",INDEX(명단!$B$5:$B$404,MATCH($B589,명단!$A$5:$A$404,0))),"번호 없음"))</f>
        <v/>
      </c>
      <c r="I589" s="25" t="str">
        <f aca="false">IF($B589="","",IF(COUNTIF($B$5:$B$1004,$B589)&gt;1,"중복 입력",""))</f>
        <v/>
      </c>
    </row>
    <row r="590" customFormat="false" ht="15" hidden="false" customHeight="false" outlineLevel="0" collapsed="false">
      <c r="A590" s="23"/>
      <c r="B590" s="24"/>
      <c r="C590" s="24"/>
      <c r="D590" s="24"/>
      <c r="E590" s="24"/>
      <c r="F590" s="24"/>
      <c r="G590" s="24"/>
      <c r="H590" s="25" t="str">
        <f aca="false">IF($B590="","",IFERROR(IF(INDEX(명단!$B$5:$B$404,MATCH($B590,명단!$A$5:$A$404,0))="","(이름 미입력)",INDEX(명단!$B$5:$B$404,MATCH($B590,명단!$A$5:$A$404,0))),"번호 없음"))</f>
        <v/>
      </c>
      <c r="I590" s="25" t="str">
        <f aca="false">IF($B590="","",IF(COUNTIF($B$5:$B$1004,$B590)&gt;1,"중복 입력",""))</f>
        <v/>
      </c>
    </row>
    <row r="591" customFormat="false" ht="15" hidden="false" customHeight="false" outlineLevel="0" collapsed="false">
      <c r="A591" s="23"/>
      <c r="B591" s="24"/>
      <c r="C591" s="24"/>
      <c r="D591" s="24"/>
      <c r="E591" s="24"/>
      <c r="F591" s="24"/>
      <c r="G591" s="24"/>
      <c r="H591" s="25" t="str">
        <f aca="false">IF($B591="","",IFERROR(IF(INDEX(명단!$B$5:$B$404,MATCH($B591,명단!$A$5:$A$404,0))="","(이름 미입력)",INDEX(명단!$B$5:$B$404,MATCH($B591,명단!$A$5:$A$404,0))),"번호 없음"))</f>
        <v/>
      </c>
      <c r="I591" s="25" t="str">
        <f aca="false">IF($B591="","",IF(COUNTIF($B$5:$B$1004,$B591)&gt;1,"중복 입력",""))</f>
        <v/>
      </c>
    </row>
    <row r="592" customFormat="false" ht="15" hidden="false" customHeight="false" outlineLevel="0" collapsed="false">
      <c r="A592" s="23"/>
      <c r="B592" s="24"/>
      <c r="C592" s="24"/>
      <c r="D592" s="24"/>
      <c r="E592" s="24"/>
      <c r="F592" s="24"/>
      <c r="G592" s="24"/>
      <c r="H592" s="25" t="str">
        <f aca="false">IF($B592="","",IFERROR(IF(INDEX(명단!$B$5:$B$404,MATCH($B592,명단!$A$5:$A$404,0))="","(이름 미입력)",INDEX(명단!$B$5:$B$404,MATCH($B592,명단!$A$5:$A$404,0))),"번호 없음"))</f>
        <v/>
      </c>
      <c r="I592" s="25" t="str">
        <f aca="false">IF($B592="","",IF(COUNTIF($B$5:$B$1004,$B592)&gt;1,"중복 입력",""))</f>
        <v/>
      </c>
    </row>
    <row r="593" customFormat="false" ht="15" hidden="false" customHeight="false" outlineLevel="0" collapsed="false">
      <c r="A593" s="23"/>
      <c r="B593" s="24"/>
      <c r="C593" s="24"/>
      <c r="D593" s="24"/>
      <c r="E593" s="24"/>
      <c r="F593" s="24"/>
      <c r="G593" s="24"/>
      <c r="H593" s="25" t="str">
        <f aca="false">IF($B593="","",IFERROR(IF(INDEX(명단!$B$5:$B$404,MATCH($B593,명단!$A$5:$A$404,0))="","(이름 미입력)",INDEX(명단!$B$5:$B$404,MATCH($B593,명단!$A$5:$A$404,0))),"번호 없음"))</f>
        <v/>
      </c>
      <c r="I593" s="25" t="str">
        <f aca="false">IF($B593="","",IF(COUNTIF($B$5:$B$1004,$B593)&gt;1,"중복 입력",""))</f>
        <v/>
      </c>
    </row>
    <row r="594" customFormat="false" ht="15" hidden="false" customHeight="false" outlineLevel="0" collapsed="false">
      <c r="A594" s="23"/>
      <c r="B594" s="24"/>
      <c r="C594" s="24"/>
      <c r="D594" s="24"/>
      <c r="E594" s="24"/>
      <c r="F594" s="24"/>
      <c r="G594" s="24"/>
      <c r="H594" s="25" t="str">
        <f aca="false">IF($B594="","",IFERROR(IF(INDEX(명단!$B$5:$B$404,MATCH($B594,명단!$A$5:$A$404,0))="","(이름 미입력)",INDEX(명단!$B$5:$B$404,MATCH($B594,명단!$A$5:$A$404,0))),"번호 없음"))</f>
        <v/>
      </c>
      <c r="I594" s="25" t="str">
        <f aca="false">IF($B594="","",IF(COUNTIF($B$5:$B$1004,$B594)&gt;1,"중복 입력",""))</f>
        <v/>
      </c>
    </row>
    <row r="595" customFormat="false" ht="15" hidden="false" customHeight="false" outlineLevel="0" collapsed="false">
      <c r="A595" s="23"/>
      <c r="B595" s="24"/>
      <c r="C595" s="24"/>
      <c r="D595" s="24"/>
      <c r="E595" s="24"/>
      <c r="F595" s="24"/>
      <c r="G595" s="24"/>
      <c r="H595" s="25" t="str">
        <f aca="false">IF($B595="","",IFERROR(IF(INDEX(명단!$B$5:$B$404,MATCH($B595,명단!$A$5:$A$404,0))="","(이름 미입력)",INDEX(명단!$B$5:$B$404,MATCH($B595,명단!$A$5:$A$404,0))),"번호 없음"))</f>
        <v/>
      </c>
      <c r="I595" s="25" t="str">
        <f aca="false">IF($B595="","",IF(COUNTIF($B$5:$B$1004,$B595)&gt;1,"중복 입력",""))</f>
        <v/>
      </c>
    </row>
    <row r="596" customFormat="false" ht="15" hidden="false" customHeight="false" outlineLevel="0" collapsed="false">
      <c r="A596" s="23"/>
      <c r="B596" s="24"/>
      <c r="C596" s="24"/>
      <c r="D596" s="24"/>
      <c r="E596" s="24"/>
      <c r="F596" s="24"/>
      <c r="G596" s="24"/>
      <c r="H596" s="25" t="str">
        <f aca="false">IF($B596="","",IFERROR(IF(INDEX(명단!$B$5:$B$404,MATCH($B596,명단!$A$5:$A$404,0))="","(이름 미입력)",INDEX(명단!$B$5:$B$404,MATCH($B596,명단!$A$5:$A$404,0))),"번호 없음"))</f>
        <v/>
      </c>
      <c r="I596" s="25" t="str">
        <f aca="false">IF($B596="","",IF(COUNTIF($B$5:$B$1004,$B596)&gt;1,"중복 입력",""))</f>
        <v/>
      </c>
    </row>
    <row r="597" customFormat="false" ht="15" hidden="false" customHeight="false" outlineLevel="0" collapsed="false">
      <c r="A597" s="23"/>
      <c r="B597" s="24"/>
      <c r="C597" s="24"/>
      <c r="D597" s="24"/>
      <c r="E597" s="24"/>
      <c r="F597" s="24"/>
      <c r="G597" s="24"/>
      <c r="H597" s="25" t="str">
        <f aca="false">IF($B597="","",IFERROR(IF(INDEX(명단!$B$5:$B$404,MATCH($B597,명단!$A$5:$A$404,0))="","(이름 미입력)",INDEX(명단!$B$5:$B$404,MATCH($B597,명단!$A$5:$A$404,0))),"번호 없음"))</f>
        <v/>
      </c>
      <c r="I597" s="25" t="str">
        <f aca="false">IF($B597="","",IF(COUNTIF($B$5:$B$1004,$B597)&gt;1,"중복 입력",""))</f>
        <v/>
      </c>
    </row>
    <row r="598" customFormat="false" ht="15" hidden="false" customHeight="false" outlineLevel="0" collapsed="false">
      <c r="A598" s="23"/>
      <c r="B598" s="24"/>
      <c r="C598" s="24"/>
      <c r="D598" s="24"/>
      <c r="E598" s="24"/>
      <c r="F598" s="24"/>
      <c r="G598" s="24"/>
      <c r="H598" s="25" t="str">
        <f aca="false">IF($B598="","",IFERROR(IF(INDEX(명단!$B$5:$B$404,MATCH($B598,명단!$A$5:$A$404,0))="","(이름 미입력)",INDEX(명단!$B$5:$B$404,MATCH($B598,명단!$A$5:$A$404,0))),"번호 없음"))</f>
        <v/>
      </c>
      <c r="I598" s="25" t="str">
        <f aca="false">IF($B598="","",IF(COUNTIF($B$5:$B$1004,$B598)&gt;1,"중복 입력",""))</f>
        <v/>
      </c>
    </row>
    <row r="599" customFormat="false" ht="15" hidden="false" customHeight="false" outlineLevel="0" collapsed="false">
      <c r="A599" s="23"/>
      <c r="B599" s="24"/>
      <c r="C599" s="24"/>
      <c r="D599" s="24"/>
      <c r="E599" s="24"/>
      <c r="F599" s="24"/>
      <c r="G599" s="24"/>
      <c r="H599" s="25" t="str">
        <f aca="false">IF($B599="","",IFERROR(IF(INDEX(명단!$B$5:$B$404,MATCH($B599,명단!$A$5:$A$404,0))="","(이름 미입력)",INDEX(명단!$B$5:$B$404,MATCH($B599,명단!$A$5:$A$404,0))),"번호 없음"))</f>
        <v/>
      </c>
      <c r="I599" s="25" t="str">
        <f aca="false">IF($B599="","",IF(COUNTIF($B$5:$B$1004,$B599)&gt;1,"중복 입력",""))</f>
        <v/>
      </c>
    </row>
    <row r="600" customFormat="false" ht="15" hidden="false" customHeight="false" outlineLevel="0" collapsed="false">
      <c r="A600" s="23"/>
      <c r="B600" s="24"/>
      <c r="C600" s="24"/>
      <c r="D600" s="24"/>
      <c r="E600" s="24"/>
      <c r="F600" s="24"/>
      <c r="G600" s="24"/>
      <c r="H600" s="25" t="str">
        <f aca="false">IF($B600="","",IFERROR(IF(INDEX(명단!$B$5:$B$404,MATCH($B600,명단!$A$5:$A$404,0))="","(이름 미입력)",INDEX(명단!$B$5:$B$404,MATCH($B600,명단!$A$5:$A$404,0))),"번호 없음"))</f>
        <v/>
      </c>
      <c r="I600" s="25" t="str">
        <f aca="false">IF($B600="","",IF(COUNTIF($B$5:$B$1004,$B600)&gt;1,"중복 입력",""))</f>
        <v/>
      </c>
    </row>
    <row r="601" customFormat="false" ht="15" hidden="false" customHeight="false" outlineLevel="0" collapsed="false">
      <c r="A601" s="23"/>
      <c r="B601" s="24"/>
      <c r="C601" s="24"/>
      <c r="D601" s="24"/>
      <c r="E601" s="24"/>
      <c r="F601" s="24"/>
      <c r="G601" s="24"/>
      <c r="H601" s="25" t="str">
        <f aca="false">IF($B601="","",IFERROR(IF(INDEX(명단!$B$5:$B$404,MATCH($B601,명단!$A$5:$A$404,0))="","(이름 미입력)",INDEX(명단!$B$5:$B$404,MATCH($B601,명단!$A$5:$A$404,0))),"번호 없음"))</f>
        <v/>
      </c>
      <c r="I601" s="25" t="str">
        <f aca="false">IF($B601="","",IF(COUNTIF($B$5:$B$1004,$B601)&gt;1,"중복 입력",""))</f>
        <v/>
      </c>
    </row>
    <row r="602" customFormat="false" ht="15" hidden="false" customHeight="false" outlineLevel="0" collapsed="false">
      <c r="A602" s="23"/>
      <c r="B602" s="24"/>
      <c r="C602" s="24"/>
      <c r="D602" s="24"/>
      <c r="E602" s="24"/>
      <c r="F602" s="24"/>
      <c r="G602" s="24"/>
      <c r="H602" s="25" t="str">
        <f aca="false">IF($B602="","",IFERROR(IF(INDEX(명단!$B$5:$B$404,MATCH($B602,명단!$A$5:$A$404,0))="","(이름 미입력)",INDEX(명단!$B$5:$B$404,MATCH($B602,명단!$A$5:$A$404,0))),"번호 없음"))</f>
        <v/>
      </c>
      <c r="I602" s="25" t="str">
        <f aca="false">IF($B602="","",IF(COUNTIF($B$5:$B$1004,$B602)&gt;1,"중복 입력",""))</f>
        <v/>
      </c>
    </row>
    <row r="603" customFormat="false" ht="15" hidden="false" customHeight="false" outlineLevel="0" collapsed="false">
      <c r="A603" s="23"/>
      <c r="B603" s="24"/>
      <c r="C603" s="24"/>
      <c r="D603" s="24"/>
      <c r="E603" s="24"/>
      <c r="F603" s="24"/>
      <c r="G603" s="24"/>
      <c r="H603" s="25" t="str">
        <f aca="false">IF($B603="","",IFERROR(IF(INDEX(명단!$B$5:$B$404,MATCH($B603,명단!$A$5:$A$404,0))="","(이름 미입력)",INDEX(명단!$B$5:$B$404,MATCH($B603,명단!$A$5:$A$404,0))),"번호 없음"))</f>
        <v/>
      </c>
      <c r="I603" s="25" t="str">
        <f aca="false">IF($B603="","",IF(COUNTIF($B$5:$B$1004,$B603)&gt;1,"중복 입력",""))</f>
        <v/>
      </c>
    </row>
    <row r="604" customFormat="false" ht="15" hidden="false" customHeight="false" outlineLevel="0" collapsed="false">
      <c r="A604" s="23"/>
      <c r="B604" s="24"/>
      <c r="C604" s="24"/>
      <c r="D604" s="24"/>
      <c r="E604" s="24"/>
      <c r="F604" s="24"/>
      <c r="G604" s="24"/>
      <c r="H604" s="25" t="str">
        <f aca="false">IF($B604="","",IFERROR(IF(INDEX(명단!$B$5:$B$404,MATCH($B604,명단!$A$5:$A$404,0))="","(이름 미입력)",INDEX(명단!$B$5:$B$404,MATCH($B604,명단!$A$5:$A$404,0))),"번호 없음"))</f>
        <v/>
      </c>
      <c r="I604" s="25" t="str">
        <f aca="false">IF($B604="","",IF(COUNTIF($B$5:$B$1004,$B604)&gt;1,"중복 입력",""))</f>
        <v/>
      </c>
    </row>
    <row r="605" customFormat="false" ht="15" hidden="false" customHeight="false" outlineLevel="0" collapsed="false">
      <c r="A605" s="23"/>
      <c r="B605" s="24"/>
      <c r="C605" s="24"/>
      <c r="D605" s="24"/>
      <c r="E605" s="24"/>
      <c r="F605" s="24"/>
      <c r="G605" s="24"/>
      <c r="H605" s="25" t="str">
        <f aca="false">IF($B605="","",IFERROR(IF(INDEX(명단!$B$5:$B$404,MATCH($B605,명단!$A$5:$A$404,0))="","(이름 미입력)",INDEX(명단!$B$5:$B$404,MATCH($B605,명단!$A$5:$A$404,0))),"번호 없음"))</f>
        <v/>
      </c>
      <c r="I605" s="25" t="str">
        <f aca="false">IF($B605="","",IF(COUNTIF($B$5:$B$1004,$B605)&gt;1,"중복 입력",""))</f>
        <v/>
      </c>
    </row>
    <row r="606" customFormat="false" ht="15" hidden="false" customHeight="false" outlineLevel="0" collapsed="false">
      <c r="A606" s="23"/>
      <c r="B606" s="24"/>
      <c r="C606" s="24"/>
      <c r="D606" s="24"/>
      <c r="E606" s="24"/>
      <c r="F606" s="24"/>
      <c r="G606" s="24"/>
      <c r="H606" s="25" t="str">
        <f aca="false">IF($B606="","",IFERROR(IF(INDEX(명단!$B$5:$B$404,MATCH($B606,명단!$A$5:$A$404,0))="","(이름 미입력)",INDEX(명단!$B$5:$B$404,MATCH($B606,명단!$A$5:$A$404,0))),"번호 없음"))</f>
        <v/>
      </c>
      <c r="I606" s="25" t="str">
        <f aca="false">IF($B606="","",IF(COUNTIF($B$5:$B$1004,$B606)&gt;1,"중복 입력",""))</f>
        <v/>
      </c>
    </row>
    <row r="607" customFormat="false" ht="15" hidden="false" customHeight="false" outlineLevel="0" collapsed="false">
      <c r="A607" s="23"/>
      <c r="B607" s="24"/>
      <c r="C607" s="24"/>
      <c r="D607" s="24"/>
      <c r="E607" s="24"/>
      <c r="F607" s="24"/>
      <c r="G607" s="24"/>
      <c r="H607" s="25" t="str">
        <f aca="false">IF($B607="","",IFERROR(IF(INDEX(명단!$B$5:$B$404,MATCH($B607,명단!$A$5:$A$404,0))="","(이름 미입력)",INDEX(명단!$B$5:$B$404,MATCH($B607,명단!$A$5:$A$404,0))),"번호 없음"))</f>
        <v/>
      </c>
      <c r="I607" s="25" t="str">
        <f aca="false">IF($B607="","",IF(COUNTIF($B$5:$B$1004,$B607)&gt;1,"중복 입력",""))</f>
        <v/>
      </c>
    </row>
    <row r="608" customFormat="false" ht="15" hidden="false" customHeight="false" outlineLevel="0" collapsed="false">
      <c r="A608" s="23"/>
      <c r="B608" s="24"/>
      <c r="C608" s="24"/>
      <c r="D608" s="24"/>
      <c r="E608" s="24"/>
      <c r="F608" s="24"/>
      <c r="G608" s="24"/>
      <c r="H608" s="25" t="str">
        <f aca="false">IF($B608="","",IFERROR(IF(INDEX(명단!$B$5:$B$404,MATCH($B608,명단!$A$5:$A$404,0))="","(이름 미입력)",INDEX(명단!$B$5:$B$404,MATCH($B608,명단!$A$5:$A$404,0))),"번호 없음"))</f>
        <v/>
      </c>
      <c r="I608" s="25" t="str">
        <f aca="false">IF($B608="","",IF(COUNTIF($B$5:$B$1004,$B608)&gt;1,"중복 입력",""))</f>
        <v/>
      </c>
    </row>
    <row r="609" customFormat="false" ht="15" hidden="false" customHeight="false" outlineLevel="0" collapsed="false">
      <c r="A609" s="23"/>
      <c r="B609" s="24"/>
      <c r="C609" s="24"/>
      <c r="D609" s="24"/>
      <c r="E609" s="24"/>
      <c r="F609" s="24"/>
      <c r="G609" s="24"/>
      <c r="H609" s="25" t="str">
        <f aca="false">IF($B609="","",IFERROR(IF(INDEX(명단!$B$5:$B$404,MATCH($B609,명단!$A$5:$A$404,0))="","(이름 미입력)",INDEX(명단!$B$5:$B$404,MATCH($B609,명단!$A$5:$A$404,0))),"번호 없음"))</f>
        <v/>
      </c>
      <c r="I609" s="25" t="str">
        <f aca="false">IF($B609="","",IF(COUNTIF($B$5:$B$1004,$B609)&gt;1,"중복 입력",""))</f>
        <v/>
      </c>
    </row>
    <row r="610" customFormat="false" ht="15" hidden="false" customHeight="false" outlineLevel="0" collapsed="false">
      <c r="A610" s="23"/>
      <c r="B610" s="24"/>
      <c r="C610" s="24"/>
      <c r="D610" s="24"/>
      <c r="E610" s="24"/>
      <c r="F610" s="24"/>
      <c r="G610" s="24"/>
      <c r="H610" s="25" t="str">
        <f aca="false">IF($B610="","",IFERROR(IF(INDEX(명단!$B$5:$B$404,MATCH($B610,명단!$A$5:$A$404,0))="","(이름 미입력)",INDEX(명단!$B$5:$B$404,MATCH($B610,명단!$A$5:$A$404,0))),"번호 없음"))</f>
        <v/>
      </c>
      <c r="I610" s="25" t="str">
        <f aca="false">IF($B610="","",IF(COUNTIF($B$5:$B$1004,$B610)&gt;1,"중복 입력",""))</f>
        <v/>
      </c>
    </row>
    <row r="611" customFormat="false" ht="15" hidden="false" customHeight="false" outlineLevel="0" collapsed="false">
      <c r="A611" s="23"/>
      <c r="B611" s="24"/>
      <c r="C611" s="24"/>
      <c r="D611" s="24"/>
      <c r="E611" s="24"/>
      <c r="F611" s="24"/>
      <c r="G611" s="24"/>
      <c r="H611" s="25" t="str">
        <f aca="false">IF($B611="","",IFERROR(IF(INDEX(명단!$B$5:$B$404,MATCH($B611,명단!$A$5:$A$404,0))="","(이름 미입력)",INDEX(명단!$B$5:$B$404,MATCH($B611,명단!$A$5:$A$404,0))),"번호 없음"))</f>
        <v/>
      </c>
      <c r="I611" s="25" t="str">
        <f aca="false">IF($B611="","",IF(COUNTIF($B$5:$B$1004,$B611)&gt;1,"중복 입력",""))</f>
        <v/>
      </c>
    </row>
    <row r="612" customFormat="false" ht="15" hidden="false" customHeight="false" outlineLevel="0" collapsed="false">
      <c r="A612" s="23"/>
      <c r="B612" s="24"/>
      <c r="C612" s="24"/>
      <c r="D612" s="24"/>
      <c r="E612" s="24"/>
      <c r="F612" s="24"/>
      <c r="G612" s="24"/>
      <c r="H612" s="25" t="str">
        <f aca="false">IF($B612="","",IFERROR(IF(INDEX(명단!$B$5:$B$404,MATCH($B612,명단!$A$5:$A$404,0))="","(이름 미입력)",INDEX(명단!$B$5:$B$404,MATCH($B612,명단!$A$5:$A$404,0))),"번호 없음"))</f>
        <v/>
      </c>
      <c r="I612" s="25" t="str">
        <f aca="false">IF($B612="","",IF(COUNTIF($B$5:$B$1004,$B612)&gt;1,"중복 입력",""))</f>
        <v/>
      </c>
    </row>
    <row r="613" customFormat="false" ht="15" hidden="false" customHeight="false" outlineLevel="0" collapsed="false">
      <c r="A613" s="23"/>
      <c r="B613" s="24"/>
      <c r="C613" s="24"/>
      <c r="D613" s="24"/>
      <c r="E613" s="24"/>
      <c r="F613" s="24"/>
      <c r="G613" s="24"/>
      <c r="H613" s="25" t="str">
        <f aca="false">IF($B613="","",IFERROR(IF(INDEX(명단!$B$5:$B$404,MATCH($B613,명단!$A$5:$A$404,0))="","(이름 미입력)",INDEX(명단!$B$5:$B$404,MATCH($B613,명단!$A$5:$A$404,0))),"번호 없음"))</f>
        <v/>
      </c>
      <c r="I613" s="25" t="str">
        <f aca="false">IF($B613="","",IF(COUNTIF($B$5:$B$1004,$B613)&gt;1,"중복 입력",""))</f>
        <v/>
      </c>
    </row>
    <row r="614" customFormat="false" ht="15" hidden="false" customHeight="false" outlineLevel="0" collapsed="false">
      <c r="A614" s="23"/>
      <c r="B614" s="24"/>
      <c r="C614" s="24"/>
      <c r="D614" s="24"/>
      <c r="E614" s="24"/>
      <c r="F614" s="24"/>
      <c r="G614" s="24"/>
      <c r="H614" s="25" t="str">
        <f aca="false">IF($B614="","",IFERROR(IF(INDEX(명단!$B$5:$B$404,MATCH($B614,명단!$A$5:$A$404,0))="","(이름 미입력)",INDEX(명단!$B$5:$B$404,MATCH($B614,명단!$A$5:$A$404,0))),"번호 없음"))</f>
        <v/>
      </c>
      <c r="I614" s="25" t="str">
        <f aca="false">IF($B614="","",IF(COUNTIF($B$5:$B$1004,$B614)&gt;1,"중복 입력",""))</f>
        <v/>
      </c>
    </row>
    <row r="615" customFormat="false" ht="15" hidden="false" customHeight="false" outlineLevel="0" collapsed="false">
      <c r="A615" s="23"/>
      <c r="B615" s="24"/>
      <c r="C615" s="24"/>
      <c r="D615" s="24"/>
      <c r="E615" s="24"/>
      <c r="F615" s="24"/>
      <c r="G615" s="24"/>
      <c r="H615" s="25" t="str">
        <f aca="false">IF($B615="","",IFERROR(IF(INDEX(명단!$B$5:$B$404,MATCH($B615,명단!$A$5:$A$404,0))="","(이름 미입력)",INDEX(명단!$B$5:$B$404,MATCH($B615,명단!$A$5:$A$404,0))),"번호 없음"))</f>
        <v/>
      </c>
      <c r="I615" s="25" t="str">
        <f aca="false">IF($B615="","",IF(COUNTIF($B$5:$B$1004,$B615)&gt;1,"중복 입력",""))</f>
        <v/>
      </c>
    </row>
    <row r="616" customFormat="false" ht="15" hidden="false" customHeight="false" outlineLevel="0" collapsed="false">
      <c r="A616" s="23"/>
      <c r="B616" s="24"/>
      <c r="C616" s="24"/>
      <c r="D616" s="24"/>
      <c r="E616" s="24"/>
      <c r="F616" s="24"/>
      <c r="G616" s="24"/>
      <c r="H616" s="25" t="str">
        <f aca="false">IF($B616="","",IFERROR(IF(INDEX(명단!$B$5:$B$404,MATCH($B616,명단!$A$5:$A$404,0))="","(이름 미입력)",INDEX(명단!$B$5:$B$404,MATCH($B616,명단!$A$5:$A$404,0))),"번호 없음"))</f>
        <v/>
      </c>
      <c r="I616" s="25" t="str">
        <f aca="false">IF($B616="","",IF(COUNTIF($B$5:$B$1004,$B616)&gt;1,"중복 입력",""))</f>
        <v/>
      </c>
    </row>
    <row r="617" customFormat="false" ht="15" hidden="false" customHeight="false" outlineLevel="0" collapsed="false">
      <c r="A617" s="23"/>
      <c r="B617" s="24"/>
      <c r="C617" s="24"/>
      <c r="D617" s="24"/>
      <c r="E617" s="24"/>
      <c r="F617" s="24"/>
      <c r="G617" s="24"/>
      <c r="H617" s="25" t="str">
        <f aca="false">IF($B617="","",IFERROR(IF(INDEX(명단!$B$5:$B$404,MATCH($B617,명단!$A$5:$A$404,0))="","(이름 미입력)",INDEX(명단!$B$5:$B$404,MATCH($B617,명단!$A$5:$A$404,0))),"번호 없음"))</f>
        <v/>
      </c>
      <c r="I617" s="25" t="str">
        <f aca="false">IF($B617="","",IF(COUNTIF($B$5:$B$1004,$B617)&gt;1,"중복 입력",""))</f>
        <v/>
      </c>
    </row>
    <row r="618" customFormat="false" ht="15" hidden="false" customHeight="false" outlineLevel="0" collapsed="false">
      <c r="A618" s="23"/>
      <c r="B618" s="24"/>
      <c r="C618" s="24"/>
      <c r="D618" s="24"/>
      <c r="E618" s="24"/>
      <c r="F618" s="24"/>
      <c r="G618" s="24"/>
      <c r="H618" s="25" t="str">
        <f aca="false">IF($B618="","",IFERROR(IF(INDEX(명단!$B$5:$B$404,MATCH($B618,명단!$A$5:$A$404,0))="","(이름 미입력)",INDEX(명단!$B$5:$B$404,MATCH($B618,명단!$A$5:$A$404,0))),"번호 없음"))</f>
        <v/>
      </c>
      <c r="I618" s="25" t="str">
        <f aca="false">IF($B618="","",IF(COUNTIF($B$5:$B$1004,$B618)&gt;1,"중복 입력",""))</f>
        <v/>
      </c>
    </row>
    <row r="619" customFormat="false" ht="15" hidden="false" customHeight="false" outlineLevel="0" collapsed="false">
      <c r="A619" s="23"/>
      <c r="B619" s="24"/>
      <c r="C619" s="24"/>
      <c r="D619" s="24"/>
      <c r="E619" s="24"/>
      <c r="F619" s="24"/>
      <c r="G619" s="24"/>
      <c r="H619" s="25" t="str">
        <f aca="false">IF($B619="","",IFERROR(IF(INDEX(명단!$B$5:$B$404,MATCH($B619,명단!$A$5:$A$404,0))="","(이름 미입력)",INDEX(명단!$B$5:$B$404,MATCH($B619,명단!$A$5:$A$404,0))),"번호 없음"))</f>
        <v/>
      </c>
      <c r="I619" s="25" t="str">
        <f aca="false">IF($B619="","",IF(COUNTIF($B$5:$B$1004,$B619)&gt;1,"중복 입력",""))</f>
        <v/>
      </c>
    </row>
    <row r="620" customFormat="false" ht="15" hidden="false" customHeight="false" outlineLevel="0" collapsed="false">
      <c r="A620" s="23"/>
      <c r="B620" s="24"/>
      <c r="C620" s="24"/>
      <c r="D620" s="24"/>
      <c r="E620" s="24"/>
      <c r="F620" s="24"/>
      <c r="G620" s="24"/>
      <c r="H620" s="25" t="str">
        <f aca="false">IF($B620="","",IFERROR(IF(INDEX(명단!$B$5:$B$404,MATCH($B620,명단!$A$5:$A$404,0))="","(이름 미입력)",INDEX(명단!$B$5:$B$404,MATCH($B620,명단!$A$5:$A$404,0))),"번호 없음"))</f>
        <v/>
      </c>
      <c r="I620" s="25" t="str">
        <f aca="false">IF($B620="","",IF(COUNTIF($B$5:$B$1004,$B620)&gt;1,"중복 입력",""))</f>
        <v/>
      </c>
    </row>
    <row r="621" customFormat="false" ht="15" hidden="false" customHeight="false" outlineLevel="0" collapsed="false">
      <c r="A621" s="23"/>
      <c r="B621" s="24"/>
      <c r="C621" s="24"/>
      <c r="D621" s="24"/>
      <c r="E621" s="24"/>
      <c r="F621" s="24"/>
      <c r="G621" s="24"/>
      <c r="H621" s="25" t="str">
        <f aca="false">IF($B621="","",IFERROR(IF(INDEX(명단!$B$5:$B$404,MATCH($B621,명단!$A$5:$A$404,0))="","(이름 미입력)",INDEX(명단!$B$5:$B$404,MATCH($B621,명단!$A$5:$A$404,0))),"번호 없음"))</f>
        <v/>
      </c>
      <c r="I621" s="25" t="str">
        <f aca="false">IF($B621="","",IF(COUNTIF($B$5:$B$1004,$B621)&gt;1,"중복 입력",""))</f>
        <v/>
      </c>
    </row>
    <row r="622" customFormat="false" ht="15" hidden="false" customHeight="false" outlineLevel="0" collapsed="false">
      <c r="A622" s="23"/>
      <c r="B622" s="24"/>
      <c r="C622" s="24"/>
      <c r="D622" s="24"/>
      <c r="E622" s="24"/>
      <c r="F622" s="24"/>
      <c r="G622" s="24"/>
      <c r="H622" s="25" t="str">
        <f aca="false">IF($B622="","",IFERROR(IF(INDEX(명단!$B$5:$B$404,MATCH($B622,명단!$A$5:$A$404,0))="","(이름 미입력)",INDEX(명단!$B$5:$B$404,MATCH($B622,명단!$A$5:$A$404,0))),"번호 없음"))</f>
        <v/>
      </c>
      <c r="I622" s="25" t="str">
        <f aca="false">IF($B622="","",IF(COUNTIF($B$5:$B$1004,$B622)&gt;1,"중복 입력",""))</f>
        <v/>
      </c>
    </row>
    <row r="623" customFormat="false" ht="15" hidden="false" customHeight="false" outlineLevel="0" collapsed="false">
      <c r="A623" s="23"/>
      <c r="B623" s="24"/>
      <c r="C623" s="24"/>
      <c r="D623" s="24"/>
      <c r="E623" s="24"/>
      <c r="F623" s="24"/>
      <c r="G623" s="24"/>
      <c r="H623" s="25" t="str">
        <f aca="false">IF($B623="","",IFERROR(IF(INDEX(명단!$B$5:$B$404,MATCH($B623,명단!$A$5:$A$404,0))="","(이름 미입력)",INDEX(명단!$B$5:$B$404,MATCH($B623,명단!$A$5:$A$404,0))),"번호 없음"))</f>
        <v/>
      </c>
      <c r="I623" s="25" t="str">
        <f aca="false">IF($B623="","",IF(COUNTIF($B$5:$B$1004,$B623)&gt;1,"중복 입력",""))</f>
        <v/>
      </c>
    </row>
    <row r="624" customFormat="false" ht="15" hidden="false" customHeight="false" outlineLevel="0" collapsed="false">
      <c r="A624" s="23"/>
      <c r="B624" s="24"/>
      <c r="C624" s="24"/>
      <c r="D624" s="24"/>
      <c r="E624" s="24"/>
      <c r="F624" s="24"/>
      <c r="G624" s="24"/>
      <c r="H624" s="25" t="str">
        <f aca="false">IF($B624="","",IFERROR(IF(INDEX(명단!$B$5:$B$404,MATCH($B624,명단!$A$5:$A$404,0))="","(이름 미입력)",INDEX(명단!$B$5:$B$404,MATCH($B624,명단!$A$5:$A$404,0))),"번호 없음"))</f>
        <v/>
      </c>
      <c r="I624" s="25" t="str">
        <f aca="false">IF($B624="","",IF(COUNTIF($B$5:$B$1004,$B624)&gt;1,"중복 입력",""))</f>
        <v/>
      </c>
    </row>
    <row r="625" customFormat="false" ht="15" hidden="false" customHeight="false" outlineLevel="0" collapsed="false">
      <c r="A625" s="23"/>
      <c r="B625" s="24"/>
      <c r="C625" s="24"/>
      <c r="D625" s="24"/>
      <c r="E625" s="24"/>
      <c r="F625" s="24"/>
      <c r="G625" s="24"/>
      <c r="H625" s="25" t="str">
        <f aca="false">IF($B625="","",IFERROR(IF(INDEX(명단!$B$5:$B$404,MATCH($B625,명단!$A$5:$A$404,0))="","(이름 미입력)",INDEX(명단!$B$5:$B$404,MATCH($B625,명단!$A$5:$A$404,0))),"번호 없음"))</f>
        <v/>
      </c>
      <c r="I625" s="25" t="str">
        <f aca="false">IF($B625="","",IF(COUNTIF($B$5:$B$1004,$B625)&gt;1,"중복 입력",""))</f>
        <v/>
      </c>
    </row>
    <row r="626" customFormat="false" ht="15" hidden="false" customHeight="false" outlineLevel="0" collapsed="false">
      <c r="A626" s="23"/>
      <c r="B626" s="24"/>
      <c r="C626" s="24"/>
      <c r="D626" s="24"/>
      <c r="E626" s="24"/>
      <c r="F626" s="24"/>
      <c r="G626" s="24"/>
      <c r="H626" s="25" t="str">
        <f aca="false">IF($B626="","",IFERROR(IF(INDEX(명단!$B$5:$B$404,MATCH($B626,명단!$A$5:$A$404,0))="","(이름 미입력)",INDEX(명단!$B$5:$B$404,MATCH($B626,명단!$A$5:$A$404,0))),"번호 없음"))</f>
        <v/>
      </c>
      <c r="I626" s="25" t="str">
        <f aca="false">IF($B626="","",IF(COUNTIF($B$5:$B$1004,$B626)&gt;1,"중복 입력",""))</f>
        <v/>
      </c>
    </row>
    <row r="627" customFormat="false" ht="15" hidden="false" customHeight="false" outlineLevel="0" collapsed="false">
      <c r="A627" s="23"/>
      <c r="B627" s="24"/>
      <c r="C627" s="24"/>
      <c r="D627" s="24"/>
      <c r="E627" s="24"/>
      <c r="F627" s="24"/>
      <c r="G627" s="24"/>
      <c r="H627" s="25" t="str">
        <f aca="false">IF($B627="","",IFERROR(IF(INDEX(명단!$B$5:$B$404,MATCH($B627,명단!$A$5:$A$404,0))="","(이름 미입력)",INDEX(명단!$B$5:$B$404,MATCH($B627,명단!$A$5:$A$404,0))),"번호 없음"))</f>
        <v/>
      </c>
      <c r="I627" s="25" t="str">
        <f aca="false">IF($B627="","",IF(COUNTIF($B$5:$B$1004,$B627)&gt;1,"중복 입력",""))</f>
        <v/>
      </c>
    </row>
    <row r="628" customFormat="false" ht="15" hidden="false" customHeight="false" outlineLevel="0" collapsed="false">
      <c r="A628" s="23"/>
      <c r="B628" s="24"/>
      <c r="C628" s="24"/>
      <c r="D628" s="24"/>
      <c r="E628" s="24"/>
      <c r="F628" s="24"/>
      <c r="G628" s="24"/>
      <c r="H628" s="25" t="str">
        <f aca="false">IF($B628="","",IFERROR(IF(INDEX(명단!$B$5:$B$404,MATCH($B628,명단!$A$5:$A$404,0))="","(이름 미입력)",INDEX(명단!$B$5:$B$404,MATCH($B628,명단!$A$5:$A$404,0))),"번호 없음"))</f>
        <v/>
      </c>
      <c r="I628" s="25" t="str">
        <f aca="false">IF($B628="","",IF(COUNTIF($B$5:$B$1004,$B628)&gt;1,"중복 입력",""))</f>
        <v/>
      </c>
    </row>
    <row r="629" customFormat="false" ht="15" hidden="false" customHeight="false" outlineLevel="0" collapsed="false">
      <c r="A629" s="23"/>
      <c r="B629" s="24"/>
      <c r="C629" s="24"/>
      <c r="D629" s="24"/>
      <c r="E629" s="24"/>
      <c r="F629" s="24"/>
      <c r="G629" s="24"/>
      <c r="H629" s="25" t="str">
        <f aca="false">IF($B629="","",IFERROR(IF(INDEX(명단!$B$5:$B$404,MATCH($B629,명단!$A$5:$A$404,0))="","(이름 미입력)",INDEX(명단!$B$5:$B$404,MATCH($B629,명단!$A$5:$A$404,0))),"번호 없음"))</f>
        <v/>
      </c>
      <c r="I629" s="25" t="str">
        <f aca="false">IF($B629="","",IF(COUNTIF($B$5:$B$1004,$B629)&gt;1,"중복 입력",""))</f>
        <v/>
      </c>
    </row>
    <row r="630" customFormat="false" ht="15" hidden="false" customHeight="false" outlineLevel="0" collapsed="false">
      <c r="A630" s="23"/>
      <c r="B630" s="24"/>
      <c r="C630" s="24"/>
      <c r="D630" s="24"/>
      <c r="E630" s="24"/>
      <c r="F630" s="24"/>
      <c r="G630" s="24"/>
      <c r="H630" s="25" t="str">
        <f aca="false">IF($B630="","",IFERROR(IF(INDEX(명단!$B$5:$B$404,MATCH($B630,명단!$A$5:$A$404,0))="","(이름 미입력)",INDEX(명단!$B$5:$B$404,MATCH($B630,명단!$A$5:$A$404,0))),"번호 없음"))</f>
        <v/>
      </c>
      <c r="I630" s="25" t="str">
        <f aca="false">IF($B630="","",IF(COUNTIF($B$5:$B$1004,$B630)&gt;1,"중복 입력",""))</f>
        <v/>
      </c>
    </row>
    <row r="631" customFormat="false" ht="15" hidden="false" customHeight="false" outlineLevel="0" collapsed="false">
      <c r="A631" s="23"/>
      <c r="B631" s="24"/>
      <c r="C631" s="24"/>
      <c r="D631" s="24"/>
      <c r="E631" s="24"/>
      <c r="F631" s="24"/>
      <c r="G631" s="24"/>
      <c r="H631" s="25" t="str">
        <f aca="false">IF($B631="","",IFERROR(IF(INDEX(명단!$B$5:$B$404,MATCH($B631,명단!$A$5:$A$404,0))="","(이름 미입력)",INDEX(명단!$B$5:$B$404,MATCH($B631,명단!$A$5:$A$404,0))),"번호 없음"))</f>
        <v/>
      </c>
      <c r="I631" s="25" t="str">
        <f aca="false">IF($B631="","",IF(COUNTIF($B$5:$B$1004,$B631)&gt;1,"중복 입력",""))</f>
        <v/>
      </c>
    </row>
    <row r="632" customFormat="false" ht="15" hidden="false" customHeight="false" outlineLevel="0" collapsed="false">
      <c r="A632" s="23"/>
      <c r="B632" s="24"/>
      <c r="C632" s="24"/>
      <c r="D632" s="24"/>
      <c r="E632" s="24"/>
      <c r="F632" s="24"/>
      <c r="G632" s="24"/>
      <c r="H632" s="25" t="str">
        <f aca="false">IF($B632="","",IFERROR(IF(INDEX(명단!$B$5:$B$404,MATCH($B632,명단!$A$5:$A$404,0))="","(이름 미입력)",INDEX(명단!$B$5:$B$404,MATCH($B632,명단!$A$5:$A$404,0))),"번호 없음"))</f>
        <v/>
      </c>
      <c r="I632" s="25" t="str">
        <f aca="false">IF($B632="","",IF(COUNTIF($B$5:$B$1004,$B632)&gt;1,"중복 입력",""))</f>
        <v/>
      </c>
    </row>
    <row r="633" customFormat="false" ht="15" hidden="false" customHeight="false" outlineLevel="0" collapsed="false">
      <c r="A633" s="23"/>
      <c r="B633" s="24"/>
      <c r="C633" s="24"/>
      <c r="D633" s="24"/>
      <c r="E633" s="24"/>
      <c r="F633" s="24"/>
      <c r="G633" s="24"/>
      <c r="H633" s="25" t="str">
        <f aca="false">IF($B633="","",IFERROR(IF(INDEX(명단!$B$5:$B$404,MATCH($B633,명단!$A$5:$A$404,0))="","(이름 미입력)",INDEX(명단!$B$5:$B$404,MATCH($B633,명단!$A$5:$A$404,0))),"번호 없음"))</f>
        <v/>
      </c>
      <c r="I633" s="25" t="str">
        <f aca="false">IF($B633="","",IF(COUNTIF($B$5:$B$1004,$B633)&gt;1,"중복 입력",""))</f>
        <v/>
      </c>
    </row>
    <row r="634" customFormat="false" ht="15" hidden="false" customHeight="false" outlineLevel="0" collapsed="false">
      <c r="A634" s="23"/>
      <c r="B634" s="24"/>
      <c r="C634" s="24"/>
      <c r="D634" s="24"/>
      <c r="E634" s="24"/>
      <c r="F634" s="24"/>
      <c r="G634" s="24"/>
      <c r="H634" s="25" t="str">
        <f aca="false">IF($B634="","",IFERROR(IF(INDEX(명단!$B$5:$B$404,MATCH($B634,명단!$A$5:$A$404,0))="","(이름 미입력)",INDEX(명단!$B$5:$B$404,MATCH($B634,명단!$A$5:$A$404,0))),"번호 없음"))</f>
        <v/>
      </c>
      <c r="I634" s="25" t="str">
        <f aca="false">IF($B634="","",IF(COUNTIF($B$5:$B$1004,$B634)&gt;1,"중복 입력",""))</f>
        <v/>
      </c>
    </row>
    <row r="635" customFormat="false" ht="15" hidden="false" customHeight="false" outlineLevel="0" collapsed="false">
      <c r="A635" s="23"/>
      <c r="B635" s="24"/>
      <c r="C635" s="24"/>
      <c r="D635" s="24"/>
      <c r="E635" s="24"/>
      <c r="F635" s="24"/>
      <c r="G635" s="24"/>
      <c r="H635" s="25" t="str">
        <f aca="false">IF($B635="","",IFERROR(IF(INDEX(명단!$B$5:$B$404,MATCH($B635,명단!$A$5:$A$404,0))="","(이름 미입력)",INDEX(명단!$B$5:$B$404,MATCH($B635,명단!$A$5:$A$404,0))),"번호 없음"))</f>
        <v/>
      </c>
      <c r="I635" s="25" t="str">
        <f aca="false">IF($B635="","",IF(COUNTIF($B$5:$B$1004,$B635)&gt;1,"중복 입력",""))</f>
        <v/>
      </c>
    </row>
    <row r="636" customFormat="false" ht="15" hidden="false" customHeight="false" outlineLevel="0" collapsed="false">
      <c r="A636" s="23"/>
      <c r="B636" s="24"/>
      <c r="C636" s="24"/>
      <c r="D636" s="24"/>
      <c r="E636" s="24"/>
      <c r="F636" s="24"/>
      <c r="G636" s="24"/>
      <c r="H636" s="25" t="str">
        <f aca="false">IF($B636="","",IFERROR(IF(INDEX(명단!$B$5:$B$404,MATCH($B636,명단!$A$5:$A$404,0))="","(이름 미입력)",INDEX(명단!$B$5:$B$404,MATCH($B636,명단!$A$5:$A$404,0))),"번호 없음"))</f>
        <v/>
      </c>
      <c r="I636" s="25" t="str">
        <f aca="false">IF($B636="","",IF(COUNTIF($B$5:$B$1004,$B636)&gt;1,"중복 입력",""))</f>
        <v/>
      </c>
    </row>
    <row r="637" customFormat="false" ht="15" hidden="false" customHeight="false" outlineLevel="0" collapsed="false">
      <c r="A637" s="23"/>
      <c r="B637" s="24"/>
      <c r="C637" s="24"/>
      <c r="D637" s="24"/>
      <c r="E637" s="24"/>
      <c r="F637" s="24"/>
      <c r="G637" s="24"/>
      <c r="H637" s="25" t="str">
        <f aca="false">IF($B637="","",IFERROR(IF(INDEX(명단!$B$5:$B$404,MATCH($B637,명단!$A$5:$A$404,0))="","(이름 미입력)",INDEX(명단!$B$5:$B$404,MATCH($B637,명단!$A$5:$A$404,0))),"번호 없음"))</f>
        <v/>
      </c>
      <c r="I637" s="25" t="str">
        <f aca="false">IF($B637="","",IF(COUNTIF($B$5:$B$1004,$B637)&gt;1,"중복 입력",""))</f>
        <v/>
      </c>
    </row>
    <row r="638" customFormat="false" ht="15" hidden="false" customHeight="false" outlineLevel="0" collapsed="false">
      <c r="A638" s="23"/>
      <c r="B638" s="24"/>
      <c r="C638" s="24"/>
      <c r="D638" s="24"/>
      <c r="E638" s="24"/>
      <c r="F638" s="24"/>
      <c r="G638" s="24"/>
      <c r="H638" s="25" t="str">
        <f aca="false">IF($B638="","",IFERROR(IF(INDEX(명단!$B$5:$B$404,MATCH($B638,명단!$A$5:$A$404,0))="","(이름 미입력)",INDEX(명단!$B$5:$B$404,MATCH($B638,명단!$A$5:$A$404,0))),"번호 없음"))</f>
        <v/>
      </c>
      <c r="I638" s="25" t="str">
        <f aca="false">IF($B638="","",IF(COUNTIF($B$5:$B$1004,$B638)&gt;1,"중복 입력",""))</f>
        <v/>
      </c>
    </row>
    <row r="639" customFormat="false" ht="15" hidden="false" customHeight="false" outlineLevel="0" collapsed="false">
      <c r="A639" s="23"/>
      <c r="B639" s="24"/>
      <c r="C639" s="24"/>
      <c r="D639" s="24"/>
      <c r="E639" s="24"/>
      <c r="F639" s="24"/>
      <c r="G639" s="24"/>
      <c r="H639" s="25" t="str">
        <f aca="false">IF($B639="","",IFERROR(IF(INDEX(명단!$B$5:$B$404,MATCH($B639,명단!$A$5:$A$404,0))="","(이름 미입력)",INDEX(명단!$B$5:$B$404,MATCH($B639,명단!$A$5:$A$404,0))),"번호 없음"))</f>
        <v/>
      </c>
      <c r="I639" s="25" t="str">
        <f aca="false">IF($B639="","",IF(COUNTIF($B$5:$B$1004,$B639)&gt;1,"중복 입력",""))</f>
        <v/>
      </c>
    </row>
    <row r="640" customFormat="false" ht="15" hidden="false" customHeight="false" outlineLevel="0" collapsed="false">
      <c r="A640" s="23"/>
      <c r="B640" s="24"/>
      <c r="C640" s="24"/>
      <c r="D640" s="24"/>
      <c r="E640" s="24"/>
      <c r="F640" s="24"/>
      <c r="G640" s="24"/>
      <c r="H640" s="25" t="str">
        <f aca="false">IF($B640="","",IFERROR(IF(INDEX(명단!$B$5:$B$404,MATCH($B640,명단!$A$5:$A$404,0))="","(이름 미입력)",INDEX(명단!$B$5:$B$404,MATCH($B640,명단!$A$5:$A$404,0))),"번호 없음"))</f>
        <v/>
      </c>
      <c r="I640" s="25" t="str">
        <f aca="false">IF($B640="","",IF(COUNTIF($B$5:$B$1004,$B640)&gt;1,"중복 입력",""))</f>
        <v/>
      </c>
    </row>
    <row r="641" customFormat="false" ht="15" hidden="false" customHeight="false" outlineLevel="0" collapsed="false">
      <c r="A641" s="23"/>
      <c r="B641" s="24"/>
      <c r="C641" s="24"/>
      <c r="D641" s="24"/>
      <c r="E641" s="24"/>
      <c r="F641" s="24"/>
      <c r="G641" s="24"/>
      <c r="H641" s="25" t="str">
        <f aca="false">IF($B641="","",IFERROR(IF(INDEX(명단!$B$5:$B$404,MATCH($B641,명단!$A$5:$A$404,0))="","(이름 미입력)",INDEX(명단!$B$5:$B$404,MATCH($B641,명단!$A$5:$A$404,0))),"번호 없음"))</f>
        <v/>
      </c>
      <c r="I641" s="25" t="str">
        <f aca="false">IF($B641="","",IF(COUNTIF($B$5:$B$1004,$B641)&gt;1,"중복 입력",""))</f>
        <v/>
      </c>
    </row>
    <row r="642" customFormat="false" ht="15" hidden="false" customHeight="false" outlineLevel="0" collapsed="false">
      <c r="A642" s="23"/>
      <c r="B642" s="24"/>
      <c r="C642" s="24"/>
      <c r="D642" s="24"/>
      <c r="E642" s="24"/>
      <c r="F642" s="24"/>
      <c r="G642" s="24"/>
      <c r="H642" s="25" t="str">
        <f aca="false">IF($B642="","",IFERROR(IF(INDEX(명단!$B$5:$B$404,MATCH($B642,명단!$A$5:$A$404,0))="","(이름 미입력)",INDEX(명단!$B$5:$B$404,MATCH($B642,명단!$A$5:$A$404,0))),"번호 없음"))</f>
        <v/>
      </c>
      <c r="I642" s="25" t="str">
        <f aca="false">IF($B642="","",IF(COUNTIF($B$5:$B$1004,$B642)&gt;1,"중복 입력",""))</f>
        <v/>
      </c>
    </row>
    <row r="643" customFormat="false" ht="15" hidden="false" customHeight="false" outlineLevel="0" collapsed="false">
      <c r="A643" s="23"/>
      <c r="B643" s="24"/>
      <c r="C643" s="24"/>
      <c r="D643" s="24"/>
      <c r="E643" s="24"/>
      <c r="F643" s="24"/>
      <c r="G643" s="24"/>
      <c r="H643" s="25" t="str">
        <f aca="false">IF($B643="","",IFERROR(IF(INDEX(명단!$B$5:$B$404,MATCH($B643,명단!$A$5:$A$404,0))="","(이름 미입력)",INDEX(명단!$B$5:$B$404,MATCH($B643,명단!$A$5:$A$404,0))),"번호 없음"))</f>
        <v/>
      </c>
      <c r="I643" s="25" t="str">
        <f aca="false">IF($B643="","",IF(COUNTIF($B$5:$B$1004,$B643)&gt;1,"중복 입력",""))</f>
        <v/>
      </c>
    </row>
    <row r="644" customFormat="false" ht="15" hidden="false" customHeight="false" outlineLevel="0" collapsed="false">
      <c r="A644" s="23"/>
      <c r="B644" s="24"/>
      <c r="C644" s="24"/>
      <c r="D644" s="24"/>
      <c r="E644" s="24"/>
      <c r="F644" s="24"/>
      <c r="G644" s="24"/>
      <c r="H644" s="25" t="str">
        <f aca="false">IF($B644="","",IFERROR(IF(INDEX(명단!$B$5:$B$404,MATCH($B644,명단!$A$5:$A$404,0))="","(이름 미입력)",INDEX(명단!$B$5:$B$404,MATCH($B644,명단!$A$5:$A$404,0))),"번호 없음"))</f>
        <v/>
      </c>
      <c r="I644" s="25" t="str">
        <f aca="false">IF($B644="","",IF(COUNTIF($B$5:$B$1004,$B644)&gt;1,"중복 입력",""))</f>
        <v/>
      </c>
    </row>
    <row r="645" customFormat="false" ht="15" hidden="false" customHeight="false" outlineLevel="0" collapsed="false">
      <c r="A645" s="23"/>
      <c r="B645" s="24"/>
      <c r="C645" s="24"/>
      <c r="D645" s="24"/>
      <c r="E645" s="24"/>
      <c r="F645" s="24"/>
      <c r="G645" s="24"/>
      <c r="H645" s="25" t="str">
        <f aca="false">IF($B645="","",IFERROR(IF(INDEX(명단!$B$5:$B$404,MATCH($B645,명단!$A$5:$A$404,0))="","(이름 미입력)",INDEX(명단!$B$5:$B$404,MATCH($B645,명단!$A$5:$A$404,0))),"번호 없음"))</f>
        <v/>
      </c>
      <c r="I645" s="25" t="str">
        <f aca="false">IF($B645="","",IF(COUNTIF($B$5:$B$1004,$B645)&gt;1,"중복 입력",""))</f>
        <v/>
      </c>
    </row>
    <row r="646" customFormat="false" ht="15" hidden="false" customHeight="false" outlineLevel="0" collapsed="false">
      <c r="A646" s="23"/>
      <c r="B646" s="24"/>
      <c r="C646" s="24"/>
      <c r="D646" s="24"/>
      <c r="E646" s="24"/>
      <c r="F646" s="24"/>
      <c r="G646" s="24"/>
      <c r="H646" s="25" t="str">
        <f aca="false">IF($B646="","",IFERROR(IF(INDEX(명단!$B$5:$B$404,MATCH($B646,명단!$A$5:$A$404,0))="","(이름 미입력)",INDEX(명단!$B$5:$B$404,MATCH($B646,명단!$A$5:$A$404,0))),"번호 없음"))</f>
        <v/>
      </c>
      <c r="I646" s="25" t="str">
        <f aca="false">IF($B646="","",IF(COUNTIF($B$5:$B$1004,$B646)&gt;1,"중복 입력",""))</f>
        <v/>
      </c>
    </row>
    <row r="647" customFormat="false" ht="15" hidden="false" customHeight="false" outlineLevel="0" collapsed="false">
      <c r="A647" s="23"/>
      <c r="B647" s="24"/>
      <c r="C647" s="24"/>
      <c r="D647" s="24"/>
      <c r="E647" s="24"/>
      <c r="F647" s="24"/>
      <c r="G647" s="24"/>
      <c r="H647" s="25" t="str">
        <f aca="false">IF($B647="","",IFERROR(IF(INDEX(명단!$B$5:$B$404,MATCH($B647,명단!$A$5:$A$404,0))="","(이름 미입력)",INDEX(명단!$B$5:$B$404,MATCH($B647,명단!$A$5:$A$404,0))),"번호 없음"))</f>
        <v/>
      </c>
      <c r="I647" s="25" t="str">
        <f aca="false">IF($B647="","",IF(COUNTIF($B$5:$B$1004,$B647)&gt;1,"중복 입력",""))</f>
        <v/>
      </c>
    </row>
    <row r="648" customFormat="false" ht="15" hidden="false" customHeight="false" outlineLevel="0" collapsed="false">
      <c r="A648" s="23"/>
      <c r="B648" s="24"/>
      <c r="C648" s="24"/>
      <c r="D648" s="24"/>
      <c r="E648" s="24"/>
      <c r="F648" s="24"/>
      <c r="G648" s="24"/>
      <c r="H648" s="25" t="str">
        <f aca="false">IF($B648="","",IFERROR(IF(INDEX(명단!$B$5:$B$404,MATCH($B648,명단!$A$5:$A$404,0))="","(이름 미입력)",INDEX(명단!$B$5:$B$404,MATCH($B648,명단!$A$5:$A$404,0))),"번호 없음"))</f>
        <v/>
      </c>
      <c r="I648" s="25" t="str">
        <f aca="false">IF($B648="","",IF(COUNTIF($B$5:$B$1004,$B648)&gt;1,"중복 입력",""))</f>
        <v/>
      </c>
    </row>
    <row r="649" customFormat="false" ht="15" hidden="false" customHeight="false" outlineLevel="0" collapsed="false">
      <c r="A649" s="23"/>
      <c r="B649" s="24"/>
      <c r="C649" s="24"/>
      <c r="D649" s="24"/>
      <c r="E649" s="24"/>
      <c r="F649" s="24"/>
      <c r="G649" s="24"/>
      <c r="H649" s="25" t="str">
        <f aca="false">IF($B649="","",IFERROR(IF(INDEX(명단!$B$5:$B$404,MATCH($B649,명단!$A$5:$A$404,0))="","(이름 미입력)",INDEX(명단!$B$5:$B$404,MATCH($B649,명단!$A$5:$A$404,0))),"번호 없음"))</f>
        <v/>
      </c>
      <c r="I649" s="25" t="str">
        <f aca="false">IF($B649="","",IF(COUNTIF($B$5:$B$1004,$B649)&gt;1,"중복 입력",""))</f>
        <v/>
      </c>
    </row>
    <row r="650" customFormat="false" ht="15" hidden="false" customHeight="false" outlineLevel="0" collapsed="false">
      <c r="A650" s="23"/>
      <c r="B650" s="24"/>
      <c r="C650" s="24"/>
      <c r="D650" s="24"/>
      <c r="E650" s="24"/>
      <c r="F650" s="24"/>
      <c r="G650" s="24"/>
      <c r="H650" s="25" t="str">
        <f aca="false">IF($B650="","",IFERROR(IF(INDEX(명단!$B$5:$B$404,MATCH($B650,명단!$A$5:$A$404,0))="","(이름 미입력)",INDEX(명단!$B$5:$B$404,MATCH($B650,명단!$A$5:$A$404,0))),"번호 없음"))</f>
        <v/>
      </c>
      <c r="I650" s="25" t="str">
        <f aca="false">IF($B650="","",IF(COUNTIF($B$5:$B$1004,$B650)&gt;1,"중복 입력",""))</f>
        <v/>
      </c>
    </row>
    <row r="651" customFormat="false" ht="15" hidden="false" customHeight="false" outlineLevel="0" collapsed="false">
      <c r="A651" s="23"/>
      <c r="B651" s="24"/>
      <c r="C651" s="24"/>
      <c r="D651" s="24"/>
      <c r="E651" s="24"/>
      <c r="F651" s="24"/>
      <c r="G651" s="24"/>
      <c r="H651" s="25" t="str">
        <f aca="false">IF($B651="","",IFERROR(IF(INDEX(명단!$B$5:$B$404,MATCH($B651,명단!$A$5:$A$404,0))="","(이름 미입력)",INDEX(명단!$B$5:$B$404,MATCH($B651,명단!$A$5:$A$404,0))),"번호 없음"))</f>
        <v/>
      </c>
      <c r="I651" s="25" t="str">
        <f aca="false">IF($B651="","",IF(COUNTIF($B$5:$B$1004,$B651)&gt;1,"중복 입력",""))</f>
        <v/>
      </c>
    </row>
    <row r="652" customFormat="false" ht="15" hidden="false" customHeight="false" outlineLevel="0" collapsed="false">
      <c r="A652" s="23"/>
      <c r="B652" s="24"/>
      <c r="C652" s="24"/>
      <c r="D652" s="24"/>
      <c r="E652" s="24"/>
      <c r="F652" s="24"/>
      <c r="G652" s="24"/>
      <c r="H652" s="25" t="str">
        <f aca="false">IF($B652="","",IFERROR(IF(INDEX(명단!$B$5:$B$404,MATCH($B652,명단!$A$5:$A$404,0))="","(이름 미입력)",INDEX(명단!$B$5:$B$404,MATCH($B652,명단!$A$5:$A$404,0))),"번호 없음"))</f>
        <v/>
      </c>
      <c r="I652" s="25" t="str">
        <f aca="false">IF($B652="","",IF(COUNTIF($B$5:$B$1004,$B652)&gt;1,"중복 입력",""))</f>
        <v/>
      </c>
    </row>
    <row r="653" customFormat="false" ht="15" hidden="false" customHeight="false" outlineLevel="0" collapsed="false">
      <c r="A653" s="23"/>
      <c r="B653" s="24"/>
      <c r="C653" s="24"/>
      <c r="D653" s="24"/>
      <c r="E653" s="24"/>
      <c r="F653" s="24"/>
      <c r="G653" s="24"/>
      <c r="H653" s="25" t="str">
        <f aca="false">IF($B653="","",IFERROR(IF(INDEX(명단!$B$5:$B$404,MATCH($B653,명단!$A$5:$A$404,0))="","(이름 미입력)",INDEX(명단!$B$5:$B$404,MATCH($B653,명단!$A$5:$A$404,0))),"번호 없음"))</f>
        <v/>
      </c>
      <c r="I653" s="25" t="str">
        <f aca="false">IF($B653="","",IF(COUNTIF($B$5:$B$1004,$B653)&gt;1,"중복 입력",""))</f>
        <v/>
      </c>
    </row>
    <row r="654" customFormat="false" ht="15" hidden="false" customHeight="false" outlineLevel="0" collapsed="false">
      <c r="A654" s="23"/>
      <c r="B654" s="24"/>
      <c r="C654" s="24"/>
      <c r="D654" s="24"/>
      <c r="E654" s="24"/>
      <c r="F654" s="24"/>
      <c r="G654" s="24"/>
      <c r="H654" s="25" t="str">
        <f aca="false">IF($B654="","",IFERROR(IF(INDEX(명단!$B$5:$B$404,MATCH($B654,명단!$A$5:$A$404,0))="","(이름 미입력)",INDEX(명단!$B$5:$B$404,MATCH($B654,명단!$A$5:$A$404,0))),"번호 없음"))</f>
        <v/>
      </c>
      <c r="I654" s="25" t="str">
        <f aca="false">IF($B654="","",IF(COUNTIF($B$5:$B$1004,$B654)&gt;1,"중복 입력",""))</f>
        <v/>
      </c>
    </row>
    <row r="655" customFormat="false" ht="15" hidden="false" customHeight="false" outlineLevel="0" collapsed="false">
      <c r="A655" s="23"/>
      <c r="B655" s="24"/>
      <c r="C655" s="24"/>
      <c r="D655" s="24"/>
      <c r="E655" s="24"/>
      <c r="F655" s="24"/>
      <c r="G655" s="24"/>
      <c r="H655" s="25" t="str">
        <f aca="false">IF($B655="","",IFERROR(IF(INDEX(명단!$B$5:$B$404,MATCH($B655,명단!$A$5:$A$404,0))="","(이름 미입력)",INDEX(명단!$B$5:$B$404,MATCH($B655,명단!$A$5:$A$404,0))),"번호 없음"))</f>
        <v/>
      </c>
      <c r="I655" s="25" t="str">
        <f aca="false">IF($B655="","",IF(COUNTIF($B$5:$B$1004,$B655)&gt;1,"중복 입력",""))</f>
        <v/>
      </c>
    </row>
    <row r="656" customFormat="false" ht="15" hidden="false" customHeight="false" outlineLevel="0" collapsed="false">
      <c r="A656" s="23"/>
      <c r="B656" s="24"/>
      <c r="C656" s="24"/>
      <c r="D656" s="24"/>
      <c r="E656" s="24"/>
      <c r="F656" s="24"/>
      <c r="G656" s="24"/>
      <c r="H656" s="25" t="str">
        <f aca="false">IF($B656="","",IFERROR(IF(INDEX(명단!$B$5:$B$404,MATCH($B656,명단!$A$5:$A$404,0))="","(이름 미입력)",INDEX(명단!$B$5:$B$404,MATCH($B656,명단!$A$5:$A$404,0))),"번호 없음"))</f>
        <v/>
      </c>
      <c r="I656" s="25" t="str">
        <f aca="false">IF($B656="","",IF(COUNTIF($B$5:$B$1004,$B656)&gt;1,"중복 입력",""))</f>
        <v/>
      </c>
    </row>
    <row r="657" customFormat="false" ht="15" hidden="false" customHeight="false" outlineLevel="0" collapsed="false">
      <c r="A657" s="23"/>
      <c r="B657" s="24"/>
      <c r="C657" s="24"/>
      <c r="D657" s="24"/>
      <c r="E657" s="24"/>
      <c r="F657" s="24"/>
      <c r="G657" s="24"/>
      <c r="H657" s="25" t="str">
        <f aca="false">IF($B657="","",IFERROR(IF(INDEX(명단!$B$5:$B$404,MATCH($B657,명단!$A$5:$A$404,0))="","(이름 미입력)",INDEX(명단!$B$5:$B$404,MATCH($B657,명단!$A$5:$A$404,0))),"번호 없음"))</f>
        <v/>
      </c>
      <c r="I657" s="25" t="str">
        <f aca="false">IF($B657="","",IF(COUNTIF($B$5:$B$1004,$B657)&gt;1,"중복 입력",""))</f>
        <v/>
      </c>
    </row>
    <row r="658" customFormat="false" ht="15" hidden="false" customHeight="false" outlineLevel="0" collapsed="false">
      <c r="A658" s="23"/>
      <c r="B658" s="24"/>
      <c r="C658" s="24"/>
      <c r="D658" s="24"/>
      <c r="E658" s="24"/>
      <c r="F658" s="24"/>
      <c r="G658" s="24"/>
      <c r="H658" s="25" t="str">
        <f aca="false">IF($B658="","",IFERROR(IF(INDEX(명단!$B$5:$B$404,MATCH($B658,명단!$A$5:$A$404,0))="","(이름 미입력)",INDEX(명단!$B$5:$B$404,MATCH($B658,명단!$A$5:$A$404,0))),"번호 없음"))</f>
        <v/>
      </c>
      <c r="I658" s="25" t="str">
        <f aca="false">IF($B658="","",IF(COUNTIF($B$5:$B$1004,$B658)&gt;1,"중복 입력",""))</f>
        <v/>
      </c>
    </row>
    <row r="659" customFormat="false" ht="15" hidden="false" customHeight="false" outlineLevel="0" collapsed="false">
      <c r="A659" s="23"/>
      <c r="B659" s="24"/>
      <c r="C659" s="24"/>
      <c r="D659" s="24"/>
      <c r="E659" s="24"/>
      <c r="F659" s="24"/>
      <c r="G659" s="24"/>
      <c r="H659" s="25" t="str">
        <f aca="false">IF($B659="","",IFERROR(IF(INDEX(명단!$B$5:$B$404,MATCH($B659,명단!$A$5:$A$404,0))="","(이름 미입력)",INDEX(명단!$B$5:$B$404,MATCH($B659,명단!$A$5:$A$404,0))),"번호 없음"))</f>
        <v/>
      </c>
      <c r="I659" s="25" t="str">
        <f aca="false">IF($B659="","",IF(COUNTIF($B$5:$B$1004,$B659)&gt;1,"중복 입력",""))</f>
        <v/>
      </c>
    </row>
    <row r="660" customFormat="false" ht="15" hidden="false" customHeight="false" outlineLevel="0" collapsed="false">
      <c r="A660" s="23"/>
      <c r="B660" s="24"/>
      <c r="C660" s="24"/>
      <c r="D660" s="24"/>
      <c r="E660" s="24"/>
      <c r="F660" s="24"/>
      <c r="G660" s="24"/>
      <c r="H660" s="25" t="str">
        <f aca="false">IF($B660="","",IFERROR(IF(INDEX(명단!$B$5:$B$404,MATCH($B660,명단!$A$5:$A$404,0))="","(이름 미입력)",INDEX(명단!$B$5:$B$404,MATCH($B660,명단!$A$5:$A$404,0))),"번호 없음"))</f>
        <v/>
      </c>
      <c r="I660" s="25" t="str">
        <f aca="false">IF($B660="","",IF(COUNTIF($B$5:$B$1004,$B660)&gt;1,"중복 입력",""))</f>
        <v/>
      </c>
    </row>
    <row r="661" customFormat="false" ht="15" hidden="false" customHeight="false" outlineLevel="0" collapsed="false">
      <c r="A661" s="23"/>
      <c r="B661" s="24"/>
      <c r="C661" s="24"/>
      <c r="D661" s="24"/>
      <c r="E661" s="24"/>
      <c r="F661" s="24"/>
      <c r="G661" s="24"/>
      <c r="H661" s="25" t="str">
        <f aca="false">IF($B661="","",IFERROR(IF(INDEX(명단!$B$5:$B$404,MATCH($B661,명단!$A$5:$A$404,0))="","(이름 미입력)",INDEX(명단!$B$5:$B$404,MATCH($B661,명단!$A$5:$A$404,0))),"번호 없음"))</f>
        <v/>
      </c>
      <c r="I661" s="25" t="str">
        <f aca="false">IF($B661="","",IF(COUNTIF($B$5:$B$1004,$B661)&gt;1,"중복 입력",""))</f>
        <v/>
      </c>
    </row>
    <row r="662" customFormat="false" ht="15" hidden="false" customHeight="false" outlineLevel="0" collapsed="false">
      <c r="A662" s="23"/>
      <c r="B662" s="24"/>
      <c r="C662" s="24"/>
      <c r="D662" s="24"/>
      <c r="E662" s="24"/>
      <c r="F662" s="24"/>
      <c r="G662" s="24"/>
      <c r="H662" s="25" t="str">
        <f aca="false">IF($B662="","",IFERROR(IF(INDEX(명단!$B$5:$B$404,MATCH($B662,명단!$A$5:$A$404,0))="","(이름 미입력)",INDEX(명단!$B$5:$B$404,MATCH($B662,명단!$A$5:$A$404,0))),"번호 없음"))</f>
        <v/>
      </c>
      <c r="I662" s="25" t="str">
        <f aca="false">IF($B662="","",IF(COUNTIF($B$5:$B$1004,$B662)&gt;1,"중복 입력",""))</f>
        <v/>
      </c>
    </row>
    <row r="663" customFormat="false" ht="15" hidden="false" customHeight="false" outlineLevel="0" collapsed="false">
      <c r="A663" s="23"/>
      <c r="B663" s="24"/>
      <c r="C663" s="24"/>
      <c r="D663" s="24"/>
      <c r="E663" s="24"/>
      <c r="F663" s="24"/>
      <c r="G663" s="24"/>
      <c r="H663" s="25" t="str">
        <f aca="false">IF($B663="","",IFERROR(IF(INDEX(명단!$B$5:$B$404,MATCH($B663,명단!$A$5:$A$404,0))="","(이름 미입력)",INDEX(명단!$B$5:$B$404,MATCH($B663,명단!$A$5:$A$404,0))),"번호 없음"))</f>
        <v/>
      </c>
      <c r="I663" s="25" t="str">
        <f aca="false">IF($B663="","",IF(COUNTIF($B$5:$B$1004,$B663)&gt;1,"중복 입력",""))</f>
        <v/>
      </c>
    </row>
    <row r="664" customFormat="false" ht="15" hidden="false" customHeight="false" outlineLevel="0" collapsed="false">
      <c r="A664" s="23"/>
      <c r="B664" s="24"/>
      <c r="C664" s="24"/>
      <c r="D664" s="24"/>
      <c r="E664" s="24"/>
      <c r="F664" s="24"/>
      <c r="G664" s="24"/>
      <c r="H664" s="25" t="str">
        <f aca="false">IF($B664="","",IFERROR(IF(INDEX(명단!$B$5:$B$404,MATCH($B664,명단!$A$5:$A$404,0))="","(이름 미입력)",INDEX(명단!$B$5:$B$404,MATCH($B664,명단!$A$5:$A$404,0))),"번호 없음"))</f>
        <v/>
      </c>
      <c r="I664" s="25" t="str">
        <f aca="false">IF($B664="","",IF(COUNTIF($B$5:$B$1004,$B664)&gt;1,"중복 입력",""))</f>
        <v/>
      </c>
    </row>
    <row r="665" customFormat="false" ht="15" hidden="false" customHeight="false" outlineLevel="0" collapsed="false">
      <c r="A665" s="23"/>
      <c r="B665" s="24"/>
      <c r="C665" s="24"/>
      <c r="D665" s="24"/>
      <c r="E665" s="24"/>
      <c r="F665" s="24"/>
      <c r="G665" s="24"/>
      <c r="H665" s="25" t="str">
        <f aca="false">IF($B665="","",IFERROR(IF(INDEX(명단!$B$5:$B$404,MATCH($B665,명단!$A$5:$A$404,0))="","(이름 미입력)",INDEX(명단!$B$5:$B$404,MATCH($B665,명단!$A$5:$A$404,0))),"번호 없음"))</f>
        <v/>
      </c>
      <c r="I665" s="25" t="str">
        <f aca="false">IF($B665="","",IF(COUNTIF($B$5:$B$1004,$B665)&gt;1,"중복 입력",""))</f>
        <v/>
      </c>
    </row>
    <row r="666" customFormat="false" ht="15" hidden="false" customHeight="false" outlineLevel="0" collapsed="false">
      <c r="A666" s="23"/>
      <c r="B666" s="24"/>
      <c r="C666" s="24"/>
      <c r="D666" s="24"/>
      <c r="E666" s="24"/>
      <c r="F666" s="24"/>
      <c r="G666" s="24"/>
      <c r="H666" s="25" t="str">
        <f aca="false">IF($B666="","",IFERROR(IF(INDEX(명단!$B$5:$B$404,MATCH($B666,명단!$A$5:$A$404,0))="","(이름 미입력)",INDEX(명단!$B$5:$B$404,MATCH($B666,명단!$A$5:$A$404,0))),"번호 없음"))</f>
        <v/>
      </c>
      <c r="I666" s="25" t="str">
        <f aca="false">IF($B666="","",IF(COUNTIF($B$5:$B$1004,$B666)&gt;1,"중복 입력",""))</f>
        <v/>
      </c>
    </row>
    <row r="667" customFormat="false" ht="15" hidden="false" customHeight="false" outlineLevel="0" collapsed="false">
      <c r="A667" s="23"/>
      <c r="B667" s="24"/>
      <c r="C667" s="24"/>
      <c r="D667" s="24"/>
      <c r="E667" s="24"/>
      <c r="F667" s="24"/>
      <c r="G667" s="24"/>
      <c r="H667" s="25" t="str">
        <f aca="false">IF($B667="","",IFERROR(IF(INDEX(명단!$B$5:$B$404,MATCH($B667,명단!$A$5:$A$404,0))="","(이름 미입력)",INDEX(명단!$B$5:$B$404,MATCH($B667,명단!$A$5:$A$404,0))),"번호 없음"))</f>
        <v/>
      </c>
      <c r="I667" s="25" t="str">
        <f aca="false">IF($B667="","",IF(COUNTIF($B$5:$B$1004,$B667)&gt;1,"중복 입력",""))</f>
        <v/>
      </c>
    </row>
    <row r="668" customFormat="false" ht="15" hidden="false" customHeight="false" outlineLevel="0" collapsed="false">
      <c r="A668" s="23"/>
      <c r="B668" s="24"/>
      <c r="C668" s="24"/>
      <c r="D668" s="24"/>
      <c r="E668" s="24"/>
      <c r="F668" s="24"/>
      <c r="G668" s="24"/>
      <c r="H668" s="25" t="str">
        <f aca="false">IF($B668="","",IFERROR(IF(INDEX(명단!$B$5:$B$404,MATCH($B668,명단!$A$5:$A$404,0))="","(이름 미입력)",INDEX(명단!$B$5:$B$404,MATCH($B668,명단!$A$5:$A$404,0))),"번호 없음"))</f>
        <v/>
      </c>
      <c r="I668" s="25" t="str">
        <f aca="false">IF($B668="","",IF(COUNTIF($B$5:$B$1004,$B668)&gt;1,"중복 입력",""))</f>
        <v/>
      </c>
    </row>
    <row r="669" customFormat="false" ht="15" hidden="false" customHeight="false" outlineLevel="0" collapsed="false">
      <c r="A669" s="23"/>
      <c r="B669" s="24"/>
      <c r="C669" s="24"/>
      <c r="D669" s="24"/>
      <c r="E669" s="24"/>
      <c r="F669" s="24"/>
      <c r="G669" s="24"/>
      <c r="H669" s="25" t="str">
        <f aca="false">IF($B669="","",IFERROR(IF(INDEX(명단!$B$5:$B$404,MATCH($B669,명단!$A$5:$A$404,0))="","(이름 미입력)",INDEX(명단!$B$5:$B$404,MATCH($B669,명단!$A$5:$A$404,0))),"번호 없음"))</f>
        <v/>
      </c>
      <c r="I669" s="25" t="str">
        <f aca="false">IF($B669="","",IF(COUNTIF($B$5:$B$1004,$B669)&gt;1,"중복 입력",""))</f>
        <v/>
      </c>
    </row>
    <row r="670" customFormat="false" ht="15" hidden="false" customHeight="false" outlineLevel="0" collapsed="false">
      <c r="A670" s="23"/>
      <c r="B670" s="24"/>
      <c r="C670" s="24"/>
      <c r="D670" s="24"/>
      <c r="E670" s="24"/>
      <c r="F670" s="24"/>
      <c r="G670" s="24"/>
      <c r="H670" s="25" t="str">
        <f aca="false">IF($B670="","",IFERROR(IF(INDEX(명단!$B$5:$B$404,MATCH($B670,명단!$A$5:$A$404,0))="","(이름 미입력)",INDEX(명단!$B$5:$B$404,MATCH($B670,명단!$A$5:$A$404,0))),"번호 없음"))</f>
        <v/>
      </c>
      <c r="I670" s="25" t="str">
        <f aca="false">IF($B670="","",IF(COUNTIF($B$5:$B$1004,$B670)&gt;1,"중복 입력",""))</f>
        <v/>
      </c>
    </row>
    <row r="671" customFormat="false" ht="15" hidden="false" customHeight="false" outlineLevel="0" collapsed="false">
      <c r="A671" s="23"/>
      <c r="B671" s="24"/>
      <c r="C671" s="24"/>
      <c r="D671" s="24"/>
      <c r="E671" s="24"/>
      <c r="F671" s="24"/>
      <c r="G671" s="24"/>
      <c r="H671" s="25" t="str">
        <f aca="false">IF($B671="","",IFERROR(IF(INDEX(명단!$B$5:$B$404,MATCH($B671,명단!$A$5:$A$404,0))="","(이름 미입력)",INDEX(명단!$B$5:$B$404,MATCH($B671,명단!$A$5:$A$404,0))),"번호 없음"))</f>
        <v/>
      </c>
      <c r="I671" s="25" t="str">
        <f aca="false">IF($B671="","",IF(COUNTIF($B$5:$B$1004,$B671)&gt;1,"중복 입력",""))</f>
        <v/>
      </c>
    </row>
    <row r="672" customFormat="false" ht="15" hidden="false" customHeight="false" outlineLevel="0" collapsed="false">
      <c r="A672" s="23"/>
      <c r="B672" s="24"/>
      <c r="C672" s="24"/>
      <c r="D672" s="24"/>
      <c r="E672" s="24"/>
      <c r="F672" s="24"/>
      <c r="G672" s="24"/>
      <c r="H672" s="25" t="str">
        <f aca="false">IF($B672="","",IFERROR(IF(INDEX(명단!$B$5:$B$404,MATCH($B672,명단!$A$5:$A$404,0))="","(이름 미입력)",INDEX(명단!$B$5:$B$404,MATCH($B672,명단!$A$5:$A$404,0))),"번호 없음"))</f>
        <v/>
      </c>
      <c r="I672" s="25" t="str">
        <f aca="false">IF($B672="","",IF(COUNTIF($B$5:$B$1004,$B672)&gt;1,"중복 입력",""))</f>
        <v/>
      </c>
    </row>
    <row r="673" customFormat="false" ht="15" hidden="false" customHeight="false" outlineLevel="0" collapsed="false">
      <c r="A673" s="23"/>
      <c r="B673" s="24"/>
      <c r="C673" s="24"/>
      <c r="D673" s="24"/>
      <c r="E673" s="24"/>
      <c r="F673" s="24"/>
      <c r="G673" s="24"/>
      <c r="H673" s="25" t="str">
        <f aca="false">IF($B673="","",IFERROR(IF(INDEX(명단!$B$5:$B$404,MATCH($B673,명단!$A$5:$A$404,0))="","(이름 미입력)",INDEX(명단!$B$5:$B$404,MATCH($B673,명단!$A$5:$A$404,0))),"번호 없음"))</f>
        <v/>
      </c>
      <c r="I673" s="25" t="str">
        <f aca="false">IF($B673="","",IF(COUNTIF($B$5:$B$1004,$B673)&gt;1,"중복 입력",""))</f>
        <v/>
      </c>
    </row>
    <row r="674" customFormat="false" ht="15" hidden="false" customHeight="false" outlineLevel="0" collapsed="false">
      <c r="A674" s="23"/>
      <c r="B674" s="24"/>
      <c r="C674" s="24"/>
      <c r="D674" s="24"/>
      <c r="E674" s="24"/>
      <c r="F674" s="24"/>
      <c r="G674" s="24"/>
      <c r="H674" s="25" t="str">
        <f aca="false">IF($B674="","",IFERROR(IF(INDEX(명단!$B$5:$B$404,MATCH($B674,명단!$A$5:$A$404,0))="","(이름 미입력)",INDEX(명단!$B$5:$B$404,MATCH($B674,명단!$A$5:$A$404,0))),"번호 없음"))</f>
        <v/>
      </c>
      <c r="I674" s="25" t="str">
        <f aca="false">IF($B674="","",IF(COUNTIF($B$5:$B$1004,$B674)&gt;1,"중복 입력",""))</f>
        <v/>
      </c>
    </row>
    <row r="675" customFormat="false" ht="15" hidden="false" customHeight="false" outlineLevel="0" collapsed="false">
      <c r="A675" s="23"/>
      <c r="B675" s="24"/>
      <c r="C675" s="24"/>
      <c r="D675" s="24"/>
      <c r="E675" s="24"/>
      <c r="F675" s="24"/>
      <c r="G675" s="24"/>
      <c r="H675" s="25" t="str">
        <f aca="false">IF($B675="","",IFERROR(IF(INDEX(명단!$B$5:$B$404,MATCH($B675,명단!$A$5:$A$404,0))="","(이름 미입력)",INDEX(명단!$B$5:$B$404,MATCH($B675,명단!$A$5:$A$404,0))),"번호 없음"))</f>
        <v/>
      </c>
      <c r="I675" s="25" t="str">
        <f aca="false">IF($B675="","",IF(COUNTIF($B$5:$B$1004,$B675)&gt;1,"중복 입력",""))</f>
        <v/>
      </c>
    </row>
    <row r="676" customFormat="false" ht="15" hidden="false" customHeight="false" outlineLevel="0" collapsed="false">
      <c r="A676" s="23"/>
      <c r="B676" s="24"/>
      <c r="C676" s="24"/>
      <c r="D676" s="24"/>
      <c r="E676" s="24"/>
      <c r="F676" s="24"/>
      <c r="G676" s="24"/>
      <c r="H676" s="25" t="str">
        <f aca="false">IF($B676="","",IFERROR(IF(INDEX(명단!$B$5:$B$404,MATCH($B676,명단!$A$5:$A$404,0))="","(이름 미입력)",INDEX(명단!$B$5:$B$404,MATCH($B676,명단!$A$5:$A$404,0))),"번호 없음"))</f>
        <v/>
      </c>
      <c r="I676" s="25" t="str">
        <f aca="false">IF($B676="","",IF(COUNTIF($B$5:$B$1004,$B676)&gt;1,"중복 입력",""))</f>
        <v/>
      </c>
    </row>
    <row r="677" customFormat="false" ht="15" hidden="false" customHeight="false" outlineLevel="0" collapsed="false">
      <c r="A677" s="23"/>
      <c r="B677" s="24"/>
      <c r="C677" s="24"/>
      <c r="D677" s="24"/>
      <c r="E677" s="24"/>
      <c r="F677" s="24"/>
      <c r="G677" s="24"/>
      <c r="H677" s="25" t="str">
        <f aca="false">IF($B677="","",IFERROR(IF(INDEX(명단!$B$5:$B$404,MATCH($B677,명단!$A$5:$A$404,0))="","(이름 미입력)",INDEX(명단!$B$5:$B$404,MATCH($B677,명단!$A$5:$A$404,0))),"번호 없음"))</f>
        <v/>
      </c>
      <c r="I677" s="25" t="str">
        <f aca="false">IF($B677="","",IF(COUNTIF($B$5:$B$1004,$B677)&gt;1,"중복 입력",""))</f>
        <v/>
      </c>
    </row>
    <row r="678" customFormat="false" ht="15" hidden="false" customHeight="false" outlineLevel="0" collapsed="false">
      <c r="A678" s="23"/>
      <c r="B678" s="24"/>
      <c r="C678" s="24"/>
      <c r="D678" s="24"/>
      <c r="E678" s="24"/>
      <c r="F678" s="24"/>
      <c r="G678" s="24"/>
      <c r="H678" s="25" t="str">
        <f aca="false">IF($B678="","",IFERROR(IF(INDEX(명단!$B$5:$B$404,MATCH($B678,명단!$A$5:$A$404,0))="","(이름 미입력)",INDEX(명단!$B$5:$B$404,MATCH($B678,명단!$A$5:$A$404,0))),"번호 없음"))</f>
        <v/>
      </c>
      <c r="I678" s="25" t="str">
        <f aca="false">IF($B678="","",IF(COUNTIF($B$5:$B$1004,$B678)&gt;1,"중복 입력",""))</f>
        <v/>
      </c>
    </row>
    <row r="679" customFormat="false" ht="15" hidden="false" customHeight="false" outlineLevel="0" collapsed="false">
      <c r="A679" s="23"/>
      <c r="B679" s="24"/>
      <c r="C679" s="24"/>
      <c r="D679" s="24"/>
      <c r="E679" s="24"/>
      <c r="F679" s="24"/>
      <c r="G679" s="24"/>
      <c r="H679" s="25" t="str">
        <f aca="false">IF($B679="","",IFERROR(IF(INDEX(명단!$B$5:$B$404,MATCH($B679,명단!$A$5:$A$404,0))="","(이름 미입력)",INDEX(명단!$B$5:$B$404,MATCH($B679,명단!$A$5:$A$404,0))),"번호 없음"))</f>
        <v/>
      </c>
      <c r="I679" s="25" t="str">
        <f aca="false">IF($B679="","",IF(COUNTIF($B$5:$B$1004,$B679)&gt;1,"중복 입력",""))</f>
        <v/>
      </c>
    </row>
    <row r="680" customFormat="false" ht="15" hidden="false" customHeight="false" outlineLevel="0" collapsed="false">
      <c r="A680" s="23"/>
      <c r="B680" s="24"/>
      <c r="C680" s="24"/>
      <c r="D680" s="24"/>
      <c r="E680" s="24"/>
      <c r="F680" s="24"/>
      <c r="G680" s="24"/>
      <c r="H680" s="25" t="str">
        <f aca="false">IF($B680="","",IFERROR(IF(INDEX(명단!$B$5:$B$404,MATCH($B680,명단!$A$5:$A$404,0))="","(이름 미입력)",INDEX(명단!$B$5:$B$404,MATCH($B680,명단!$A$5:$A$404,0))),"번호 없음"))</f>
        <v/>
      </c>
      <c r="I680" s="25" t="str">
        <f aca="false">IF($B680="","",IF(COUNTIF($B$5:$B$1004,$B680)&gt;1,"중복 입력",""))</f>
        <v/>
      </c>
    </row>
    <row r="681" customFormat="false" ht="15" hidden="false" customHeight="false" outlineLevel="0" collapsed="false">
      <c r="A681" s="23"/>
      <c r="B681" s="24"/>
      <c r="C681" s="24"/>
      <c r="D681" s="24"/>
      <c r="E681" s="24"/>
      <c r="F681" s="24"/>
      <c r="G681" s="24"/>
      <c r="H681" s="25" t="str">
        <f aca="false">IF($B681="","",IFERROR(IF(INDEX(명단!$B$5:$B$404,MATCH($B681,명단!$A$5:$A$404,0))="","(이름 미입력)",INDEX(명단!$B$5:$B$404,MATCH($B681,명단!$A$5:$A$404,0))),"번호 없음"))</f>
        <v/>
      </c>
      <c r="I681" s="25" t="str">
        <f aca="false">IF($B681="","",IF(COUNTIF($B$5:$B$1004,$B681)&gt;1,"중복 입력",""))</f>
        <v/>
      </c>
    </row>
    <row r="682" customFormat="false" ht="15" hidden="false" customHeight="false" outlineLevel="0" collapsed="false">
      <c r="A682" s="23"/>
      <c r="B682" s="24"/>
      <c r="C682" s="24"/>
      <c r="D682" s="24"/>
      <c r="E682" s="24"/>
      <c r="F682" s="24"/>
      <c r="G682" s="24"/>
      <c r="H682" s="25" t="str">
        <f aca="false">IF($B682="","",IFERROR(IF(INDEX(명단!$B$5:$B$404,MATCH($B682,명단!$A$5:$A$404,0))="","(이름 미입력)",INDEX(명단!$B$5:$B$404,MATCH($B682,명단!$A$5:$A$404,0))),"번호 없음"))</f>
        <v/>
      </c>
      <c r="I682" s="25" t="str">
        <f aca="false">IF($B682="","",IF(COUNTIF($B$5:$B$1004,$B682)&gt;1,"중복 입력",""))</f>
        <v/>
      </c>
    </row>
    <row r="683" customFormat="false" ht="15" hidden="false" customHeight="false" outlineLevel="0" collapsed="false">
      <c r="A683" s="23"/>
      <c r="B683" s="24"/>
      <c r="C683" s="24"/>
      <c r="D683" s="24"/>
      <c r="E683" s="24"/>
      <c r="F683" s="24"/>
      <c r="G683" s="24"/>
      <c r="H683" s="25" t="str">
        <f aca="false">IF($B683="","",IFERROR(IF(INDEX(명단!$B$5:$B$404,MATCH($B683,명단!$A$5:$A$404,0))="","(이름 미입력)",INDEX(명단!$B$5:$B$404,MATCH($B683,명단!$A$5:$A$404,0))),"번호 없음"))</f>
        <v/>
      </c>
      <c r="I683" s="25" t="str">
        <f aca="false">IF($B683="","",IF(COUNTIF($B$5:$B$1004,$B683)&gt;1,"중복 입력",""))</f>
        <v/>
      </c>
    </row>
    <row r="684" customFormat="false" ht="15" hidden="false" customHeight="false" outlineLevel="0" collapsed="false">
      <c r="A684" s="23"/>
      <c r="B684" s="24"/>
      <c r="C684" s="24"/>
      <c r="D684" s="24"/>
      <c r="E684" s="24"/>
      <c r="F684" s="24"/>
      <c r="G684" s="24"/>
      <c r="H684" s="25" t="str">
        <f aca="false">IF($B684="","",IFERROR(IF(INDEX(명단!$B$5:$B$404,MATCH($B684,명단!$A$5:$A$404,0))="","(이름 미입력)",INDEX(명단!$B$5:$B$404,MATCH($B684,명단!$A$5:$A$404,0))),"번호 없음"))</f>
        <v/>
      </c>
      <c r="I684" s="25" t="str">
        <f aca="false">IF($B684="","",IF(COUNTIF($B$5:$B$1004,$B684)&gt;1,"중복 입력",""))</f>
        <v/>
      </c>
    </row>
    <row r="685" customFormat="false" ht="15" hidden="false" customHeight="false" outlineLevel="0" collapsed="false">
      <c r="A685" s="23"/>
      <c r="B685" s="24"/>
      <c r="C685" s="24"/>
      <c r="D685" s="24"/>
      <c r="E685" s="24"/>
      <c r="F685" s="24"/>
      <c r="G685" s="24"/>
      <c r="H685" s="25" t="str">
        <f aca="false">IF($B685="","",IFERROR(IF(INDEX(명단!$B$5:$B$404,MATCH($B685,명단!$A$5:$A$404,0))="","(이름 미입력)",INDEX(명단!$B$5:$B$404,MATCH($B685,명단!$A$5:$A$404,0))),"번호 없음"))</f>
        <v/>
      </c>
      <c r="I685" s="25" t="str">
        <f aca="false">IF($B685="","",IF(COUNTIF($B$5:$B$1004,$B685)&gt;1,"중복 입력",""))</f>
        <v/>
      </c>
    </row>
    <row r="686" customFormat="false" ht="15" hidden="false" customHeight="false" outlineLevel="0" collapsed="false">
      <c r="A686" s="23"/>
      <c r="B686" s="24"/>
      <c r="C686" s="24"/>
      <c r="D686" s="24"/>
      <c r="E686" s="24"/>
      <c r="F686" s="24"/>
      <c r="G686" s="24"/>
      <c r="H686" s="25" t="str">
        <f aca="false">IF($B686="","",IFERROR(IF(INDEX(명단!$B$5:$B$404,MATCH($B686,명단!$A$5:$A$404,0))="","(이름 미입력)",INDEX(명단!$B$5:$B$404,MATCH($B686,명단!$A$5:$A$404,0))),"번호 없음"))</f>
        <v/>
      </c>
      <c r="I686" s="25" t="str">
        <f aca="false">IF($B686="","",IF(COUNTIF($B$5:$B$1004,$B686)&gt;1,"중복 입력",""))</f>
        <v/>
      </c>
    </row>
    <row r="687" customFormat="false" ht="15" hidden="false" customHeight="false" outlineLevel="0" collapsed="false">
      <c r="A687" s="23"/>
      <c r="B687" s="24"/>
      <c r="C687" s="24"/>
      <c r="D687" s="24"/>
      <c r="E687" s="24"/>
      <c r="F687" s="24"/>
      <c r="G687" s="24"/>
      <c r="H687" s="25" t="str">
        <f aca="false">IF($B687="","",IFERROR(IF(INDEX(명단!$B$5:$B$404,MATCH($B687,명단!$A$5:$A$404,0))="","(이름 미입력)",INDEX(명단!$B$5:$B$404,MATCH($B687,명단!$A$5:$A$404,0))),"번호 없음"))</f>
        <v/>
      </c>
      <c r="I687" s="25" t="str">
        <f aca="false">IF($B687="","",IF(COUNTIF($B$5:$B$1004,$B687)&gt;1,"중복 입력",""))</f>
        <v/>
      </c>
    </row>
    <row r="688" customFormat="false" ht="15" hidden="false" customHeight="false" outlineLevel="0" collapsed="false">
      <c r="A688" s="23"/>
      <c r="B688" s="24"/>
      <c r="C688" s="24"/>
      <c r="D688" s="24"/>
      <c r="E688" s="24"/>
      <c r="F688" s="24"/>
      <c r="G688" s="24"/>
      <c r="H688" s="25" t="str">
        <f aca="false">IF($B688="","",IFERROR(IF(INDEX(명단!$B$5:$B$404,MATCH($B688,명단!$A$5:$A$404,0))="","(이름 미입력)",INDEX(명단!$B$5:$B$404,MATCH($B688,명단!$A$5:$A$404,0))),"번호 없음"))</f>
        <v/>
      </c>
      <c r="I688" s="25" t="str">
        <f aca="false">IF($B688="","",IF(COUNTIF($B$5:$B$1004,$B688)&gt;1,"중복 입력",""))</f>
        <v/>
      </c>
    </row>
    <row r="689" customFormat="false" ht="15" hidden="false" customHeight="false" outlineLevel="0" collapsed="false">
      <c r="A689" s="23"/>
      <c r="B689" s="24"/>
      <c r="C689" s="24"/>
      <c r="D689" s="24"/>
      <c r="E689" s="24"/>
      <c r="F689" s="24"/>
      <c r="G689" s="24"/>
      <c r="H689" s="25" t="str">
        <f aca="false">IF($B689="","",IFERROR(IF(INDEX(명단!$B$5:$B$404,MATCH($B689,명단!$A$5:$A$404,0))="","(이름 미입력)",INDEX(명단!$B$5:$B$404,MATCH($B689,명단!$A$5:$A$404,0))),"번호 없음"))</f>
        <v/>
      </c>
      <c r="I689" s="25" t="str">
        <f aca="false">IF($B689="","",IF(COUNTIF($B$5:$B$1004,$B689)&gt;1,"중복 입력",""))</f>
        <v/>
      </c>
    </row>
    <row r="690" customFormat="false" ht="15" hidden="false" customHeight="false" outlineLevel="0" collapsed="false">
      <c r="A690" s="23"/>
      <c r="B690" s="24"/>
      <c r="C690" s="24"/>
      <c r="D690" s="24"/>
      <c r="E690" s="24"/>
      <c r="F690" s="24"/>
      <c r="G690" s="24"/>
      <c r="H690" s="25" t="str">
        <f aca="false">IF($B690="","",IFERROR(IF(INDEX(명단!$B$5:$B$404,MATCH($B690,명단!$A$5:$A$404,0))="","(이름 미입력)",INDEX(명단!$B$5:$B$404,MATCH($B690,명단!$A$5:$A$404,0))),"번호 없음"))</f>
        <v/>
      </c>
      <c r="I690" s="25" t="str">
        <f aca="false">IF($B690="","",IF(COUNTIF($B$5:$B$1004,$B690)&gt;1,"중복 입력",""))</f>
        <v/>
      </c>
    </row>
    <row r="691" customFormat="false" ht="15" hidden="false" customHeight="false" outlineLevel="0" collapsed="false">
      <c r="A691" s="23"/>
      <c r="B691" s="24"/>
      <c r="C691" s="24"/>
      <c r="D691" s="24"/>
      <c r="E691" s="24"/>
      <c r="F691" s="24"/>
      <c r="G691" s="24"/>
      <c r="H691" s="25" t="str">
        <f aca="false">IF($B691="","",IFERROR(IF(INDEX(명단!$B$5:$B$404,MATCH($B691,명단!$A$5:$A$404,0))="","(이름 미입력)",INDEX(명단!$B$5:$B$404,MATCH($B691,명단!$A$5:$A$404,0))),"번호 없음"))</f>
        <v/>
      </c>
      <c r="I691" s="25" t="str">
        <f aca="false">IF($B691="","",IF(COUNTIF($B$5:$B$1004,$B691)&gt;1,"중복 입력",""))</f>
        <v/>
      </c>
    </row>
    <row r="692" customFormat="false" ht="15" hidden="false" customHeight="false" outlineLevel="0" collapsed="false">
      <c r="A692" s="23"/>
      <c r="B692" s="24"/>
      <c r="C692" s="24"/>
      <c r="D692" s="24"/>
      <c r="E692" s="24"/>
      <c r="F692" s="24"/>
      <c r="G692" s="24"/>
      <c r="H692" s="25" t="str">
        <f aca="false">IF($B692="","",IFERROR(IF(INDEX(명단!$B$5:$B$404,MATCH($B692,명단!$A$5:$A$404,0))="","(이름 미입력)",INDEX(명단!$B$5:$B$404,MATCH($B692,명단!$A$5:$A$404,0))),"번호 없음"))</f>
        <v/>
      </c>
      <c r="I692" s="25" t="str">
        <f aca="false">IF($B692="","",IF(COUNTIF($B$5:$B$1004,$B692)&gt;1,"중복 입력",""))</f>
        <v/>
      </c>
    </row>
    <row r="693" customFormat="false" ht="15" hidden="false" customHeight="false" outlineLevel="0" collapsed="false">
      <c r="A693" s="23"/>
      <c r="B693" s="24"/>
      <c r="C693" s="24"/>
      <c r="D693" s="24"/>
      <c r="E693" s="24"/>
      <c r="F693" s="24"/>
      <c r="G693" s="24"/>
      <c r="H693" s="25" t="str">
        <f aca="false">IF($B693="","",IFERROR(IF(INDEX(명단!$B$5:$B$404,MATCH($B693,명단!$A$5:$A$404,0))="","(이름 미입력)",INDEX(명단!$B$5:$B$404,MATCH($B693,명단!$A$5:$A$404,0))),"번호 없음"))</f>
        <v/>
      </c>
      <c r="I693" s="25" t="str">
        <f aca="false">IF($B693="","",IF(COUNTIF($B$5:$B$1004,$B693)&gt;1,"중복 입력",""))</f>
        <v/>
      </c>
    </row>
    <row r="694" customFormat="false" ht="15" hidden="false" customHeight="false" outlineLevel="0" collapsed="false">
      <c r="A694" s="23"/>
      <c r="B694" s="24"/>
      <c r="C694" s="24"/>
      <c r="D694" s="24"/>
      <c r="E694" s="24"/>
      <c r="F694" s="24"/>
      <c r="G694" s="24"/>
      <c r="H694" s="25" t="str">
        <f aca="false">IF($B694="","",IFERROR(IF(INDEX(명단!$B$5:$B$404,MATCH($B694,명단!$A$5:$A$404,0))="","(이름 미입력)",INDEX(명단!$B$5:$B$404,MATCH($B694,명단!$A$5:$A$404,0))),"번호 없음"))</f>
        <v/>
      </c>
      <c r="I694" s="25" t="str">
        <f aca="false">IF($B694="","",IF(COUNTIF($B$5:$B$1004,$B694)&gt;1,"중복 입력",""))</f>
        <v/>
      </c>
    </row>
    <row r="695" customFormat="false" ht="15" hidden="false" customHeight="false" outlineLevel="0" collapsed="false">
      <c r="A695" s="23"/>
      <c r="B695" s="24"/>
      <c r="C695" s="24"/>
      <c r="D695" s="24"/>
      <c r="E695" s="24"/>
      <c r="F695" s="24"/>
      <c r="G695" s="24"/>
      <c r="H695" s="25" t="str">
        <f aca="false">IF($B695="","",IFERROR(IF(INDEX(명단!$B$5:$B$404,MATCH($B695,명단!$A$5:$A$404,0))="","(이름 미입력)",INDEX(명단!$B$5:$B$404,MATCH($B695,명단!$A$5:$A$404,0))),"번호 없음"))</f>
        <v/>
      </c>
      <c r="I695" s="25" t="str">
        <f aca="false">IF($B695="","",IF(COUNTIF($B$5:$B$1004,$B695)&gt;1,"중복 입력",""))</f>
        <v/>
      </c>
    </row>
    <row r="696" customFormat="false" ht="15" hidden="false" customHeight="false" outlineLevel="0" collapsed="false">
      <c r="A696" s="23"/>
      <c r="B696" s="24"/>
      <c r="C696" s="24"/>
      <c r="D696" s="24"/>
      <c r="E696" s="24"/>
      <c r="F696" s="24"/>
      <c r="G696" s="24"/>
      <c r="H696" s="25" t="str">
        <f aca="false">IF($B696="","",IFERROR(IF(INDEX(명단!$B$5:$B$404,MATCH($B696,명단!$A$5:$A$404,0))="","(이름 미입력)",INDEX(명단!$B$5:$B$404,MATCH($B696,명단!$A$5:$A$404,0))),"번호 없음"))</f>
        <v/>
      </c>
      <c r="I696" s="25" t="str">
        <f aca="false">IF($B696="","",IF(COUNTIF($B$5:$B$1004,$B696)&gt;1,"중복 입력",""))</f>
        <v/>
      </c>
    </row>
    <row r="697" customFormat="false" ht="15" hidden="false" customHeight="false" outlineLevel="0" collapsed="false">
      <c r="A697" s="23"/>
      <c r="B697" s="24"/>
      <c r="C697" s="24"/>
      <c r="D697" s="24"/>
      <c r="E697" s="24"/>
      <c r="F697" s="24"/>
      <c r="G697" s="24"/>
      <c r="H697" s="25" t="str">
        <f aca="false">IF($B697="","",IFERROR(IF(INDEX(명단!$B$5:$B$404,MATCH($B697,명단!$A$5:$A$404,0))="","(이름 미입력)",INDEX(명단!$B$5:$B$404,MATCH($B697,명단!$A$5:$A$404,0))),"번호 없음"))</f>
        <v/>
      </c>
      <c r="I697" s="25" t="str">
        <f aca="false">IF($B697="","",IF(COUNTIF($B$5:$B$1004,$B697)&gt;1,"중복 입력",""))</f>
        <v/>
      </c>
    </row>
    <row r="698" customFormat="false" ht="15" hidden="false" customHeight="false" outlineLevel="0" collapsed="false">
      <c r="A698" s="23"/>
      <c r="B698" s="24"/>
      <c r="C698" s="24"/>
      <c r="D698" s="24"/>
      <c r="E698" s="24"/>
      <c r="F698" s="24"/>
      <c r="G698" s="24"/>
      <c r="H698" s="25" t="str">
        <f aca="false">IF($B698="","",IFERROR(IF(INDEX(명단!$B$5:$B$404,MATCH($B698,명단!$A$5:$A$404,0))="","(이름 미입력)",INDEX(명단!$B$5:$B$404,MATCH($B698,명단!$A$5:$A$404,0))),"번호 없음"))</f>
        <v/>
      </c>
      <c r="I698" s="25" t="str">
        <f aca="false">IF($B698="","",IF(COUNTIF($B$5:$B$1004,$B698)&gt;1,"중복 입력",""))</f>
        <v/>
      </c>
    </row>
    <row r="699" customFormat="false" ht="15" hidden="false" customHeight="false" outlineLevel="0" collapsed="false">
      <c r="A699" s="23"/>
      <c r="B699" s="24"/>
      <c r="C699" s="24"/>
      <c r="D699" s="24"/>
      <c r="E699" s="24"/>
      <c r="F699" s="24"/>
      <c r="G699" s="24"/>
      <c r="H699" s="25" t="str">
        <f aca="false">IF($B699="","",IFERROR(IF(INDEX(명단!$B$5:$B$404,MATCH($B699,명단!$A$5:$A$404,0))="","(이름 미입력)",INDEX(명단!$B$5:$B$404,MATCH($B699,명단!$A$5:$A$404,0))),"번호 없음"))</f>
        <v/>
      </c>
      <c r="I699" s="25" t="str">
        <f aca="false">IF($B699="","",IF(COUNTIF($B$5:$B$1004,$B699)&gt;1,"중복 입력",""))</f>
        <v/>
      </c>
    </row>
    <row r="700" customFormat="false" ht="15" hidden="false" customHeight="false" outlineLevel="0" collapsed="false">
      <c r="A700" s="23"/>
      <c r="B700" s="24"/>
      <c r="C700" s="24"/>
      <c r="D700" s="24"/>
      <c r="E700" s="24"/>
      <c r="F700" s="24"/>
      <c r="G700" s="24"/>
      <c r="H700" s="25" t="str">
        <f aca="false">IF($B700="","",IFERROR(IF(INDEX(명단!$B$5:$B$404,MATCH($B700,명단!$A$5:$A$404,0))="","(이름 미입력)",INDEX(명단!$B$5:$B$404,MATCH($B700,명단!$A$5:$A$404,0))),"번호 없음"))</f>
        <v/>
      </c>
      <c r="I700" s="25" t="str">
        <f aca="false">IF($B700="","",IF(COUNTIF($B$5:$B$1004,$B700)&gt;1,"중복 입력",""))</f>
        <v/>
      </c>
    </row>
    <row r="701" customFormat="false" ht="15" hidden="false" customHeight="false" outlineLevel="0" collapsed="false">
      <c r="A701" s="23"/>
      <c r="B701" s="24"/>
      <c r="C701" s="24"/>
      <c r="D701" s="24"/>
      <c r="E701" s="24"/>
      <c r="F701" s="24"/>
      <c r="G701" s="24"/>
      <c r="H701" s="25" t="str">
        <f aca="false">IF($B701="","",IFERROR(IF(INDEX(명단!$B$5:$B$404,MATCH($B701,명단!$A$5:$A$404,0))="","(이름 미입력)",INDEX(명단!$B$5:$B$404,MATCH($B701,명단!$A$5:$A$404,0))),"번호 없음"))</f>
        <v/>
      </c>
      <c r="I701" s="25" t="str">
        <f aca="false">IF($B701="","",IF(COUNTIF($B$5:$B$1004,$B701)&gt;1,"중복 입력",""))</f>
        <v/>
      </c>
    </row>
    <row r="702" customFormat="false" ht="15" hidden="false" customHeight="false" outlineLevel="0" collapsed="false">
      <c r="A702" s="23"/>
      <c r="B702" s="24"/>
      <c r="C702" s="24"/>
      <c r="D702" s="24"/>
      <c r="E702" s="24"/>
      <c r="F702" s="24"/>
      <c r="G702" s="24"/>
      <c r="H702" s="25" t="str">
        <f aca="false">IF($B702="","",IFERROR(IF(INDEX(명단!$B$5:$B$404,MATCH($B702,명단!$A$5:$A$404,0))="","(이름 미입력)",INDEX(명단!$B$5:$B$404,MATCH($B702,명단!$A$5:$A$404,0))),"번호 없음"))</f>
        <v/>
      </c>
      <c r="I702" s="25" t="str">
        <f aca="false">IF($B702="","",IF(COUNTIF($B$5:$B$1004,$B702)&gt;1,"중복 입력",""))</f>
        <v/>
      </c>
    </row>
    <row r="703" customFormat="false" ht="15" hidden="false" customHeight="false" outlineLevel="0" collapsed="false">
      <c r="A703" s="23"/>
      <c r="B703" s="24"/>
      <c r="C703" s="24"/>
      <c r="D703" s="24"/>
      <c r="E703" s="24"/>
      <c r="F703" s="24"/>
      <c r="G703" s="24"/>
      <c r="H703" s="25" t="str">
        <f aca="false">IF($B703="","",IFERROR(IF(INDEX(명단!$B$5:$B$404,MATCH($B703,명단!$A$5:$A$404,0))="","(이름 미입력)",INDEX(명단!$B$5:$B$404,MATCH($B703,명단!$A$5:$A$404,0))),"번호 없음"))</f>
        <v/>
      </c>
      <c r="I703" s="25" t="str">
        <f aca="false">IF($B703="","",IF(COUNTIF($B$5:$B$1004,$B703)&gt;1,"중복 입력",""))</f>
        <v/>
      </c>
    </row>
    <row r="704" customFormat="false" ht="15" hidden="false" customHeight="false" outlineLevel="0" collapsed="false">
      <c r="A704" s="23"/>
      <c r="B704" s="24"/>
      <c r="C704" s="24"/>
      <c r="D704" s="24"/>
      <c r="E704" s="24"/>
      <c r="F704" s="24"/>
      <c r="G704" s="24"/>
      <c r="H704" s="25" t="str">
        <f aca="false">IF($B704="","",IFERROR(IF(INDEX(명단!$B$5:$B$404,MATCH($B704,명단!$A$5:$A$404,0))="","(이름 미입력)",INDEX(명단!$B$5:$B$404,MATCH($B704,명단!$A$5:$A$404,0))),"번호 없음"))</f>
        <v/>
      </c>
      <c r="I704" s="25" t="str">
        <f aca="false">IF($B704="","",IF(COUNTIF($B$5:$B$1004,$B704)&gt;1,"중복 입력",""))</f>
        <v/>
      </c>
    </row>
    <row r="705" customFormat="false" ht="15" hidden="false" customHeight="false" outlineLevel="0" collapsed="false">
      <c r="A705" s="23"/>
      <c r="B705" s="24"/>
      <c r="C705" s="24"/>
      <c r="D705" s="24"/>
      <c r="E705" s="24"/>
      <c r="F705" s="24"/>
      <c r="G705" s="24"/>
      <c r="H705" s="25" t="str">
        <f aca="false">IF($B705="","",IFERROR(IF(INDEX(명단!$B$5:$B$404,MATCH($B705,명단!$A$5:$A$404,0))="","(이름 미입력)",INDEX(명단!$B$5:$B$404,MATCH($B705,명단!$A$5:$A$404,0))),"번호 없음"))</f>
        <v/>
      </c>
      <c r="I705" s="25" t="str">
        <f aca="false">IF($B705="","",IF(COUNTIF($B$5:$B$1004,$B705)&gt;1,"중복 입력",""))</f>
        <v/>
      </c>
    </row>
    <row r="706" customFormat="false" ht="15" hidden="false" customHeight="false" outlineLevel="0" collapsed="false">
      <c r="A706" s="23"/>
      <c r="B706" s="24"/>
      <c r="C706" s="24"/>
      <c r="D706" s="24"/>
      <c r="E706" s="24"/>
      <c r="F706" s="24"/>
      <c r="G706" s="24"/>
      <c r="H706" s="25" t="str">
        <f aca="false">IF($B706="","",IFERROR(IF(INDEX(명단!$B$5:$B$404,MATCH($B706,명단!$A$5:$A$404,0))="","(이름 미입력)",INDEX(명단!$B$5:$B$404,MATCH($B706,명단!$A$5:$A$404,0))),"번호 없음"))</f>
        <v/>
      </c>
      <c r="I706" s="25" t="str">
        <f aca="false">IF($B706="","",IF(COUNTIF($B$5:$B$1004,$B706)&gt;1,"중복 입력",""))</f>
        <v/>
      </c>
    </row>
    <row r="707" customFormat="false" ht="15" hidden="false" customHeight="false" outlineLevel="0" collapsed="false">
      <c r="A707" s="23"/>
      <c r="B707" s="24"/>
      <c r="C707" s="24"/>
      <c r="D707" s="24"/>
      <c r="E707" s="24"/>
      <c r="F707" s="24"/>
      <c r="G707" s="24"/>
      <c r="H707" s="25" t="str">
        <f aca="false">IF($B707="","",IFERROR(IF(INDEX(명단!$B$5:$B$404,MATCH($B707,명단!$A$5:$A$404,0))="","(이름 미입력)",INDEX(명단!$B$5:$B$404,MATCH($B707,명단!$A$5:$A$404,0))),"번호 없음"))</f>
        <v/>
      </c>
      <c r="I707" s="25" t="str">
        <f aca="false">IF($B707="","",IF(COUNTIF($B$5:$B$1004,$B707)&gt;1,"중복 입력",""))</f>
        <v/>
      </c>
    </row>
    <row r="708" customFormat="false" ht="15" hidden="false" customHeight="false" outlineLevel="0" collapsed="false">
      <c r="A708" s="23"/>
      <c r="B708" s="24"/>
      <c r="C708" s="24"/>
      <c r="D708" s="24"/>
      <c r="E708" s="24"/>
      <c r="F708" s="24"/>
      <c r="G708" s="24"/>
      <c r="H708" s="25" t="str">
        <f aca="false">IF($B708="","",IFERROR(IF(INDEX(명단!$B$5:$B$404,MATCH($B708,명단!$A$5:$A$404,0))="","(이름 미입력)",INDEX(명단!$B$5:$B$404,MATCH($B708,명단!$A$5:$A$404,0))),"번호 없음"))</f>
        <v/>
      </c>
      <c r="I708" s="25" t="str">
        <f aca="false">IF($B708="","",IF(COUNTIF($B$5:$B$1004,$B708)&gt;1,"중복 입력",""))</f>
        <v/>
      </c>
    </row>
    <row r="709" customFormat="false" ht="15" hidden="false" customHeight="false" outlineLevel="0" collapsed="false">
      <c r="A709" s="23"/>
      <c r="B709" s="24"/>
      <c r="C709" s="24"/>
      <c r="D709" s="24"/>
      <c r="E709" s="24"/>
      <c r="F709" s="24"/>
      <c r="G709" s="24"/>
      <c r="H709" s="25" t="str">
        <f aca="false">IF($B709="","",IFERROR(IF(INDEX(명단!$B$5:$B$404,MATCH($B709,명단!$A$5:$A$404,0))="","(이름 미입력)",INDEX(명단!$B$5:$B$404,MATCH($B709,명단!$A$5:$A$404,0))),"번호 없음"))</f>
        <v/>
      </c>
      <c r="I709" s="25" t="str">
        <f aca="false">IF($B709="","",IF(COUNTIF($B$5:$B$1004,$B709)&gt;1,"중복 입력",""))</f>
        <v/>
      </c>
    </row>
    <row r="710" customFormat="false" ht="15" hidden="false" customHeight="false" outlineLevel="0" collapsed="false">
      <c r="A710" s="23"/>
      <c r="B710" s="24"/>
      <c r="C710" s="24"/>
      <c r="D710" s="24"/>
      <c r="E710" s="24"/>
      <c r="F710" s="24"/>
      <c r="G710" s="24"/>
      <c r="H710" s="25" t="str">
        <f aca="false">IF($B710="","",IFERROR(IF(INDEX(명단!$B$5:$B$404,MATCH($B710,명단!$A$5:$A$404,0))="","(이름 미입력)",INDEX(명단!$B$5:$B$404,MATCH($B710,명단!$A$5:$A$404,0))),"번호 없음"))</f>
        <v/>
      </c>
      <c r="I710" s="25" t="str">
        <f aca="false">IF($B710="","",IF(COUNTIF($B$5:$B$1004,$B710)&gt;1,"중복 입력",""))</f>
        <v/>
      </c>
    </row>
    <row r="711" customFormat="false" ht="15" hidden="false" customHeight="false" outlineLevel="0" collapsed="false">
      <c r="A711" s="23"/>
      <c r="B711" s="24"/>
      <c r="C711" s="24"/>
      <c r="D711" s="24"/>
      <c r="E711" s="24"/>
      <c r="F711" s="24"/>
      <c r="G711" s="24"/>
      <c r="H711" s="25" t="str">
        <f aca="false">IF($B711="","",IFERROR(IF(INDEX(명단!$B$5:$B$404,MATCH($B711,명단!$A$5:$A$404,0))="","(이름 미입력)",INDEX(명단!$B$5:$B$404,MATCH($B711,명단!$A$5:$A$404,0))),"번호 없음"))</f>
        <v/>
      </c>
      <c r="I711" s="25" t="str">
        <f aca="false">IF($B711="","",IF(COUNTIF($B$5:$B$1004,$B711)&gt;1,"중복 입력",""))</f>
        <v/>
      </c>
    </row>
    <row r="712" customFormat="false" ht="15" hidden="false" customHeight="false" outlineLevel="0" collapsed="false">
      <c r="A712" s="23"/>
      <c r="B712" s="24"/>
      <c r="C712" s="24"/>
      <c r="D712" s="24"/>
      <c r="E712" s="24"/>
      <c r="F712" s="24"/>
      <c r="G712" s="24"/>
      <c r="H712" s="25" t="str">
        <f aca="false">IF($B712="","",IFERROR(IF(INDEX(명단!$B$5:$B$404,MATCH($B712,명단!$A$5:$A$404,0))="","(이름 미입력)",INDEX(명단!$B$5:$B$404,MATCH($B712,명단!$A$5:$A$404,0))),"번호 없음"))</f>
        <v/>
      </c>
      <c r="I712" s="25" t="str">
        <f aca="false">IF($B712="","",IF(COUNTIF($B$5:$B$1004,$B712)&gt;1,"중복 입력",""))</f>
        <v/>
      </c>
    </row>
    <row r="713" customFormat="false" ht="15" hidden="false" customHeight="false" outlineLevel="0" collapsed="false">
      <c r="A713" s="23"/>
      <c r="B713" s="24"/>
      <c r="C713" s="24"/>
      <c r="D713" s="24"/>
      <c r="E713" s="24"/>
      <c r="F713" s="24"/>
      <c r="G713" s="24"/>
      <c r="H713" s="25" t="str">
        <f aca="false">IF($B713="","",IFERROR(IF(INDEX(명단!$B$5:$B$404,MATCH($B713,명단!$A$5:$A$404,0))="","(이름 미입력)",INDEX(명단!$B$5:$B$404,MATCH($B713,명단!$A$5:$A$404,0))),"번호 없음"))</f>
        <v/>
      </c>
      <c r="I713" s="25" t="str">
        <f aca="false">IF($B713="","",IF(COUNTIF($B$5:$B$1004,$B713)&gt;1,"중복 입력",""))</f>
        <v/>
      </c>
    </row>
    <row r="714" customFormat="false" ht="15" hidden="false" customHeight="false" outlineLevel="0" collapsed="false">
      <c r="A714" s="23"/>
      <c r="B714" s="24"/>
      <c r="C714" s="24"/>
      <c r="D714" s="24"/>
      <c r="E714" s="24"/>
      <c r="F714" s="24"/>
      <c r="G714" s="24"/>
      <c r="H714" s="25" t="str">
        <f aca="false">IF($B714="","",IFERROR(IF(INDEX(명단!$B$5:$B$404,MATCH($B714,명단!$A$5:$A$404,0))="","(이름 미입력)",INDEX(명단!$B$5:$B$404,MATCH($B714,명단!$A$5:$A$404,0))),"번호 없음"))</f>
        <v/>
      </c>
      <c r="I714" s="25" t="str">
        <f aca="false">IF($B714="","",IF(COUNTIF($B$5:$B$1004,$B714)&gt;1,"중복 입력",""))</f>
        <v/>
      </c>
    </row>
    <row r="715" customFormat="false" ht="15" hidden="false" customHeight="false" outlineLevel="0" collapsed="false">
      <c r="A715" s="23"/>
      <c r="B715" s="24"/>
      <c r="C715" s="24"/>
      <c r="D715" s="24"/>
      <c r="E715" s="24"/>
      <c r="F715" s="24"/>
      <c r="G715" s="24"/>
      <c r="H715" s="25" t="str">
        <f aca="false">IF($B715="","",IFERROR(IF(INDEX(명단!$B$5:$B$404,MATCH($B715,명단!$A$5:$A$404,0))="","(이름 미입력)",INDEX(명단!$B$5:$B$404,MATCH($B715,명단!$A$5:$A$404,0))),"번호 없음"))</f>
        <v/>
      </c>
      <c r="I715" s="25" t="str">
        <f aca="false">IF($B715="","",IF(COUNTIF($B$5:$B$1004,$B715)&gt;1,"중복 입력",""))</f>
        <v/>
      </c>
    </row>
    <row r="716" customFormat="false" ht="15" hidden="false" customHeight="false" outlineLevel="0" collapsed="false">
      <c r="A716" s="23"/>
      <c r="B716" s="24"/>
      <c r="C716" s="24"/>
      <c r="D716" s="24"/>
      <c r="E716" s="24"/>
      <c r="F716" s="24"/>
      <c r="G716" s="24"/>
      <c r="H716" s="25" t="str">
        <f aca="false">IF($B716="","",IFERROR(IF(INDEX(명단!$B$5:$B$404,MATCH($B716,명단!$A$5:$A$404,0))="","(이름 미입력)",INDEX(명단!$B$5:$B$404,MATCH($B716,명단!$A$5:$A$404,0))),"번호 없음"))</f>
        <v/>
      </c>
      <c r="I716" s="25" t="str">
        <f aca="false">IF($B716="","",IF(COUNTIF($B$5:$B$1004,$B716)&gt;1,"중복 입력",""))</f>
        <v/>
      </c>
    </row>
    <row r="717" customFormat="false" ht="15" hidden="false" customHeight="false" outlineLevel="0" collapsed="false">
      <c r="A717" s="23"/>
      <c r="B717" s="24"/>
      <c r="C717" s="24"/>
      <c r="D717" s="24"/>
      <c r="E717" s="24"/>
      <c r="F717" s="24"/>
      <c r="G717" s="24"/>
      <c r="H717" s="25" t="str">
        <f aca="false">IF($B717="","",IFERROR(IF(INDEX(명단!$B$5:$B$404,MATCH($B717,명단!$A$5:$A$404,0))="","(이름 미입력)",INDEX(명단!$B$5:$B$404,MATCH($B717,명단!$A$5:$A$404,0))),"번호 없음"))</f>
        <v/>
      </c>
      <c r="I717" s="25" t="str">
        <f aca="false">IF($B717="","",IF(COUNTIF($B$5:$B$1004,$B717)&gt;1,"중복 입력",""))</f>
        <v/>
      </c>
    </row>
    <row r="718" customFormat="false" ht="15" hidden="false" customHeight="false" outlineLevel="0" collapsed="false">
      <c r="A718" s="23"/>
      <c r="B718" s="24"/>
      <c r="C718" s="24"/>
      <c r="D718" s="24"/>
      <c r="E718" s="24"/>
      <c r="F718" s="24"/>
      <c r="G718" s="24"/>
      <c r="H718" s="25" t="str">
        <f aca="false">IF($B718="","",IFERROR(IF(INDEX(명단!$B$5:$B$404,MATCH($B718,명단!$A$5:$A$404,0))="","(이름 미입력)",INDEX(명단!$B$5:$B$404,MATCH($B718,명단!$A$5:$A$404,0))),"번호 없음"))</f>
        <v/>
      </c>
      <c r="I718" s="25" t="str">
        <f aca="false">IF($B718="","",IF(COUNTIF($B$5:$B$1004,$B718)&gt;1,"중복 입력",""))</f>
        <v/>
      </c>
    </row>
    <row r="719" customFormat="false" ht="15" hidden="false" customHeight="false" outlineLevel="0" collapsed="false">
      <c r="A719" s="23"/>
      <c r="B719" s="24"/>
      <c r="C719" s="24"/>
      <c r="D719" s="24"/>
      <c r="E719" s="24"/>
      <c r="F719" s="24"/>
      <c r="G719" s="24"/>
      <c r="H719" s="25" t="str">
        <f aca="false">IF($B719="","",IFERROR(IF(INDEX(명단!$B$5:$B$404,MATCH($B719,명단!$A$5:$A$404,0))="","(이름 미입력)",INDEX(명단!$B$5:$B$404,MATCH($B719,명단!$A$5:$A$404,0))),"번호 없음"))</f>
        <v/>
      </c>
      <c r="I719" s="25" t="str">
        <f aca="false">IF($B719="","",IF(COUNTIF($B$5:$B$1004,$B719)&gt;1,"중복 입력",""))</f>
        <v/>
      </c>
    </row>
    <row r="720" customFormat="false" ht="15" hidden="false" customHeight="false" outlineLevel="0" collapsed="false">
      <c r="A720" s="23"/>
      <c r="B720" s="24"/>
      <c r="C720" s="24"/>
      <c r="D720" s="24"/>
      <c r="E720" s="24"/>
      <c r="F720" s="24"/>
      <c r="G720" s="24"/>
      <c r="H720" s="25" t="str">
        <f aca="false">IF($B720="","",IFERROR(IF(INDEX(명단!$B$5:$B$404,MATCH($B720,명단!$A$5:$A$404,0))="","(이름 미입력)",INDEX(명단!$B$5:$B$404,MATCH($B720,명단!$A$5:$A$404,0))),"번호 없음"))</f>
        <v/>
      </c>
      <c r="I720" s="25" t="str">
        <f aca="false">IF($B720="","",IF(COUNTIF($B$5:$B$1004,$B720)&gt;1,"중복 입력",""))</f>
        <v/>
      </c>
    </row>
    <row r="721" customFormat="false" ht="15" hidden="false" customHeight="false" outlineLevel="0" collapsed="false">
      <c r="A721" s="23"/>
      <c r="B721" s="24"/>
      <c r="C721" s="24"/>
      <c r="D721" s="24"/>
      <c r="E721" s="24"/>
      <c r="F721" s="24"/>
      <c r="G721" s="24"/>
      <c r="H721" s="25" t="str">
        <f aca="false">IF($B721="","",IFERROR(IF(INDEX(명단!$B$5:$B$404,MATCH($B721,명단!$A$5:$A$404,0))="","(이름 미입력)",INDEX(명단!$B$5:$B$404,MATCH($B721,명단!$A$5:$A$404,0))),"번호 없음"))</f>
        <v/>
      </c>
      <c r="I721" s="25" t="str">
        <f aca="false">IF($B721="","",IF(COUNTIF($B$5:$B$1004,$B721)&gt;1,"중복 입력",""))</f>
        <v/>
      </c>
    </row>
    <row r="722" customFormat="false" ht="15" hidden="false" customHeight="false" outlineLevel="0" collapsed="false">
      <c r="A722" s="23"/>
      <c r="B722" s="24"/>
      <c r="C722" s="24"/>
      <c r="D722" s="24"/>
      <c r="E722" s="24"/>
      <c r="F722" s="24"/>
      <c r="G722" s="24"/>
      <c r="H722" s="25" t="str">
        <f aca="false">IF($B722="","",IFERROR(IF(INDEX(명단!$B$5:$B$404,MATCH($B722,명단!$A$5:$A$404,0))="","(이름 미입력)",INDEX(명단!$B$5:$B$404,MATCH($B722,명단!$A$5:$A$404,0))),"번호 없음"))</f>
        <v/>
      </c>
      <c r="I722" s="25" t="str">
        <f aca="false">IF($B722="","",IF(COUNTIF($B$5:$B$1004,$B722)&gt;1,"중복 입력",""))</f>
        <v/>
      </c>
    </row>
    <row r="723" customFormat="false" ht="15" hidden="false" customHeight="false" outlineLevel="0" collapsed="false">
      <c r="A723" s="23"/>
      <c r="B723" s="24"/>
      <c r="C723" s="24"/>
      <c r="D723" s="24"/>
      <c r="E723" s="24"/>
      <c r="F723" s="24"/>
      <c r="G723" s="24"/>
      <c r="H723" s="25" t="str">
        <f aca="false">IF($B723="","",IFERROR(IF(INDEX(명단!$B$5:$B$404,MATCH($B723,명단!$A$5:$A$404,0))="","(이름 미입력)",INDEX(명단!$B$5:$B$404,MATCH($B723,명단!$A$5:$A$404,0))),"번호 없음"))</f>
        <v/>
      </c>
      <c r="I723" s="25" t="str">
        <f aca="false">IF($B723="","",IF(COUNTIF($B$5:$B$1004,$B723)&gt;1,"중복 입력",""))</f>
        <v/>
      </c>
    </row>
    <row r="724" customFormat="false" ht="15" hidden="false" customHeight="false" outlineLevel="0" collapsed="false">
      <c r="A724" s="23"/>
      <c r="B724" s="24"/>
      <c r="C724" s="24"/>
      <c r="D724" s="24"/>
      <c r="E724" s="24"/>
      <c r="F724" s="24"/>
      <c r="G724" s="24"/>
      <c r="H724" s="25" t="str">
        <f aca="false">IF($B724="","",IFERROR(IF(INDEX(명단!$B$5:$B$404,MATCH($B724,명단!$A$5:$A$404,0))="","(이름 미입력)",INDEX(명단!$B$5:$B$404,MATCH($B724,명단!$A$5:$A$404,0))),"번호 없음"))</f>
        <v/>
      </c>
      <c r="I724" s="25" t="str">
        <f aca="false">IF($B724="","",IF(COUNTIF($B$5:$B$1004,$B724)&gt;1,"중복 입력",""))</f>
        <v/>
      </c>
    </row>
    <row r="725" customFormat="false" ht="15" hidden="false" customHeight="false" outlineLevel="0" collapsed="false">
      <c r="A725" s="23"/>
      <c r="B725" s="24"/>
      <c r="C725" s="24"/>
      <c r="D725" s="24"/>
      <c r="E725" s="24"/>
      <c r="F725" s="24"/>
      <c r="G725" s="24"/>
      <c r="H725" s="25" t="str">
        <f aca="false">IF($B725="","",IFERROR(IF(INDEX(명단!$B$5:$B$404,MATCH($B725,명단!$A$5:$A$404,0))="","(이름 미입력)",INDEX(명단!$B$5:$B$404,MATCH($B725,명단!$A$5:$A$404,0))),"번호 없음"))</f>
        <v/>
      </c>
      <c r="I725" s="25" t="str">
        <f aca="false">IF($B725="","",IF(COUNTIF($B$5:$B$1004,$B725)&gt;1,"중복 입력",""))</f>
        <v/>
      </c>
    </row>
    <row r="726" customFormat="false" ht="15" hidden="false" customHeight="false" outlineLevel="0" collapsed="false">
      <c r="A726" s="23"/>
      <c r="B726" s="24"/>
      <c r="C726" s="24"/>
      <c r="D726" s="24"/>
      <c r="E726" s="24"/>
      <c r="F726" s="24"/>
      <c r="G726" s="24"/>
      <c r="H726" s="25" t="str">
        <f aca="false">IF($B726="","",IFERROR(IF(INDEX(명단!$B$5:$B$404,MATCH($B726,명단!$A$5:$A$404,0))="","(이름 미입력)",INDEX(명단!$B$5:$B$404,MATCH($B726,명단!$A$5:$A$404,0))),"번호 없음"))</f>
        <v/>
      </c>
      <c r="I726" s="25" t="str">
        <f aca="false">IF($B726="","",IF(COUNTIF($B$5:$B$1004,$B726)&gt;1,"중복 입력",""))</f>
        <v/>
      </c>
    </row>
    <row r="727" customFormat="false" ht="15" hidden="false" customHeight="false" outlineLevel="0" collapsed="false">
      <c r="A727" s="23"/>
      <c r="B727" s="24"/>
      <c r="C727" s="24"/>
      <c r="D727" s="24"/>
      <c r="E727" s="24"/>
      <c r="F727" s="24"/>
      <c r="G727" s="24"/>
      <c r="H727" s="25" t="str">
        <f aca="false">IF($B727="","",IFERROR(IF(INDEX(명단!$B$5:$B$404,MATCH($B727,명단!$A$5:$A$404,0))="","(이름 미입력)",INDEX(명단!$B$5:$B$404,MATCH($B727,명단!$A$5:$A$404,0))),"번호 없음"))</f>
        <v/>
      </c>
      <c r="I727" s="25" t="str">
        <f aca="false">IF($B727="","",IF(COUNTIF($B$5:$B$1004,$B727)&gt;1,"중복 입력",""))</f>
        <v/>
      </c>
    </row>
    <row r="728" customFormat="false" ht="15" hidden="false" customHeight="false" outlineLevel="0" collapsed="false">
      <c r="A728" s="23"/>
      <c r="B728" s="24"/>
      <c r="C728" s="24"/>
      <c r="D728" s="24"/>
      <c r="E728" s="24"/>
      <c r="F728" s="24"/>
      <c r="G728" s="24"/>
      <c r="H728" s="25" t="str">
        <f aca="false">IF($B728="","",IFERROR(IF(INDEX(명단!$B$5:$B$404,MATCH($B728,명단!$A$5:$A$404,0))="","(이름 미입력)",INDEX(명단!$B$5:$B$404,MATCH($B728,명단!$A$5:$A$404,0))),"번호 없음"))</f>
        <v/>
      </c>
      <c r="I728" s="25" t="str">
        <f aca="false">IF($B728="","",IF(COUNTIF($B$5:$B$1004,$B728)&gt;1,"중복 입력",""))</f>
        <v/>
      </c>
    </row>
    <row r="729" customFormat="false" ht="15" hidden="false" customHeight="false" outlineLevel="0" collapsed="false">
      <c r="A729" s="23"/>
      <c r="B729" s="24"/>
      <c r="C729" s="24"/>
      <c r="D729" s="24"/>
      <c r="E729" s="24"/>
      <c r="F729" s="24"/>
      <c r="G729" s="24"/>
      <c r="H729" s="25" t="str">
        <f aca="false">IF($B729="","",IFERROR(IF(INDEX(명단!$B$5:$B$404,MATCH($B729,명단!$A$5:$A$404,0))="","(이름 미입력)",INDEX(명단!$B$5:$B$404,MATCH($B729,명단!$A$5:$A$404,0))),"번호 없음"))</f>
        <v/>
      </c>
      <c r="I729" s="25" t="str">
        <f aca="false">IF($B729="","",IF(COUNTIF($B$5:$B$1004,$B729)&gt;1,"중복 입력",""))</f>
        <v/>
      </c>
    </row>
    <row r="730" customFormat="false" ht="15" hidden="false" customHeight="false" outlineLevel="0" collapsed="false">
      <c r="A730" s="23"/>
      <c r="B730" s="24"/>
      <c r="C730" s="24"/>
      <c r="D730" s="24"/>
      <c r="E730" s="24"/>
      <c r="F730" s="24"/>
      <c r="G730" s="24"/>
      <c r="H730" s="25" t="str">
        <f aca="false">IF($B730="","",IFERROR(IF(INDEX(명단!$B$5:$B$404,MATCH($B730,명단!$A$5:$A$404,0))="","(이름 미입력)",INDEX(명단!$B$5:$B$404,MATCH($B730,명단!$A$5:$A$404,0))),"번호 없음"))</f>
        <v/>
      </c>
      <c r="I730" s="25" t="str">
        <f aca="false">IF($B730="","",IF(COUNTIF($B$5:$B$1004,$B730)&gt;1,"중복 입력",""))</f>
        <v/>
      </c>
    </row>
    <row r="731" customFormat="false" ht="15" hidden="false" customHeight="false" outlineLevel="0" collapsed="false">
      <c r="A731" s="23"/>
      <c r="B731" s="24"/>
      <c r="C731" s="24"/>
      <c r="D731" s="24"/>
      <c r="E731" s="24"/>
      <c r="F731" s="24"/>
      <c r="G731" s="24"/>
      <c r="H731" s="25" t="str">
        <f aca="false">IF($B731="","",IFERROR(IF(INDEX(명단!$B$5:$B$404,MATCH($B731,명단!$A$5:$A$404,0))="","(이름 미입력)",INDEX(명단!$B$5:$B$404,MATCH($B731,명단!$A$5:$A$404,0))),"번호 없음"))</f>
        <v/>
      </c>
      <c r="I731" s="25" t="str">
        <f aca="false">IF($B731="","",IF(COUNTIF($B$5:$B$1004,$B731)&gt;1,"중복 입력",""))</f>
        <v/>
      </c>
    </row>
    <row r="732" customFormat="false" ht="15" hidden="false" customHeight="false" outlineLevel="0" collapsed="false">
      <c r="A732" s="23"/>
      <c r="B732" s="24"/>
      <c r="C732" s="24"/>
      <c r="D732" s="24"/>
      <c r="E732" s="24"/>
      <c r="F732" s="24"/>
      <c r="G732" s="24"/>
      <c r="H732" s="25" t="str">
        <f aca="false">IF($B732="","",IFERROR(IF(INDEX(명단!$B$5:$B$404,MATCH($B732,명단!$A$5:$A$404,0))="","(이름 미입력)",INDEX(명단!$B$5:$B$404,MATCH($B732,명단!$A$5:$A$404,0))),"번호 없음"))</f>
        <v/>
      </c>
      <c r="I732" s="25" t="str">
        <f aca="false">IF($B732="","",IF(COUNTIF($B$5:$B$1004,$B732)&gt;1,"중복 입력",""))</f>
        <v/>
      </c>
    </row>
    <row r="733" customFormat="false" ht="15" hidden="false" customHeight="false" outlineLevel="0" collapsed="false">
      <c r="A733" s="23"/>
      <c r="B733" s="24"/>
      <c r="C733" s="24"/>
      <c r="D733" s="24"/>
      <c r="E733" s="24"/>
      <c r="F733" s="24"/>
      <c r="G733" s="24"/>
      <c r="H733" s="25" t="str">
        <f aca="false">IF($B733="","",IFERROR(IF(INDEX(명단!$B$5:$B$404,MATCH($B733,명단!$A$5:$A$404,0))="","(이름 미입력)",INDEX(명단!$B$5:$B$404,MATCH($B733,명단!$A$5:$A$404,0))),"번호 없음"))</f>
        <v/>
      </c>
      <c r="I733" s="25" t="str">
        <f aca="false">IF($B733="","",IF(COUNTIF($B$5:$B$1004,$B733)&gt;1,"중복 입력",""))</f>
        <v/>
      </c>
    </row>
    <row r="734" customFormat="false" ht="15" hidden="false" customHeight="false" outlineLevel="0" collapsed="false">
      <c r="A734" s="23"/>
      <c r="B734" s="24"/>
      <c r="C734" s="24"/>
      <c r="D734" s="24"/>
      <c r="E734" s="24"/>
      <c r="F734" s="24"/>
      <c r="G734" s="24"/>
      <c r="H734" s="25" t="str">
        <f aca="false">IF($B734="","",IFERROR(IF(INDEX(명단!$B$5:$B$404,MATCH($B734,명단!$A$5:$A$404,0))="","(이름 미입력)",INDEX(명단!$B$5:$B$404,MATCH($B734,명단!$A$5:$A$404,0))),"번호 없음"))</f>
        <v/>
      </c>
      <c r="I734" s="25" t="str">
        <f aca="false">IF($B734="","",IF(COUNTIF($B$5:$B$1004,$B734)&gt;1,"중복 입력",""))</f>
        <v/>
      </c>
    </row>
    <row r="735" customFormat="false" ht="15" hidden="false" customHeight="false" outlineLevel="0" collapsed="false">
      <c r="A735" s="23"/>
      <c r="B735" s="24"/>
      <c r="C735" s="24"/>
      <c r="D735" s="24"/>
      <c r="E735" s="24"/>
      <c r="F735" s="24"/>
      <c r="G735" s="24"/>
      <c r="H735" s="25" t="str">
        <f aca="false">IF($B735="","",IFERROR(IF(INDEX(명단!$B$5:$B$404,MATCH($B735,명단!$A$5:$A$404,0))="","(이름 미입력)",INDEX(명단!$B$5:$B$404,MATCH($B735,명단!$A$5:$A$404,0))),"번호 없음"))</f>
        <v/>
      </c>
      <c r="I735" s="25" t="str">
        <f aca="false">IF($B735="","",IF(COUNTIF($B$5:$B$1004,$B735)&gt;1,"중복 입력",""))</f>
        <v/>
      </c>
    </row>
    <row r="736" customFormat="false" ht="15" hidden="false" customHeight="false" outlineLevel="0" collapsed="false">
      <c r="A736" s="23"/>
      <c r="B736" s="24"/>
      <c r="C736" s="24"/>
      <c r="D736" s="24"/>
      <c r="E736" s="24"/>
      <c r="F736" s="24"/>
      <c r="G736" s="24"/>
      <c r="H736" s="25" t="str">
        <f aca="false">IF($B736="","",IFERROR(IF(INDEX(명단!$B$5:$B$404,MATCH($B736,명단!$A$5:$A$404,0))="","(이름 미입력)",INDEX(명단!$B$5:$B$404,MATCH($B736,명단!$A$5:$A$404,0))),"번호 없음"))</f>
        <v/>
      </c>
      <c r="I736" s="25" t="str">
        <f aca="false">IF($B736="","",IF(COUNTIF($B$5:$B$1004,$B736)&gt;1,"중복 입력",""))</f>
        <v/>
      </c>
    </row>
    <row r="737" customFormat="false" ht="15" hidden="false" customHeight="false" outlineLevel="0" collapsed="false">
      <c r="A737" s="23"/>
      <c r="B737" s="24"/>
      <c r="C737" s="24"/>
      <c r="D737" s="24"/>
      <c r="E737" s="24"/>
      <c r="F737" s="24"/>
      <c r="G737" s="24"/>
      <c r="H737" s="25" t="str">
        <f aca="false">IF($B737="","",IFERROR(IF(INDEX(명단!$B$5:$B$404,MATCH($B737,명단!$A$5:$A$404,0))="","(이름 미입력)",INDEX(명단!$B$5:$B$404,MATCH($B737,명단!$A$5:$A$404,0))),"번호 없음"))</f>
        <v/>
      </c>
      <c r="I737" s="25" t="str">
        <f aca="false">IF($B737="","",IF(COUNTIF($B$5:$B$1004,$B737)&gt;1,"중복 입력",""))</f>
        <v/>
      </c>
    </row>
    <row r="738" customFormat="false" ht="15" hidden="false" customHeight="false" outlineLevel="0" collapsed="false">
      <c r="A738" s="23"/>
      <c r="B738" s="24"/>
      <c r="C738" s="24"/>
      <c r="D738" s="24"/>
      <c r="E738" s="24"/>
      <c r="F738" s="24"/>
      <c r="G738" s="24"/>
      <c r="H738" s="25" t="str">
        <f aca="false">IF($B738="","",IFERROR(IF(INDEX(명단!$B$5:$B$404,MATCH($B738,명단!$A$5:$A$404,0))="","(이름 미입력)",INDEX(명단!$B$5:$B$404,MATCH($B738,명단!$A$5:$A$404,0))),"번호 없음"))</f>
        <v/>
      </c>
      <c r="I738" s="25" t="str">
        <f aca="false">IF($B738="","",IF(COUNTIF($B$5:$B$1004,$B738)&gt;1,"중복 입력",""))</f>
        <v/>
      </c>
    </row>
    <row r="739" customFormat="false" ht="15" hidden="false" customHeight="false" outlineLevel="0" collapsed="false">
      <c r="A739" s="23"/>
      <c r="B739" s="24"/>
      <c r="C739" s="24"/>
      <c r="D739" s="24"/>
      <c r="E739" s="24"/>
      <c r="F739" s="24"/>
      <c r="G739" s="24"/>
      <c r="H739" s="25" t="str">
        <f aca="false">IF($B739="","",IFERROR(IF(INDEX(명단!$B$5:$B$404,MATCH($B739,명단!$A$5:$A$404,0))="","(이름 미입력)",INDEX(명단!$B$5:$B$404,MATCH($B739,명단!$A$5:$A$404,0))),"번호 없음"))</f>
        <v/>
      </c>
      <c r="I739" s="25" t="str">
        <f aca="false">IF($B739="","",IF(COUNTIF($B$5:$B$1004,$B739)&gt;1,"중복 입력",""))</f>
        <v/>
      </c>
    </row>
    <row r="740" customFormat="false" ht="15" hidden="false" customHeight="false" outlineLevel="0" collapsed="false">
      <c r="A740" s="23"/>
      <c r="B740" s="24"/>
      <c r="C740" s="24"/>
      <c r="D740" s="24"/>
      <c r="E740" s="24"/>
      <c r="F740" s="24"/>
      <c r="G740" s="24"/>
      <c r="H740" s="25" t="str">
        <f aca="false">IF($B740="","",IFERROR(IF(INDEX(명단!$B$5:$B$404,MATCH($B740,명단!$A$5:$A$404,0))="","(이름 미입력)",INDEX(명단!$B$5:$B$404,MATCH($B740,명단!$A$5:$A$404,0))),"번호 없음"))</f>
        <v/>
      </c>
      <c r="I740" s="25" t="str">
        <f aca="false">IF($B740="","",IF(COUNTIF($B$5:$B$1004,$B740)&gt;1,"중복 입력",""))</f>
        <v/>
      </c>
    </row>
    <row r="741" customFormat="false" ht="15" hidden="false" customHeight="false" outlineLevel="0" collapsed="false">
      <c r="A741" s="23"/>
      <c r="B741" s="24"/>
      <c r="C741" s="24"/>
      <c r="D741" s="24"/>
      <c r="E741" s="24"/>
      <c r="F741" s="24"/>
      <c r="G741" s="24"/>
      <c r="H741" s="25" t="str">
        <f aca="false">IF($B741="","",IFERROR(IF(INDEX(명단!$B$5:$B$404,MATCH($B741,명단!$A$5:$A$404,0))="","(이름 미입력)",INDEX(명단!$B$5:$B$404,MATCH($B741,명단!$A$5:$A$404,0))),"번호 없음"))</f>
        <v/>
      </c>
      <c r="I741" s="25" t="str">
        <f aca="false">IF($B741="","",IF(COUNTIF($B$5:$B$1004,$B741)&gt;1,"중복 입력",""))</f>
        <v/>
      </c>
    </row>
    <row r="742" customFormat="false" ht="15" hidden="false" customHeight="false" outlineLevel="0" collapsed="false">
      <c r="A742" s="23"/>
      <c r="B742" s="24"/>
      <c r="C742" s="24"/>
      <c r="D742" s="24"/>
      <c r="E742" s="24"/>
      <c r="F742" s="24"/>
      <c r="G742" s="24"/>
      <c r="H742" s="25" t="str">
        <f aca="false">IF($B742="","",IFERROR(IF(INDEX(명단!$B$5:$B$404,MATCH($B742,명단!$A$5:$A$404,0))="","(이름 미입력)",INDEX(명단!$B$5:$B$404,MATCH($B742,명단!$A$5:$A$404,0))),"번호 없음"))</f>
        <v/>
      </c>
      <c r="I742" s="25" t="str">
        <f aca="false">IF($B742="","",IF(COUNTIF($B$5:$B$1004,$B742)&gt;1,"중복 입력",""))</f>
        <v/>
      </c>
    </row>
    <row r="743" customFormat="false" ht="15" hidden="false" customHeight="false" outlineLevel="0" collapsed="false">
      <c r="A743" s="23"/>
      <c r="B743" s="24"/>
      <c r="C743" s="24"/>
      <c r="D743" s="24"/>
      <c r="E743" s="24"/>
      <c r="F743" s="24"/>
      <c r="G743" s="24"/>
      <c r="H743" s="25" t="str">
        <f aca="false">IF($B743="","",IFERROR(IF(INDEX(명단!$B$5:$B$404,MATCH($B743,명단!$A$5:$A$404,0))="","(이름 미입력)",INDEX(명단!$B$5:$B$404,MATCH($B743,명단!$A$5:$A$404,0))),"번호 없음"))</f>
        <v/>
      </c>
      <c r="I743" s="25" t="str">
        <f aca="false">IF($B743="","",IF(COUNTIF($B$5:$B$1004,$B743)&gt;1,"중복 입력",""))</f>
        <v/>
      </c>
    </row>
    <row r="744" customFormat="false" ht="15" hidden="false" customHeight="false" outlineLevel="0" collapsed="false">
      <c r="A744" s="23"/>
      <c r="B744" s="24"/>
      <c r="C744" s="24"/>
      <c r="D744" s="24"/>
      <c r="E744" s="24"/>
      <c r="F744" s="24"/>
      <c r="G744" s="24"/>
      <c r="H744" s="25" t="str">
        <f aca="false">IF($B744="","",IFERROR(IF(INDEX(명단!$B$5:$B$404,MATCH($B744,명단!$A$5:$A$404,0))="","(이름 미입력)",INDEX(명단!$B$5:$B$404,MATCH($B744,명단!$A$5:$A$404,0))),"번호 없음"))</f>
        <v/>
      </c>
      <c r="I744" s="25" t="str">
        <f aca="false">IF($B744="","",IF(COUNTIF($B$5:$B$1004,$B744)&gt;1,"중복 입력",""))</f>
        <v/>
      </c>
    </row>
    <row r="745" customFormat="false" ht="15" hidden="false" customHeight="false" outlineLevel="0" collapsed="false">
      <c r="A745" s="23"/>
      <c r="B745" s="24"/>
      <c r="C745" s="24"/>
      <c r="D745" s="24"/>
      <c r="E745" s="24"/>
      <c r="F745" s="24"/>
      <c r="G745" s="24"/>
      <c r="H745" s="25" t="str">
        <f aca="false">IF($B745="","",IFERROR(IF(INDEX(명단!$B$5:$B$404,MATCH($B745,명단!$A$5:$A$404,0))="","(이름 미입력)",INDEX(명단!$B$5:$B$404,MATCH($B745,명단!$A$5:$A$404,0))),"번호 없음"))</f>
        <v/>
      </c>
      <c r="I745" s="25" t="str">
        <f aca="false">IF($B745="","",IF(COUNTIF($B$5:$B$1004,$B745)&gt;1,"중복 입력",""))</f>
        <v/>
      </c>
    </row>
    <row r="746" customFormat="false" ht="15" hidden="false" customHeight="false" outlineLevel="0" collapsed="false">
      <c r="A746" s="23"/>
      <c r="B746" s="24"/>
      <c r="C746" s="24"/>
      <c r="D746" s="24"/>
      <c r="E746" s="24"/>
      <c r="F746" s="24"/>
      <c r="G746" s="24"/>
      <c r="H746" s="25" t="str">
        <f aca="false">IF($B746="","",IFERROR(IF(INDEX(명단!$B$5:$B$404,MATCH($B746,명단!$A$5:$A$404,0))="","(이름 미입력)",INDEX(명단!$B$5:$B$404,MATCH($B746,명단!$A$5:$A$404,0))),"번호 없음"))</f>
        <v/>
      </c>
      <c r="I746" s="25" t="str">
        <f aca="false">IF($B746="","",IF(COUNTIF($B$5:$B$1004,$B746)&gt;1,"중복 입력",""))</f>
        <v/>
      </c>
    </row>
    <row r="747" customFormat="false" ht="15" hidden="false" customHeight="false" outlineLevel="0" collapsed="false">
      <c r="A747" s="23"/>
      <c r="B747" s="24"/>
      <c r="C747" s="24"/>
      <c r="D747" s="24"/>
      <c r="E747" s="24"/>
      <c r="F747" s="24"/>
      <c r="G747" s="24"/>
      <c r="H747" s="25" t="str">
        <f aca="false">IF($B747="","",IFERROR(IF(INDEX(명단!$B$5:$B$404,MATCH($B747,명단!$A$5:$A$404,0))="","(이름 미입력)",INDEX(명단!$B$5:$B$404,MATCH($B747,명단!$A$5:$A$404,0))),"번호 없음"))</f>
        <v/>
      </c>
      <c r="I747" s="25" t="str">
        <f aca="false">IF($B747="","",IF(COUNTIF($B$5:$B$1004,$B747)&gt;1,"중복 입력",""))</f>
        <v/>
      </c>
    </row>
    <row r="748" customFormat="false" ht="15" hidden="false" customHeight="false" outlineLevel="0" collapsed="false">
      <c r="A748" s="23"/>
      <c r="B748" s="24"/>
      <c r="C748" s="24"/>
      <c r="D748" s="24"/>
      <c r="E748" s="24"/>
      <c r="F748" s="24"/>
      <c r="G748" s="24"/>
      <c r="H748" s="25" t="str">
        <f aca="false">IF($B748="","",IFERROR(IF(INDEX(명단!$B$5:$B$404,MATCH($B748,명단!$A$5:$A$404,0))="","(이름 미입력)",INDEX(명단!$B$5:$B$404,MATCH($B748,명단!$A$5:$A$404,0))),"번호 없음"))</f>
        <v/>
      </c>
      <c r="I748" s="25" t="str">
        <f aca="false">IF($B748="","",IF(COUNTIF($B$5:$B$1004,$B748)&gt;1,"중복 입력",""))</f>
        <v/>
      </c>
    </row>
    <row r="749" customFormat="false" ht="15" hidden="false" customHeight="false" outlineLevel="0" collapsed="false">
      <c r="A749" s="23"/>
      <c r="B749" s="24"/>
      <c r="C749" s="24"/>
      <c r="D749" s="24"/>
      <c r="E749" s="24"/>
      <c r="F749" s="24"/>
      <c r="G749" s="24"/>
      <c r="H749" s="25" t="str">
        <f aca="false">IF($B749="","",IFERROR(IF(INDEX(명단!$B$5:$B$404,MATCH($B749,명단!$A$5:$A$404,0))="","(이름 미입력)",INDEX(명단!$B$5:$B$404,MATCH($B749,명단!$A$5:$A$404,0))),"번호 없음"))</f>
        <v/>
      </c>
      <c r="I749" s="25" t="str">
        <f aca="false">IF($B749="","",IF(COUNTIF($B$5:$B$1004,$B749)&gt;1,"중복 입력",""))</f>
        <v/>
      </c>
    </row>
    <row r="750" customFormat="false" ht="15" hidden="false" customHeight="false" outlineLevel="0" collapsed="false">
      <c r="A750" s="23"/>
      <c r="B750" s="24"/>
      <c r="C750" s="24"/>
      <c r="D750" s="24"/>
      <c r="E750" s="24"/>
      <c r="F750" s="24"/>
      <c r="G750" s="24"/>
      <c r="H750" s="25" t="str">
        <f aca="false">IF($B750="","",IFERROR(IF(INDEX(명단!$B$5:$B$404,MATCH($B750,명단!$A$5:$A$404,0))="","(이름 미입력)",INDEX(명단!$B$5:$B$404,MATCH($B750,명단!$A$5:$A$404,0))),"번호 없음"))</f>
        <v/>
      </c>
      <c r="I750" s="25" t="str">
        <f aca="false">IF($B750="","",IF(COUNTIF($B$5:$B$1004,$B750)&gt;1,"중복 입력",""))</f>
        <v/>
      </c>
    </row>
    <row r="751" customFormat="false" ht="15" hidden="false" customHeight="false" outlineLevel="0" collapsed="false">
      <c r="A751" s="23"/>
      <c r="B751" s="24"/>
      <c r="C751" s="24"/>
      <c r="D751" s="24"/>
      <c r="E751" s="24"/>
      <c r="F751" s="24"/>
      <c r="G751" s="24"/>
      <c r="H751" s="25" t="str">
        <f aca="false">IF($B751="","",IFERROR(IF(INDEX(명단!$B$5:$B$404,MATCH($B751,명단!$A$5:$A$404,0))="","(이름 미입력)",INDEX(명단!$B$5:$B$404,MATCH($B751,명단!$A$5:$A$404,0))),"번호 없음"))</f>
        <v/>
      </c>
      <c r="I751" s="25" t="str">
        <f aca="false">IF($B751="","",IF(COUNTIF($B$5:$B$1004,$B751)&gt;1,"중복 입력",""))</f>
        <v/>
      </c>
    </row>
    <row r="752" customFormat="false" ht="15" hidden="false" customHeight="false" outlineLevel="0" collapsed="false">
      <c r="A752" s="23"/>
      <c r="B752" s="24"/>
      <c r="C752" s="24"/>
      <c r="D752" s="24"/>
      <c r="E752" s="24"/>
      <c r="F752" s="24"/>
      <c r="G752" s="24"/>
      <c r="H752" s="25" t="str">
        <f aca="false">IF($B752="","",IFERROR(IF(INDEX(명단!$B$5:$B$404,MATCH($B752,명단!$A$5:$A$404,0))="","(이름 미입력)",INDEX(명단!$B$5:$B$404,MATCH($B752,명단!$A$5:$A$404,0))),"번호 없음"))</f>
        <v/>
      </c>
      <c r="I752" s="25" t="str">
        <f aca="false">IF($B752="","",IF(COUNTIF($B$5:$B$1004,$B752)&gt;1,"중복 입력",""))</f>
        <v/>
      </c>
    </row>
    <row r="753" customFormat="false" ht="15" hidden="false" customHeight="false" outlineLevel="0" collapsed="false">
      <c r="A753" s="23"/>
      <c r="B753" s="24"/>
      <c r="C753" s="24"/>
      <c r="D753" s="24"/>
      <c r="E753" s="24"/>
      <c r="F753" s="24"/>
      <c r="G753" s="24"/>
      <c r="H753" s="25" t="str">
        <f aca="false">IF($B753="","",IFERROR(IF(INDEX(명단!$B$5:$B$404,MATCH($B753,명단!$A$5:$A$404,0))="","(이름 미입력)",INDEX(명단!$B$5:$B$404,MATCH($B753,명단!$A$5:$A$404,0))),"번호 없음"))</f>
        <v/>
      </c>
      <c r="I753" s="25" t="str">
        <f aca="false">IF($B753="","",IF(COUNTIF($B$5:$B$1004,$B753)&gt;1,"중복 입력",""))</f>
        <v/>
      </c>
    </row>
    <row r="754" customFormat="false" ht="15" hidden="false" customHeight="false" outlineLevel="0" collapsed="false">
      <c r="A754" s="23"/>
      <c r="B754" s="24"/>
      <c r="C754" s="24"/>
      <c r="D754" s="24"/>
      <c r="E754" s="24"/>
      <c r="F754" s="24"/>
      <c r="G754" s="24"/>
      <c r="H754" s="25" t="str">
        <f aca="false">IF($B754="","",IFERROR(IF(INDEX(명단!$B$5:$B$404,MATCH($B754,명단!$A$5:$A$404,0))="","(이름 미입력)",INDEX(명단!$B$5:$B$404,MATCH($B754,명단!$A$5:$A$404,0))),"번호 없음"))</f>
        <v/>
      </c>
      <c r="I754" s="25" t="str">
        <f aca="false">IF($B754="","",IF(COUNTIF($B$5:$B$1004,$B754)&gt;1,"중복 입력",""))</f>
        <v/>
      </c>
    </row>
    <row r="755" customFormat="false" ht="15" hidden="false" customHeight="false" outlineLevel="0" collapsed="false">
      <c r="A755" s="23"/>
      <c r="B755" s="24"/>
      <c r="C755" s="24"/>
      <c r="D755" s="24"/>
      <c r="E755" s="24"/>
      <c r="F755" s="24"/>
      <c r="G755" s="24"/>
      <c r="H755" s="25" t="str">
        <f aca="false">IF($B755="","",IFERROR(IF(INDEX(명단!$B$5:$B$404,MATCH($B755,명단!$A$5:$A$404,0))="","(이름 미입력)",INDEX(명단!$B$5:$B$404,MATCH($B755,명단!$A$5:$A$404,0))),"번호 없음"))</f>
        <v/>
      </c>
      <c r="I755" s="25" t="str">
        <f aca="false">IF($B755="","",IF(COUNTIF($B$5:$B$1004,$B755)&gt;1,"중복 입력",""))</f>
        <v/>
      </c>
    </row>
    <row r="756" customFormat="false" ht="15" hidden="false" customHeight="false" outlineLevel="0" collapsed="false">
      <c r="A756" s="23"/>
      <c r="B756" s="24"/>
      <c r="C756" s="24"/>
      <c r="D756" s="24"/>
      <c r="E756" s="24"/>
      <c r="F756" s="24"/>
      <c r="G756" s="24"/>
      <c r="H756" s="25" t="str">
        <f aca="false">IF($B756="","",IFERROR(IF(INDEX(명단!$B$5:$B$404,MATCH($B756,명단!$A$5:$A$404,0))="","(이름 미입력)",INDEX(명단!$B$5:$B$404,MATCH($B756,명단!$A$5:$A$404,0))),"번호 없음"))</f>
        <v/>
      </c>
      <c r="I756" s="25" t="str">
        <f aca="false">IF($B756="","",IF(COUNTIF($B$5:$B$1004,$B756)&gt;1,"중복 입력",""))</f>
        <v/>
      </c>
    </row>
    <row r="757" customFormat="false" ht="15" hidden="false" customHeight="false" outlineLevel="0" collapsed="false">
      <c r="A757" s="23"/>
      <c r="B757" s="24"/>
      <c r="C757" s="24"/>
      <c r="D757" s="24"/>
      <c r="E757" s="24"/>
      <c r="F757" s="24"/>
      <c r="G757" s="24"/>
      <c r="H757" s="25" t="str">
        <f aca="false">IF($B757="","",IFERROR(IF(INDEX(명단!$B$5:$B$404,MATCH($B757,명단!$A$5:$A$404,0))="","(이름 미입력)",INDEX(명단!$B$5:$B$404,MATCH($B757,명단!$A$5:$A$404,0))),"번호 없음"))</f>
        <v/>
      </c>
      <c r="I757" s="25" t="str">
        <f aca="false">IF($B757="","",IF(COUNTIF($B$5:$B$1004,$B757)&gt;1,"중복 입력",""))</f>
        <v/>
      </c>
    </row>
    <row r="758" customFormat="false" ht="15" hidden="false" customHeight="false" outlineLevel="0" collapsed="false">
      <c r="A758" s="23"/>
      <c r="B758" s="24"/>
      <c r="C758" s="24"/>
      <c r="D758" s="24"/>
      <c r="E758" s="24"/>
      <c r="F758" s="24"/>
      <c r="G758" s="24"/>
      <c r="H758" s="25" t="str">
        <f aca="false">IF($B758="","",IFERROR(IF(INDEX(명단!$B$5:$B$404,MATCH($B758,명단!$A$5:$A$404,0))="","(이름 미입력)",INDEX(명단!$B$5:$B$404,MATCH($B758,명단!$A$5:$A$404,0))),"번호 없음"))</f>
        <v/>
      </c>
      <c r="I758" s="25" t="str">
        <f aca="false">IF($B758="","",IF(COUNTIF($B$5:$B$1004,$B758)&gt;1,"중복 입력",""))</f>
        <v/>
      </c>
    </row>
    <row r="759" customFormat="false" ht="15" hidden="false" customHeight="false" outlineLevel="0" collapsed="false">
      <c r="A759" s="23"/>
      <c r="B759" s="24"/>
      <c r="C759" s="24"/>
      <c r="D759" s="24"/>
      <c r="E759" s="24"/>
      <c r="F759" s="24"/>
      <c r="G759" s="24"/>
      <c r="H759" s="25" t="str">
        <f aca="false">IF($B759="","",IFERROR(IF(INDEX(명단!$B$5:$B$404,MATCH($B759,명단!$A$5:$A$404,0))="","(이름 미입력)",INDEX(명단!$B$5:$B$404,MATCH($B759,명단!$A$5:$A$404,0))),"번호 없음"))</f>
        <v/>
      </c>
      <c r="I759" s="25" t="str">
        <f aca="false">IF($B759="","",IF(COUNTIF($B$5:$B$1004,$B759)&gt;1,"중복 입력",""))</f>
        <v/>
      </c>
    </row>
    <row r="760" customFormat="false" ht="15" hidden="false" customHeight="false" outlineLevel="0" collapsed="false">
      <c r="A760" s="23"/>
      <c r="B760" s="24"/>
      <c r="C760" s="24"/>
      <c r="D760" s="24"/>
      <c r="E760" s="24"/>
      <c r="F760" s="24"/>
      <c r="G760" s="24"/>
      <c r="H760" s="25" t="str">
        <f aca="false">IF($B760="","",IFERROR(IF(INDEX(명단!$B$5:$B$404,MATCH($B760,명단!$A$5:$A$404,0))="","(이름 미입력)",INDEX(명단!$B$5:$B$404,MATCH($B760,명단!$A$5:$A$404,0))),"번호 없음"))</f>
        <v/>
      </c>
      <c r="I760" s="25" t="str">
        <f aca="false">IF($B760="","",IF(COUNTIF($B$5:$B$1004,$B760)&gt;1,"중복 입력",""))</f>
        <v/>
      </c>
    </row>
    <row r="761" customFormat="false" ht="15" hidden="false" customHeight="false" outlineLevel="0" collapsed="false">
      <c r="A761" s="23"/>
      <c r="B761" s="24"/>
      <c r="C761" s="24"/>
      <c r="D761" s="24"/>
      <c r="E761" s="24"/>
      <c r="F761" s="24"/>
      <c r="G761" s="24"/>
      <c r="H761" s="25" t="str">
        <f aca="false">IF($B761="","",IFERROR(IF(INDEX(명단!$B$5:$B$404,MATCH($B761,명단!$A$5:$A$404,0))="","(이름 미입력)",INDEX(명단!$B$5:$B$404,MATCH($B761,명단!$A$5:$A$404,0))),"번호 없음"))</f>
        <v/>
      </c>
      <c r="I761" s="25" t="str">
        <f aca="false">IF($B761="","",IF(COUNTIF($B$5:$B$1004,$B761)&gt;1,"중복 입력",""))</f>
        <v/>
      </c>
    </row>
    <row r="762" customFormat="false" ht="15" hidden="false" customHeight="false" outlineLevel="0" collapsed="false">
      <c r="A762" s="23"/>
      <c r="B762" s="24"/>
      <c r="C762" s="24"/>
      <c r="D762" s="24"/>
      <c r="E762" s="24"/>
      <c r="F762" s="24"/>
      <c r="G762" s="24"/>
      <c r="H762" s="25" t="str">
        <f aca="false">IF($B762="","",IFERROR(IF(INDEX(명단!$B$5:$B$404,MATCH($B762,명단!$A$5:$A$404,0))="","(이름 미입력)",INDEX(명단!$B$5:$B$404,MATCH($B762,명단!$A$5:$A$404,0))),"번호 없음"))</f>
        <v/>
      </c>
      <c r="I762" s="25" t="str">
        <f aca="false">IF($B762="","",IF(COUNTIF($B$5:$B$1004,$B762)&gt;1,"중복 입력",""))</f>
        <v/>
      </c>
    </row>
    <row r="763" customFormat="false" ht="15" hidden="false" customHeight="false" outlineLevel="0" collapsed="false">
      <c r="A763" s="23"/>
      <c r="B763" s="24"/>
      <c r="C763" s="24"/>
      <c r="D763" s="24"/>
      <c r="E763" s="24"/>
      <c r="F763" s="24"/>
      <c r="G763" s="24"/>
      <c r="H763" s="25" t="str">
        <f aca="false">IF($B763="","",IFERROR(IF(INDEX(명단!$B$5:$B$404,MATCH($B763,명단!$A$5:$A$404,0))="","(이름 미입력)",INDEX(명단!$B$5:$B$404,MATCH($B763,명단!$A$5:$A$404,0))),"번호 없음"))</f>
        <v/>
      </c>
      <c r="I763" s="25" t="str">
        <f aca="false">IF($B763="","",IF(COUNTIF($B$5:$B$1004,$B763)&gt;1,"중복 입력",""))</f>
        <v/>
      </c>
    </row>
    <row r="764" customFormat="false" ht="15" hidden="false" customHeight="false" outlineLevel="0" collapsed="false">
      <c r="A764" s="23"/>
      <c r="B764" s="24"/>
      <c r="C764" s="24"/>
      <c r="D764" s="24"/>
      <c r="E764" s="24"/>
      <c r="F764" s="24"/>
      <c r="G764" s="24"/>
      <c r="H764" s="25" t="str">
        <f aca="false">IF($B764="","",IFERROR(IF(INDEX(명단!$B$5:$B$404,MATCH($B764,명단!$A$5:$A$404,0))="","(이름 미입력)",INDEX(명단!$B$5:$B$404,MATCH($B764,명단!$A$5:$A$404,0))),"번호 없음"))</f>
        <v/>
      </c>
      <c r="I764" s="25" t="str">
        <f aca="false">IF($B764="","",IF(COUNTIF($B$5:$B$1004,$B764)&gt;1,"중복 입력",""))</f>
        <v/>
      </c>
    </row>
    <row r="765" customFormat="false" ht="15" hidden="false" customHeight="false" outlineLevel="0" collapsed="false">
      <c r="A765" s="23"/>
      <c r="B765" s="24"/>
      <c r="C765" s="24"/>
      <c r="D765" s="24"/>
      <c r="E765" s="24"/>
      <c r="F765" s="24"/>
      <c r="G765" s="24"/>
      <c r="H765" s="25" t="str">
        <f aca="false">IF($B765="","",IFERROR(IF(INDEX(명단!$B$5:$B$404,MATCH($B765,명단!$A$5:$A$404,0))="","(이름 미입력)",INDEX(명단!$B$5:$B$404,MATCH($B765,명단!$A$5:$A$404,0))),"번호 없음"))</f>
        <v/>
      </c>
      <c r="I765" s="25" t="str">
        <f aca="false">IF($B765="","",IF(COUNTIF($B$5:$B$1004,$B765)&gt;1,"중복 입력",""))</f>
        <v/>
      </c>
    </row>
    <row r="766" customFormat="false" ht="15" hidden="false" customHeight="false" outlineLevel="0" collapsed="false">
      <c r="A766" s="23"/>
      <c r="B766" s="24"/>
      <c r="C766" s="24"/>
      <c r="D766" s="24"/>
      <c r="E766" s="24"/>
      <c r="F766" s="24"/>
      <c r="G766" s="24"/>
      <c r="H766" s="25" t="str">
        <f aca="false">IF($B766="","",IFERROR(IF(INDEX(명단!$B$5:$B$404,MATCH($B766,명단!$A$5:$A$404,0))="","(이름 미입력)",INDEX(명단!$B$5:$B$404,MATCH($B766,명단!$A$5:$A$404,0))),"번호 없음"))</f>
        <v/>
      </c>
      <c r="I766" s="25" t="str">
        <f aca="false">IF($B766="","",IF(COUNTIF($B$5:$B$1004,$B766)&gt;1,"중복 입력",""))</f>
        <v/>
      </c>
    </row>
    <row r="767" customFormat="false" ht="15" hidden="false" customHeight="false" outlineLevel="0" collapsed="false">
      <c r="A767" s="23"/>
      <c r="B767" s="24"/>
      <c r="C767" s="24"/>
      <c r="D767" s="24"/>
      <c r="E767" s="24"/>
      <c r="F767" s="24"/>
      <c r="G767" s="24"/>
      <c r="H767" s="25" t="str">
        <f aca="false">IF($B767="","",IFERROR(IF(INDEX(명단!$B$5:$B$404,MATCH($B767,명단!$A$5:$A$404,0))="","(이름 미입력)",INDEX(명단!$B$5:$B$404,MATCH($B767,명단!$A$5:$A$404,0))),"번호 없음"))</f>
        <v/>
      </c>
      <c r="I767" s="25" t="str">
        <f aca="false">IF($B767="","",IF(COUNTIF($B$5:$B$1004,$B767)&gt;1,"중복 입력",""))</f>
        <v/>
      </c>
    </row>
    <row r="768" customFormat="false" ht="15" hidden="false" customHeight="false" outlineLevel="0" collapsed="false">
      <c r="A768" s="23"/>
      <c r="B768" s="24"/>
      <c r="C768" s="24"/>
      <c r="D768" s="24"/>
      <c r="E768" s="24"/>
      <c r="F768" s="24"/>
      <c r="G768" s="24"/>
      <c r="H768" s="25" t="str">
        <f aca="false">IF($B768="","",IFERROR(IF(INDEX(명단!$B$5:$B$404,MATCH($B768,명단!$A$5:$A$404,0))="","(이름 미입력)",INDEX(명단!$B$5:$B$404,MATCH($B768,명단!$A$5:$A$404,0))),"번호 없음"))</f>
        <v/>
      </c>
      <c r="I768" s="25" t="str">
        <f aca="false">IF($B768="","",IF(COUNTIF($B$5:$B$1004,$B768)&gt;1,"중복 입력",""))</f>
        <v/>
      </c>
    </row>
    <row r="769" customFormat="false" ht="15" hidden="false" customHeight="false" outlineLevel="0" collapsed="false">
      <c r="A769" s="23"/>
      <c r="B769" s="24"/>
      <c r="C769" s="24"/>
      <c r="D769" s="24"/>
      <c r="E769" s="24"/>
      <c r="F769" s="24"/>
      <c r="G769" s="24"/>
      <c r="H769" s="25" t="str">
        <f aca="false">IF($B769="","",IFERROR(IF(INDEX(명단!$B$5:$B$404,MATCH($B769,명단!$A$5:$A$404,0))="","(이름 미입력)",INDEX(명단!$B$5:$B$404,MATCH($B769,명단!$A$5:$A$404,0))),"번호 없음"))</f>
        <v/>
      </c>
      <c r="I769" s="25" t="str">
        <f aca="false">IF($B769="","",IF(COUNTIF($B$5:$B$1004,$B769)&gt;1,"중복 입력",""))</f>
        <v/>
      </c>
    </row>
    <row r="770" customFormat="false" ht="15" hidden="false" customHeight="false" outlineLevel="0" collapsed="false">
      <c r="A770" s="23"/>
      <c r="B770" s="24"/>
      <c r="C770" s="24"/>
      <c r="D770" s="24"/>
      <c r="E770" s="24"/>
      <c r="F770" s="24"/>
      <c r="G770" s="24"/>
      <c r="H770" s="25" t="str">
        <f aca="false">IF($B770="","",IFERROR(IF(INDEX(명단!$B$5:$B$404,MATCH($B770,명단!$A$5:$A$404,0))="","(이름 미입력)",INDEX(명단!$B$5:$B$404,MATCH($B770,명단!$A$5:$A$404,0))),"번호 없음"))</f>
        <v/>
      </c>
      <c r="I770" s="25" t="str">
        <f aca="false">IF($B770="","",IF(COUNTIF($B$5:$B$1004,$B770)&gt;1,"중복 입력",""))</f>
        <v/>
      </c>
    </row>
    <row r="771" customFormat="false" ht="15" hidden="false" customHeight="false" outlineLevel="0" collapsed="false">
      <c r="A771" s="23"/>
      <c r="B771" s="24"/>
      <c r="C771" s="24"/>
      <c r="D771" s="24"/>
      <c r="E771" s="24"/>
      <c r="F771" s="24"/>
      <c r="G771" s="24"/>
      <c r="H771" s="25" t="str">
        <f aca="false">IF($B771="","",IFERROR(IF(INDEX(명단!$B$5:$B$404,MATCH($B771,명단!$A$5:$A$404,0))="","(이름 미입력)",INDEX(명단!$B$5:$B$404,MATCH($B771,명단!$A$5:$A$404,0))),"번호 없음"))</f>
        <v/>
      </c>
      <c r="I771" s="25" t="str">
        <f aca="false">IF($B771="","",IF(COUNTIF($B$5:$B$1004,$B771)&gt;1,"중복 입력",""))</f>
        <v/>
      </c>
    </row>
    <row r="772" customFormat="false" ht="15" hidden="false" customHeight="false" outlineLevel="0" collapsed="false">
      <c r="A772" s="23"/>
      <c r="B772" s="24"/>
      <c r="C772" s="24"/>
      <c r="D772" s="24"/>
      <c r="E772" s="24"/>
      <c r="F772" s="24"/>
      <c r="G772" s="24"/>
      <c r="H772" s="25" t="str">
        <f aca="false">IF($B772="","",IFERROR(IF(INDEX(명단!$B$5:$B$404,MATCH($B772,명단!$A$5:$A$404,0))="","(이름 미입력)",INDEX(명단!$B$5:$B$404,MATCH($B772,명단!$A$5:$A$404,0))),"번호 없음"))</f>
        <v/>
      </c>
      <c r="I772" s="25" t="str">
        <f aca="false">IF($B772="","",IF(COUNTIF($B$5:$B$1004,$B772)&gt;1,"중복 입력",""))</f>
        <v/>
      </c>
    </row>
    <row r="773" customFormat="false" ht="15" hidden="false" customHeight="false" outlineLevel="0" collapsed="false">
      <c r="A773" s="23"/>
      <c r="B773" s="24"/>
      <c r="C773" s="24"/>
      <c r="D773" s="24"/>
      <c r="E773" s="24"/>
      <c r="F773" s="24"/>
      <c r="G773" s="24"/>
      <c r="H773" s="25" t="str">
        <f aca="false">IF($B773="","",IFERROR(IF(INDEX(명단!$B$5:$B$404,MATCH($B773,명단!$A$5:$A$404,0))="","(이름 미입력)",INDEX(명단!$B$5:$B$404,MATCH($B773,명단!$A$5:$A$404,0))),"번호 없음"))</f>
        <v/>
      </c>
      <c r="I773" s="25" t="str">
        <f aca="false">IF($B773="","",IF(COUNTIF($B$5:$B$1004,$B773)&gt;1,"중복 입력",""))</f>
        <v/>
      </c>
    </row>
    <row r="774" customFormat="false" ht="15" hidden="false" customHeight="false" outlineLevel="0" collapsed="false">
      <c r="A774" s="23"/>
      <c r="B774" s="24"/>
      <c r="C774" s="24"/>
      <c r="D774" s="24"/>
      <c r="E774" s="24"/>
      <c r="F774" s="24"/>
      <c r="G774" s="24"/>
      <c r="H774" s="25" t="str">
        <f aca="false">IF($B774="","",IFERROR(IF(INDEX(명단!$B$5:$B$404,MATCH($B774,명단!$A$5:$A$404,0))="","(이름 미입력)",INDEX(명단!$B$5:$B$404,MATCH($B774,명단!$A$5:$A$404,0))),"번호 없음"))</f>
        <v/>
      </c>
      <c r="I774" s="25" t="str">
        <f aca="false">IF($B774="","",IF(COUNTIF($B$5:$B$1004,$B774)&gt;1,"중복 입력",""))</f>
        <v/>
      </c>
    </row>
    <row r="775" customFormat="false" ht="15" hidden="false" customHeight="false" outlineLevel="0" collapsed="false">
      <c r="A775" s="23"/>
      <c r="B775" s="24"/>
      <c r="C775" s="24"/>
      <c r="D775" s="24"/>
      <c r="E775" s="24"/>
      <c r="F775" s="24"/>
      <c r="G775" s="24"/>
      <c r="H775" s="25" t="str">
        <f aca="false">IF($B775="","",IFERROR(IF(INDEX(명단!$B$5:$B$404,MATCH($B775,명단!$A$5:$A$404,0))="","(이름 미입력)",INDEX(명단!$B$5:$B$404,MATCH($B775,명단!$A$5:$A$404,0))),"번호 없음"))</f>
        <v/>
      </c>
      <c r="I775" s="25" t="str">
        <f aca="false">IF($B775="","",IF(COUNTIF($B$5:$B$1004,$B775)&gt;1,"중복 입력",""))</f>
        <v/>
      </c>
    </row>
    <row r="776" customFormat="false" ht="15" hidden="false" customHeight="false" outlineLevel="0" collapsed="false">
      <c r="A776" s="23"/>
      <c r="B776" s="24"/>
      <c r="C776" s="24"/>
      <c r="D776" s="24"/>
      <c r="E776" s="24"/>
      <c r="F776" s="24"/>
      <c r="G776" s="24"/>
      <c r="H776" s="25" t="str">
        <f aca="false">IF($B776="","",IFERROR(IF(INDEX(명단!$B$5:$B$404,MATCH($B776,명단!$A$5:$A$404,0))="","(이름 미입력)",INDEX(명단!$B$5:$B$404,MATCH($B776,명단!$A$5:$A$404,0))),"번호 없음"))</f>
        <v/>
      </c>
      <c r="I776" s="25" t="str">
        <f aca="false">IF($B776="","",IF(COUNTIF($B$5:$B$1004,$B776)&gt;1,"중복 입력",""))</f>
        <v/>
      </c>
    </row>
    <row r="777" customFormat="false" ht="15" hidden="false" customHeight="false" outlineLevel="0" collapsed="false">
      <c r="A777" s="23"/>
      <c r="B777" s="24"/>
      <c r="C777" s="24"/>
      <c r="D777" s="24"/>
      <c r="E777" s="24"/>
      <c r="F777" s="24"/>
      <c r="G777" s="24"/>
      <c r="H777" s="25" t="str">
        <f aca="false">IF($B777="","",IFERROR(IF(INDEX(명단!$B$5:$B$404,MATCH($B777,명단!$A$5:$A$404,0))="","(이름 미입력)",INDEX(명단!$B$5:$B$404,MATCH($B777,명단!$A$5:$A$404,0))),"번호 없음"))</f>
        <v/>
      </c>
      <c r="I777" s="25" t="str">
        <f aca="false">IF($B777="","",IF(COUNTIF($B$5:$B$1004,$B777)&gt;1,"중복 입력",""))</f>
        <v/>
      </c>
    </row>
    <row r="778" customFormat="false" ht="15" hidden="false" customHeight="false" outlineLevel="0" collapsed="false">
      <c r="A778" s="23"/>
      <c r="B778" s="24"/>
      <c r="C778" s="24"/>
      <c r="D778" s="24"/>
      <c r="E778" s="24"/>
      <c r="F778" s="24"/>
      <c r="G778" s="24"/>
      <c r="H778" s="25" t="str">
        <f aca="false">IF($B778="","",IFERROR(IF(INDEX(명단!$B$5:$B$404,MATCH($B778,명단!$A$5:$A$404,0))="","(이름 미입력)",INDEX(명단!$B$5:$B$404,MATCH($B778,명단!$A$5:$A$404,0))),"번호 없음"))</f>
        <v/>
      </c>
      <c r="I778" s="25" t="str">
        <f aca="false">IF($B778="","",IF(COUNTIF($B$5:$B$1004,$B778)&gt;1,"중복 입력",""))</f>
        <v/>
      </c>
    </row>
    <row r="779" customFormat="false" ht="15" hidden="false" customHeight="false" outlineLevel="0" collapsed="false">
      <c r="A779" s="23"/>
      <c r="B779" s="24"/>
      <c r="C779" s="24"/>
      <c r="D779" s="24"/>
      <c r="E779" s="24"/>
      <c r="F779" s="24"/>
      <c r="G779" s="24"/>
      <c r="H779" s="25" t="str">
        <f aca="false">IF($B779="","",IFERROR(IF(INDEX(명단!$B$5:$B$404,MATCH($B779,명단!$A$5:$A$404,0))="","(이름 미입력)",INDEX(명단!$B$5:$B$404,MATCH($B779,명단!$A$5:$A$404,0))),"번호 없음"))</f>
        <v/>
      </c>
      <c r="I779" s="25" t="str">
        <f aca="false">IF($B779="","",IF(COUNTIF($B$5:$B$1004,$B779)&gt;1,"중복 입력",""))</f>
        <v/>
      </c>
    </row>
    <row r="780" customFormat="false" ht="15" hidden="false" customHeight="false" outlineLevel="0" collapsed="false">
      <c r="A780" s="23"/>
      <c r="B780" s="24"/>
      <c r="C780" s="24"/>
      <c r="D780" s="24"/>
      <c r="E780" s="24"/>
      <c r="F780" s="24"/>
      <c r="G780" s="24"/>
      <c r="H780" s="25" t="str">
        <f aca="false">IF($B780="","",IFERROR(IF(INDEX(명단!$B$5:$B$404,MATCH($B780,명단!$A$5:$A$404,0))="","(이름 미입력)",INDEX(명단!$B$5:$B$404,MATCH($B780,명단!$A$5:$A$404,0))),"번호 없음"))</f>
        <v/>
      </c>
      <c r="I780" s="25" t="str">
        <f aca="false">IF($B780="","",IF(COUNTIF($B$5:$B$1004,$B780)&gt;1,"중복 입력",""))</f>
        <v/>
      </c>
    </row>
    <row r="781" customFormat="false" ht="15" hidden="false" customHeight="false" outlineLevel="0" collapsed="false">
      <c r="A781" s="23"/>
      <c r="B781" s="24"/>
      <c r="C781" s="24"/>
      <c r="D781" s="24"/>
      <c r="E781" s="24"/>
      <c r="F781" s="24"/>
      <c r="G781" s="24"/>
      <c r="H781" s="25" t="str">
        <f aca="false">IF($B781="","",IFERROR(IF(INDEX(명단!$B$5:$B$404,MATCH($B781,명단!$A$5:$A$404,0))="","(이름 미입력)",INDEX(명단!$B$5:$B$404,MATCH($B781,명단!$A$5:$A$404,0))),"번호 없음"))</f>
        <v/>
      </c>
      <c r="I781" s="25" t="str">
        <f aca="false">IF($B781="","",IF(COUNTIF($B$5:$B$1004,$B781)&gt;1,"중복 입력",""))</f>
        <v/>
      </c>
    </row>
    <row r="782" customFormat="false" ht="15" hidden="false" customHeight="false" outlineLevel="0" collapsed="false">
      <c r="A782" s="23"/>
      <c r="B782" s="24"/>
      <c r="C782" s="24"/>
      <c r="D782" s="24"/>
      <c r="E782" s="24"/>
      <c r="F782" s="24"/>
      <c r="G782" s="24"/>
      <c r="H782" s="25" t="str">
        <f aca="false">IF($B782="","",IFERROR(IF(INDEX(명단!$B$5:$B$404,MATCH($B782,명단!$A$5:$A$404,0))="","(이름 미입력)",INDEX(명단!$B$5:$B$404,MATCH($B782,명단!$A$5:$A$404,0))),"번호 없음"))</f>
        <v/>
      </c>
      <c r="I782" s="25" t="str">
        <f aca="false">IF($B782="","",IF(COUNTIF($B$5:$B$1004,$B782)&gt;1,"중복 입력",""))</f>
        <v/>
      </c>
    </row>
    <row r="783" customFormat="false" ht="15" hidden="false" customHeight="false" outlineLevel="0" collapsed="false">
      <c r="A783" s="23"/>
      <c r="B783" s="24"/>
      <c r="C783" s="24"/>
      <c r="D783" s="24"/>
      <c r="E783" s="24"/>
      <c r="F783" s="24"/>
      <c r="G783" s="24"/>
      <c r="H783" s="25" t="str">
        <f aca="false">IF($B783="","",IFERROR(IF(INDEX(명단!$B$5:$B$404,MATCH($B783,명단!$A$5:$A$404,0))="","(이름 미입력)",INDEX(명단!$B$5:$B$404,MATCH($B783,명단!$A$5:$A$404,0))),"번호 없음"))</f>
        <v/>
      </c>
      <c r="I783" s="25" t="str">
        <f aca="false">IF($B783="","",IF(COUNTIF($B$5:$B$1004,$B783)&gt;1,"중복 입력",""))</f>
        <v/>
      </c>
    </row>
    <row r="784" customFormat="false" ht="15" hidden="false" customHeight="false" outlineLevel="0" collapsed="false">
      <c r="A784" s="23"/>
      <c r="B784" s="24"/>
      <c r="C784" s="24"/>
      <c r="D784" s="24"/>
      <c r="E784" s="24"/>
      <c r="F784" s="24"/>
      <c r="G784" s="24"/>
      <c r="H784" s="25" t="str">
        <f aca="false">IF($B784="","",IFERROR(IF(INDEX(명단!$B$5:$B$404,MATCH($B784,명단!$A$5:$A$404,0))="","(이름 미입력)",INDEX(명단!$B$5:$B$404,MATCH($B784,명단!$A$5:$A$404,0))),"번호 없음"))</f>
        <v/>
      </c>
      <c r="I784" s="25" t="str">
        <f aca="false">IF($B784="","",IF(COUNTIF($B$5:$B$1004,$B784)&gt;1,"중복 입력",""))</f>
        <v/>
      </c>
    </row>
    <row r="785" customFormat="false" ht="15" hidden="false" customHeight="false" outlineLevel="0" collapsed="false">
      <c r="A785" s="23"/>
      <c r="B785" s="24"/>
      <c r="C785" s="24"/>
      <c r="D785" s="24"/>
      <c r="E785" s="24"/>
      <c r="F785" s="24"/>
      <c r="G785" s="24"/>
      <c r="H785" s="25" t="str">
        <f aca="false">IF($B785="","",IFERROR(IF(INDEX(명단!$B$5:$B$404,MATCH($B785,명단!$A$5:$A$404,0))="","(이름 미입력)",INDEX(명단!$B$5:$B$404,MATCH($B785,명단!$A$5:$A$404,0))),"번호 없음"))</f>
        <v/>
      </c>
      <c r="I785" s="25" t="str">
        <f aca="false">IF($B785="","",IF(COUNTIF($B$5:$B$1004,$B785)&gt;1,"중복 입력",""))</f>
        <v/>
      </c>
    </row>
    <row r="786" customFormat="false" ht="15" hidden="false" customHeight="false" outlineLevel="0" collapsed="false">
      <c r="A786" s="23"/>
      <c r="B786" s="24"/>
      <c r="C786" s="24"/>
      <c r="D786" s="24"/>
      <c r="E786" s="24"/>
      <c r="F786" s="24"/>
      <c r="G786" s="24"/>
      <c r="H786" s="25" t="str">
        <f aca="false">IF($B786="","",IFERROR(IF(INDEX(명단!$B$5:$B$404,MATCH($B786,명단!$A$5:$A$404,0))="","(이름 미입력)",INDEX(명단!$B$5:$B$404,MATCH($B786,명단!$A$5:$A$404,0))),"번호 없음"))</f>
        <v/>
      </c>
      <c r="I786" s="25" t="str">
        <f aca="false">IF($B786="","",IF(COUNTIF($B$5:$B$1004,$B786)&gt;1,"중복 입력",""))</f>
        <v/>
      </c>
    </row>
    <row r="787" customFormat="false" ht="15" hidden="false" customHeight="false" outlineLevel="0" collapsed="false">
      <c r="A787" s="23"/>
      <c r="B787" s="24"/>
      <c r="C787" s="24"/>
      <c r="D787" s="24"/>
      <c r="E787" s="24"/>
      <c r="F787" s="24"/>
      <c r="G787" s="24"/>
      <c r="H787" s="25" t="str">
        <f aca="false">IF($B787="","",IFERROR(IF(INDEX(명단!$B$5:$B$404,MATCH($B787,명단!$A$5:$A$404,0))="","(이름 미입력)",INDEX(명단!$B$5:$B$404,MATCH($B787,명단!$A$5:$A$404,0))),"번호 없음"))</f>
        <v/>
      </c>
      <c r="I787" s="25" t="str">
        <f aca="false">IF($B787="","",IF(COUNTIF($B$5:$B$1004,$B787)&gt;1,"중복 입력",""))</f>
        <v/>
      </c>
    </row>
    <row r="788" customFormat="false" ht="15" hidden="false" customHeight="false" outlineLevel="0" collapsed="false">
      <c r="A788" s="23"/>
      <c r="B788" s="24"/>
      <c r="C788" s="24"/>
      <c r="D788" s="24"/>
      <c r="E788" s="24"/>
      <c r="F788" s="24"/>
      <c r="G788" s="24"/>
      <c r="H788" s="25" t="str">
        <f aca="false">IF($B788="","",IFERROR(IF(INDEX(명단!$B$5:$B$404,MATCH($B788,명단!$A$5:$A$404,0))="","(이름 미입력)",INDEX(명단!$B$5:$B$404,MATCH($B788,명단!$A$5:$A$404,0))),"번호 없음"))</f>
        <v/>
      </c>
      <c r="I788" s="25" t="str">
        <f aca="false">IF($B788="","",IF(COUNTIF($B$5:$B$1004,$B788)&gt;1,"중복 입력",""))</f>
        <v/>
      </c>
    </row>
    <row r="789" customFormat="false" ht="15" hidden="false" customHeight="false" outlineLevel="0" collapsed="false">
      <c r="A789" s="23"/>
      <c r="B789" s="24"/>
      <c r="C789" s="24"/>
      <c r="D789" s="24"/>
      <c r="E789" s="24"/>
      <c r="F789" s="24"/>
      <c r="G789" s="24"/>
      <c r="H789" s="25" t="str">
        <f aca="false">IF($B789="","",IFERROR(IF(INDEX(명단!$B$5:$B$404,MATCH($B789,명단!$A$5:$A$404,0))="","(이름 미입력)",INDEX(명단!$B$5:$B$404,MATCH($B789,명단!$A$5:$A$404,0))),"번호 없음"))</f>
        <v/>
      </c>
      <c r="I789" s="25" t="str">
        <f aca="false">IF($B789="","",IF(COUNTIF($B$5:$B$1004,$B789)&gt;1,"중복 입력",""))</f>
        <v/>
      </c>
    </row>
    <row r="790" customFormat="false" ht="15" hidden="false" customHeight="false" outlineLevel="0" collapsed="false">
      <c r="A790" s="23"/>
      <c r="B790" s="24"/>
      <c r="C790" s="24"/>
      <c r="D790" s="24"/>
      <c r="E790" s="24"/>
      <c r="F790" s="24"/>
      <c r="G790" s="24"/>
      <c r="H790" s="25" t="str">
        <f aca="false">IF($B790="","",IFERROR(IF(INDEX(명단!$B$5:$B$404,MATCH($B790,명단!$A$5:$A$404,0))="","(이름 미입력)",INDEX(명단!$B$5:$B$404,MATCH($B790,명단!$A$5:$A$404,0))),"번호 없음"))</f>
        <v/>
      </c>
      <c r="I790" s="25" t="str">
        <f aca="false">IF($B790="","",IF(COUNTIF($B$5:$B$1004,$B790)&gt;1,"중복 입력",""))</f>
        <v/>
      </c>
    </row>
    <row r="791" customFormat="false" ht="15" hidden="false" customHeight="false" outlineLevel="0" collapsed="false">
      <c r="A791" s="23"/>
      <c r="B791" s="24"/>
      <c r="C791" s="24"/>
      <c r="D791" s="24"/>
      <c r="E791" s="24"/>
      <c r="F791" s="24"/>
      <c r="G791" s="24"/>
      <c r="H791" s="25" t="str">
        <f aca="false">IF($B791="","",IFERROR(IF(INDEX(명단!$B$5:$B$404,MATCH($B791,명단!$A$5:$A$404,0))="","(이름 미입력)",INDEX(명단!$B$5:$B$404,MATCH($B791,명단!$A$5:$A$404,0))),"번호 없음"))</f>
        <v/>
      </c>
      <c r="I791" s="25" t="str">
        <f aca="false">IF($B791="","",IF(COUNTIF($B$5:$B$1004,$B791)&gt;1,"중복 입력",""))</f>
        <v/>
      </c>
    </row>
    <row r="792" customFormat="false" ht="15" hidden="false" customHeight="false" outlineLevel="0" collapsed="false">
      <c r="A792" s="23"/>
      <c r="B792" s="24"/>
      <c r="C792" s="24"/>
      <c r="D792" s="24"/>
      <c r="E792" s="24"/>
      <c r="F792" s="24"/>
      <c r="G792" s="24"/>
      <c r="H792" s="25" t="str">
        <f aca="false">IF($B792="","",IFERROR(IF(INDEX(명단!$B$5:$B$404,MATCH($B792,명단!$A$5:$A$404,0))="","(이름 미입력)",INDEX(명단!$B$5:$B$404,MATCH($B792,명단!$A$5:$A$404,0))),"번호 없음"))</f>
        <v/>
      </c>
      <c r="I792" s="25" t="str">
        <f aca="false">IF($B792="","",IF(COUNTIF($B$5:$B$1004,$B792)&gt;1,"중복 입력",""))</f>
        <v/>
      </c>
    </row>
    <row r="793" customFormat="false" ht="15" hidden="false" customHeight="false" outlineLevel="0" collapsed="false">
      <c r="A793" s="23"/>
      <c r="B793" s="24"/>
      <c r="C793" s="24"/>
      <c r="D793" s="24"/>
      <c r="E793" s="24"/>
      <c r="F793" s="24"/>
      <c r="G793" s="24"/>
      <c r="H793" s="25" t="str">
        <f aca="false">IF($B793="","",IFERROR(IF(INDEX(명단!$B$5:$B$404,MATCH($B793,명단!$A$5:$A$404,0))="","(이름 미입력)",INDEX(명단!$B$5:$B$404,MATCH($B793,명단!$A$5:$A$404,0))),"번호 없음"))</f>
        <v/>
      </c>
      <c r="I793" s="25" t="str">
        <f aca="false">IF($B793="","",IF(COUNTIF($B$5:$B$1004,$B793)&gt;1,"중복 입력",""))</f>
        <v/>
      </c>
    </row>
    <row r="794" customFormat="false" ht="15" hidden="false" customHeight="false" outlineLevel="0" collapsed="false">
      <c r="A794" s="23"/>
      <c r="B794" s="24"/>
      <c r="C794" s="24"/>
      <c r="D794" s="24"/>
      <c r="E794" s="24"/>
      <c r="F794" s="24"/>
      <c r="G794" s="24"/>
      <c r="H794" s="25" t="str">
        <f aca="false">IF($B794="","",IFERROR(IF(INDEX(명단!$B$5:$B$404,MATCH($B794,명단!$A$5:$A$404,0))="","(이름 미입력)",INDEX(명단!$B$5:$B$404,MATCH($B794,명단!$A$5:$A$404,0))),"번호 없음"))</f>
        <v/>
      </c>
      <c r="I794" s="25" t="str">
        <f aca="false">IF($B794="","",IF(COUNTIF($B$5:$B$1004,$B794)&gt;1,"중복 입력",""))</f>
        <v/>
      </c>
    </row>
    <row r="795" customFormat="false" ht="15" hidden="false" customHeight="false" outlineLevel="0" collapsed="false">
      <c r="A795" s="23"/>
      <c r="B795" s="24"/>
      <c r="C795" s="24"/>
      <c r="D795" s="24"/>
      <c r="E795" s="24"/>
      <c r="F795" s="24"/>
      <c r="G795" s="24"/>
      <c r="H795" s="25" t="str">
        <f aca="false">IF($B795="","",IFERROR(IF(INDEX(명단!$B$5:$B$404,MATCH($B795,명단!$A$5:$A$404,0))="","(이름 미입력)",INDEX(명단!$B$5:$B$404,MATCH($B795,명단!$A$5:$A$404,0))),"번호 없음"))</f>
        <v/>
      </c>
      <c r="I795" s="25" t="str">
        <f aca="false">IF($B795="","",IF(COUNTIF($B$5:$B$1004,$B795)&gt;1,"중복 입력",""))</f>
        <v/>
      </c>
    </row>
    <row r="796" customFormat="false" ht="15" hidden="false" customHeight="false" outlineLevel="0" collapsed="false">
      <c r="A796" s="23"/>
      <c r="B796" s="24"/>
      <c r="C796" s="24"/>
      <c r="D796" s="24"/>
      <c r="E796" s="24"/>
      <c r="F796" s="24"/>
      <c r="G796" s="24"/>
      <c r="H796" s="25" t="str">
        <f aca="false">IF($B796="","",IFERROR(IF(INDEX(명단!$B$5:$B$404,MATCH($B796,명단!$A$5:$A$404,0))="","(이름 미입력)",INDEX(명단!$B$5:$B$404,MATCH($B796,명단!$A$5:$A$404,0))),"번호 없음"))</f>
        <v/>
      </c>
      <c r="I796" s="25" t="str">
        <f aca="false">IF($B796="","",IF(COUNTIF($B$5:$B$1004,$B796)&gt;1,"중복 입력",""))</f>
        <v/>
      </c>
    </row>
    <row r="797" customFormat="false" ht="15" hidden="false" customHeight="false" outlineLevel="0" collapsed="false">
      <c r="A797" s="23"/>
      <c r="B797" s="24"/>
      <c r="C797" s="24"/>
      <c r="D797" s="24"/>
      <c r="E797" s="24"/>
      <c r="F797" s="24"/>
      <c r="G797" s="24"/>
      <c r="H797" s="25" t="str">
        <f aca="false">IF($B797="","",IFERROR(IF(INDEX(명단!$B$5:$B$404,MATCH($B797,명단!$A$5:$A$404,0))="","(이름 미입력)",INDEX(명단!$B$5:$B$404,MATCH($B797,명단!$A$5:$A$404,0))),"번호 없음"))</f>
        <v/>
      </c>
      <c r="I797" s="25" t="str">
        <f aca="false">IF($B797="","",IF(COUNTIF($B$5:$B$1004,$B797)&gt;1,"중복 입력",""))</f>
        <v/>
      </c>
    </row>
    <row r="798" customFormat="false" ht="15" hidden="false" customHeight="false" outlineLevel="0" collapsed="false">
      <c r="A798" s="23"/>
      <c r="B798" s="24"/>
      <c r="C798" s="24"/>
      <c r="D798" s="24"/>
      <c r="E798" s="24"/>
      <c r="F798" s="24"/>
      <c r="G798" s="24"/>
      <c r="H798" s="25" t="str">
        <f aca="false">IF($B798="","",IFERROR(IF(INDEX(명단!$B$5:$B$404,MATCH($B798,명단!$A$5:$A$404,0))="","(이름 미입력)",INDEX(명단!$B$5:$B$404,MATCH($B798,명단!$A$5:$A$404,0))),"번호 없음"))</f>
        <v/>
      </c>
      <c r="I798" s="25" t="str">
        <f aca="false">IF($B798="","",IF(COUNTIF($B$5:$B$1004,$B798)&gt;1,"중복 입력",""))</f>
        <v/>
      </c>
    </row>
    <row r="799" customFormat="false" ht="15" hidden="false" customHeight="false" outlineLevel="0" collapsed="false">
      <c r="A799" s="23"/>
      <c r="B799" s="24"/>
      <c r="C799" s="24"/>
      <c r="D799" s="24"/>
      <c r="E799" s="24"/>
      <c r="F799" s="24"/>
      <c r="G799" s="24"/>
      <c r="H799" s="25" t="str">
        <f aca="false">IF($B799="","",IFERROR(IF(INDEX(명단!$B$5:$B$404,MATCH($B799,명단!$A$5:$A$404,0))="","(이름 미입력)",INDEX(명단!$B$5:$B$404,MATCH($B799,명단!$A$5:$A$404,0))),"번호 없음"))</f>
        <v/>
      </c>
      <c r="I799" s="25" t="str">
        <f aca="false">IF($B799="","",IF(COUNTIF($B$5:$B$1004,$B799)&gt;1,"중복 입력",""))</f>
        <v/>
      </c>
    </row>
    <row r="800" customFormat="false" ht="15" hidden="false" customHeight="false" outlineLevel="0" collapsed="false">
      <c r="A800" s="23"/>
      <c r="B800" s="24"/>
      <c r="C800" s="24"/>
      <c r="D800" s="24"/>
      <c r="E800" s="24"/>
      <c r="F800" s="24"/>
      <c r="G800" s="24"/>
      <c r="H800" s="25" t="str">
        <f aca="false">IF($B800="","",IFERROR(IF(INDEX(명단!$B$5:$B$404,MATCH($B800,명단!$A$5:$A$404,0))="","(이름 미입력)",INDEX(명단!$B$5:$B$404,MATCH($B800,명단!$A$5:$A$404,0))),"번호 없음"))</f>
        <v/>
      </c>
      <c r="I800" s="25" t="str">
        <f aca="false">IF($B800="","",IF(COUNTIF($B$5:$B$1004,$B800)&gt;1,"중복 입력",""))</f>
        <v/>
      </c>
    </row>
    <row r="801" customFormat="false" ht="15" hidden="false" customHeight="false" outlineLevel="0" collapsed="false">
      <c r="A801" s="23"/>
      <c r="B801" s="24"/>
      <c r="C801" s="24"/>
      <c r="D801" s="24"/>
      <c r="E801" s="24"/>
      <c r="F801" s="24"/>
      <c r="G801" s="24"/>
      <c r="H801" s="25" t="str">
        <f aca="false">IF($B801="","",IFERROR(IF(INDEX(명단!$B$5:$B$404,MATCH($B801,명단!$A$5:$A$404,0))="","(이름 미입력)",INDEX(명단!$B$5:$B$404,MATCH($B801,명단!$A$5:$A$404,0))),"번호 없음"))</f>
        <v/>
      </c>
      <c r="I801" s="25" t="str">
        <f aca="false">IF($B801="","",IF(COUNTIF($B$5:$B$1004,$B801)&gt;1,"중복 입력",""))</f>
        <v/>
      </c>
    </row>
    <row r="802" customFormat="false" ht="15" hidden="false" customHeight="false" outlineLevel="0" collapsed="false">
      <c r="A802" s="23"/>
      <c r="B802" s="24"/>
      <c r="C802" s="24"/>
      <c r="D802" s="24"/>
      <c r="E802" s="24"/>
      <c r="F802" s="24"/>
      <c r="G802" s="24"/>
      <c r="H802" s="25" t="str">
        <f aca="false">IF($B802="","",IFERROR(IF(INDEX(명단!$B$5:$B$404,MATCH($B802,명단!$A$5:$A$404,0))="","(이름 미입력)",INDEX(명단!$B$5:$B$404,MATCH($B802,명단!$A$5:$A$404,0))),"번호 없음"))</f>
        <v/>
      </c>
      <c r="I802" s="25" t="str">
        <f aca="false">IF($B802="","",IF(COUNTIF($B$5:$B$1004,$B802)&gt;1,"중복 입력",""))</f>
        <v/>
      </c>
    </row>
    <row r="803" customFormat="false" ht="15" hidden="false" customHeight="false" outlineLevel="0" collapsed="false">
      <c r="A803" s="23"/>
      <c r="B803" s="24"/>
      <c r="C803" s="24"/>
      <c r="D803" s="24"/>
      <c r="E803" s="24"/>
      <c r="F803" s="24"/>
      <c r="G803" s="24"/>
      <c r="H803" s="25" t="str">
        <f aca="false">IF($B803="","",IFERROR(IF(INDEX(명단!$B$5:$B$404,MATCH($B803,명단!$A$5:$A$404,0))="","(이름 미입력)",INDEX(명단!$B$5:$B$404,MATCH($B803,명단!$A$5:$A$404,0))),"번호 없음"))</f>
        <v/>
      </c>
      <c r="I803" s="25" t="str">
        <f aca="false">IF($B803="","",IF(COUNTIF($B$5:$B$1004,$B803)&gt;1,"중복 입력",""))</f>
        <v/>
      </c>
    </row>
    <row r="804" customFormat="false" ht="15" hidden="false" customHeight="false" outlineLevel="0" collapsed="false">
      <c r="A804" s="23"/>
      <c r="B804" s="24"/>
      <c r="C804" s="24"/>
      <c r="D804" s="24"/>
      <c r="E804" s="24"/>
      <c r="F804" s="24"/>
      <c r="G804" s="24"/>
      <c r="H804" s="25" t="str">
        <f aca="false">IF($B804="","",IFERROR(IF(INDEX(명단!$B$5:$B$404,MATCH($B804,명단!$A$5:$A$404,0))="","(이름 미입력)",INDEX(명단!$B$5:$B$404,MATCH($B804,명단!$A$5:$A$404,0))),"번호 없음"))</f>
        <v/>
      </c>
      <c r="I804" s="25" t="str">
        <f aca="false">IF($B804="","",IF(COUNTIF($B$5:$B$1004,$B804)&gt;1,"중복 입력",""))</f>
        <v/>
      </c>
    </row>
    <row r="805" customFormat="false" ht="15" hidden="false" customHeight="false" outlineLevel="0" collapsed="false">
      <c r="A805" s="23"/>
      <c r="B805" s="24"/>
      <c r="C805" s="24"/>
      <c r="D805" s="24"/>
      <c r="E805" s="24"/>
      <c r="F805" s="24"/>
      <c r="G805" s="24"/>
      <c r="H805" s="25" t="str">
        <f aca="false">IF($B805="","",IFERROR(IF(INDEX(명단!$B$5:$B$404,MATCH($B805,명단!$A$5:$A$404,0))="","(이름 미입력)",INDEX(명단!$B$5:$B$404,MATCH($B805,명단!$A$5:$A$404,0))),"번호 없음"))</f>
        <v/>
      </c>
      <c r="I805" s="25" t="str">
        <f aca="false">IF($B805="","",IF(COUNTIF($B$5:$B$1004,$B805)&gt;1,"중복 입력",""))</f>
        <v/>
      </c>
    </row>
    <row r="806" customFormat="false" ht="15" hidden="false" customHeight="false" outlineLevel="0" collapsed="false">
      <c r="A806" s="23"/>
      <c r="B806" s="24"/>
      <c r="C806" s="24"/>
      <c r="D806" s="24"/>
      <c r="E806" s="24"/>
      <c r="F806" s="24"/>
      <c r="G806" s="24"/>
      <c r="H806" s="25" t="str">
        <f aca="false">IF($B806="","",IFERROR(IF(INDEX(명단!$B$5:$B$404,MATCH($B806,명단!$A$5:$A$404,0))="","(이름 미입력)",INDEX(명단!$B$5:$B$404,MATCH($B806,명단!$A$5:$A$404,0))),"번호 없음"))</f>
        <v/>
      </c>
      <c r="I806" s="25" t="str">
        <f aca="false">IF($B806="","",IF(COUNTIF($B$5:$B$1004,$B806)&gt;1,"중복 입력",""))</f>
        <v/>
      </c>
    </row>
    <row r="807" customFormat="false" ht="15" hidden="false" customHeight="false" outlineLevel="0" collapsed="false">
      <c r="A807" s="23"/>
      <c r="B807" s="24"/>
      <c r="C807" s="24"/>
      <c r="D807" s="24"/>
      <c r="E807" s="24"/>
      <c r="F807" s="24"/>
      <c r="G807" s="24"/>
      <c r="H807" s="25" t="str">
        <f aca="false">IF($B807="","",IFERROR(IF(INDEX(명단!$B$5:$B$404,MATCH($B807,명단!$A$5:$A$404,0))="","(이름 미입력)",INDEX(명단!$B$5:$B$404,MATCH($B807,명단!$A$5:$A$404,0))),"번호 없음"))</f>
        <v/>
      </c>
      <c r="I807" s="25" t="str">
        <f aca="false">IF($B807="","",IF(COUNTIF($B$5:$B$1004,$B807)&gt;1,"중복 입력",""))</f>
        <v/>
      </c>
    </row>
    <row r="808" customFormat="false" ht="15" hidden="false" customHeight="false" outlineLevel="0" collapsed="false">
      <c r="A808" s="23"/>
      <c r="B808" s="24"/>
      <c r="C808" s="24"/>
      <c r="D808" s="24"/>
      <c r="E808" s="24"/>
      <c r="F808" s="24"/>
      <c r="G808" s="24"/>
      <c r="H808" s="25" t="str">
        <f aca="false">IF($B808="","",IFERROR(IF(INDEX(명단!$B$5:$B$404,MATCH($B808,명단!$A$5:$A$404,0))="","(이름 미입력)",INDEX(명단!$B$5:$B$404,MATCH($B808,명단!$A$5:$A$404,0))),"번호 없음"))</f>
        <v/>
      </c>
      <c r="I808" s="25" t="str">
        <f aca="false">IF($B808="","",IF(COUNTIF($B$5:$B$1004,$B808)&gt;1,"중복 입력",""))</f>
        <v/>
      </c>
    </row>
    <row r="809" customFormat="false" ht="15" hidden="false" customHeight="false" outlineLevel="0" collapsed="false">
      <c r="A809" s="23"/>
      <c r="B809" s="24"/>
      <c r="C809" s="24"/>
      <c r="D809" s="24"/>
      <c r="E809" s="24"/>
      <c r="F809" s="24"/>
      <c r="G809" s="24"/>
      <c r="H809" s="25" t="str">
        <f aca="false">IF($B809="","",IFERROR(IF(INDEX(명단!$B$5:$B$404,MATCH($B809,명단!$A$5:$A$404,0))="","(이름 미입력)",INDEX(명단!$B$5:$B$404,MATCH($B809,명단!$A$5:$A$404,0))),"번호 없음"))</f>
        <v/>
      </c>
      <c r="I809" s="25" t="str">
        <f aca="false">IF($B809="","",IF(COUNTIF($B$5:$B$1004,$B809)&gt;1,"중복 입력",""))</f>
        <v/>
      </c>
    </row>
    <row r="810" customFormat="false" ht="15" hidden="false" customHeight="false" outlineLevel="0" collapsed="false">
      <c r="A810" s="23"/>
      <c r="B810" s="24"/>
      <c r="C810" s="24"/>
      <c r="D810" s="24"/>
      <c r="E810" s="24"/>
      <c r="F810" s="24"/>
      <c r="G810" s="24"/>
      <c r="H810" s="25" t="str">
        <f aca="false">IF($B810="","",IFERROR(IF(INDEX(명단!$B$5:$B$404,MATCH($B810,명단!$A$5:$A$404,0))="","(이름 미입력)",INDEX(명단!$B$5:$B$404,MATCH($B810,명단!$A$5:$A$404,0))),"번호 없음"))</f>
        <v/>
      </c>
      <c r="I810" s="25" t="str">
        <f aca="false">IF($B810="","",IF(COUNTIF($B$5:$B$1004,$B810)&gt;1,"중복 입력",""))</f>
        <v/>
      </c>
    </row>
    <row r="811" customFormat="false" ht="15" hidden="false" customHeight="false" outlineLevel="0" collapsed="false">
      <c r="A811" s="23"/>
      <c r="B811" s="24"/>
      <c r="C811" s="24"/>
      <c r="D811" s="24"/>
      <c r="E811" s="24"/>
      <c r="F811" s="24"/>
      <c r="G811" s="24"/>
      <c r="H811" s="25" t="str">
        <f aca="false">IF($B811="","",IFERROR(IF(INDEX(명단!$B$5:$B$404,MATCH($B811,명단!$A$5:$A$404,0))="","(이름 미입력)",INDEX(명단!$B$5:$B$404,MATCH($B811,명단!$A$5:$A$404,0))),"번호 없음"))</f>
        <v/>
      </c>
      <c r="I811" s="25" t="str">
        <f aca="false">IF($B811="","",IF(COUNTIF($B$5:$B$1004,$B811)&gt;1,"중복 입력",""))</f>
        <v/>
      </c>
    </row>
    <row r="812" customFormat="false" ht="15" hidden="false" customHeight="false" outlineLevel="0" collapsed="false">
      <c r="A812" s="23"/>
      <c r="B812" s="24"/>
      <c r="C812" s="24"/>
      <c r="D812" s="24"/>
      <c r="E812" s="24"/>
      <c r="F812" s="24"/>
      <c r="G812" s="24"/>
      <c r="H812" s="25" t="str">
        <f aca="false">IF($B812="","",IFERROR(IF(INDEX(명단!$B$5:$B$404,MATCH($B812,명단!$A$5:$A$404,0))="","(이름 미입력)",INDEX(명단!$B$5:$B$404,MATCH($B812,명단!$A$5:$A$404,0))),"번호 없음"))</f>
        <v/>
      </c>
      <c r="I812" s="25" t="str">
        <f aca="false">IF($B812="","",IF(COUNTIF($B$5:$B$1004,$B812)&gt;1,"중복 입력",""))</f>
        <v/>
      </c>
    </row>
    <row r="813" customFormat="false" ht="15" hidden="false" customHeight="false" outlineLevel="0" collapsed="false">
      <c r="A813" s="23"/>
      <c r="B813" s="24"/>
      <c r="C813" s="24"/>
      <c r="D813" s="24"/>
      <c r="E813" s="24"/>
      <c r="F813" s="24"/>
      <c r="G813" s="24"/>
      <c r="H813" s="25" t="str">
        <f aca="false">IF($B813="","",IFERROR(IF(INDEX(명단!$B$5:$B$404,MATCH($B813,명단!$A$5:$A$404,0))="","(이름 미입력)",INDEX(명단!$B$5:$B$404,MATCH($B813,명단!$A$5:$A$404,0))),"번호 없음"))</f>
        <v/>
      </c>
      <c r="I813" s="25" t="str">
        <f aca="false">IF($B813="","",IF(COUNTIF($B$5:$B$1004,$B813)&gt;1,"중복 입력",""))</f>
        <v/>
      </c>
    </row>
    <row r="814" customFormat="false" ht="15" hidden="false" customHeight="false" outlineLevel="0" collapsed="false">
      <c r="A814" s="23"/>
      <c r="B814" s="24"/>
      <c r="C814" s="24"/>
      <c r="D814" s="24"/>
      <c r="E814" s="24"/>
      <c r="F814" s="24"/>
      <c r="G814" s="24"/>
      <c r="H814" s="25" t="str">
        <f aca="false">IF($B814="","",IFERROR(IF(INDEX(명단!$B$5:$B$404,MATCH($B814,명단!$A$5:$A$404,0))="","(이름 미입력)",INDEX(명단!$B$5:$B$404,MATCH($B814,명단!$A$5:$A$404,0))),"번호 없음"))</f>
        <v/>
      </c>
      <c r="I814" s="25" t="str">
        <f aca="false">IF($B814="","",IF(COUNTIF($B$5:$B$1004,$B814)&gt;1,"중복 입력",""))</f>
        <v/>
      </c>
    </row>
    <row r="815" customFormat="false" ht="15" hidden="false" customHeight="false" outlineLevel="0" collapsed="false">
      <c r="A815" s="23"/>
      <c r="B815" s="24"/>
      <c r="C815" s="24"/>
      <c r="D815" s="24"/>
      <c r="E815" s="24"/>
      <c r="F815" s="24"/>
      <c r="G815" s="24"/>
      <c r="H815" s="25" t="str">
        <f aca="false">IF($B815="","",IFERROR(IF(INDEX(명단!$B$5:$B$404,MATCH($B815,명단!$A$5:$A$404,0))="","(이름 미입력)",INDEX(명단!$B$5:$B$404,MATCH($B815,명단!$A$5:$A$404,0))),"번호 없음"))</f>
        <v/>
      </c>
      <c r="I815" s="25" t="str">
        <f aca="false">IF($B815="","",IF(COUNTIF($B$5:$B$1004,$B815)&gt;1,"중복 입력",""))</f>
        <v/>
      </c>
    </row>
    <row r="816" customFormat="false" ht="15" hidden="false" customHeight="false" outlineLevel="0" collapsed="false">
      <c r="A816" s="23"/>
      <c r="B816" s="24"/>
      <c r="C816" s="24"/>
      <c r="D816" s="24"/>
      <c r="E816" s="24"/>
      <c r="F816" s="24"/>
      <c r="G816" s="24"/>
      <c r="H816" s="25" t="str">
        <f aca="false">IF($B816="","",IFERROR(IF(INDEX(명단!$B$5:$B$404,MATCH($B816,명단!$A$5:$A$404,0))="","(이름 미입력)",INDEX(명단!$B$5:$B$404,MATCH($B816,명단!$A$5:$A$404,0))),"번호 없음"))</f>
        <v/>
      </c>
      <c r="I816" s="25" t="str">
        <f aca="false">IF($B816="","",IF(COUNTIF($B$5:$B$1004,$B816)&gt;1,"중복 입력",""))</f>
        <v/>
      </c>
    </row>
    <row r="817" customFormat="false" ht="15" hidden="false" customHeight="false" outlineLevel="0" collapsed="false">
      <c r="A817" s="23"/>
      <c r="B817" s="24"/>
      <c r="C817" s="24"/>
      <c r="D817" s="24"/>
      <c r="E817" s="24"/>
      <c r="F817" s="24"/>
      <c r="G817" s="24"/>
      <c r="H817" s="25" t="str">
        <f aca="false">IF($B817="","",IFERROR(IF(INDEX(명단!$B$5:$B$404,MATCH($B817,명단!$A$5:$A$404,0))="","(이름 미입력)",INDEX(명단!$B$5:$B$404,MATCH($B817,명단!$A$5:$A$404,0))),"번호 없음"))</f>
        <v/>
      </c>
      <c r="I817" s="25" t="str">
        <f aca="false">IF($B817="","",IF(COUNTIF($B$5:$B$1004,$B817)&gt;1,"중복 입력",""))</f>
        <v/>
      </c>
    </row>
    <row r="818" customFormat="false" ht="15" hidden="false" customHeight="false" outlineLevel="0" collapsed="false">
      <c r="A818" s="23"/>
      <c r="B818" s="24"/>
      <c r="C818" s="24"/>
      <c r="D818" s="24"/>
      <c r="E818" s="24"/>
      <c r="F818" s="24"/>
      <c r="G818" s="24"/>
      <c r="H818" s="25" t="str">
        <f aca="false">IF($B818="","",IFERROR(IF(INDEX(명단!$B$5:$B$404,MATCH($B818,명단!$A$5:$A$404,0))="","(이름 미입력)",INDEX(명단!$B$5:$B$404,MATCH($B818,명단!$A$5:$A$404,0))),"번호 없음"))</f>
        <v/>
      </c>
      <c r="I818" s="25" t="str">
        <f aca="false">IF($B818="","",IF(COUNTIF($B$5:$B$1004,$B818)&gt;1,"중복 입력",""))</f>
        <v/>
      </c>
    </row>
    <row r="819" customFormat="false" ht="15" hidden="false" customHeight="false" outlineLevel="0" collapsed="false">
      <c r="A819" s="23"/>
      <c r="B819" s="24"/>
      <c r="C819" s="24"/>
      <c r="D819" s="24"/>
      <c r="E819" s="24"/>
      <c r="F819" s="24"/>
      <c r="G819" s="24"/>
      <c r="H819" s="25" t="str">
        <f aca="false">IF($B819="","",IFERROR(IF(INDEX(명단!$B$5:$B$404,MATCH($B819,명단!$A$5:$A$404,0))="","(이름 미입력)",INDEX(명단!$B$5:$B$404,MATCH($B819,명단!$A$5:$A$404,0))),"번호 없음"))</f>
        <v/>
      </c>
      <c r="I819" s="25" t="str">
        <f aca="false">IF($B819="","",IF(COUNTIF($B$5:$B$1004,$B819)&gt;1,"중복 입력",""))</f>
        <v/>
      </c>
    </row>
    <row r="820" customFormat="false" ht="15" hidden="false" customHeight="false" outlineLevel="0" collapsed="false">
      <c r="A820" s="23"/>
      <c r="B820" s="24"/>
      <c r="C820" s="24"/>
      <c r="D820" s="24"/>
      <c r="E820" s="24"/>
      <c r="F820" s="24"/>
      <c r="G820" s="24"/>
      <c r="H820" s="25" t="str">
        <f aca="false">IF($B820="","",IFERROR(IF(INDEX(명단!$B$5:$B$404,MATCH($B820,명단!$A$5:$A$404,0))="","(이름 미입력)",INDEX(명단!$B$5:$B$404,MATCH($B820,명단!$A$5:$A$404,0))),"번호 없음"))</f>
        <v/>
      </c>
      <c r="I820" s="25" t="str">
        <f aca="false">IF($B820="","",IF(COUNTIF($B$5:$B$1004,$B820)&gt;1,"중복 입력",""))</f>
        <v/>
      </c>
    </row>
    <row r="821" customFormat="false" ht="15" hidden="false" customHeight="false" outlineLevel="0" collapsed="false">
      <c r="A821" s="23"/>
      <c r="B821" s="24"/>
      <c r="C821" s="24"/>
      <c r="D821" s="24"/>
      <c r="E821" s="24"/>
      <c r="F821" s="24"/>
      <c r="G821" s="24"/>
      <c r="H821" s="25" t="str">
        <f aca="false">IF($B821="","",IFERROR(IF(INDEX(명단!$B$5:$B$404,MATCH($B821,명단!$A$5:$A$404,0))="","(이름 미입력)",INDEX(명단!$B$5:$B$404,MATCH($B821,명단!$A$5:$A$404,0))),"번호 없음"))</f>
        <v/>
      </c>
      <c r="I821" s="25" t="str">
        <f aca="false">IF($B821="","",IF(COUNTIF($B$5:$B$1004,$B821)&gt;1,"중복 입력",""))</f>
        <v/>
      </c>
    </row>
    <row r="822" customFormat="false" ht="15" hidden="false" customHeight="false" outlineLevel="0" collapsed="false">
      <c r="A822" s="23"/>
      <c r="B822" s="24"/>
      <c r="C822" s="24"/>
      <c r="D822" s="24"/>
      <c r="E822" s="24"/>
      <c r="F822" s="24"/>
      <c r="G822" s="24"/>
      <c r="H822" s="25" t="str">
        <f aca="false">IF($B822="","",IFERROR(IF(INDEX(명단!$B$5:$B$404,MATCH($B822,명단!$A$5:$A$404,0))="","(이름 미입력)",INDEX(명단!$B$5:$B$404,MATCH($B822,명단!$A$5:$A$404,0))),"번호 없음"))</f>
        <v/>
      </c>
      <c r="I822" s="25" t="str">
        <f aca="false">IF($B822="","",IF(COUNTIF($B$5:$B$1004,$B822)&gt;1,"중복 입력",""))</f>
        <v/>
      </c>
    </row>
    <row r="823" customFormat="false" ht="15" hidden="false" customHeight="false" outlineLevel="0" collapsed="false">
      <c r="A823" s="23"/>
      <c r="B823" s="24"/>
      <c r="C823" s="24"/>
      <c r="D823" s="24"/>
      <c r="E823" s="24"/>
      <c r="F823" s="24"/>
      <c r="G823" s="24"/>
      <c r="H823" s="25" t="str">
        <f aca="false">IF($B823="","",IFERROR(IF(INDEX(명단!$B$5:$B$404,MATCH($B823,명단!$A$5:$A$404,0))="","(이름 미입력)",INDEX(명단!$B$5:$B$404,MATCH($B823,명단!$A$5:$A$404,0))),"번호 없음"))</f>
        <v/>
      </c>
      <c r="I823" s="25" t="str">
        <f aca="false">IF($B823="","",IF(COUNTIF($B$5:$B$1004,$B823)&gt;1,"중복 입력",""))</f>
        <v/>
      </c>
    </row>
    <row r="824" customFormat="false" ht="15" hidden="false" customHeight="false" outlineLevel="0" collapsed="false">
      <c r="A824" s="23"/>
      <c r="B824" s="24"/>
      <c r="C824" s="24"/>
      <c r="D824" s="24"/>
      <c r="E824" s="24"/>
      <c r="F824" s="24"/>
      <c r="G824" s="24"/>
      <c r="H824" s="25" t="str">
        <f aca="false">IF($B824="","",IFERROR(IF(INDEX(명단!$B$5:$B$404,MATCH($B824,명단!$A$5:$A$404,0))="","(이름 미입력)",INDEX(명단!$B$5:$B$404,MATCH($B824,명단!$A$5:$A$404,0))),"번호 없음"))</f>
        <v/>
      </c>
      <c r="I824" s="25" t="str">
        <f aca="false">IF($B824="","",IF(COUNTIF($B$5:$B$1004,$B824)&gt;1,"중복 입력",""))</f>
        <v/>
      </c>
    </row>
    <row r="825" customFormat="false" ht="15" hidden="false" customHeight="false" outlineLevel="0" collapsed="false">
      <c r="A825" s="23"/>
      <c r="B825" s="24"/>
      <c r="C825" s="24"/>
      <c r="D825" s="24"/>
      <c r="E825" s="24"/>
      <c r="F825" s="24"/>
      <c r="G825" s="24"/>
      <c r="H825" s="25" t="str">
        <f aca="false">IF($B825="","",IFERROR(IF(INDEX(명단!$B$5:$B$404,MATCH($B825,명단!$A$5:$A$404,0))="","(이름 미입력)",INDEX(명단!$B$5:$B$404,MATCH($B825,명단!$A$5:$A$404,0))),"번호 없음"))</f>
        <v/>
      </c>
      <c r="I825" s="25" t="str">
        <f aca="false">IF($B825="","",IF(COUNTIF($B$5:$B$1004,$B825)&gt;1,"중복 입력",""))</f>
        <v/>
      </c>
    </row>
    <row r="826" customFormat="false" ht="15" hidden="false" customHeight="false" outlineLevel="0" collapsed="false">
      <c r="A826" s="23"/>
      <c r="B826" s="24"/>
      <c r="C826" s="24"/>
      <c r="D826" s="24"/>
      <c r="E826" s="24"/>
      <c r="F826" s="24"/>
      <c r="G826" s="24"/>
      <c r="H826" s="25" t="str">
        <f aca="false">IF($B826="","",IFERROR(IF(INDEX(명단!$B$5:$B$404,MATCH($B826,명단!$A$5:$A$404,0))="","(이름 미입력)",INDEX(명단!$B$5:$B$404,MATCH($B826,명단!$A$5:$A$404,0))),"번호 없음"))</f>
        <v/>
      </c>
      <c r="I826" s="25" t="str">
        <f aca="false">IF($B826="","",IF(COUNTIF($B$5:$B$1004,$B826)&gt;1,"중복 입력",""))</f>
        <v/>
      </c>
    </row>
    <row r="827" customFormat="false" ht="15" hidden="false" customHeight="false" outlineLevel="0" collapsed="false">
      <c r="A827" s="23"/>
      <c r="B827" s="24"/>
      <c r="C827" s="24"/>
      <c r="D827" s="24"/>
      <c r="E827" s="24"/>
      <c r="F827" s="24"/>
      <c r="G827" s="24"/>
      <c r="H827" s="25" t="str">
        <f aca="false">IF($B827="","",IFERROR(IF(INDEX(명단!$B$5:$B$404,MATCH($B827,명단!$A$5:$A$404,0))="","(이름 미입력)",INDEX(명단!$B$5:$B$404,MATCH($B827,명단!$A$5:$A$404,0))),"번호 없음"))</f>
        <v/>
      </c>
      <c r="I827" s="25" t="str">
        <f aca="false">IF($B827="","",IF(COUNTIF($B$5:$B$1004,$B827)&gt;1,"중복 입력",""))</f>
        <v/>
      </c>
    </row>
    <row r="828" customFormat="false" ht="15" hidden="false" customHeight="false" outlineLevel="0" collapsed="false">
      <c r="A828" s="23"/>
      <c r="B828" s="24"/>
      <c r="C828" s="24"/>
      <c r="D828" s="24"/>
      <c r="E828" s="24"/>
      <c r="F828" s="24"/>
      <c r="G828" s="24"/>
      <c r="H828" s="25" t="str">
        <f aca="false">IF($B828="","",IFERROR(IF(INDEX(명단!$B$5:$B$404,MATCH($B828,명단!$A$5:$A$404,0))="","(이름 미입력)",INDEX(명단!$B$5:$B$404,MATCH($B828,명단!$A$5:$A$404,0))),"번호 없음"))</f>
        <v/>
      </c>
      <c r="I828" s="25" t="str">
        <f aca="false">IF($B828="","",IF(COUNTIF($B$5:$B$1004,$B828)&gt;1,"중복 입력",""))</f>
        <v/>
      </c>
    </row>
    <row r="829" customFormat="false" ht="15" hidden="false" customHeight="false" outlineLevel="0" collapsed="false">
      <c r="A829" s="23"/>
      <c r="B829" s="24"/>
      <c r="C829" s="24"/>
      <c r="D829" s="24"/>
      <c r="E829" s="24"/>
      <c r="F829" s="24"/>
      <c r="G829" s="24"/>
      <c r="H829" s="25" t="str">
        <f aca="false">IF($B829="","",IFERROR(IF(INDEX(명단!$B$5:$B$404,MATCH($B829,명단!$A$5:$A$404,0))="","(이름 미입력)",INDEX(명단!$B$5:$B$404,MATCH($B829,명단!$A$5:$A$404,0))),"번호 없음"))</f>
        <v/>
      </c>
      <c r="I829" s="25" t="str">
        <f aca="false">IF($B829="","",IF(COUNTIF($B$5:$B$1004,$B829)&gt;1,"중복 입력",""))</f>
        <v/>
      </c>
    </row>
    <row r="830" customFormat="false" ht="15" hidden="false" customHeight="false" outlineLevel="0" collapsed="false">
      <c r="A830" s="23"/>
      <c r="B830" s="24"/>
      <c r="C830" s="24"/>
      <c r="D830" s="24"/>
      <c r="E830" s="24"/>
      <c r="F830" s="24"/>
      <c r="G830" s="24"/>
      <c r="H830" s="25" t="str">
        <f aca="false">IF($B830="","",IFERROR(IF(INDEX(명단!$B$5:$B$404,MATCH($B830,명단!$A$5:$A$404,0))="","(이름 미입력)",INDEX(명단!$B$5:$B$404,MATCH($B830,명단!$A$5:$A$404,0))),"번호 없음"))</f>
        <v/>
      </c>
      <c r="I830" s="25" t="str">
        <f aca="false">IF($B830="","",IF(COUNTIF($B$5:$B$1004,$B830)&gt;1,"중복 입력",""))</f>
        <v/>
      </c>
    </row>
    <row r="831" customFormat="false" ht="15" hidden="false" customHeight="false" outlineLevel="0" collapsed="false">
      <c r="A831" s="23"/>
      <c r="B831" s="24"/>
      <c r="C831" s="24"/>
      <c r="D831" s="24"/>
      <c r="E831" s="24"/>
      <c r="F831" s="24"/>
      <c r="G831" s="24"/>
      <c r="H831" s="25" t="str">
        <f aca="false">IF($B831="","",IFERROR(IF(INDEX(명단!$B$5:$B$404,MATCH($B831,명단!$A$5:$A$404,0))="","(이름 미입력)",INDEX(명단!$B$5:$B$404,MATCH($B831,명단!$A$5:$A$404,0))),"번호 없음"))</f>
        <v/>
      </c>
      <c r="I831" s="25" t="str">
        <f aca="false">IF($B831="","",IF(COUNTIF($B$5:$B$1004,$B831)&gt;1,"중복 입력",""))</f>
        <v/>
      </c>
    </row>
    <row r="832" customFormat="false" ht="15" hidden="false" customHeight="false" outlineLevel="0" collapsed="false">
      <c r="A832" s="23"/>
      <c r="B832" s="24"/>
      <c r="C832" s="24"/>
      <c r="D832" s="24"/>
      <c r="E832" s="24"/>
      <c r="F832" s="24"/>
      <c r="G832" s="24"/>
      <c r="H832" s="25" t="str">
        <f aca="false">IF($B832="","",IFERROR(IF(INDEX(명단!$B$5:$B$404,MATCH($B832,명단!$A$5:$A$404,0))="","(이름 미입력)",INDEX(명단!$B$5:$B$404,MATCH($B832,명단!$A$5:$A$404,0))),"번호 없음"))</f>
        <v/>
      </c>
      <c r="I832" s="25" t="str">
        <f aca="false">IF($B832="","",IF(COUNTIF($B$5:$B$1004,$B832)&gt;1,"중복 입력",""))</f>
        <v/>
      </c>
    </row>
    <row r="833" customFormat="false" ht="15" hidden="false" customHeight="false" outlineLevel="0" collapsed="false">
      <c r="A833" s="23"/>
      <c r="B833" s="24"/>
      <c r="C833" s="24"/>
      <c r="D833" s="24"/>
      <c r="E833" s="24"/>
      <c r="F833" s="24"/>
      <c r="G833" s="24"/>
      <c r="H833" s="25" t="str">
        <f aca="false">IF($B833="","",IFERROR(IF(INDEX(명단!$B$5:$B$404,MATCH($B833,명단!$A$5:$A$404,0))="","(이름 미입력)",INDEX(명단!$B$5:$B$404,MATCH($B833,명단!$A$5:$A$404,0))),"번호 없음"))</f>
        <v/>
      </c>
      <c r="I833" s="25" t="str">
        <f aca="false">IF($B833="","",IF(COUNTIF($B$5:$B$1004,$B833)&gt;1,"중복 입력",""))</f>
        <v/>
      </c>
    </row>
    <row r="834" customFormat="false" ht="15" hidden="false" customHeight="false" outlineLevel="0" collapsed="false">
      <c r="A834" s="23"/>
      <c r="B834" s="24"/>
      <c r="C834" s="24"/>
      <c r="D834" s="24"/>
      <c r="E834" s="24"/>
      <c r="F834" s="24"/>
      <c r="G834" s="24"/>
      <c r="H834" s="25" t="str">
        <f aca="false">IF($B834="","",IFERROR(IF(INDEX(명단!$B$5:$B$404,MATCH($B834,명단!$A$5:$A$404,0))="","(이름 미입력)",INDEX(명단!$B$5:$B$404,MATCH($B834,명단!$A$5:$A$404,0))),"번호 없음"))</f>
        <v/>
      </c>
      <c r="I834" s="25" t="str">
        <f aca="false">IF($B834="","",IF(COUNTIF($B$5:$B$1004,$B834)&gt;1,"중복 입력",""))</f>
        <v/>
      </c>
    </row>
    <row r="835" customFormat="false" ht="15" hidden="false" customHeight="false" outlineLevel="0" collapsed="false">
      <c r="A835" s="23"/>
      <c r="B835" s="24"/>
      <c r="C835" s="24"/>
      <c r="D835" s="24"/>
      <c r="E835" s="24"/>
      <c r="F835" s="24"/>
      <c r="G835" s="24"/>
      <c r="H835" s="25" t="str">
        <f aca="false">IF($B835="","",IFERROR(IF(INDEX(명단!$B$5:$B$404,MATCH($B835,명단!$A$5:$A$404,0))="","(이름 미입력)",INDEX(명단!$B$5:$B$404,MATCH($B835,명단!$A$5:$A$404,0))),"번호 없음"))</f>
        <v/>
      </c>
      <c r="I835" s="25" t="str">
        <f aca="false">IF($B835="","",IF(COUNTIF($B$5:$B$1004,$B835)&gt;1,"중복 입력",""))</f>
        <v/>
      </c>
    </row>
    <row r="836" customFormat="false" ht="15" hidden="false" customHeight="false" outlineLevel="0" collapsed="false">
      <c r="A836" s="23"/>
      <c r="B836" s="24"/>
      <c r="C836" s="24"/>
      <c r="D836" s="24"/>
      <c r="E836" s="24"/>
      <c r="F836" s="24"/>
      <c r="G836" s="24"/>
      <c r="H836" s="25" t="str">
        <f aca="false">IF($B836="","",IFERROR(IF(INDEX(명단!$B$5:$B$404,MATCH($B836,명단!$A$5:$A$404,0))="","(이름 미입력)",INDEX(명단!$B$5:$B$404,MATCH($B836,명단!$A$5:$A$404,0))),"번호 없음"))</f>
        <v/>
      </c>
      <c r="I836" s="25" t="str">
        <f aca="false">IF($B836="","",IF(COUNTIF($B$5:$B$1004,$B836)&gt;1,"중복 입력",""))</f>
        <v/>
      </c>
    </row>
    <row r="837" customFormat="false" ht="15" hidden="false" customHeight="false" outlineLevel="0" collapsed="false">
      <c r="A837" s="23"/>
      <c r="B837" s="24"/>
      <c r="C837" s="24"/>
      <c r="D837" s="24"/>
      <c r="E837" s="24"/>
      <c r="F837" s="24"/>
      <c r="G837" s="24"/>
      <c r="H837" s="25" t="str">
        <f aca="false">IF($B837="","",IFERROR(IF(INDEX(명단!$B$5:$B$404,MATCH($B837,명단!$A$5:$A$404,0))="","(이름 미입력)",INDEX(명단!$B$5:$B$404,MATCH($B837,명단!$A$5:$A$404,0))),"번호 없음"))</f>
        <v/>
      </c>
      <c r="I837" s="25" t="str">
        <f aca="false">IF($B837="","",IF(COUNTIF($B$5:$B$1004,$B837)&gt;1,"중복 입력",""))</f>
        <v/>
      </c>
    </row>
    <row r="838" customFormat="false" ht="15" hidden="false" customHeight="false" outlineLevel="0" collapsed="false">
      <c r="A838" s="23"/>
      <c r="B838" s="24"/>
      <c r="C838" s="24"/>
      <c r="D838" s="24"/>
      <c r="E838" s="24"/>
      <c r="F838" s="24"/>
      <c r="G838" s="24"/>
      <c r="H838" s="25" t="str">
        <f aca="false">IF($B838="","",IFERROR(IF(INDEX(명단!$B$5:$B$404,MATCH($B838,명단!$A$5:$A$404,0))="","(이름 미입력)",INDEX(명단!$B$5:$B$404,MATCH($B838,명단!$A$5:$A$404,0))),"번호 없음"))</f>
        <v/>
      </c>
      <c r="I838" s="25" t="str">
        <f aca="false">IF($B838="","",IF(COUNTIF($B$5:$B$1004,$B838)&gt;1,"중복 입력",""))</f>
        <v/>
      </c>
    </row>
    <row r="839" customFormat="false" ht="15" hidden="false" customHeight="false" outlineLevel="0" collapsed="false">
      <c r="A839" s="23"/>
      <c r="B839" s="24"/>
      <c r="C839" s="24"/>
      <c r="D839" s="24"/>
      <c r="E839" s="24"/>
      <c r="F839" s="24"/>
      <c r="G839" s="24"/>
      <c r="H839" s="25" t="str">
        <f aca="false">IF($B839="","",IFERROR(IF(INDEX(명단!$B$5:$B$404,MATCH($B839,명단!$A$5:$A$404,0))="","(이름 미입력)",INDEX(명단!$B$5:$B$404,MATCH($B839,명단!$A$5:$A$404,0))),"번호 없음"))</f>
        <v/>
      </c>
      <c r="I839" s="25" t="str">
        <f aca="false">IF($B839="","",IF(COUNTIF($B$5:$B$1004,$B839)&gt;1,"중복 입력",""))</f>
        <v/>
      </c>
    </row>
    <row r="840" customFormat="false" ht="15" hidden="false" customHeight="false" outlineLevel="0" collapsed="false">
      <c r="A840" s="23"/>
      <c r="B840" s="24"/>
      <c r="C840" s="24"/>
      <c r="D840" s="24"/>
      <c r="E840" s="24"/>
      <c r="F840" s="24"/>
      <c r="G840" s="24"/>
      <c r="H840" s="25" t="str">
        <f aca="false">IF($B840="","",IFERROR(IF(INDEX(명단!$B$5:$B$404,MATCH($B840,명단!$A$5:$A$404,0))="","(이름 미입력)",INDEX(명단!$B$5:$B$404,MATCH($B840,명단!$A$5:$A$404,0))),"번호 없음"))</f>
        <v/>
      </c>
      <c r="I840" s="25" t="str">
        <f aca="false">IF($B840="","",IF(COUNTIF($B$5:$B$1004,$B840)&gt;1,"중복 입력",""))</f>
        <v/>
      </c>
    </row>
    <row r="841" customFormat="false" ht="15" hidden="false" customHeight="false" outlineLevel="0" collapsed="false">
      <c r="A841" s="23"/>
      <c r="B841" s="24"/>
      <c r="C841" s="24"/>
      <c r="D841" s="24"/>
      <c r="E841" s="24"/>
      <c r="F841" s="24"/>
      <c r="G841" s="24"/>
      <c r="H841" s="25" t="str">
        <f aca="false">IF($B841="","",IFERROR(IF(INDEX(명단!$B$5:$B$404,MATCH($B841,명단!$A$5:$A$404,0))="","(이름 미입력)",INDEX(명단!$B$5:$B$404,MATCH($B841,명단!$A$5:$A$404,0))),"번호 없음"))</f>
        <v/>
      </c>
      <c r="I841" s="25" t="str">
        <f aca="false">IF($B841="","",IF(COUNTIF($B$5:$B$1004,$B841)&gt;1,"중복 입력",""))</f>
        <v/>
      </c>
    </row>
    <row r="842" customFormat="false" ht="15" hidden="false" customHeight="false" outlineLevel="0" collapsed="false">
      <c r="A842" s="23"/>
      <c r="B842" s="24"/>
      <c r="C842" s="24"/>
      <c r="D842" s="24"/>
      <c r="E842" s="24"/>
      <c r="F842" s="24"/>
      <c r="G842" s="24"/>
      <c r="H842" s="25" t="str">
        <f aca="false">IF($B842="","",IFERROR(IF(INDEX(명단!$B$5:$B$404,MATCH($B842,명단!$A$5:$A$404,0))="","(이름 미입력)",INDEX(명단!$B$5:$B$404,MATCH($B842,명단!$A$5:$A$404,0))),"번호 없음"))</f>
        <v/>
      </c>
      <c r="I842" s="25" t="str">
        <f aca="false">IF($B842="","",IF(COUNTIF($B$5:$B$1004,$B842)&gt;1,"중복 입력",""))</f>
        <v/>
      </c>
    </row>
    <row r="843" customFormat="false" ht="15" hidden="false" customHeight="false" outlineLevel="0" collapsed="false">
      <c r="A843" s="23"/>
      <c r="B843" s="24"/>
      <c r="C843" s="24"/>
      <c r="D843" s="24"/>
      <c r="E843" s="24"/>
      <c r="F843" s="24"/>
      <c r="G843" s="24"/>
      <c r="H843" s="25" t="str">
        <f aca="false">IF($B843="","",IFERROR(IF(INDEX(명단!$B$5:$B$404,MATCH($B843,명단!$A$5:$A$404,0))="","(이름 미입력)",INDEX(명단!$B$5:$B$404,MATCH($B843,명단!$A$5:$A$404,0))),"번호 없음"))</f>
        <v/>
      </c>
      <c r="I843" s="25" t="str">
        <f aca="false">IF($B843="","",IF(COUNTIF($B$5:$B$1004,$B843)&gt;1,"중복 입력",""))</f>
        <v/>
      </c>
    </row>
    <row r="844" customFormat="false" ht="15" hidden="false" customHeight="false" outlineLevel="0" collapsed="false">
      <c r="A844" s="23"/>
      <c r="B844" s="24"/>
      <c r="C844" s="24"/>
      <c r="D844" s="24"/>
      <c r="E844" s="24"/>
      <c r="F844" s="24"/>
      <c r="G844" s="24"/>
      <c r="H844" s="25" t="str">
        <f aca="false">IF($B844="","",IFERROR(IF(INDEX(명단!$B$5:$B$404,MATCH($B844,명단!$A$5:$A$404,0))="","(이름 미입력)",INDEX(명단!$B$5:$B$404,MATCH($B844,명단!$A$5:$A$404,0))),"번호 없음"))</f>
        <v/>
      </c>
      <c r="I844" s="25" t="str">
        <f aca="false">IF($B844="","",IF(COUNTIF($B$5:$B$1004,$B844)&gt;1,"중복 입력",""))</f>
        <v/>
      </c>
    </row>
    <row r="845" customFormat="false" ht="15" hidden="false" customHeight="false" outlineLevel="0" collapsed="false">
      <c r="A845" s="23"/>
      <c r="B845" s="24"/>
      <c r="C845" s="24"/>
      <c r="D845" s="24"/>
      <c r="E845" s="24"/>
      <c r="F845" s="24"/>
      <c r="G845" s="24"/>
      <c r="H845" s="25" t="str">
        <f aca="false">IF($B845="","",IFERROR(IF(INDEX(명단!$B$5:$B$404,MATCH($B845,명단!$A$5:$A$404,0))="","(이름 미입력)",INDEX(명단!$B$5:$B$404,MATCH($B845,명단!$A$5:$A$404,0))),"번호 없음"))</f>
        <v/>
      </c>
      <c r="I845" s="25" t="str">
        <f aca="false">IF($B845="","",IF(COUNTIF($B$5:$B$1004,$B845)&gt;1,"중복 입력",""))</f>
        <v/>
      </c>
    </row>
    <row r="846" customFormat="false" ht="15" hidden="false" customHeight="false" outlineLevel="0" collapsed="false">
      <c r="A846" s="23"/>
      <c r="B846" s="24"/>
      <c r="C846" s="24"/>
      <c r="D846" s="24"/>
      <c r="E846" s="24"/>
      <c r="F846" s="24"/>
      <c r="G846" s="24"/>
      <c r="H846" s="25" t="str">
        <f aca="false">IF($B846="","",IFERROR(IF(INDEX(명단!$B$5:$B$404,MATCH($B846,명단!$A$5:$A$404,0))="","(이름 미입력)",INDEX(명단!$B$5:$B$404,MATCH($B846,명단!$A$5:$A$404,0))),"번호 없음"))</f>
        <v/>
      </c>
      <c r="I846" s="25" t="str">
        <f aca="false">IF($B846="","",IF(COUNTIF($B$5:$B$1004,$B846)&gt;1,"중복 입력",""))</f>
        <v/>
      </c>
    </row>
    <row r="847" customFormat="false" ht="15" hidden="false" customHeight="false" outlineLevel="0" collapsed="false">
      <c r="A847" s="23"/>
      <c r="B847" s="24"/>
      <c r="C847" s="24"/>
      <c r="D847" s="24"/>
      <c r="E847" s="24"/>
      <c r="F847" s="24"/>
      <c r="G847" s="24"/>
      <c r="H847" s="25" t="str">
        <f aca="false">IF($B847="","",IFERROR(IF(INDEX(명단!$B$5:$B$404,MATCH($B847,명단!$A$5:$A$404,0))="","(이름 미입력)",INDEX(명단!$B$5:$B$404,MATCH($B847,명단!$A$5:$A$404,0))),"번호 없음"))</f>
        <v/>
      </c>
      <c r="I847" s="25" t="str">
        <f aca="false">IF($B847="","",IF(COUNTIF($B$5:$B$1004,$B847)&gt;1,"중복 입력",""))</f>
        <v/>
      </c>
    </row>
    <row r="848" customFormat="false" ht="15" hidden="false" customHeight="false" outlineLevel="0" collapsed="false">
      <c r="A848" s="23"/>
      <c r="B848" s="24"/>
      <c r="C848" s="24"/>
      <c r="D848" s="24"/>
      <c r="E848" s="24"/>
      <c r="F848" s="24"/>
      <c r="G848" s="24"/>
      <c r="H848" s="25" t="str">
        <f aca="false">IF($B848="","",IFERROR(IF(INDEX(명단!$B$5:$B$404,MATCH($B848,명단!$A$5:$A$404,0))="","(이름 미입력)",INDEX(명단!$B$5:$B$404,MATCH($B848,명단!$A$5:$A$404,0))),"번호 없음"))</f>
        <v/>
      </c>
      <c r="I848" s="25" t="str">
        <f aca="false">IF($B848="","",IF(COUNTIF($B$5:$B$1004,$B848)&gt;1,"중복 입력",""))</f>
        <v/>
      </c>
    </row>
    <row r="849" customFormat="false" ht="15" hidden="false" customHeight="false" outlineLevel="0" collapsed="false">
      <c r="A849" s="23"/>
      <c r="B849" s="24"/>
      <c r="C849" s="24"/>
      <c r="D849" s="24"/>
      <c r="E849" s="24"/>
      <c r="F849" s="24"/>
      <c r="G849" s="24"/>
      <c r="H849" s="25" t="str">
        <f aca="false">IF($B849="","",IFERROR(IF(INDEX(명단!$B$5:$B$404,MATCH($B849,명단!$A$5:$A$404,0))="","(이름 미입력)",INDEX(명단!$B$5:$B$404,MATCH($B849,명단!$A$5:$A$404,0))),"번호 없음"))</f>
        <v/>
      </c>
      <c r="I849" s="25" t="str">
        <f aca="false">IF($B849="","",IF(COUNTIF($B$5:$B$1004,$B849)&gt;1,"중복 입력",""))</f>
        <v/>
      </c>
    </row>
    <row r="850" customFormat="false" ht="15" hidden="false" customHeight="false" outlineLevel="0" collapsed="false">
      <c r="A850" s="23"/>
      <c r="B850" s="24"/>
      <c r="C850" s="24"/>
      <c r="D850" s="24"/>
      <c r="E850" s="24"/>
      <c r="F850" s="24"/>
      <c r="G850" s="24"/>
      <c r="H850" s="25" t="str">
        <f aca="false">IF($B850="","",IFERROR(IF(INDEX(명단!$B$5:$B$404,MATCH($B850,명단!$A$5:$A$404,0))="","(이름 미입력)",INDEX(명단!$B$5:$B$404,MATCH($B850,명단!$A$5:$A$404,0))),"번호 없음"))</f>
        <v/>
      </c>
      <c r="I850" s="25" t="str">
        <f aca="false">IF($B850="","",IF(COUNTIF($B$5:$B$1004,$B850)&gt;1,"중복 입력",""))</f>
        <v/>
      </c>
    </row>
    <row r="851" customFormat="false" ht="15" hidden="false" customHeight="false" outlineLevel="0" collapsed="false">
      <c r="A851" s="23"/>
      <c r="B851" s="24"/>
      <c r="C851" s="24"/>
      <c r="D851" s="24"/>
      <c r="E851" s="24"/>
      <c r="F851" s="24"/>
      <c r="G851" s="24"/>
      <c r="H851" s="25" t="str">
        <f aca="false">IF($B851="","",IFERROR(IF(INDEX(명단!$B$5:$B$404,MATCH($B851,명단!$A$5:$A$404,0))="","(이름 미입력)",INDEX(명단!$B$5:$B$404,MATCH($B851,명단!$A$5:$A$404,0))),"번호 없음"))</f>
        <v/>
      </c>
      <c r="I851" s="25" t="str">
        <f aca="false">IF($B851="","",IF(COUNTIF($B$5:$B$1004,$B851)&gt;1,"중복 입력",""))</f>
        <v/>
      </c>
    </row>
    <row r="852" customFormat="false" ht="15" hidden="false" customHeight="false" outlineLevel="0" collapsed="false">
      <c r="A852" s="23"/>
      <c r="B852" s="24"/>
      <c r="C852" s="24"/>
      <c r="D852" s="24"/>
      <c r="E852" s="24"/>
      <c r="F852" s="24"/>
      <c r="G852" s="24"/>
      <c r="H852" s="25" t="str">
        <f aca="false">IF($B852="","",IFERROR(IF(INDEX(명단!$B$5:$B$404,MATCH($B852,명단!$A$5:$A$404,0))="","(이름 미입력)",INDEX(명단!$B$5:$B$404,MATCH($B852,명단!$A$5:$A$404,0))),"번호 없음"))</f>
        <v/>
      </c>
      <c r="I852" s="25" t="str">
        <f aca="false">IF($B852="","",IF(COUNTIF($B$5:$B$1004,$B852)&gt;1,"중복 입력",""))</f>
        <v/>
      </c>
    </row>
    <row r="853" customFormat="false" ht="15" hidden="false" customHeight="false" outlineLevel="0" collapsed="false">
      <c r="A853" s="23"/>
      <c r="B853" s="24"/>
      <c r="C853" s="24"/>
      <c r="D853" s="24"/>
      <c r="E853" s="24"/>
      <c r="F853" s="24"/>
      <c r="G853" s="24"/>
      <c r="H853" s="25" t="str">
        <f aca="false">IF($B853="","",IFERROR(IF(INDEX(명단!$B$5:$B$404,MATCH($B853,명단!$A$5:$A$404,0))="","(이름 미입력)",INDEX(명단!$B$5:$B$404,MATCH($B853,명단!$A$5:$A$404,0))),"번호 없음"))</f>
        <v/>
      </c>
      <c r="I853" s="25" t="str">
        <f aca="false">IF($B853="","",IF(COUNTIF($B$5:$B$1004,$B853)&gt;1,"중복 입력",""))</f>
        <v/>
      </c>
    </row>
    <row r="854" customFormat="false" ht="15" hidden="false" customHeight="false" outlineLevel="0" collapsed="false">
      <c r="A854" s="23"/>
      <c r="B854" s="24"/>
      <c r="C854" s="24"/>
      <c r="D854" s="24"/>
      <c r="E854" s="24"/>
      <c r="F854" s="24"/>
      <c r="G854" s="24"/>
      <c r="H854" s="25" t="str">
        <f aca="false">IF($B854="","",IFERROR(IF(INDEX(명단!$B$5:$B$404,MATCH($B854,명단!$A$5:$A$404,0))="","(이름 미입력)",INDEX(명단!$B$5:$B$404,MATCH($B854,명단!$A$5:$A$404,0))),"번호 없음"))</f>
        <v/>
      </c>
      <c r="I854" s="25" t="str">
        <f aca="false">IF($B854="","",IF(COUNTIF($B$5:$B$1004,$B854)&gt;1,"중복 입력",""))</f>
        <v/>
      </c>
    </row>
    <row r="855" customFormat="false" ht="15" hidden="false" customHeight="false" outlineLevel="0" collapsed="false">
      <c r="A855" s="23"/>
      <c r="B855" s="24"/>
      <c r="C855" s="24"/>
      <c r="D855" s="24"/>
      <c r="E855" s="24"/>
      <c r="F855" s="24"/>
      <c r="G855" s="24"/>
      <c r="H855" s="25" t="str">
        <f aca="false">IF($B855="","",IFERROR(IF(INDEX(명단!$B$5:$B$404,MATCH($B855,명단!$A$5:$A$404,0))="","(이름 미입력)",INDEX(명단!$B$5:$B$404,MATCH($B855,명단!$A$5:$A$404,0))),"번호 없음"))</f>
        <v/>
      </c>
      <c r="I855" s="25" t="str">
        <f aca="false">IF($B855="","",IF(COUNTIF($B$5:$B$1004,$B855)&gt;1,"중복 입력",""))</f>
        <v/>
      </c>
    </row>
    <row r="856" customFormat="false" ht="15" hidden="false" customHeight="false" outlineLevel="0" collapsed="false">
      <c r="A856" s="23"/>
      <c r="B856" s="24"/>
      <c r="C856" s="24"/>
      <c r="D856" s="24"/>
      <c r="E856" s="24"/>
      <c r="F856" s="24"/>
      <c r="G856" s="24"/>
      <c r="H856" s="25" t="str">
        <f aca="false">IF($B856="","",IFERROR(IF(INDEX(명단!$B$5:$B$404,MATCH($B856,명단!$A$5:$A$404,0))="","(이름 미입력)",INDEX(명단!$B$5:$B$404,MATCH($B856,명단!$A$5:$A$404,0))),"번호 없음"))</f>
        <v/>
      </c>
      <c r="I856" s="25" t="str">
        <f aca="false">IF($B856="","",IF(COUNTIF($B$5:$B$1004,$B856)&gt;1,"중복 입력",""))</f>
        <v/>
      </c>
    </row>
    <row r="857" customFormat="false" ht="15" hidden="false" customHeight="false" outlineLevel="0" collapsed="false">
      <c r="A857" s="23"/>
      <c r="B857" s="24"/>
      <c r="C857" s="24"/>
      <c r="D857" s="24"/>
      <c r="E857" s="24"/>
      <c r="F857" s="24"/>
      <c r="G857" s="24"/>
      <c r="H857" s="25" t="str">
        <f aca="false">IF($B857="","",IFERROR(IF(INDEX(명단!$B$5:$B$404,MATCH($B857,명단!$A$5:$A$404,0))="","(이름 미입력)",INDEX(명단!$B$5:$B$404,MATCH($B857,명단!$A$5:$A$404,0))),"번호 없음"))</f>
        <v/>
      </c>
      <c r="I857" s="25" t="str">
        <f aca="false">IF($B857="","",IF(COUNTIF($B$5:$B$1004,$B857)&gt;1,"중복 입력",""))</f>
        <v/>
      </c>
    </row>
    <row r="858" customFormat="false" ht="15" hidden="false" customHeight="false" outlineLevel="0" collapsed="false">
      <c r="A858" s="23"/>
      <c r="B858" s="24"/>
      <c r="C858" s="24"/>
      <c r="D858" s="24"/>
      <c r="E858" s="24"/>
      <c r="F858" s="24"/>
      <c r="G858" s="24"/>
      <c r="H858" s="25" t="str">
        <f aca="false">IF($B858="","",IFERROR(IF(INDEX(명단!$B$5:$B$404,MATCH($B858,명단!$A$5:$A$404,0))="","(이름 미입력)",INDEX(명단!$B$5:$B$404,MATCH($B858,명단!$A$5:$A$404,0))),"번호 없음"))</f>
        <v/>
      </c>
      <c r="I858" s="25" t="str">
        <f aca="false">IF($B858="","",IF(COUNTIF($B$5:$B$1004,$B858)&gt;1,"중복 입력",""))</f>
        <v/>
      </c>
    </row>
    <row r="859" customFormat="false" ht="15" hidden="false" customHeight="false" outlineLevel="0" collapsed="false">
      <c r="A859" s="23"/>
      <c r="B859" s="24"/>
      <c r="C859" s="24"/>
      <c r="D859" s="24"/>
      <c r="E859" s="24"/>
      <c r="F859" s="24"/>
      <c r="G859" s="24"/>
      <c r="H859" s="25" t="str">
        <f aca="false">IF($B859="","",IFERROR(IF(INDEX(명단!$B$5:$B$404,MATCH($B859,명단!$A$5:$A$404,0))="","(이름 미입력)",INDEX(명단!$B$5:$B$404,MATCH($B859,명단!$A$5:$A$404,0))),"번호 없음"))</f>
        <v/>
      </c>
      <c r="I859" s="25" t="str">
        <f aca="false">IF($B859="","",IF(COUNTIF($B$5:$B$1004,$B859)&gt;1,"중복 입력",""))</f>
        <v/>
      </c>
    </row>
    <row r="860" customFormat="false" ht="15" hidden="false" customHeight="false" outlineLevel="0" collapsed="false">
      <c r="A860" s="23"/>
      <c r="B860" s="24"/>
      <c r="C860" s="24"/>
      <c r="D860" s="24"/>
      <c r="E860" s="24"/>
      <c r="F860" s="24"/>
      <c r="G860" s="24"/>
      <c r="H860" s="25" t="str">
        <f aca="false">IF($B860="","",IFERROR(IF(INDEX(명단!$B$5:$B$404,MATCH($B860,명단!$A$5:$A$404,0))="","(이름 미입력)",INDEX(명단!$B$5:$B$404,MATCH($B860,명단!$A$5:$A$404,0))),"번호 없음"))</f>
        <v/>
      </c>
      <c r="I860" s="25" t="str">
        <f aca="false">IF($B860="","",IF(COUNTIF($B$5:$B$1004,$B860)&gt;1,"중복 입력",""))</f>
        <v/>
      </c>
    </row>
    <row r="861" customFormat="false" ht="15" hidden="false" customHeight="false" outlineLevel="0" collapsed="false">
      <c r="A861" s="23"/>
      <c r="B861" s="24"/>
      <c r="C861" s="24"/>
      <c r="D861" s="24"/>
      <c r="E861" s="24"/>
      <c r="F861" s="24"/>
      <c r="G861" s="24"/>
      <c r="H861" s="25" t="str">
        <f aca="false">IF($B861="","",IFERROR(IF(INDEX(명단!$B$5:$B$404,MATCH($B861,명단!$A$5:$A$404,0))="","(이름 미입력)",INDEX(명단!$B$5:$B$404,MATCH($B861,명단!$A$5:$A$404,0))),"번호 없음"))</f>
        <v/>
      </c>
      <c r="I861" s="25" t="str">
        <f aca="false">IF($B861="","",IF(COUNTIF($B$5:$B$1004,$B861)&gt;1,"중복 입력",""))</f>
        <v/>
      </c>
    </row>
    <row r="862" customFormat="false" ht="15" hidden="false" customHeight="false" outlineLevel="0" collapsed="false">
      <c r="A862" s="23"/>
      <c r="B862" s="24"/>
      <c r="C862" s="24"/>
      <c r="D862" s="24"/>
      <c r="E862" s="24"/>
      <c r="F862" s="24"/>
      <c r="G862" s="24"/>
      <c r="H862" s="25" t="str">
        <f aca="false">IF($B862="","",IFERROR(IF(INDEX(명단!$B$5:$B$404,MATCH($B862,명단!$A$5:$A$404,0))="","(이름 미입력)",INDEX(명단!$B$5:$B$404,MATCH($B862,명단!$A$5:$A$404,0))),"번호 없음"))</f>
        <v/>
      </c>
      <c r="I862" s="25" t="str">
        <f aca="false">IF($B862="","",IF(COUNTIF($B$5:$B$1004,$B862)&gt;1,"중복 입력",""))</f>
        <v/>
      </c>
    </row>
    <row r="863" customFormat="false" ht="15" hidden="false" customHeight="false" outlineLevel="0" collapsed="false">
      <c r="A863" s="23"/>
      <c r="B863" s="24"/>
      <c r="C863" s="24"/>
      <c r="D863" s="24"/>
      <c r="E863" s="24"/>
      <c r="F863" s="24"/>
      <c r="G863" s="24"/>
      <c r="H863" s="25" t="str">
        <f aca="false">IF($B863="","",IFERROR(IF(INDEX(명단!$B$5:$B$404,MATCH($B863,명단!$A$5:$A$404,0))="","(이름 미입력)",INDEX(명단!$B$5:$B$404,MATCH($B863,명단!$A$5:$A$404,0))),"번호 없음"))</f>
        <v/>
      </c>
      <c r="I863" s="25" t="str">
        <f aca="false">IF($B863="","",IF(COUNTIF($B$5:$B$1004,$B863)&gt;1,"중복 입력",""))</f>
        <v/>
      </c>
    </row>
    <row r="864" customFormat="false" ht="15" hidden="false" customHeight="false" outlineLevel="0" collapsed="false">
      <c r="A864" s="23"/>
      <c r="B864" s="24"/>
      <c r="C864" s="24"/>
      <c r="D864" s="24"/>
      <c r="E864" s="24"/>
      <c r="F864" s="24"/>
      <c r="G864" s="24"/>
      <c r="H864" s="25" t="str">
        <f aca="false">IF($B864="","",IFERROR(IF(INDEX(명단!$B$5:$B$404,MATCH($B864,명단!$A$5:$A$404,0))="","(이름 미입력)",INDEX(명단!$B$5:$B$404,MATCH($B864,명단!$A$5:$A$404,0))),"번호 없음"))</f>
        <v/>
      </c>
      <c r="I864" s="25" t="str">
        <f aca="false">IF($B864="","",IF(COUNTIF($B$5:$B$1004,$B864)&gt;1,"중복 입력",""))</f>
        <v/>
      </c>
    </row>
    <row r="865" customFormat="false" ht="15" hidden="false" customHeight="false" outlineLevel="0" collapsed="false">
      <c r="A865" s="23"/>
      <c r="B865" s="24"/>
      <c r="C865" s="24"/>
      <c r="D865" s="24"/>
      <c r="E865" s="24"/>
      <c r="F865" s="24"/>
      <c r="G865" s="24"/>
      <c r="H865" s="25" t="str">
        <f aca="false">IF($B865="","",IFERROR(IF(INDEX(명단!$B$5:$B$404,MATCH($B865,명단!$A$5:$A$404,0))="","(이름 미입력)",INDEX(명단!$B$5:$B$404,MATCH($B865,명단!$A$5:$A$404,0))),"번호 없음"))</f>
        <v/>
      </c>
      <c r="I865" s="25" t="str">
        <f aca="false">IF($B865="","",IF(COUNTIF($B$5:$B$1004,$B865)&gt;1,"중복 입력",""))</f>
        <v/>
      </c>
    </row>
    <row r="866" customFormat="false" ht="15" hidden="false" customHeight="false" outlineLevel="0" collapsed="false">
      <c r="A866" s="23"/>
      <c r="B866" s="24"/>
      <c r="C866" s="24"/>
      <c r="D866" s="24"/>
      <c r="E866" s="24"/>
      <c r="F866" s="24"/>
      <c r="G866" s="24"/>
      <c r="H866" s="25" t="str">
        <f aca="false">IF($B866="","",IFERROR(IF(INDEX(명단!$B$5:$B$404,MATCH($B866,명단!$A$5:$A$404,0))="","(이름 미입력)",INDEX(명단!$B$5:$B$404,MATCH($B866,명단!$A$5:$A$404,0))),"번호 없음"))</f>
        <v/>
      </c>
      <c r="I866" s="25" t="str">
        <f aca="false">IF($B866="","",IF(COUNTIF($B$5:$B$1004,$B866)&gt;1,"중복 입력",""))</f>
        <v/>
      </c>
    </row>
    <row r="867" customFormat="false" ht="15" hidden="false" customHeight="false" outlineLevel="0" collapsed="false">
      <c r="A867" s="23"/>
      <c r="B867" s="24"/>
      <c r="C867" s="24"/>
      <c r="D867" s="24"/>
      <c r="E867" s="24"/>
      <c r="F867" s="24"/>
      <c r="G867" s="24"/>
      <c r="H867" s="25" t="str">
        <f aca="false">IF($B867="","",IFERROR(IF(INDEX(명단!$B$5:$B$404,MATCH($B867,명단!$A$5:$A$404,0))="","(이름 미입력)",INDEX(명단!$B$5:$B$404,MATCH($B867,명단!$A$5:$A$404,0))),"번호 없음"))</f>
        <v/>
      </c>
      <c r="I867" s="25" t="str">
        <f aca="false">IF($B867="","",IF(COUNTIF($B$5:$B$1004,$B867)&gt;1,"중복 입력",""))</f>
        <v/>
      </c>
    </row>
    <row r="868" customFormat="false" ht="15" hidden="false" customHeight="false" outlineLevel="0" collapsed="false">
      <c r="A868" s="23"/>
      <c r="B868" s="24"/>
      <c r="C868" s="24"/>
      <c r="D868" s="24"/>
      <c r="E868" s="24"/>
      <c r="F868" s="24"/>
      <c r="G868" s="24"/>
      <c r="H868" s="25" t="str">
        <f aca="false">IF($B868="","",IFERROR(IF(INDEX(명단!$B$5:$B$404,MATCH($B868,명단!$A$5:$A$404,0))="","(이름 미입력)",INDEX(명단!$B$5:$B$404,MATCH($B868,명단!$A$5:$A$404,0))),"번호 없음"))</f>
        <v/>
      </c>
      <c r="I868" s="25" t="str">
        <f aca="false">IF($B868="","",IF(COUNTIF($B$5:$B$1004,$B868)&gt;1,"중복 입력",""))</f>
        <v/>
      </c>
    </row>
    <row r="869" customFormat="false" ht="15" hidden="false" customHeight="false" outlineLevel="0" collapsed="false">
      <c r="A869" s="23"/>
      <c r="B869" s="24"/>
      <c r="C869" s="24"/>
      <c r="D869" s="24"/>
      <c r="E869" s="24"/>
      <c r="F869" s="24"/>
      <c r="G869" s="24"/>
      <c r="H869" s="25" t="str">
        <f aca="false">IF($B869="","",IFERROR(IF(INDEX(명단!$B$5:$B$404,MATCH($B869,명단!$A$5:$A$404,0))="","(이름 미입력)",INDEX(명단!$B$5:$B$404,MATCH($B869,명단!$A$5:$A$404,0))),"번호 없음"))</f>
        <v/>
      </c>
      <c r="I869" s="25" t="str">
        <f aca="false">IF($B869="","",IF(COUNTIF($B$5:$B$1004,$B869)&gt;1,"중복 입력",""))</f>
        <v/>
      </c>
    </row>
    <row r="870" customFormat="false" ht="15" hidden="false" customHeight="false" outlineLevel="0" collapsed="false">
      <c r="A870" s="23"/>
      <c r="B870" s="24"/>
      <c r="C870" s="24"/>
      <c r="D870" s="24"/>
      <c r="E870" s="24"/>
      <c r="F870" s="24"/>
      <c r="G870" s="24"/>
      <c r="H870" s="25" t="str">
        <f aca="false">IF($B870="","",IFERROR(IF(INDEX(명단!$B$5:$B$404,MATCH($B870,명단!$A$5:$A$404,0))="","(이름 미입력)",INDEX(명단!$B$5:$B$404,MATCH($B870,명단!$A$5:$A$404,0))),"번호 없음"))</f>
        <v/>
      </c>
      <c r="I870" s="25" t="str">
        <f aca="false">IF($B870="","",IF(COUNTIF($B$5:$B$1004,$B870)&gt;1,"중복 입력",""))</f>
        <v/>
      </c>
    </row>
    <row r="871" customFormat="false" ht="15" hidden="false" customHeight="false" outlineLevel="0" collapsed="false">
      <c r="A871" s="23"/>
      <c r="B871" s="24"/>
      <c r="C871" s="24"/>
      <c r="D871" s="24"/>
      <c r="E871" s="24"/>
      <c r="F871" s="24"/>
      <c r="G871" s="24"/>
      <c r="H871" s="25" t="str">
        <f aca="false">IF($B871="","",IFERROR(IF(INDEX(명단!$B$5:$B$404,MATCH($B871,명단!$A$5:$A$404,0))="","(이름 미입력)",INDEX(명단!$B$5:$B$404,MATCH($B871,명단!$A$5:$A$404,0))),"번호 없음"))</f>
        <v/>
      </c>
      <c r="I871" s="25" t="str">
        <f aca="false">IF($B871="","",IF(COUNTIF($B$5:$B$1004,$B871)&gt;1,"중복 입력",""))</f>
        <v/>
      </c>
    </row>
    <row r="872" customFormat="false" ht="15" hidden="false" customHeight="false" outlineLevel="0" collapsed="false">
      <c r="A872" s="23"/>
      <c r="B872" s="24"/>
      <c r="C872" s="24"/>
      <c r="D872" s="24"/>
      <c r="E872" s="24"/>
      <c r="F872" s="24"/>
      <c r="G872" s="24"/>
      <c r="H872" s="25" t="str">
        <f aca="false">IF($B872="","",IFERROR(IF(INDEX(명단!$B$5:$B$404,MATCH($B872,명단!$A$5:$A$404,0))="","(이름 미입력)",INDEX(명단!$B$5:$B$404,MATCH($B872,명단!$A$5:$A$404,0))),"번호 없음"))</f>
        <v/>
      </c>
      <c r="I872" s="25" t="str">
        <f aca="false">IF($B872="","",IF(COUNTIF($B$5:$B$1004,$B872)&gt;1,"중복 입력",""))</f>
        <v/>
      </c>
    </row>
    <row r="873" customFormat="false" ht="15" hidden="false" customHeight="false" outlineLevel="0" collapsed="false">
      <c r="A873" s="23"/>
      <c r="B873" s="24"/>
      <c r="C873" s="24"/>
      <c r="D873" s="24"/>
      <c r="E873" s="24"/>
      <c r="F873" s="24"/>
      <c r="G873" s="24"/>
      <c r="H873" s="25" t="str">
        <f aca="false">IF($B873="","",IFERROR(IF(INDEX(명단!$B$5:$B$404,MATCH($B873,명단!$A$5:$A$404,0))="","(이름 미입력)",INDEX(명단!$B$5:$B$404,MATCH($B873,명단!$A$5:$A$404,0))),"번호 없음"))</f>
        <v/>
      </c>
      <c r="I873" s="25" t="str">
        <f aca="false">IF($B873="","",IF(COUNTIF($B$5:$B$1004,$B873)&gt;1,"중복 입력",""))</f>
        <v/>
      </c>
    </row>
    <row r="874" customFormat="false" ht="15" hidden="false" customHeight="false" outlineLevel="0" collapsed="false">
      <c r="A874" s="23"/>
      <c r="B874" s="24"/>
      <c r="C874" s="24"/>
      <c r="D874" s="24"/>
      <c r="E874" s="24"/>
      <c r="F874" s="24"/>
      <c r="G874" s="24"/>
      <c r="H874" s="25" t="str">
        <f aca="false">IF($B874="","",IFERROR(IF(INDEX(명단!$B$5:$B$404,MATCH($B874,명단!$A$5:$A$404,0))="","(이름 미입력)",INDEX(명단!$B$5:$B$404,MATCH($B874,명단!$A$5:$A$404,0))),"번호 없음"))</f>
        <v/>
      </c>
      <c r="I874" s="25" t="str">
        <f aca="false">IF($B874="","",IF(COUNTIF($B$5:$B$1004,$B874)&gt;1,"중복 입력",""))</f>
        <v/>
      </c>
    </row>
    <row r="875" customFormat="false" ht="15" hidden="false" customHeight="false" outlineLevel="0" collapsed="false">
      <c r="A875" s="23"/>
      <c r="B875" s="24"/>
      <c r="C875" s="24"/>
      <c r="D875" s="24"/>
      <c r="E875" s="24"/>
      <c r="F875" s="24"/>
      <c r="G875" s="24"/>
      <c r="H875" s="25" t="str">
        <f aca="false">IF($B875="","",IFERROR(IF(INDEX(명단!$B$5:$B$404,MATCH($B875,명단!$A$5:$A$404,0))="","(이름 미입력)",INDEX(명단!$B$5:$B$404,MATCH($B875,명단!$A$5:$A$404,0))),"번호 없음"))</f>
        <v/>
      </c>
      <c r="I875" s="25" t="str">
        <f aca="false">IF($B875="","",IF(COUNTIF($B$5:$B$1004,$B875)&gt;1,"중복 입력",""))</f>
        <v/>
      </c>
    </row>
    <row r="876" customFormat="false" ht="15" hidden="false" customHeight="false" outlineLevel="0" collapsed="false">
      <c r="A876" s="23"/>
      <c r="B876" s="24"/>
      <c r="C876" s="24"/>
      <c r="D876" s="24"/>
      <c r="E876" s="24"/>
      <c r="F876" s="24"/>
      <c r="G876" s="24"/>
      <c r="H876" s="25" t="str">
        <f aca="false">IF($B876="","",IFERROR(IF(INDEX(명단!$B$5:$B$404,MATCH($B876,명단!$A$5:$A$404,0))="","(이름 미입력)",INDEX(명단!$B$5:$B$404,MATCH($B876,명단!$A$5:$A$404,0))),"번호 없음"))</f>
        <v/>
      </c>
      <c r="I876" s="25" t="str">
        <f aca="false">IF($B876="","",IF(COUNTIF($B$5:$B$1004,$B876)&gt;1,"중복 입력",""))</f>
        <v/>
      </c>
    </row>
    <row r="877" customFormat="false" ht="15" hidden="false" customHeight="false" outlineLevel="0" collapsed="false">
      <c r="A877" s="23"/>
      <c r="B877" s="24"/>
      <c r="C877" s="24"/>
      <c r="D877" s="24"/>
      <c r="E877" s="24"/>
      <c r="F877" s="24"/>
      <c r="G877" s="24"/>
      <c r="H877" s="25" t="str">
        <f aca="false">IF($B877="","",IFERROR(IF(INDEX(명단!$B$5:$B$404,MATCH($B877,명단!$A$5:$A$404,0))="","(이름 미입력)",INDEX(명단!$B$5:$B$404,MATCH($B877,명단!$A$5:$A$404,0))),"번호 없음"))</f>
        <v/>
      </c>
      <c r="I877" s="25" t="str">
        <f aca="false">IF($B877="","",IF(COUNTIF($B$5:$B$1004,$B877)&gt;1,"중복 입력",""))</f>
        <v/>
      </c>
    </row>
    <row r="878" customFormat="false" ht="15" hidden="false" customHeight="false" outlineLevel="0" collapsed="false">
      <c r="A878" s="23"/>
      <c r="B878" s="24"/>
      <c r="C878" s="24"/>
      <c r="D878" s="24"/>
      <c r="E878" s="24"/>
      <c r="F878" s="24"/>
      <c r="G878" s="24"/>
      <c r="H878" s="25" t="str">
        <f aca="false">IF($B878="","",IFERROR(IF(INDEX(명단!$B$5:$B$404,MATCH($B878,명단!$A$5:$A$404,0))="","(이름 미입력)",INDEX(명단!$B$5:$B$404,MATCH($B878,명단!$A$5:$A$404,0))),"번호 없음"))</f>
        <v/>
      </c>
      <c r="I878" s="25" t="str">
        <f aca="false">IF($B878="","",IF(COUNTIF($B$5:$B$1004,$B878)&gt;1,"중복 입력",""))</f>
        <v/>
      </c>
    </row>
    <row r="879" customFormat="false" ht="15" hidden="false" customHeight="false" outlineLevel="0" collapsed="false">
      <c r="A879" s="23"/>
      <c r="B879" s="24"/>
      <c r="C879" s="24"/>
      <c r="D879" s="24"/>
      <c r="E879" s="24"/>
      <c r="F879" s="24"/>
      <c r="G879" s="24"/>
      <c r="H879" s="25" t="str">
        <f aca="false">IF($B879="","",IFERROR(IF(INDEX(명단!$B$5:$B$404,MATCH($B879,명단!$A$5:$A$404,0))="","(이름 미입력)",INDEX(명단!$B$5:$B$404,MATCH($B879,명단!$A$5:$A$404,0))),"번호 없음"))</f>
        <v/>
      </c>
      <c r="I879" s="25" t="str">
        <f aca="false">IF($B879="","",IF(COUNTIF($B$5:$B$1004,$B879)&gt;1,"중복 입력",""))</f>
        <v/>
      </c>
    </row>
    <row r="880" customFormat="false" ht="15" hidden="false" customHeight="false" outlineLevel="0" collapsed="false">
      <c r="A880" s="23"/>
      <c r="B880" s="24"/>
      <c r="C880" s="24"/>
      <c r="D880" s="24"/>
      <c r="E880" s="24"/>
      <c r="F880" s="24"/>
      <c r="G880" s="24"/>
      <c r="H880" s="25" t="str">
        <f aca="false">IF($B880="","",IFERROR(IF(INDEX(명단!$B$5:$B$404,MATCH($B880,명단!$A$5:$A$404,0))="","(이름 미입력)",INDEX(명단!$B$5:$B$404,MATCH($B880,명단!$A$5:$A$404,0))),"번호 없음"))</f>
        <v/>
      </c>
      <c r="I880" s="25" t="str">
        <f aca="false">IF($B880="","",IF(COUNTIF($B$5:$B$1004,$B880)&gt;1,"중복 입력",""))</f>
        <v/>
      </c>
    </row>
    <row r="881" customFormat="false" ht="15" hidden="false" customHeight="false" outlineLevel="0" collapsed="false">
      <c r="A881" s="23"/>
      <c r="B881" s="24"/>
      <c r="C881" s="24"/>
      <c r="D881" s="24"/>
      <c r="E881" s="24"/>
      <c r="F881" s="24"/>
      <c r="G881" s="24"/>
      <c r="H881" s="25" t="str">
        <f aca="false">IF($B881="","",IFERROR(IF(INDEX(명단!$B$5:$B$404,MATCH($B881,명단!$A$5:$A$404,0))="","(이름 미입력)",INDEX(명단!$B$5:$B$404,MATCH($B881,명단!$A$5:$A$404,0))),"번호 없음"))</f>
        <v/>
      </c>
      <c r="I881" s="25" t="str">
        <f aca="false">IF($B881="","",IF(COUNTIF($B$5:$B$1004,$B881)&gt;1,"중복 입력",""))</f>
        <v/>
      </c>
    </row>
    <row r="882" customFormat="false" ht="15" hidden="false" customHeight="false" outlineLevel="0" collapsed="false">
      <c r="A882" s="23"/>
      <c r="B882" s="24"/>
      <c r="C882" s="24"/>
      <c r="D882" s="24"/>
      <c r="E882" s="24"/>
      <c r="F882" s="24"/>
      <c r="G882" s="24"/>
      <c r="H882" s="25" t="str">
        <f aca="false">IF($B882="","",IFERROR(IF(INDEX(명단!$B$5:$B$404,MATCH($B882,명단!$A$5:$A$404,0))="","(이름 미입력)",INDEX(명단!$B$5:$B$404,MATCH($B882,명단!$A$5:$A$404,0))),"번호 없음"))</f>
        <v/>
      </c>
      <c r="I882" s="25" t="str">
        <f aca="false">IF($B882="","",IF(COUNTIF($B$5:$B$1004,$B882)&gt;1,"중복 입력",""))</f>
        <v/>
      </c>
    </row>
    <row r="883" customFormat="false" ht="15" hidden="false" customHeight="false" outlineLevel="0" collapsed="false">
      <c r="A883" s="23"/>
      <c r="B883" s="24"/>
      <c r="C883" s="24"/>
      <c r="D883" s="24"/>
      <c r="E883" s="24"/>
      <c r="F883" s="24"/>
      <c r="G883" s="24"/>
      <c r="H883" s="25" t="str">
        <f aca="false">IF($B883="","",IFERROR(IF(INDEX(명단!$B$5:$B$404,MATCH($B883,명단!$A$5:$A$404,0))="","(이름 미입력)",INDEX(명단!$B$5:$B$404,MATCH($B883,명단!$A$5:$A$404,0))),"번호 없음"))</f>
        <v/>
      </c>
      <c r="I883" s="25" t="str">
        <f aca="false">IF($B883="","",IF(COUNTIF($B$5:$B$1004,$B883)&gt;1,"중복 입력",""))</f>
        <v/>
      </c>
    </row>
    <row r="884" customFormat="false" ht="15" hidden="false" customHeight="false" outlineLevel="0" collapsed="false">
      <c r="A884" s="23"/>
      <c r="B884" s="24"/>
      <c r="C884" s="24"/>
      <c r="D884" s="24"/>
      <c r="E884" s="24"/>
      <c r="F884" s="24"/>
      <c r="G884" s="24"/>
      <c r="H884" s="25" t="str">
        <f aca="false">IF($B884="","",IFERROR(IF(INDEX(명단!$B$5:$B$404,MATCH($B884,명단!$A$5:$A$404,0))="","(이름 미입력)",INDEX(명단!$B$5:$B$404,MATCH($B884,명단!$A$5:$A$404,0))),"번호 없음"))</f>
        <v/>
      </c>
      <c r="I884" s="25" t="str">
        <f aca="false">IF($B884="","",IF(COUNTIF($B$5:$B$1004,$B884)&gt;1,"중복 입력",""))</f>
        <v/>
      </c>
    </row>
    <row r="885" customFormat="false" ht="15" hidden="false" customHeight="false" outlineLevel="0" collapsed="false">
      <c r="A885" s="23"/>
      <c r="B885" s="24"/>
      <c r="C885" s="24"/>
      <c r="D885" s="24"/>
      <c r="E885" s="24"/>
      <c r="F885" s="24"/>
      <c r="G885" s="24"/>
      <c r="H885" s="25" t="str">
        <f aca="false">IF($B885="","",IFERROR(IF(INDEX(명단!$B$5:$B$404,MATCH($B885,명단!$A$5:$A$404,0))="","(이름 미입력)",INDEX(명단!$B$5:$B$404,MATCH($B885,명단!$A$5:$A$404,0))),"번호 없음"))</f>
        <v/>
      </c>
      <c r="I885" s="25" t="str">
        <f aca="false">IF($B885="","",IF(COUNTIF($B$5:$B$1004,$B885)&gt;1,"중복 입력",""))</f>
        <v/>
      </c>
    </row>
    <row r="886" customFormat="false" ht="15" hidden="false" customHeight="false" outlineLevel="0" collapsed="false">
      <c r="A886" s="23"/>
      <c r="B886" s="24"/>
      <c r="C886" s="24"/>
      <c r="D886" s="24"/>
      <c r="E886" s="24"/>
      <c r="F886" s="24"/>
      <c r="G886" s="24"/>
      <c r="H886" s="25" t="str">
        <f aca="false">IF($B886="","",IFERROR(IF(INDEX(명단!$B$5:$B$404,MATCH($B886,명단!$A$5:$A$404,0))="","(이름 미입력)",INDEX(명단!$B$5:$B$404,MATCH($B886,명단!$A$5:$A$404,0))),"번호 없음"))</f>
        <v/>
      </c>
      <c r="I886" s="25" t="str">
        <f aca="false">IF($B886="","",IF(COUNTIF($B$5:$B$1004,$B886)&gt;1,"중복 입력",""))</f>
        <v/>
      </c>
    </row>
    <row r="887" customFormat="false" ht="15" hidden="false" customHeight="false" outlineLevel="0" collapsed="false">
      <c r="A887" s="23"/>
      <c r="B887" s="24"/>
      <c r="C887" s="24"/>
      <c r="D887" s="24"/>
      <c r="E887" s="24"/>
      <c r="F887" s="24"/>
      <c r="G887" s="24"/>
      <c r="H887" s="25" t="str">
        <f aca="false">IF($B887="","",IFERROR(IF(INDEX(명단!$B$5:$B$404,MATCH($B887,명단!$A$5:$A$404,0))="","(이름 미입력)",INDEX(명단!$B$5:$B$404,MATCH($B887,명단!$A$5:$A$404,0))),"번호 없음"))</f>
        <v/>
      </c>
      <c r="I887" s="25" t="str">
        <f aca="false">IF($B887="","",IF(COUNTIF($B$5:$B$1004,$B887)&gt;1,"중복 입력",""))</f>
        <v/>
      </c>
    </row>
    <row r="888" customFormat="false" ht="15" hidden="false" customHeight="false" outlineLevel="0" collapsed="false">
      <c r="A888" s="23"/>
      <c r="B888" s="24"/>
      <c r="C888" s="24"/>
      <c r="D888" s="24"/>
      <c r="E888" s="24"/>
      <c r="F888" s="24"/>
      <c r="G888" s="24"/>
      <c r="H888" s="25" t="str">
        <f aca="false">IF($B888="","",IFERROR(IF(INDEX(명단!$B$5:$B$404,MATCH($B888,명단!$A$5:$A$404,0))="","(이름 미입력)",INDEX(명단!$B$5:$B$404,MATCH($B888,명단!$A$5:$A$404,0))),"번호 없음"))</f>
        <v/>
      </c>
      <c r="I888" s="25" t="str">
        <f aca="false">IF($B888="","",IF(COUNTIF($B$5:$B$1004,$B888)&gt;1,"중복 입력",""))</f>
        <v/>
      </c>
    </row>
    <row r="889" customFormat="false" ht="15" hidden="false" customHeight="false" outlineLevel="0" collapsed="false">
      <c r="A889" s="23"/>
      <c r="B889" s="24"/>
      <c r="C889" s="24"/>
      <c r="D889" s="24"/>
      <c r="E889" s="24"/>
      <c r="F889" s="24"/>
      <c r="G889" s="24"/>
      <c r="H889" s="25" t="str">
        <f aca="false">IF($B889="","",IFERROR(IF(INDEX(명단!$B$5:$B$404,MATCH($B889,명단!$A$5:$A$404,0))="","(이름 미입력)",INDEX(명단!$B$5:$B$404,MATCH($B889,명단!$A$5:$A$404,0))),"번호 없음"))</f>
        <v/>
      </c>
      <c r="I889" s="25" t="str">
        <f aca="false">IF($B889="","",IF(COUNTIF($B$5:$B$1004,$B889)&gt;1,"중복 입력",""))</f>
        <v/>
      </c>
    </row>
    <row r="890" customFormat="false" ht="15" hidden="false" customHeight="false" outlineLevel="0" collapsed="false">
      <c r="A890" s="23"/>
      <c r="B890" s="24"/>
      <c r="C890" s="24"/>
      <c r="D890" s="24"/>
      <c r="E890" s="24"/>
      <c r="F890" s="24"/>
      <c r="G890" s="24"/>
      <c r="H890" s="25" t="str">
        <f aca="false">IF($B890="","",IFERROR(IF(INDEX(명단!$B$5:$B$404,MATCH($B890,명단!$A$5:$A$404,0))="","(이름 미입력)",INDEX(명단!$B$5:$B$404,MATCH($B890,명단!$A$5:$A$404,0))),"번호 없음"))</f>
        <v/>
      </c>
      <c r="I890" s="25" t="str">
        <f aca="false">IF($B890="","",IF(COUNTIF($B$5:$B$1004,$B890)&gt;1,"중복 입력",""))</f>
        <v/>
      </c>
    </row>
    <row r="891" customFormat="false" ht="15" hidden="false" customHeight="false" outlineLevel="0" collapsed="false">
      <c r="A891" s="23"/>
      <c r="B891" s="24"/>
      <c r="C891" s="24"/>
      <c r="D891" s="24"/>
      <c r="E891" s="24"/>
      <c r="F891" s="24"/>
      <c r="G891" s="24"/>
      <c r="H891" s="25" t="str">
        <f aca="false">IF($B891="","",IFERROR(IF(INDEX(명단!$B$5:$B$404,MATCH($B891,명단!$A$5:$A$404,0))="","(이름 미입력)",INDEX(명단!$B$5:$B$404,MATCH($B891,명단!$A$5:$A$404,0))),"번호 없음"))</f>
        <v/>
      </c>
      <c r="I891" s="25" t="str">
        <f aca="false">IF($B891="","",IF(COUNTIF($B$5:$B$1004,$B891)&gt;1,"중복 입력",""))</f>
        <v/>
      </c>
    </row>
    <row r="892" customFormat="false" ht="15" hidden="false" customHeight="false" outlineLevel="0" collapsed="false">
      <c r="A892" s="23"/>
      <c r="B892" s="24"/>
      <c r="C892" s="24"/>
      <c r="D892" s="24"/>
      <c r="E892" s="24"/>
      <c r="F892" s="24"/>
      <c r="G892" s="24"/>
      <c r="H892" s="25" t="str">
        <f aca="false">IF($B892="","",IFERROR(IF(INDEX(명단!$B$5:$B$404,MATCH($B892,명단!$A$5:$A$404,0))="","(이름 미입력)",INDEX(명단!$B$5:$B$404,MATCH($B892,명단!$A$5:$A$404,0))),"번호 없음"))</f>
        <v/>
      </c>
      <c r="I892" s="25" t="str">
        <f aca="false">IF($B892="","",IF(COUNTIF($B$5:$B$1004,$B892)&gt;1,"중복 입력",""))</f>
        <v/>
      </c>
    </row>
    <row r="893" customFormat="false" ht="15" hidden="false" customHeight="false" outlineLevel="0" collapsed="false">
      <c r="A893" s="23"/>
      <c r="B893" s="24"/>
      <c r="C893" s="24"/>
      <c r="D893" s="24"/>
      <c r="E893" s="24"/>
      <c r="F893" s="24"/>
      <c r="G893" s="24"/>
      <c r="H893" s="25" t="str">
        <f aca="false">IF($B893="","",IFERROR(IF(INDEX(명단!$B$5:$B$404,MATCH($B893,명단!$A$5:$A$404,0))="","(이름 미입력)",INDEX(명단!$B$5:$B$404,MATCH($B893,명단!$A$5:$A$404,0))),"번호 없음"))</f>
        <v/>
      </c>
      <c r="I893" s="25" t="str">
        <f aca="false">IF($B893="","",IF(COUNTIF($B$5:$B$1004,$B893)&gt;1,"중복 입력",""))</f>
        <v/>
      </c>
    </row>
    <row r="894" customFormat="false" ht="15" hidden="false" customHeight="false" outlineLevel="0" collapsed="false">
      <c r="A894" s="23"/>
      <c r="B894" s="24"/>
      <c r="C894" s="24"/>
      <c r="D894" s="24"/>
      <c r="E894" s="24"/>
      <c r="F894" s="24"/>
      <c r="G894" s="24"/>
      <c r="H894" s="25" t="str">
        <f aca="false">IF($B894="","",IFERROR(IF(INDEX(명단!$B$5:$B$404,MATCH($B894,명단!$A$5:$A$404,0))="","(이름 미입력)",INDEX(명단!$B$5:$B$404,MATCH($B894,명단!$A$5:$A$404,0))),"번호 없음"))</f>
        <v/>
      </c>
      <c r="I894" s="25" t="str">
        <f aca="false">IF($B894="","",IF(COUNTIF($B$5:$B$1004,$B894)&gt;1,"중복 입력",""))</f>
        <v/>
      </c>
    </row>
    <row r="895" customFormat="false" ht="15" hidden="false" customHeight="false" outlineLevel="0" collapsed="false">
      <c r="A895" s="23"/>
      <c r="B895" s="24"/>
      <c r="C895" s="24"/>
      <c r="D895" s="24"/>
      <c r="E895" s="24"/>
      <c r="F895" s="24"/>
      <c r="G895" s="24"/>
      <c r="H895" s="25" t="str">
        <f aca="false">IF($B895="","",IFERROR(IF(INDEX(명단!$B$5:$B$404,MATCH($B895,명단!$A$5:$A$404,0))="","(이름 미입력)",INDEX(명단!$B$5:$B$404,MATCH($B895,명단!$A$5:$A$404,0))),"번호 없음"))</f>
        <v/>
      </c>
      <c r="I895" s="25" t="str">
        <f aca="false">IF($B895="","",IF(COUNTIF($B$5:$B$1004,$B895)&gt;1,"중복 입력",""))</f>
        <v/>
      </c>
    </row>
    <row r="896" customFormat="false" ht="15" hidden="false" customHeight="false" outlineLevel="0" collapsed="false">
      <c r="A896" s="23"/>
      <c r="B896" s="24"/>
      <c r="C896" s="24"/>
      <c r="D896" s="24"/>
      <c r="E896" s="24"/>
      <c r="F896" s="24"/>
      <c r="G896" s="24"/>
      <c r="H896" s="25" t="str">
        <f aca="false">IF($B896="","",IFERROR(IF(INDEX(명단!$B$5:$B$404,MATCH($B896,명단!$A$5:$A$404,0))="","(이름 미입력)",INDEX(명단!$B$5:$B$404,MATCH($B896,명단!$A$5:$A$404,0))),"번호 없음"))</f>
        <v/>
      </c>
      <c r="I896" s="25" t="str">
        <f aca="false">IF($B896="","",IF(COUNTIF($B$5:$B$1004,$B896)&gt;1,"중복 입력",""))</f>
        <v/>
      </c>
    </row>
    <row r="897" customFormat="false" ht="15" hidden="false" customHeight="false" outlineLevel="0" collapsed="false">
      <c r="A897" s="23"/>
      <c r="B897" s="24"/>
      <c r="C897" s="24"/>
      <c r="D897" s="24"/>
      <c r="E897" s="24"/>
      <c r="F897" s="24"/>
      <c r="G897" s="24"/>
      <c r="H897" s="25" t="str">
        <f aca="false">IF($B897="","",IFERROR(IF(INDEX(명단!$B$5:$B$404,MATCH($B897,명단!$A$5:$A$404,0))="","(이름 미입력)",INDEX(명단!$B$5:$B$404,MATCH($B897,명단!$A$5:$A$404,0))),"번호 없음"))</f>
        <v/>
      </c>
      <c r="I897" s="25" t="str">
        <f aca="false">IF($B897="","",IF(COUNTIF($B$5:$B$1004,$B897)&gt;1,"중복 입력",""))</f>
        <v/>
      </c>
    </row>
    <row r="898" customFormat="false" ht="15" hidden="false" customHeight="false" outlineLevel="0" collapsed="false">
      <c r="A898" s="23"/>
      <c r="B898" s="24"/>
      <c r="C898" s="24"/>
      <c r="D898" s="24"/>
      <c r="E898" s="24"/>
      <c r="F898" s="24"/>
      <c r="G898" s="24"/>
      <c r="H898" s="25" t="str">
        <f aca="false">IF($B898="","",IFERROR(IF(INDEX(명단!$B$5:$B$404,MATCH($B898,명단!$A$5:$A$404,0))="","(이름 미입력)",INDEX(명단!$B$5:$B$404,MATCH($B898,명단!$A$5:$A$404,0))),"번호 없음"))</f>
        <v/>
      </c>
      <c r="I898" s="25" t="str">
        <f aca="false">IF($B898="","",IF(COUNTIF($B$5:$B$1004,$B898)&gt;1,"중복 입력",""))</f>
        <v/>
      </c>
    </row>
    <row r="899" customFormat="false" ht="15" hidden="false" customHeight="false" outlineLevel="0" collapsed="false">
      <c r="A899" s="23"/>
      <c r="B899" s="24"/>
      <c r="C899" s="24"/>
      <c r="D899" s="24"/>
      <c r="E899" s="24"/>
      <c r="F899" s="24"/>
      <c r="G899" s="24"/>
      <c r="H899" s="25" t="str">
        <f aca="false">IF($B899="","",IFERROR(IF(INDEX(명단!$B$5:$B$404,MATCH($B899,명단!$A$5:$A$404,0))="","(이름 미입력)",INDEX(명단!$B$5:$B$404,MATCH($B899,명단!$A$5:$A$404,0))),"번호 없음"))</f>
        <v/>
      </c>
      <c r="I899" s="25" t="str">
        <f aca="false">IF($B899="","",IF(COUNTIF($B$5:$B$1004,$B899)&gt;1,"중복 입력",""))</f>
        <v/>
      </c>
    </row>
    <row r="900" customFormat="false" ht="15" hidden="false" customHeight="false" outlineLevel="0" collapsed="false">
      <c r="A900" s="23"/>
      <c r="B900" s="24"/>
      <c r="C900" s="24"/>
      <c r="D900" s="24"/>
      <c r="E900" s="24"/>
      <c r="F900" s="24"/>
      <c r="G900" s="24"/>
      <c r="H900" s="25" t="str">
        <f aca="false">IF($B900="","",IFERROR(IF(INDEX(명단!$B$5:$B$404,MATCH($B900,명단!$A$5:$A$404,0))="","(이름 미입력)",INDEX(명단!$B$5:$B$404,MATCH($B900,명단!$A$5:$A$404,0))),"번호 없음"))</f>
        <v/>
      </c>
      <c r="I900" s="25" t="str">
        <f aca="false">IF($B900="","",IF(COUNTIF($B$5:$B$1004,$B900)&gt;1,"중복 입력",""))</f>
        <v/>
      </c>
    </row>
    <row r="901" customFormat="false" ht="15" hidden="false" customHeight="false" outlineLevel="0" collapsed="false">
      <c r="A901" s="23"/>
      <c r="B901" s="24"/>
      <c r="C901" s="24"/>
      <c r="D901" s="24"/>
      <c r="E901" s="24"/>
      <c r="F901" s="24"/>
      <c r="G901" s="24"/>
      <c r="H901" s="25" t="str">
        <f aca="false">IF($B901="","",IFERROR(IF(INDEX(명단!$B$5:$B$404,MATCH($B901,명단!$A$5:$A$404,0))="","(이름 미입력)",INDEX(명단!$B$5:$B$404,MATCH($B901,명단!$A$5:$A$404,0))),"번호 없음"))</f>
        <v/>
      </c>
      <c r="I901" s="25" t="str">
        <f aca="false">IF($B901="","",IF(COUNTIF($B$5:$B$1004,$B901)&gt;1,"중복 입력",""))</f>
        <v/>
      </c>
    </row>
    <row r="902" customFormat="false" ht="15" hidden="false" customHeight="false" outlineLevel="0" collapsed="false">
      <c r="A902" s="23"/>
      <c r="B902" s="24"/>
      <c r="C902" s="24"/>
      <c r="D902" s="24"/>
      <c r="E902" s="24"/>
      <c r="F902" s="24"/>
      <c r="G902" s="24"/>
      <c r="H902" s="25" t="str">
        <f aca="false">IF($B902="","",IFERROR(IF(INDEX(명단!$B$5:$B$404,MATCH($B902,명단!$A$5:$A$404,0))="","(이름 미입력)",INDEX(명단!$B$5:$B$404,MATCH($B902,명단!$A$5:$A$404,0))),"번호 없음"))</f>
        <v/>
      </c>
      <c r="I902" s="25" t="str">
        <f aca="false">IF($B902="","",IF(COUNTIF($B$5:$B$1004,$B902)&gt;1,"중복 입력",""))</f>
        <v/>
      </c>
    </row>
    <row r="903" customFormat="false" ht="15" hidden="false" customHeight="false" outlineLevel="0" collapsed="false">
      <c r="A903" s="23"/>
      <c r="B903" s="24"/>
      <c r="C903" s="24"/>
      <c r="D903" s="24"/>
      <c r="E903" s="24"/>
      <c r="F903" s="24"/>
      <c r="G903" s="24"/>
      <c r="H903" s="25" t="str">
        <f aca="false">IF($B903="","",IFERROR(IF(INDEX(명단!$B$5:$B$404,MATCH($B903,명단!$A$5:$A$404,0))="","(이름 미입력)",INDEX(명단!$B$5:$B$404,MATCH($B903,명단!$A$5:$A$404,0))),"번호 없음"))</f>
        <v/>
      </c>
      <c r="I903" s="25" t="str">
        <f aca="false">IF($B903="","",IF(COUNTIF($B$5:$B$1004,$B903)&gt;1,"중복 입력",""))</f>
        <v/>
      </c>
    </row>
    <row r="904" customFormat="false" ht="15" hidden="false" customHeight="false" outlineLevel="0" collapsed="false">
      <c r="A904" s="23"/>
      <c r="B904" s="24"/>
      <c r="C904" s="24"/>
      <c r="D904" s="24"/>
      <c r="E904" s="24"/>
      <c r="F904" s="24"/>
      <c r="G904" s="24"/>
      <c r="H904" s="25" t="str">
        <f aca="false">IF($B904="","",IFERROR(IF(INDEX(명단!$B$5:$B$404,MATCH($B904,명단!$A$5:$A$404,0))="","(이름 미입력)",INDEX(명단!$B$5:$B$404,MATCH($B904,명단!$A$5:$A$404,0))),"번호 없음"))</f>
        <v/>
      </c>
      <c r="I904" s="25" t="str">
        <f aca="false">IF($B904="","",IF(COUNTIF($B$5:$B$1004,$B904)&gt;1,"중복 입력",""))</f>
        <v/>
      </c>
    </row>
    <row r="905" customFormat="false" ht="15" hidden="false" customHeight="false" outlineLevel="0" collapsed="false">
      <c r="A905" s="23"/>
      <c r="B905" s="24"/>
      <c r="C905" s="24"/>
      <c r="D905" s="24"/>
      <c r="E905" s="24"/>
      <c r="F905" s="24"/>
      <c r="G905" s="24"/>
      <c r="H905" s="25" t="str">
        <f aca="false">IF($B905="","",IFERROR(IF(INDEX(명단!$B$5:$B$404,MATCH($B905,명단!$A$5:$A$404,0))="","(이름 미입력)",INDEX(명단!$B$5:$B$404,MATCH($B905,명단!$A$5:$A$404,0))),"번호 없음"))</f>
        <v/>
      </c>
      <c r="I905" s="25" t="str">
        <f aca="false">IF($B905="","",IF(COUNTIF($B$5:$B$1004,$B905)&gt;1,"중복 입력",""))</f>
        <v/>
      </c>
    </row>
    <row r="906" customFormat="false" ht="15" hidden="false" customHeight="false" outlineLevel="0" collapsed="false">
      <c r="A906" s="23"/>
      <c r="B906" s="24"/>
      <c r="C906" s="24"/>
      <c r="D906" s="24"/>
      <c r="E906" s="24"/>
      <c r="F906" s="24"/>
      <c r="G906" s="24"/>
      <c r="H906" s="25" t="str">
        <f aca="false">IF($B906="","",IFERROR(IF(INDEX(명단!$B$5:$B$404,MATCH($B906,명단!$A$5:$A$404,0))="","(이름 미입력)",INDEX(명단!$B$5:$B$404,MATCH($B906,명단!$A$5:$A$404,0))),"번호 없음"))</f>
        <v/>
      </c>
      <c r="I906" s="25" t="str">
        <f aca="false">IF($B906="","",IF(COUNTIF($B$5:$B$1004,$B906)&gt;1,"중복 입력",""))</f>
        <v/>
      </c>
    </row>
    <row r="907" customFormat="false" ht="15" hidden="false" customHeight="false" outlineLevel="0" collapsed="false">
      <c r="A907" s="23"/>
      <c r="B907" s="24"/>
      <c r="C907" s="24"/>
      <c r="D907" s="24"/>
      <c r="E907" s="24"/>
      <c r="F907" s="24"/>
      <c r="G907" s="24"/>
      <c r="H907" s="25" t="str">
        <f aca="false">IF($B907="","",IFERROR(IF(INDEX(명단!$B$5:$B$404,MATCH($B907,명단!$A$5:$A$404,0))="","(이름 미입력)",INDEX(명단!$B$5:$B$404,MATCH($B907,명단!$A$5:$A$404,0))),"번호 없음"))</f>
        <v/>
      </c>
      <c r="I907" s="25" t="str">
        <f aca="false">IF($B907="","",IF(COUNTIF($B$5:$B$1004,$B907)&gt;1,"중복 입력",""))</f>
        <v/>
      </c>
    </row>
    <row r="908" customFormat="false" ht="15" hidden="false" customHeight="false" outlineLevel="0" collapsed="false">
      <c r="A908" s="23"/>
      <c r="B908" s="24"/>
      <c r="C908" s="24"/>
      <c r="D908" s="24"/>
      <c r="E908" s="24"/>
      <c r="F908" s="24"/>
      <c r="G908" s="24"/>
      <c r="H908" s="25" t="str">
        <f aca="false">IF($B908="","",IFERROR(IF(INDEX(명단!$B$5:$B$404,MATCH($B908,명단!$A$5:$A$404,0))="","(이름 미입력)",INDEX(명단!$B$5:$B$404,MATCH($B908,명단!$A$5:$A$404,0))),"번호 없음"))</f>
        <v/>
      </c>
      <c r="I908" s="25" t="str">
        <f aca="false">IF($B908="","",IF(COUNTIF($B$5:$B$1004,$B908)&gt;1,"중복 입력",""))</f>
        <v/>
      </c>
    </row>
    <row r="909" customFormat="false" ht="15" hidden="false" customHeight="false" outlineLevel="0" collapsed="false">
      <c r="A909" s="23"/>
      <c r="B909" s="24"/>
      <c r="C909" s="24"/>
      <c r="D909" s="24"/>
      <c r="E909" s="24"/>
      <c r="F909" s="24"/>
      <c r="G909" s="24"/>
      <c r="H909" s="25" t="str">
        <f aca="false">IF($B909="","",IFERROR(IF(INDEX(명단!$B$5:$B$404,MATCH($B909,명단!$A$5:$A$404,0))="","(이름 미입력)",INDEX(명단!$B$5:$B$404,MATCH($B909,명단!$A$5:$A$404,0))),"번호 없음"))</f>
        <v/>
      </c>
      <c r="I909" s="25" t="str">
        <f aca="false">IF($B909="","",IF(COUNTIF($B$5:$B$1004,$B909)&gt;1,"중복 입력",""))</f>
        <v/>
      </c>
    </row>
    <row r="910" customFormat="false" ht="15" hidden="false" customHeight="false" outlineLevel="0" collapsed="false">
      <c r="A910" s="23"/>
      <c r="B910" s="24"/>
      <c r="C910" s="24"/>
      <c r="D910" s="24"/>
      <c r="E910" s="24"/>
      <c r="F910" s="24"/>
      <c r="G910" s="24"/>
      <c r="H910" s="25" t="str">
        <f aca="false">IF($B910="","",IFERROR(IF(INDEX(명단!$B$5:$B$404,MATCH($B910,명단!$A$5:$A$404,0))="","(이름 미입력)",INDEX(명단!$B$5:$B$404,MATCH($B910,명단!$A$5:$A$404,0))),"번호 없음"))</f>
        <v/>
      </c>
      <c r="I910" s="25" t="str">
        <f aca="false">IF($B910="","",IF(COUNTIF($B$5:$B$1004,$B910)&gt;1,"중복 입력",""))</f>
        <v/>
      </c>
    </row>
    <row r="911" customFormat="false" ht="15" hidden="false" customHeight="false" outlineLevel="0" collapsed="false">
      <c r="A911" s="23"/>
      <c r="B911" s="24"/>
      <c r="C911" s="24"/>
      <c r="D911" s="24"/>
      <c r="E911" s="24"/>
      <c r="F911" s="24"/>
      <c r="G911" s="24"/>
      <c r="H911" s="25" t="str">
        <f aca="false">IF($B911="","",IFERROR(IF(INDEX(명단!$B$5:$B$404,MATCH($B911,명단!$A$5:$A$404,0))="","(이름 미입력)",INDEX(명단!$B$5:$B$404,MATCH($B911,명단!$A$5:$A$404,0))),"번호 없음"))</f>
        <v/>
      </c>
      <c r="I911" s="25" t="str">
        <f aca="false">IF($B911="","",IF(COUNTIF($B$5:$B$1004,$B911)&gt;1,"중복 입력",""))</f>
        <v/>
      </c>
    </row>
    <row r="912" customFormat="false" ht="15" hidden="false" customHeight="false" outlineLevel="0" collapsed="false">
      <c r="A912" s="23"/>
      <c r="B912" s="24"/>
      <c r="C912" s="24"/>
      <c r="D912" s="24"/>
      <c r="E912" s="24"/>
      <c r="F912" s="24"/>
      <c r="G912" s="24"/>
      <c r="H912" s="25" t="str">
        <f aca="false">IF($B912="","",IFERROR(IF(INDEX(명단!$B$5:$B$404,MATCH($B912,명단!$A$5:$A$404,0))="","(이름 미입력)",INDEX(명단!$B$5:$B$404,MATCH($B912,명단!$A$5:$A$404,0))),"번호 없음"))</f>
        <v/>
      </c>
      <c r="I912" s="25" t="str">
        <f aca="false">IF($B912="","",IF(COUNTIF($B$5:$B$1004,$B912)&gt;1,"중복 입력",""))</f>
        <v/>
      </c>
    </row>
    <row r="913" customFormat="false" ht="15" hidden="false" customHeight="false" outlineLevel="0" collapsed="false">
      <c r="A913" s="23"/>
      <c r="B913" s="24"/>
      <c r="C913" s="24"/>
      <c r="D913" s="24"/>
      <c r="E913" s="24"/>
      <c r="F913" s="24"/>
      <c r="G913" s="24"/>
      <c r="H913" s="25" t="str">
        <f aca="false">IF($B913="","",IFERROR(IF(INDEX(명단!$B$5:$B$404,MATCH($B913,명단!$A$5:$A$404,0))="","(이름 미입력)",INDEX(명단!$B$5:$B$404,MATCH($B913,명단!$A$5:$A$404,0))),"번호 없음"))</f>
        <v/>
      </c>
      <c r="I913" s="25" t="str">
        <f aca="false">IF($B913="","",IF(COUNTIF($B$5:$B$1004,$B913)&gt;1,"중복 입력",""))</f>
        <v/>
      </c>
    </row>
    <row r="914" customFormat="false" ht="15" hidden="false" customHeight="false" outlineLevel="0" collapsed="false">
      <c r="A914" s="23"/>
      <c r="B914" s="24"/>
      <c r="C914" s="24"/>
      <c r="D914" s="24"/>
      <c r="E914" s="24"/>
      <c r="F914" s="24"/>
      <c r="G914" s="24"/>
      <c r="H914" s="25" t="str">
        <f aca="false">IF($B914="","",IFERROR(IF(INDEX(명단!$B$5:$B$404,MATCH($B914,명단!$A$5:$A$404,0))="","(이름 미입력)",INDEX(명단!$B$5:$B$404,MATCH($B914,명단!$A$5:$A$404,0))),"번호 없음"))</f>
        <v/>
      </c>
      <c r="I914" s="25" t="str">
        <f aca="false">IF($B914="","",IF(COUNTIF($B$5:$B$1004,$B914)&gt;1,"중복 입력",""))</f>
        <v/>
      </c>
    </row>
    <row r="915" customFormat="false" ht="15" hidden="false" customHeight="false" outlineLevel="0" collapsed="false">
      <c r="A915" s="23"/>
      <c r="B915" s="24"/>
      <c r="C915" s="24"/>
      <c r="D915" s="24"/>
      <c r="E915" s="24"/>
      <c r="F915" s="24"/>
      <c r="G915" s="24"/>
      <c r="H915" s="25" t="str">
        <f aca="false">IF($B915="","",IFERROR(IF(INDEX(명단!$B$5:$B$404,MATCH($B915,명단!$A$5:$A$404,0))="","(이름 미입력)",INDEX(명단!$B$5:$B$404,MATCH($B915,명단!$A$5:$A$404,0))),"번호 없음"))</f>
        <v/>
      </c>
      <c r="I915" s="25" t="str">
        <f aca="false">IF($B915="","",IF(COUNTIF($B$5:$B$1004,$B915)&gt;1,"중복 입력",""))</f>
        <v/>
      </c>
    </row>
    <row r="916" customFormat="false" ht="15" hidden="false" customHeight="false" outlineLevel="0" collapsed="false">
      <c r="A916" s="23"/>
      <c r="B916" s="24"/>
      <c r="C916" s="24"/>
      <c r="D916" s="24"/>
      <c r="E916" s="24"/>
      <c r="F916" s="24"/>
      <c r="G916" s="24"/>
      <c r="H916" s="25" t="str">
        <f aca="false">IF($B916="","",IFERROR(IF(INDEX(명단!$B$5:$B$404,MATCH($B916,명단!$A$5:$A$404,0))="","(이름 미입력)",INDEX(명단!$B$5:$B$404,MATCH($B916,명단!$A$5:$A$404,0))),"번호 없음"))</f>
        <v/>
      </c>
      <c r="I916" s="25" t="str">
        <f aca="false">IF($B916="","",IF(COUNTIF($B$5:$B$1004,$B916)&gt;1,"중복 입력",""))</f>
        <v/>
      </c>
    </row>
    <row r="917" customFormat="false" ht="15" hidden="false" customHeight="false" outlineLevel="0" collapsed="false">
      <c r="A917" s="23"/>
      <c r="B917" s="24"/>
      <c r="C917" s="24"/>
      <c r="D917" s="24"/>
      <c r="E917" s="24"/>
      <c r="F917" s="24"/>
      <c r="G917" s="24"/>
      <c r="H917" s="25" t="str">
        <f aca="false">IF($B917="","",IFERROR(IF(INDEX(명단!$B$5:$B$404,MATCH($B917,명단!$A$5:$A$404,0))="","(이름 미입력)",INDEX(명단!$B$5:$B$404,MATCH($B917,명단!$A$5:$A$404,0))),"번호 없음"))</f>
        <v/>
      </c>
      <c r="I917" s="25" t="str">
        <f aca="false">IF($B917="","",IF(COUNTIF($B$5:$B$1004,$B917)&gt;1,"중복 입력",""))</f>
        <v/>
      </c>
    </row>
    <row r="918" customFormat="false" ht="15" hidden="false" customHeight="false" outlineLevel="0" collapsed="false">
      <c r="A918" s="23"/>
      <c r="B918" s="24"/>
      <c r="C918" s="24"/>
      <c r="D918" s="24"/>
      <c r="E918" s="24"/>
      <c r="F918" s="24"/>
      <c r="G918" s="24"/>
      <c r="H918" s="25" t="str">
        <f aca="false">IF($B918="","",IFERROR(IF(INDEX(명단!$B$5:$B$404,MATCH($B918,명단!$A$5:$A$404,0))="","(이름 미입력)",INDEX(명단!$B$5:$B$404,MATCH($B918,명단!$A$5:$A$404,0))),"번호 없음"))</f>
        <v/>
      </c>
      <c r="I918" s="25" t="str">
        <f aca="false">IF($B918="","",IF(COUNTIF($B$5:$B$1004,$B918)&gt;1,"중복 입력",""))</f>
        <v/>
      </c>
    </row>
    <row r="919" customFormat="false" ht="15" hidden="false" customHeight="false" outlineLevel="0" collapsed="false">
      <c r="A919" s="23"/>
      <c r="B919" s="24"/>
      <c r="C919" s="24"/>
      <c r="D919" s="24"/>
      <c r="E919" s="24"/>
      <c r="F919" s="24"/>
      <c r="G919" s="24"/>
      <c r="H919" s="25" t="str">
        <f aca="false">IF($B919="","",IFERROR(IF(INDEX(명단!$B$5:$B$404,MATCH($B919,명단!$A$5:$A$404,0))="","(이름 미입력)",INDEX(명단!$B$5:$B$404,MATCH($B919,명단!$A$5:$A$404,0))),"번호 없음"))</f>
        <v/>
      </c>
      <c r="I919" s="25" t="str">
        <f aca="false">IF($B919="","",IF(COUNTIF($B$5:$B$1004,$B919)&gt;1,"중복 입력",""))</f>
        <v/>
      </c>
    </row>
    <row r="920" customFormat="false" ht="15" hidden="false" customHeight="false" outlineLevel="0" collapsed="false">
      <c r="A920" s="23"/>
      <c r="B920" s="24"/>
      <c r="C920" s="24"/>
      <c r="D920" s="24"/>
      <c r="E920" s="24"/>
      <c r="F920" s="24"/>
      <c r="G920" s="24"/>
      <c r="H920" s="25" t="str">
        <f aca="false">IF($B920="","",IFERROR(IF(INDEX(명단!$B$5:$B$404,MATCH($B920,명단!$A$5:$A$404,0))="","(이름 미입력)",INDEX(명단!$B$5:$B$404,MATCH($B920,명단!$A$5:$A$404,0))),"번호 없음"))</f>
        <v/>
      </c>
      <c r="I920" s="25" t="str">
        <f aca="false">IF($B920="","",IF(COUNTIF($B$5:$B$1004,$B920)&gt;1,"중복 입력",""))</f>
        <v/>
      </c>
    </row>
    <row r="921" customFormat="false" ht="15" hidden="false" customHeight="false" outlineLevel="0" collapsed="false">
      <c r="A921" s="23"/>
      <c r="B921" s="24"/>
      <c r="C921" s="24"/>
      <c r="D921" s="24"/>
      <c r="E921" s="24"/>
      <c r="F921" s="24"/>
      <c r="G921" s="24"/>
      <c r="H921" s="25" t="str">
        <f aca="false">IF($B921="","",IFERROR(IF(INDEX(명단!$B$5:$B$404,MATCH($B921,명단!$A$5:$A$404,0))="","(이름 미입력)",INDEX(명단!$B$5:$B$404,MATCH($B921,명단!$A$5:$A$404,0))),"번호 없음"))</f>
        <v/>
      </c>
      <c r="I921" s="25" t="str">
        <f aca="false">IF($B921="","",IF(COUNTIF($B$5:$B$1004,$B921)&gt;1,"중복 입력",""))</f>
        <v/>
      </c>
    </row>
    <row r="922" customFormat="false" ht="15" hidden="false" customHeight="false" outlineLevel="0" collapsed="false">
      <c r="A922" s="23"/>
      <c r="B922" s="24"/>
      <c r="C922" s="24"/>
      <c r="D922" s="24"/>
      <c r="E922" s="24"/>
      <c r="F922" s="24"/>
      <c r="G922" s="24"/>
      <c r="H922" s="25" t="str">
        <f aca="false">IF($B922="","",IFERROR(IF(INDEX(명단!$B$5:$B$404,MATCH($B922,명단!$A$5:$A$404,0))="","(이름 미입력)",INDEX(명단!$B$5:$B$404,MATCH($B922,명단!$A$5:$A$404,0))),"번호 없음"))</f>
        <v/>
      </c>
      <c r="I922" s="25" t="str">
        <f aca="false">IF($B922="","",IF(COUNTIF($B$5:$B$1004,$B922)&gt;1,"중복 입력",""))</f>
        <v/>
      </c>
    </row>
    <row r="923" customFormat="false" ht="15" hidden="false" customHeight="false" outlineLevel="0" collapsed="false">
      <c r="A923" s="23"/>
      <c r="B923" s="24"/>
      <c r="C923" s="24"/>
      <c r="D923" s="24"/>
      <c r="E923" s="24"/>
      <c r="F923" s="24"/>
      <c r="G923" s="24"/>
      <c r="H923" s="25" t="str">
        <f aca="false">IF($B923="","",IFERROR(IF(INDEX(명단!$B$5:$B$404,MATCH($B923,명단!$A$5:$A$404,0))="","(이름 미입력)",INDEX(명단!$B$5:$B$404,MATCH($B923,명단!$A$5:$A$404,0))),"번호 없음"))</f>
        <v/>
      </c>
      <c r="I923" s="25" t="str">
        <f aca="false">IF($B923="","",IF(COUNTIF($B$5:$B$1004,$B923)&gt;1,"중복 입력",""))</f>
        <v/>
      </c>
    </row>
    <row r="924" customFormat="false" ht="15" hidden="false" customHeight="false" outlineLevel="0" collapsed="false">
      <c r="A924" s="23"/>
      <c r="B924" s="24"/>
      <c r="C924" s="24"/>
      <c r="D924" s="24"/>
      <c r="E924" s="24"/>
      <c r="F924" s="24"/>
      <c r="G924" s="24"/>
      <c r="H924" s="25" t="str">
        <f aca="false">IF($B924="","",IFERROR(IF(INDEX(명단!$B$5:$B$404,MATCH($B924,명단!$A$5:$A$404,0))="","(이름 미입력)",INDEX(명단!$B$5:$B$404,MATCH($B924,명단!$A$5:$A$404,0))),"번호 없음"))</f>
        <v/>
      </c>
      <c r="I924" s="25" t="str">
        <f aca="false">IF($B924="","",IF(COUNTIF($B$5:$B$1004,$B924)&gt;1,"중복 입력",""))</f>
        <v/>
      </c>
    </row>
    <row r="925" customFormat="false" ht="15" hidden="false" customHeight="false" outlineLevel="0" collapsed="false">
      <c r="A925" s="23"/>
      <c r="B925" s="24"/>
      <c r="C925" s="24"/>
      <c r="D925" s="24"/>
      <c r="E925" s="24"/>
      <c r="F925" s="24"/>
      <c r="G925" s="24"/>
      <c r="H925" s="25" t="str">
        <f aca="false">IF($B925="","",IFERROR(IF(INDEX(명단!$B$5:$B$404,MATCH($B925,명단!$A$5:$A$404,0))="","(이름 미입력)",INDEX(명단!$B$5:$B$404,MATCH($B925,명단!$A$5:$A$404,0))),"번호 없음"))</f>
        <v/>
      </c>
      <c r="I925" s="25" t="str">
        <f aca="false">IF($B925="","",IF(COUNTIF($B$5:$B$1004,$B925)&gt;1,"중복 입력",""))</f>
        <v/>
      </c>
    </row>
    <row r="926" customFormat="false" ht="15" hidden="false" customHeight="false" outlineLevel="0" collapsed="false">
      <c r="A926" s="23"/>
      <c r="B926" s="24"/>
      <c r="C926" s="24"/>
      <c r="D926" s="24"/>
      <c r="E926" s="24"/>
      <c r="F926" s="24"/>
      <c r="G926" s="24"/>
      <c r="H926" s="25" t="str">
        <f aca="false">IF($B926="","",IFERROR(IF(INDEX(명단!$B$5:$B$404,MATCH($B926,명단!$A$5:$A$404,0))="","(이름 미입력)",INDEX(명단!$B$5:$B$404,MATCH($B926,명단!$A$5:$A$404,0))),"번호 없음"))</f>
        <v/>
      </c>
      <c r="I926" s="25" t="str">
        <f aca="false">IF($B926="","",IF(COUNTIF($B$5:$B$1004,$B926)&gt;1,"중복 입력",""))</f>
        <v/>
      </c>
    </row>
    <row r="927" customFormat="false" ht="15" hidden="false" customHeight="false" outlineLevel="0" collapsed="false">
      <c r="A927" s="23"/>
      <c r="B927" s="24"/>
      <c r="C927" s="24"/>
      <c r="D927" s="24"/>
      <c r="E927" s="24"/>
      <c r="F927" s="24"/>
      <c r="G927" s="24"/>
      <c r="H927" s="25" t="str">
        <f aca="false">IF($B927="","",IFERROR(IF(INDEX(명단!$B$5:$B$404,MATCH($B927,명단!$A$5:$A$404,0))="","(이름 미입력)",INDEX(명단!$B$5:$B$404,MATCH($B927,명단!$A$5:$A$404,0))),"번호 없음"))</f>
        <v/>
      </c>
      <c r="I927" s="25" t="str">
        <f aca="false">IF($B927="","",IF(COUNTIF($B$5:$B$1004,$B927)&gt;1,"중복 입력",""))</f>
        <v/>
      </c>
    </row>
    <row r="928" customFormat="false" ht="15" hidden="false" customHeight="false" outlineLevel="0" collapsed="false">
      <c r="A928" s="23"/>
      <c r="B928" s="24"/>
      <c r="C928" s="24"/>
      <c r="D928" s="24"/>
      <c r="E928" s="24"/>
      <c r="F928" s="24"/>
      <c r="G928" s="24"/>
      <c r="H928" s="25" t="str">
        <f aca="false">IF($B928="","",IFERROR(IF(INDEX(명단!$B$5:$B$404,MATCH($B928,명단!$A$5:$A$404,0))="","(이름 미입력)",INDEX(명단!$B$5:$B$404,MATCH($B928,명단!$A$5:$A$404,0))),"번호 없음"))</f>
        <v/>
      </c>
      <c r="I928" s="25" t="str">
        <f aca="false">IF($B928="","",IF(COUNTIF($B$5:$B$1004,$B928)&gt;1,"중복 입력",""))</f>
        <v/>
      </c>
    </row>
    <row r="929" customFormat="false" ht="15" hidden="false" customHeight="false" outlineLevel="0" collapsed="false">
      <c r="A929" s="23"/>
      <c r="B929" s="24"/>
      <c r="C929" s="24"/>
      <c r="D929" s="24"/>
      <c r="E929" s="24"/>
      <c r="F929" s="24"/>
      <c r="G929" s="24"/>
      <c r="H929" s="25" t="str">
        <f aca="false">IF($B929="","",IFERROR(IF(INDEX(명단!$B$5:$B$404,MATCH($B929,명단!$A$5:$A$404,0))="","(이름 미입력)",INDEX(명단!$B$5:$B$404,MATCH($B929,명단!$A$5:$A$404,0))),"번호 없음"))</f>
        <v/>
      </c>
      <c r="I929" s="25" t="str">
        <f aca="false">IF($B929="","",IF(COUNTIF($B$5:$B$1004,$B929)&gt;1,"중복 입력",""))</f>
        <v/>
      </c>
    </row>
    <row r="930" customFormat="false" ht="15" hidden="false" customHeight="false" outlineLevel="0" collapsed="false">
      <c r="A930" s="23"/>
      <c r="B930" s="24"/>
      <c r="C930" s="24"/>
      <c r="D930" s="24"/>
      <c r="E930" s="24"/>
      <c r="F930" s="24"/>
      <c r="G930" s="24"/>
      <c r="H930" s="25" t="str">
        <f aca="false">IF($B930="","",IFERROR(IF(INDEX(명단!$B$5:$B$404,MATCH($B930,명단!$A$5:$A$404,0))="","(이름 미입력)",INDEX(명단!$B$5:$B$404,MATCH($B930,명단!$A$5:$A$404,0))),"번호 없음"))</f>
        <v/>
      </c>
      <c r="I930" s="25" t="str">
        <f aca="false">IF($B930="","",IF(COUNTIF($B$5:$B$1004,$B930)&gt;1,"중복 입력",""))</f>
        <v/>
      </c>
    </row>
    <row r="931" customFormat="false" ht="15" hidden="false" customHeight="false" outlineLevel="0" collapsed="false">
      <c r="A931" s="23"/>
      <c r="B931" s="24"/>
      <c r="C931" s="24"/>
      <c r="D931" s="24"/>
      <c r="E931" s="24"/>
      <c r="F931" s="24"/>
      <c r="G931" s="24"/>
      <c r="H931" s="25" t="str">
        <f aca="false">IF($B931="","",IFERROR(IF(INDEX(명단!$B$5:$B$404,MATCH($B931,명단!$A$5:$A$404,0))="","(이름 미입력)",INDEX(명단!$B$5:$B$404,MATCH($B931,명단!$A$5:$A$404,0))),"번호 없음"))</f>
        <v/>
      </c>
      <c r="I931" s="25" t="str">
        <f aca="false">IF($B931="","",IF(COUNTIF($B$5:$B$1004,$B931)&gt;1,"중복 입력",""))</f>
        <v/>
      </c>
    </row>
    <row r="932" customFormat="false" ht="15" hidden="false" customHeight="false" outlineLevel="0" collapsed="false">
      <c r="A932" s="23"/>
      <c r="B932" s="24"/>
      <c r="C932" s="24"/>
      <c r="D932" s="24"/>
      <c r="E932" s="24"/>
      <c r="F932" s="24"/>
      <c r="G932" s="24"/>
      <c r="H932" s="25" t="str">
        <f aca="false">IF($B932="","",IFERROR(IF(INDEX(명단!$B$5:$B$404,MATCH($B932,명단!$A$5:$A$404,0))="","(이름 미입력)",INDEX(명단!$B$5:$B$404,MATCH($B932,명단!$A$5:$A$404,0))),"번호 없음"))</f>
        <v/>
      </c>
      <c r="I932" s="25" t="str">
        <f aca="false">IF($B932="","",IF(COUNTIF($B$5:$B$1004,$B932)&gt;1,"중복 입력",""))</f>
        <v/>
      </c>
    </row>
    <row r="933" customFormat="false" ht="15" hidden="false" customHeight="false" outlineLevel="0" collapsed="false">
      <c r="A933" s="23"/>
      <c r="B933" s="24"/>
      <c r="C933" s="24"/>
      <c r="D933" s="24"/>
      <c r="E933" s="24"/>
      <c r="F933" s="24"/>
      <c r="G933" s="24"/>
      <c r="H933" s="25" t="str">
        <f aca="false">IF($B933="","",IFERROR(IF(INDEX(명단!$B$5:$B$404,MATCH($B933,명단!$A$5:$A$404,0))="","(이름 미입력)",INDEX(명단!$B$5:$B$404,MATCH($B933,명단!$A$5:$A$404,0))),"번호 없음"))</f>
        <v/>
      </c>
      <c r="I933" s="25" t="str">
        <f aca="false">IF($B933="","",IF(COUNTIF($B$5:$B$1004,$B933)&gt;1,"중복 입력",""))</f>
        <v/>
      </c>
    </row>
    <row r="934" customFormat="false" ht="15" hidden="false" customHeight="false" outlineLevel="0" collapsed="false">
      <c r="A934" s="23"/>
      <c r="B934" s="24"/>
      <c r="C934" s="24"/>
      <c r="D934" s="24"/>
      <c r="E934" s="24"/>
      <c r="F934" s="24"/>
      <c r="G934" s="24"/>
      <c r="H934" s="25" t="str">
        <f aca="false">IF($B934="","",IFERROR(IF(INDEX(명단!$B$5:$B$404,MATCH($B934,명단!$A$5:$A$404,0))="","(이름 미입력)",INDEX(명단!$B$5:$B$404,MATCH($B934,명단!$A$5:$A$404,0))),"번호 없음"))</f>
        <v/>
      </c>
      <c r="I934" s="25" t="str">
        <f aca="false">IF($B934="","",IF(COUNTIF($B$5:$B$1004,$B934)&gt;1,"중복 입력",""))</f>
        <v/>
      </c>
    </row>
    <row r="935" customFormat="false" ht="15" hidden="false" customHeight="false" outlineLevel="0" collapsed="false">
      <c r="A935" s="23"/>
      <c r="B935" s="24"/>
      <c r="C935" s="24"/>
      <c r="D935" s="24"/>
      <c r="E935" s="24"/>
      <c r="F935" s="24"/>
      <c r="G935" s="24"/>
      <c r="H935" s="25" t="str">
        <f aca="false">IF($B935="","",IFERROR(IF(INDEX(명단!$B$5:$B$404,MATCH($B935,명단!$A$5:$A$404,0))="","(이름 미입력)",INDEX(명단!$B$5:$B$404,MATCH($B935,명단!$A$5:$A$404,0))),"번호 없음"))</f>
        <v/>
      </c>
      <c r="I935" s="25" t="str">
        <f aca="false">IF($B935="","",IF(COUNTIF($B$5:$B$1004,$B935)&gt;1,"중복 입력",""))</f>
        <v/>
      </c>
    </row>
    <row r="936" customFormat="false" ht="15" hidden="false" customHeight="false" outlineLevel="0" collapsed="false">
      <c r="A936" s="23"/>
      <c r="B936" s="24"/>
      <c r="C936" s="24"/>
      <c r="D936" s="24"/>
      <c r="E936" s="24"/>
      <c r="F936" s="24"/>
      <c r="G936" s="24"/>
      <c r="H936" s="25" t="str">
        <f aca="false">IF($B936="","",IFERROR(IF(INDEX(명단!$B$5:$B$404,MATCH($B936,명단!$A$5:$A$404,0))="","(이름 미입력)",INDEX(명단!$B$5:$B$404,MATCH($B936,명단!$A$5:$A$404,0))),"번호 없음"))</f>
        <v/>
      </c>
      <c r="I936" s="25" t="str">
        <f aca="false">IF($B936="","",IF(COUNTIF($B$5:$B$1004,$B936)&gt;1,"중복 입력",""))</f>
        <v/>
      </c>
    </row>
    <row r="937" customFormat="false" ht="15" hidden="false" customHeight="false" outlineLevel="0" collapsed="false">
      <c r="A937" s="23"/>
      <c r="B937" s="24"/>
      <c r="C937" s="24"/>
      <c r="D937" s="24"/>
      <c r="E937" s="24"/>
      <c r="F937" s="24"/>
      <c r="G937" s="24"/>
      <c r="H937" s="25" t="str">
        <f aca="false">IF($B937="","",IFERROR(IF(INDEX(명단!$B$5:$B$404,MATCH($B937,명단!$A$5:$A$404,0))="","(이름 미입력)",INDEX(명단!$B$5:$B$404,MATCH($B937,명단!$A$5:$A$404,0))),"번호 없음"))</f>
        <v/>
      </c>
      <c r="I937" s="25" t="str">
        <f aca="false">IF($B937="","",IF(COUNTIF($B$5:$B$1004,$B937)&gt;1,"중복 입력",""))</f>
        <v/>
      </c>
    </row>
    <row r="938" customFormat="false" ht="15" hidden="false" customHeight="false" outlineLevel="0" collapsed="false">
      <c r="A938" s="23"/>
      <c r="B938" s="24"/>
      <c r="C938" s="24"/>
      <c r="D938" s="24"/>
      <c r="E938" s="24"/>
      <c r="F938" s="24"/>
      <c r="G938" s="24"/>
      <c r="H938" s="25" t="str">
        <f aca="false">IF($B938="","",IFERROR(IF(INDEX(명단!$B$5:$B$404,MATCH($B938,명단!$A$5:$A$404,0))="","(이름 미입력)",INDEX(명단!$B$5:$B$404,MATCH($B938,명단!$A$5:$A$404,0))),"번호 없음"))</f>
        <v/>
      </c>
      <c r="I938" s="25" t="str">
        <f aca="false">IF($B938="","",IF(COUNTIF($B$5:$B$1004,$B938)&gt;1,"중복 입력",""))</f>
        <v/>
      </c>
    </row>
    <row r="939" customFormat="false" ht="15" hidden="false" customHeight="false" outlineLevel="0" collapsed="false">
      <c r="A939" s="23"/>
      <c r="B939" s="24"/>
      <c r="C939" s="24"/>
      <c r="D939" s="24"/>
      <c r="E939" s="24"/>
      <c r="F939" s="24"/>
      <c r="G939" s="24"/>
      <c r="H939" s="25" t="str">
        <f aca="false">IF($B939="","",IFERROR(IF(INDEX(명단!$B$5:$B$404,MATCH($B939,명단!$A$5:$A$404,0))="","(이름 미입력)",INDEX(명단!$B$5:$B$404,MATCH($B939,명단!$A$5:$A$404,0))),"번호 없음"))</f>
        <v/>
      </c>
      <c r="I939" s="25" t="str">
        <f aca="false">IF($B939="","",IF(COUNTIF($B$5:$B$1004,$B939)&gt;1,"중복 입력",""))</f>
        <v/>
      </c>
    </row>
    <row r="940" customFormat="false" ht="15" hidden="false" customHeight="false" outlineLevel="0" collapsed="false">
      <c r="A940" s="23"/>
      <c r="B940" s="24"/>
      <c r="C940" s="24"/>
      <c r="D940" s="24"/>
      <c r="E940" s="24"/>
      <c r="F940" s="24"/>
      <c r="G940" s="24"/>
      <c r="H940" s="25" t="str">
        <f aca="false">IF($B940="","",IFERROR(IF(INDEX(명단!$B$5:$B$404,MATCH($B940,명단!$A$5:$A$404,0))="","(이름 미입력)",INDEX(명단!$B$5:$B$404,MATCH($B940,명단!$A$5:$A$404,0))),"번호 없음"))</f>
        <v/>
      </c>
      <c r="I940" s="25" t="str">
        <f aca="false">IF($B940="","",IF(COUNTIF($B$5:$B$1004,$B940)&gt;1,"중복 입력",""))</f>
        <v/>
      </c>
    </row>
    <row r="941" customFormat="false" ht="15" hidden="false" customHeight="false" outlineLevel="0" collapsed="false">
      <c r="A941" s="23"/>
      <c r="B941" s="24"/>
      <c r="C941" s="24"/>
      <c r="D941" s="24"/>
      <c r="E941" s="24"/>
      <c r="F941" s="24"/>
      <c r="G941" s="24"/>
      <c r="H941" s="25" t="str">
        <f aca="false">IF($B941="","",IFERROR(IF(INDEX(명단!$B$5:$B$404,MATCH($B941,명단!$A$5:$A$404,0))="","(이름 미입력)",INDEX(명단!$B$5:$B$404,MATCH($B941,명단!$A$5:$A$404,0))),"번호 없음"))</f>
        <v/>
      </c>
      <c r="I941" s="25" t="str">
        <f aca="false">IF($B941="","",IF(COUNTIF($B$5:$B$1004,$B941)&gt;1,"중복 입력",""))</f>
        <v/>
      </c>
    </row>
    <row r="942" customFormat="false" ht="15" hidden="false" customHeight="false" outlineLevel="0" collapsed="false">
      <c r="A942" s="23"/>
      <c r="B942" s="24"/>
      <c r="C942" s="24"/>
      <c r="D942" s="24"/>
      <c r="E942" s="24"/>
      <c r="F942" s="24"/>
      <c r="G942" s="24"/>
      <c r="H942" s="25" t="str">
        <f aca="false">IF($B942="","",IFERROR(IF(INDEX(명단!$B$5:$B$404,MATCH($B942,명단!$A$5:$A$404,0))="","(이름 미입력)",INDEX(명단!$B$5:$B$404,MATCH($B942,명단!$A$5:$A$404,0))),"번호 없음"))</f>
        <v/>
      </c>
      <c r="I942" s="25" t="str">
        <f aca="false">IF($B942="","",IF(COUNTIF($B$5:$B$1004,$B942)&gt;1,"중복 입력",""))</f>
        <v/>
      </c>
    </row>
    <row r="943" customFormat="false" ht="15" hidden="false" customHeight="false" outlineLevel="0" collapsed="false">
      <c r="A943" s="23"/>
      <c r="B943" s="24"/>
      <c r="C943" s="24"/>
      <c r="D943" s="24"/>
      <c r="E943" s="24"/>
      <c r="F943" s="24"/>
      <c r="G943" s="24"/>
      <c r="H943" s="25" t="str">
        <f aca="false">IF($B943="","",IFERROR(IF(INDEX(명단!$B$5:$B$404,MATCH($B943,명단!$A$5:$A$404,0))="","(이름 미입력)",INDEX(명단!$B$5:$B$404,MATCH($B943,명단!$A$5:$A$404,0))),"번호 없음"))</f>
        <v/>
      </c>
      <c r="I943" s="25" t="str">
        <f aca="false">IF($B943="","",IF(COUNTIF($B$5:$B$1004,$B943)&gt;1,"중복 입력",""))</f>
        <v/>
      </c>
    </row>
    <row r="944" customFormat="false" ht="15" hidden="false" customHeight="false" outlineLevel="0" collapsed="false">
      <c r="A944" s="23"/>
      <c r="B944" s="24"/>
      <c r="C944" s="24"/>
      <c r="D944" s="24"/>
      <c r="E944" s="24"/>
      <c r="F944" s="24"/>
      <c r="G944" s="24"/>
      <c r="H944" s="25" t="str">
        <f aca="false">IF($B944="","",IFERROR(IF(INDEX(명단!$B$5:$B$404,MATCH($B944,명단!$A$5:$A$404,0))="","(이름 미입력)",INDEX(명단!$B$5:$B$404,MATCH($B944,명단!$A$5:$A$404,0))),"번호 없음"))</f>
        <v/>
      </c>
      <c r="I944" s="25" t="str">
        <f aca="false">IF($B944="","",IF(COUNTIF($B$5:$B$1004,$B944)&gt;1,"중복 입력",""))</f>
        <v/>
      </c>
    </row>
    <row r="945" customFormat="false" ht="15" hidden="false" customHeight="false" outlineLevel="0" collapsed="false">
      <c r="A945" s="23"/>
      <c r="B945" s="24"/>
      <c r="C945" s="24"/>
      <c r="D945" s="24"/>
      <c r="E945" s="24"/>
      <c r="F945" s="24"/>
      <c r="G945" s="24"/>
      <c r="H945" s="25" t="str">
        <f aca="false">IF($B945="","",IFERROR(IF(INDEX(명단!$B$5:$B$404,MATCH($B945,명단!$A$5:$A$404,0))="","(이름 미입력)",INDEX(명단!$B$5:$B$404,MATCH($B945,명단!$A$5:$A$404,0))),"번호 없음"))</f>
        <v/>
      </c>
      <c r="I945" s="25" t="str">
        <f aca="false">IF($B945="","",IF(COUNTIF($B$5:$B$1004,$B945)&gt;1,"중복 입력",""))</f>
        <v/>
      </c>
    </row>
    <row r="946" customFormat="false" ht="15" hidden="false" customHeight="false" outlineLevel="0" collapsed="false">
      <c r="A946" s="23"/>
      <c r="B946" s="24"/>
      <c r="C946" s="24"/>
      <c r="D946" s="24"/>
      <c r="E946" s="24"/>
      <c r="F946" s="24"/>
      <c r="G946" s="24"/>
      <c r="H946" s="25" t="str">
        <f aca="false">IF($B946="","",IFERROR(IF(INDEX(명단!$B$5:$B$404,MATCH($B946,명단!$A$5:$A$404,0))="","(이름 미입력)",INDEX(명단!$B$5:$B$404,MATCH($B946,명단!$A$5:$A$404,0))),"번호 없음"))</f>
        <v/>
      </c>
      <c r="I946" s="25" t="str">
        <f aca="false">IF($B946="","",IF(COUNTIF($B$5:$B$1004,$B946)&gt;1,"중복 입력",""))</f>
        <v/>
      </c>
    </row>
    <row r="947" customFormat="false" ht="15" hidden="false" customHeight="false" outlineLevel="0" collapsed="false">
      <c r="A947" s="23"/>
      <c r="B947" s="24"/>
      <c r="C947" s="24"/>
      <c r="D947" s="24"/>
      <c r="E947" s="24"/>
      <c r="F947" s="24"/>
      <c r="G947" s="24"/>
      <c r="H947" s="25" t="str">
        <f aca="false">IF($B947="","",IFERROR(IF(INDEX(명단!$B$5:$B$404,MATCH($B947,명단!$A$5:$A$404,0))="","(이름 미입력)",INDEX(명단!$B$5:$B$404,MATCH($B947,명단!$A$5:$A$404,0))),"번호 없음"))</f>
        <v/>
      </c>
      <c r="I947" s="25" t="str">
        <f aca="false">IF($B947="","",IF(COUNTIF($B$5:$B$1004,$B947)&gt;1,"중복 입력",""))</f>
        <v/>
      </c>
    </row>
    <row r="948" customFormat="false" ht="15" hidden="false" customHeight="false" outlineLevel="0" collapsed="false">
      <c r="A948" s="23"/>
      <c r="B948" s="24"/>
      <c r="C948" s="24"/>
      <c r="D948" s="24"/>
      <c r="E948" s="24"/>
      <c r="F948" s="24"/>
      <c r="G948" s="24"/>
      <c r="H948" s="25" t="str">
        <f aca="false">IF($B948="","",IFERROR(IF(INDEX(명단!$B$5:$B$404,MATCH($B948,명단!$A$5:$A$404,0))="","(이름 미입력)",INDEX(명단!$B$5:$B$404,MATCH($B948,명단!$A$5:$A$404,0))),"번호 없음"))</f>
        <v/>
      </c>
      <c r="I948" s="25" t="str">
        <f aca="false">IF($B948="","",IF(COUNTIF($B$5:$B$1004,$B948)&gt;1,"중복 입력",""))</f>
        <v/>
      </c>
    </row>
    <row r="949" customFormat="false" ht="15" hidden="false" customHeight="false" outlineLevel="0" collapsed="false">
      <c r="A949" s="23"/>
      <c r="B949" s="24"/>
      <c r="C949" s="24"/>
      <c r="D949" s="24"/>
      <c r="E949" s="24"/>
      <c r="F949" s="24"/>
      <c r="G949" s="24"/>
      <c r="H949" s="25" t="str">
        <f aca="false">IF($B949="","",IFERROR(IF(INDEX(명단!$B$5:$B$404,MATCH($B949,명단!$A$5:$A$404,0))="","(이름 미입력)",INDEX(명단!$B$5:$B$404,MATCH($B949,명단!$A$5:$A$404,0))),"번호 없음"))</f>
        <v/>
      </c>
      <c r="I949" s="25" t="str">
        <f aca="false">IF($B949="","",IF(COUNTIF($B$5:$B$1004,$B949)&gt;1,"중복 입력",""))</f>
        <v/>
      </c>
    </row>
    <row r="950" customFormat="false" ht="15" hidden="false" customHeight="false" outlineLevel="0" collapsed="false">
      <c r="A950" s="23"/>
      <c r="B950" s="24"/>
      <c r="C950" s="24"/>
      <c r="D950" s="24"/>
      <c r="E950" s="24"/>
      <c r="F950" s="24"/>
      <c r="G950" s="24"/>
      <c r="H950" s="25" t="str">
        <f aca="false">IF($B950="","",IFERROR(IF(INDEX(명단!$B$5:$B$404,MATCH($B950,명단!$A$5:$A$404,0))="","(이름 미입력)",INDEX(명단!$B$5:$B$404,MATCH($B950,명단!$A$5:$A$404,0))),"번호 없음"))</f>
        <v/>
      </c>
      <c r="I950" s="25" t="str">
        <f aca="false">IF($B950="","",IF(COUNTIF($B$5:$B$1004,$B950)&gt;1,"중복 입력",""))</f>
        <v/>
      </c>
    </row>
    <row r="951" customFormat="false" ht="15" hidden="false" customHeight="false" outlineLevel="0" collapsed="false">
      <c r="A951" s="23"/>
      <c r="B951" s="24"/>
      <c r="C951" s="24"/>
      <c r="D951" s="24"/>
      <c r="E951" s="24"/>
      <c r="F951" s="24"/>
      <c r="G951" s="24"/>
      <c r="H951" s="25" t="str">
        <f aca="false">IF($B951="","",IFERROR(IF(INDEX(명단!$B$5:$B$404,MATCH($B951,명단!$A$5:$A$404,0))="","(이름 미입력)",INDEX(명단!$B$5:$B$404,MATCH($B951,명단!$A$5:$A$404,0))),"번호 없음"))</f>
        <v/>
      </c>
      <c r="I951" s="25" t="str">
        <f aca="false">IF($B951="","",IF(COUNTIF($B$5:$B$1004,$B951)&gt;1,"중복 입력",""))</f>
        <v/>
      </c>
    </row>
    <row r="952" customFormat="false" ht="15" hidden="false" customHeight="false" outlineLevel="0" collapsed="false">
      <c r="A952" s="23"/>
      <c r="B952" s="24"/>
      <c r="C952" s="24"/>
      <c r="D952" s="24"/>
      <c r="E952" s="24"/>
      <c r="F952" s="24"/>
      <c r="G952" s="24"/>
      <c r="H952" s="25" t="str">
        <f aca="false">IF($B952="","",IFERROR(IF(INDEX(명단!$B$5:$B$404,MATCH($B952,명단!$A$5:$A$404,0))="","(이름 미입력)",INDEX(명단!$B$5:$B$404,MATCH($B952,명단!$A$5:$A$404,0))),"번호 없음"))</f>
        <v/>
      </c>
      <c r="I952" s="25" t="str">
        <f aca="false">IF($B952="","",IF(COUNTIF($B$5:$B$1004,$B952)&gt;1,"중복 입력",""))</f>
        <v/>
      </c>
    </row>
    <row r="953" customFormat="false" ht="15" hidden="false" customHeight="false" outlineLevel="0" collapsed="false">
      <c r="A953" s="23"/>
      <c r="B953" s="24"/>
      <c r="C953" s="24"/>
      <c r="D953" s="24"/>
      <c r="E953" s="24"/>
      <c r="F953" s="24"/>
      <c r="G953" s="24"/>
      <c r="H953" s="25" t="str">
        <f aca="false">IF($B953="","",IFERROR(IF(INDEX(명단!$B$5:$B$404,MATCH($B953,명단!$A$5:$A$404,0))="","(이름 미입력)",INDEX(명단!$B$5:$B$404,MATCH($B953,명단!$A$5:$A$404,0))),"번호 없음"))</f>
        <v/>
      </c>
      <c r="I953" s="25" t="str">
        <f aca="false">IF($B953="","",IF(COUNTIF($B$5:$B$1004,$B953)&gt;1,"중복 입력",""))</f>
        <v/>
      </c>
    </row>
    <row r="954" customFormat="false" ht="15" hidden="false" customHeight="false" outlineLevel="0" collapsed="false">
      <c r="A954" s="23"/>
      <c r="B954" s="24"/>
      <c r="C954" s="24"/>
      <c r="D954" s="24"/>
      <c r="E954" s="24"/>
      <c r="F954" s="24"/>
      <c r="G954" s="24"/>
      <c r="H954" s="25" t="str">
        <f aca="false">IF($B954="","",IFERROR(IF(INDEX(명단!$B$5:$B$404,MATCH($B954,명단!$A$5:$A$404,0))="","(이름 미입력)",INDEX(명단!$B$5:$B$404,MATCH($B954,명단!$A$5:$A$404,0))),"번호 없음"))</f>
        <v/>
      </c>
      <c r="I954" s="25" t="str">
        <f aca="false">IF($B954="","",IF(COUNTIF($B$5:$B$1004,$B954)&gt;1,"중복 입력",""))</f>
        <v/>
      </c>
    </row>
    <row r="955" customFormat="false" ht="15" hidden="false" customHeight="false" outlineLevel="0" collapsed="false">
      <c r="A955" s="23"/>
      <c r="B955" s="24"/>
      <c r="C955" s="24"/>
      <c r="D955" s="24"/>
      <c r="E955" s="24"/>
      <c r="F955" s="24"/>
      <c r="G955" s="24"/>
      <c r="H955" s="25" t="str">
        <f aca="false">IF($B955="","",IFERROR(IF(INDEX(명단!$B$5:$B$404,MATCH($B955,명단!$A$5:$A$404,0))="","(이름 미입력)",INDEX(명단!$B$5:$B$404,MATCH($B955,명단!$A$5:$A$404,0))),"번호 없음"))</f>
        <v/>
      </c>
      <c r="I955" s="25" t="str">
        <f aca="false">IF($B955="","",IF(COUNTIF($B$5:$B$1004,$B955)&gt;1,"중복 입력",""))</f>
        <v/>
      </c>
    </row>
    <row r="956" customFormat="false" ht="15" hidden="false" customHeight="false" outlineLevel="0" collapsed="false">
      <c r="A956" s="23"/>
      <c r="B956" s="24"/>
      <c r="C956" s="24"/>
      <c r="D956" s="24"/>
      <c r="E956" s="24"/>
      <c r="F956" s="24"/>
      <c r="G956" s="24"/>
      <c r="H956" s="25" t="str">
        <f aca="false">IF($B956="","",IFERROR(IF(INDEX(명단!$B$5:$B$404,MATCH($B956,명단!$A$5:$A$404,0))="","(이름 미입력)",INDEX(명단!$B$5:$B$404,MATCH($B956,명단!$A$5:$A$404,0))),"번호 없음"))</f>
        <v/>
      </c>
      <c r="I956" s="25" t="str">
        <f aca="false">IF($B956="","",IF(COUNTIF($B$5:$B$1004,$B956)&gt;1,"중복 입력",""))</f>
        <v/>
      </c>
    </row>
    <row r="957" customFormat="false" ht="15" hidden="false" customHeight="false" outlineLevel="0" collapsed="false">
      <c r="A957" s="23"/>
      <c r="B957" s="24"/>
      <c r="C957" s="24"/>
      <c r="D957" s="24"/>
      <c r="E957" s="24"/>
      <c r="F957" s="24"/>
      <c r="G957" s="24"/>
      <c r="H957" s="25" t="str">
        <f aca="false">IF($B957="","",IFERROR(IF(INDEX(명단!$B$5:$B$404,MATCH($B957,명단!$A$5:$A$404,0))="","(이름 미입력)",INDEX(명단!$B$5:$B$404,MATCH($B957,명단!$A$5:$A$404,0))),"번호 없음"))</f>
        <v/>
      </c>
      <c r="I957" s="25" t="str">
        <f aca="false">IF($B957="","",IF(COUNTIF($B$5:$B$1004,$B957)&gt;1,"중복 입력",""))</f>
        <v/>
      </c>
    </row>
    <row r="958" customFormat="false" ht="15" hidden="false" customHeight="false" outlineLevel="0" collapsed="false">
      <c r="A958" s="23"/>
      <c r="B958" s="24"/>
      <c r="C958" s="24"/>
      <c r="D958" s="24"/>
      <c r="E958" s="24"/>
      <c r="F958" s="24"/>
      <c r="G958" s="24"/>
      <c r="H958" s="25" t="str">
        <f aca="false">IF($B958="","",IFERROR(IF(INDEX(명단!$B$5:$B$404,MATCH($B958,명단!$A$5:$A$404,0))="","(이름 미입력)",INDEX(명단!$B$5:$B$404,MATCH($B958,명단!$A$5:$A$404,0))),"번호 없음"))</f>
        <v/>
      </c>
      <c r="I958" s="25" t="str">
        <f aca="false">IF($B958="","",IF(COUNTIF($B$5:$B$1004,$B958)&gt;1,"중복 입력",""))</f>
        <v/>
      </c>
    </row>
    <row r="959" customFormat="false" ht="15" hidden="false" customHeight="false" outlineLevel="0" collapsed="false">
      <c r="A959" s="23"/>
      <c r="B959" s="24"/>
      <c r="C959" s="24"/>
      <c r="D959" s="24"/>
      <c r="E959" s="24"/>
      <c r="F959" s="24"/>
      <c r="G959" s="24"/>
      <c r="H959" s="25" t="str">
        <f aca="false">IF($B959="","",IFERROR(IF(INDEX(명단!$B$5:$B$404,MATCH($B959,명단!$A$5:$A$404,0))="","(이름 미입력)",INDEX(명단!$B$5:$B$404,MATCH($B959,명단!$A$5:$A$404,0))),"번호 없음"))</f>
        <v/>
      </c>
      <c r="I959" s="25" t="str">
        <f aca="false">IF($B959="","",IF(COUNTIF($B$5:$B$1004,$B959)&gt;1,"중복 입력",""))</f>
        <v/>
      </c>
    </row>
    <row r="960" customFormat="false" ht="15" hidden="false" customHeight="false" outlineLevel="0" collapsed="false">
      <c r="A960" s="23"/>
      <c r="B960" s="24"/>
      <c r="C960" s="24"/>
      <c r="D960" s="24"/>
      <c r="E960" s="24"/>
      <c r="F960" s="24"/>
      <c r="G960" s="24"/>
      <c r="H960" s="25" t="str">
        <f aca="false">IF($B960="","",IFERROR(IF(INDEX(명단!$B$5:$B$404,MATCH($B960,명단!$A$5:$A$404,0))="","(이름 미입력)",INDEX(명단!$B$5:$B$404,MATCH($B960,명단!$A$5:$A$404,0))),"번호 없음"))</f>
        <v/>
      </c>
      <c r="I960" s="25" t="str">
        <f aca="false">IF($B960="","",IF(COUNTIF($B$5:$B$1004,$B960)&gt;1,"중복 입력",""))</f>
        <v/>
      </c>
    </row>
    <row r="961" customFormat="false" ht="15" hidden="false" customHeight="false" outlineLevel="0" collapsed="false">
      <c r="A961" s="23"/>
      <c r="B961" s="24"/>
      <c r="C961" s="24"/>
      <c r="D961" s="24"/>
      <c r="E961" s="24"/>
      <c r="F961" s="24"/>
      <c r="G961" s="24"/>
      <c r="H961" s="25" t="str">
        <f aca="false">IF($B961="","",IFERROR(IF(INDEX(명단!$B$5:$B$404,MATCH($B961,명단!$A$5:$A$404,0))="","(이름 미입력)",INDEX(명단!$B$5:$B$404,MATCH($B961,명단!$A$5:$A$404,0))),"번호 없음"))</f>
        <v/>
      </c>
      <c r="I961" s="25" t="str">
        <f aca="false">IF($B961="","",IF(COUNTIF($B$5:$B$1004,$B961)&gt;1,"중복 입력",""))</f>
        <v/>
      </c>
    </row>
    <row r="962" customFormat="false" ht="15" hidden="false" customHeight="false" outlineLevel="0" collapsed="false">
      <c r="A962" s="23"/>
      <c r="B962" s="24"/>
      <c r="C962" s="24"/>
      <c r="D962" s="24"/>
      <c r="E962" s="24"/>
      <c r="F962" s="24"/>
      <c r="G962" s="24"/>
      <c r="H962" s="25" t="str">
        <f aca="false">IF($B962="","",IFERROR(IF(INDEX(명단!$B$5:$B$404,MATCH($B962,명단!$A$5:$A$404,0))="","(이름 미입력)",INDEX(명단!$B$5:$B$404,MATCH($B962,명단!$A$5:$A$404,0))),"번호 없음"))</f>
        <v/>
      </c>
      <c r="I962" s="25" t="str">
        <f aca="false">IF($B962="","",IF(COUNTIF($B$5:$B$1004,$B962)&gt;1,"중복 입력",""))</f>
        <v/>
      </c>
    </row>
    <row r="963" customFormat="false" ht="15" hidden="false" customHeight="false" outlineLevel="0" collapsed="false">
      <c r="A963" s="23"/>
      <c r="B963" s="24"/>
      <c r="C963" s="24"/>
      <c r="D963" s="24"/>
      <c r="E963" s="24"/>
      <c r="F963" s="24"/>
      <c r="G963" s="24"/>
      <c r="H963" s="25" t="str">
        <f aca="false">IF($B963="","",IFERROR(IF(INDEX(명단!$B$5:$B$404,MATCH($B963,명단!$A$5:$A$404,0))="","(이름 미입력)",INDEX(명단!$B$5:$B$404,MATCH($B963,명단!$A$5:$A$404,0))),"번호 없음"))</f>
        <v/>
      </c>
      <c r="I963" s="25" t="str">
        <f aca="false">IF($B963="","",IF(COUNTIF($B$5:$B$1004,$B963)&gt;1,"중복 입력",""))</f>
        <v/>
      </c>
    </row>
    <row r="964" customFormat="false" ht="15" hidden="false" customHeight="false" outlineLevel="0" collapsed="false">
      <c r="A964" s="23"/>
      <c r="B964" s="24"/>
      <c r="C964" s="24"/>
      <c r="D964" s="24"/>
      <c r="E964" s="24"/>
      <c r="F964" s="24"/>
      <c r="G964" s="24"/>
      <c r="H964" s="25" t="str">
        <f aca="false">IF($B964="","",IFERROR(IF(INDEX(명단!$B$5:$B$404,MATCH($B964,명단!$A$5:$A$404,0))="","(이름 미입력)",INDEX(명단!$B$5:$B$404,MATCH($B964,명단!$A$5:$A$404,0))),"번호 없음"))</f>
        <v/>
      </c>
      <c r="I964" s="25" t="str">
        <f aca="false">IF($B964="","",IF(COUNTIF($B$5:$B$1004,$B964)&gt;1,"중복 입력",""))</f>
        <v/>
      </c>
    </row>
    <row r="965" customFormat="false" ht="15" hidden="false" customHeight="false" outlineLevel="0" collapsed="false">
      <c r="A965" s="23"/>
      <c r="B965" s="24"/>
      <c r="C965" s="24"/>
      <c r="D965" s="24"/>
      <c r="E965" s="24"/>
      <c r="F965" s="24"/>
      <c r="G965" s="24"/>
      <c r="H965" s="25" t="str">
        <f aca="false">IF($B965="","",IFERROR(IF(INDEX(명단!$B$5:$B$404,MATCH($B965,명단!$A$5:$A$404,0))="","(이름 미입력)",INDEX(명단!$B$5:$B$404,MATCH($B965,명단!$A$5:$A$404,0))),"번호 없음"))</f>
        <v/>
      </c>
      <c r="I965" s="25" t="str">
        <f aca="false">IF($B965="","",IF(COUNTIF($B$5:$B$1004,$B965)&gt;1,"중복 입력",""))</f>
        <v/>
      </c>
    </row>
    <row r="966" customFormat="false" ht="15" hidden="false" customHeight="false" outlineLevel="0" collapsed="false">
      <c r="A966" s="23"/>
      <c r="B966" s="24"/>
      <c r="C966" s="24"/>
      <c r="D966" s="24"/>
      <c r="E966" s="24"/>
      <c r="F966" s="24"/>
      <c r="G966" s="24"/>
      <c r="H966" s="25" t="str">
        <f aca="false">IF($B966="","",IFERROR(IF(INDEX(명단!$B$5:$B$404,MATCH($B966,명단!$A$5:$A$404,0))="","(이름 미입력)",INDEX(명단!$B$5:$B$404,MATCH($B966,명단!$A$5:$A$404,0))),"번호 없음"))</f>
        <v/>
      </c>
      <c r="I966" s="25" t="str">
        <f aca="false">IF($B966="","",IF(COUNTIF($B$5:$B$1004,$B966)&gt;1,"중복 입력",""))</f>
        <v/>
      </c>
    </row>
    <row r="967" customFormat="false" ht="15" hidden="false" customHeight="false" outlineLevel="0" collapsed="false">
      <c r="A967" s="23"/>
      <c r="B967" s="24"/>
      <c r="C967" s="24"/>
      <c r="D967" s="24"/>
      <c r="E967" s="24"/>
      <c r="F967" s="24"/>
      <c r="G967" s="24"/>
      <c r="H967" s="25" t="str">
        <f aca="false">IF($B967="","",IFERROR(IF(INDEX(명단!$B$5:$B$404,MATCH($B967,명단!$A$5:$A$404,0))="","(이름 미입력)",INDEX(명단!$B$5:$B$404,MATCH($B967,명단!$A$5:$A$404,0))),"번호 없음"))</f>
        <v/>
      </c>
      <c r="I967" s="25" t="str">
        <f aca="false">IF($B967="","",IF(COUNTIF($B$5:$B$1004,$B967)&gt;1,"중복 입력",""))</f>
        <v/>
      </c>
    </row>
    <row r="968" customFormat="false" ht="15" hidden="false" customHeight="false" outlineLevel="0" collapsed="false">
      <c r="A968" s="23"/>
      <c r="B968" s="24"/>
      <c r="C968" s="24"/>
      <c r="D968" s="24"/>
      <c r="E968" s="24"/>
      <c r="F968" s="24"/>
      <c r="G968" s="24"/>
      <c r="H968" s="25" t="str">
        <f aca="false">IF($B968="","",IFERROR(IF(INDEX(명단!$B$5:$B$404,MATCH($B968,명단!$A$5:$A$404,0))="","(이름 미입력)",INDEX(명단!$B$5:$B$404,MATCH($B968,명단!$A$5:$A$404,0))),"번호 없음"))</f>
        <v/>
      </c>
      <c r="I968" s="25" t="str">
        <f aca="false">IF($B968="","",IF(COUNTIF($B$5:$B$1004,$B968)&gt;1,"중복 입력",""))</f>
        <v/>
      </c>
    </row>
    <row r="969" customFormat="false" ht="15" hidden="false" customHeight="false" outlineLevel="0" collapsed="false">
      <c r="A969" s="23"/>
      <c r="B969" s="24"/>
      <c r="C969" s="24"/>
      <c r="D969" s="24"/>
      <c r="E969" s="24"/>
      <c r="F969" s="24"/>
      <c r="G969" s="24"/>
      <c r="H969" s="25" t="str">
        <f aca="false">IF($B969="","",IFERROR(IF(INDEX(명단!$B$5:$B$404,MATCH($B969,명단!$A$5:$A$404,0))="","(이름 미입력)",INDEX(명단!$B$5:$B$404,MATCH($B969,명단!$A$5:$A$404,0))),"번호 없음"))</f>
        <v/>
      </c>
      <c r="I969" s="25" t="str">
        <f aca="false">IF($B969="","",IF(COUNTIF($B$5:$B$1004,$B969)&gt;1,"중복 입력",""))</f>
        <v/>
      </c>
    </row>
    <row r="970" customFormat="false" ht="15" hidden="false" customHeight="false" outlineLevel="0" collapsed="false">
      <c r="A970" s="23"/>
      <c r="B970" s="24"/>
      <c r="C970" s="24"/>
      <c r="D970" s="24"/>
      <c r="E970" s="24"/>
      <c r="F970" s="24"/>
      <c r="G970" s="24"/>
      <c r="H970" s="25" t="str">
        <f aca="false">IF($B970="","",IFERROR(IF(INDEX(명단!$B$5:$B$404,MATCH($B970,명단!$A$5:$A$404,0))="","(이름 미입력)",INDEX(명단!$B$5:$B$404,MATCH($B970,명단!$A$5:$A$404,0))),"번호 없음"))</f>
        <v/>
      </c>
      <c r="I970" s="25" t="str">
        <f aca="false">IF($B970="","",IF(COUNTIF($B$5:$B$1004,$B970)&gt;1,"중복 입력",""))</f>
        <v/>
      </c>
    </row>
    <row r="971" customFormat="false" ht="15" hidden="false" customHeight="false" outlineLevel="0" collapsed="false">
      <c r="A971" s="23"/>
      <c r="B971" s="24"/>
      <c r="C971" s="24"/>
      <c r="D971" s="24"/>
      <c r="E971" s="24"/>
      <c r="F971" s="24"/>
      <c r="G971" s="24"/>
      <c r="H971" s="25" t="str">
        <f aca="false">IF($B971="","",IFERROR(IF(INDEX(명단!$B$5:$B$404,MATCH($B971,명단!$A$5:$A$404,0))="","(이름 미입력)",INDEX(명단!$B$5:$B$404,MATCH($B971,명단!$A$5:$A$404,0))),"번호 없음"))</f>
        <v/>
      </c>
      <c r="I971" s="25" t="str">
        <f aca="false">IF($B971="","",IF(COUNTIF($B$5:$B$1004,$B971)&gt;1,"중복 입력",""))</f>
        <v/>
      </c>
    </row>
    <row r="972" customFormat="false" ht="15" hidden="false" customHeight="false" outlineLevel="0" collapsed="false">
      <c r="A972" s="23"/>
      <c r="B972" s="24"/>
      <c r="C972" s="24"/>
      <c r="D972" s="24"/>
      <c r="E972" s="24"/>
      <c r="F972" s="24"/>
      <c r="G972" s="24"/>
      <c r="H972" s="25" t="str">
        <f aca="false">IF($B972="","",IFERROR(IF(INDEX(명단!$B$5:$B$404,MATCH($B972,명단!$A$5:$A$404,0))="","(이름 미입력)",INDEX(명단!$B$5:$B$404,MATCH($B972,명단!$A$5:$A$404,0))),"번호 없음"))</f>
        <v/>
      </c>
      <c r="I972" s="25" t="str">
        <f aca="false">IF($B972="","",IF(COUNTIF($B$5:$B$1004,$B972)&gt;1,"중복 입력",""))</f>
        <v/>
      </c>
    </row>
    <row r="973" customFormat="false" ht="15" hidden="false" customHeight="false" outlineLevel="0" collapsed="false">
      <c r="A973" s="23"/>
      <c r="B973" s="24"/>
      <c r="C973" s="24"/>
      <c r="D973" s="24"/>
      <c r="E973" s="24"/>
      <c r="F973" s="24"/>
      <c r="G973" s="24"/>
      <c r="H973" s="25" t="str">
        <f aca="false">IF($B973="","",IFERROR(IF(INDEX(명단!$B$5:$B$404,MATCH($B973,명단!$A$5:$A$404,0))="","(이름 미입력)",INDEX(명단!$B$5:$B$404,MATCH($B973,명단!$A$5:$A$404,0))),"번호 없음"))</f>
        <v/>
      </c>
      <c r="I973" s="25" t="str">
        <f aca="false">IF($B973="","",IF(COUNTIF($B$5:$B$1004,$B973)&gt;1,"중복 입력",""))</f>
        <v/>
      </c>
    </row>
    <row r="974" customFormat="false" ht="15" hidden="false" customHeight="false" outlineLevel="0" collapsed="false">
      <c r="A974" s="23"/>
      <c r="B974" s="24"/>
      <c r="C974" s="24"/>
      <c r="D974" s="24"/>
      <c r="E974" s="24"/>
      <c r="F974" s="24"/>
      <c r="G974" s="24"/>
      <c r="H974" s="25" t="str">
        <f aca="false">IF($B974="","",IFERROR(IF(INDEX(명단!$B$5:$B$404,MATCH($B974,명단!$A$5:$A$404,0))="","(이름 미입력)",INDEX(명단!$B$5:$B$404,MATCH($B974,명단!$A$5:$A$404,0))),"번호 없음"))</f>
        <v/>
      </c>
      <c r="I974" s="25" t="str">
        <f aca="false">IF($B974="","",IF(COUNTIF($B$5:$B$1004,$B974)&gt;1,"중복 입력",""))</f>
        <v/>
      </c>
    </row>
    <row r="975" customFormat="false" ht="15" hidden="false" customHeight="false" outlineLevel="0" collapsed="false">
      <c r="A975" s="23"/>
      <c r="B975" s="24"/>
      <c r="C975" s="24"/>
      <c r="D975" s="24"/>
      <c r="E975" s="24"/>
      <c r="F975" s="24"/>
      <c r="G975" s="24"/>
      <c r="H975" s="25" t="str">
        <f aca="false">IF($B975="","",IFERROR(IF(INDEX(명단!$B$5:$B$404,MATCH($B975,명단!$A$5:$A$404,0))="","(이름 미입력)",INDEX(명단!$B$5:$B$404,MATCH($B975,명단!$A$5:$A$404,0))),"번호 없음"))</f>
        <v/>
      </c>
      <c r="I975" s="25" t="str">
        <f aca="false">IF($B975="","",IF(COUNTIF($B$5:$B$1004,$B975)&gt;1,"중복 입력",""))</f>
        <v/>
      </c>
    </row>
    <row r="976" customFormat="false" ht="15" hidden="false" customHeight="false" outlineLevel="0" collapsed="false">
      <c r="A976" s="23"/>
      <c r="B976" s="24"/>
      <c r="C976" s="24"/>
      <c r="D976" s="24"/>
      <c r="E976" s="24"/>
      <c r="F976" s="24"/>
      <c r="G976" s="24"/>
      <c r="H976" s="25" t="str">
        <f aca="false">IF($B976="","",IFERROR(IF(INDEX(명단!$B$5:$B$404,MATCH($B976,명단!$A$5:$A$404,0))="","(이름 미입력)",INDEX(명단!$B$5:$B$404,MATCH($B976,명단!$A$5:$A$404,0))),"번호 없음"))</f>
        <v/>
      </c>
      <c r="I976" s="25" t="str">
        <f aca="false">IF($B976="","",IF(COUNTIF($B$5:$B$1004,$B976)&gt;1,"중복 입력",""))</f>
        <v/>
      </c>
    </row>
    <row r="977" customFormat="false" ht="15" hidden="false" customHeight="false" outlineLevel="0" collapsed="false">
      <c r="A977" s="23"/>
      <c r="B977" s="24"/>
      <c r="C977" s="24"/>
      <c r="D977" s="24"/>
      <c r="E977" s="24"/>
      <c r="F977" s="24"/>
      <c r="G977" s="24"/>
      <c r="H977" s="25" t="str">
        <f aca="false">IF($B977="","",IFERROR(IF(INDEX(명단!$B$5:$B$404,MATCH($B977,명단!$A$5:$A$404,0))="","(이름 미입력)",INDEX(명단!$B$5:$B$404,MATCH($B977,명단!$A$5:$A$404,0))),"번호 없음"))</f>
        <v/>
      </c>
      <c r="I977" s="25" t="str">
        <f aca="false">IF($B977="","",IF(COUNTIF($B$5:$B$1004,$B977)&gt;1,"중복 입력",""))</f>
        <v/>
      </c>
    </row>
    <row r="978" customFormat="false" ht="15" hidden="false" customHeight="false" outlineLevel="0" collapsed="false">
      <c r="A978" s="23"/>
      <c r="B978" s="24"/>
      <c r="C978" s="24"/>
      <c r="D978" s="24"/>
      <c r="E978" s="24"/>
      <c r="F978" s="24"/>
      <c r="G978" s="24"/>
      <c r="H978" s="25" t="str">
        <f aca="false">IF($B978="","",IFERROR(IF(INDEX(명단!$B$5:$B$404,MATCH($B978,명단!$A$5:$A$404,0))="","(이름 미입력)",INDEX(명단!$B$5:$B$404,MATCH($B978,명단!$A$5:$A$404,0))),"번호 없음"))</f>
        <v/>
      </c>
      <c r="I978" s="25" t="str">
        <f aca="false">IF($B978="","",IF(COUNTIF($B$5:$B$1004,$B978)&gt;1,"중복 입력",""))</f>
        <v/>
      </c>
    </row>
    <row r="979" customFormat="false" ht="15" hidden="false" customHeight="false" outlineLevel="0" collapsed="false">
      <c r="A979" s="23"/>
      <c r="B979" s="24"/>
      <c r="C979" s="24"/>
      <c r="D979" s="24"/>
      <c r="E979" s="24"/>
      <c r="F979" s="24"/>
      <c r="G979" s="24"/>
      <c r="H979" s="25" t="str">
        <f aca="false">IF($B979="","",IFERROR(IF(INDEX(명단!$B$5:$B$404,MATCH($B979,명단!$A$5:$A$404,0))="","(이름 미입력)",INDEX(명단!$B$5:$B$404,MATCH($B979,명단!$A$5:$A$404,0))),"번호 없음"))</f>
        <v/>
      </c>
      <c r="I979" s="25" t="str">
        <f aca="false">IF($B979="","",IF(COUNTIF($B$5:$B$1004,$B979)&gt;1,"중복 입력",""))</f>
        <v/>
      </c>
    </row>
    <row r="980" customFormat="false" ht="15" hidden="false" customHeight="false" outlineLevel="0" collapsed="false">
      <c r="A980" s="23"/>
      <c r="B980" s="24"/>
      <c r="C980" s="24"/>
      <c r="D980" s="24"/>
      <c r="E980" s="24"/>
      <c r="F980" s="24"/>
      <c r="G980" s="24"/>
      <c r="H980" s="25" t="str">
        <f aca="false">IF($B980="","",IFERROR(IF(INDEX(명단!$B$5:$B$404,MATCH($B980,명단!$A$5:$A$404,0))="","(이름 미입력)",INDEX(명단!$B$5:$B$404,MATCH($B980,명단!$A$5:$A$404,0))),"번호 없음"))</f>
        <v/>
      </c>
      <c r="I980" s="25" t="str">
        <f aca="false">IF($B980="","",IF(COUNTIF($B$5:$B$1004,$B980)&gt;1,"중복 입력",""))</f>
        <v/>
      </c>
    </row>
    <row r="981" customFormat="false" ht="15" hidden="false" customHeight="false" outlineLevel="0" collapsed="false">
      <c r="A981" s="23"/>
      <c r="B981" s="24"/>
      <c r="C981" s="24"/>
      <c r="D981" s="24"/>
      <c r="E981" s="24"/>
      <c r="F981" s="24"/>
      <c r="G981" s="24"/>
      <c r="H981" s="25" t="str">
        <f aca="false">IF($B981="","",IFERROR(IF(INDEX(명단!$B$5:$B$404,MATCH($B981,명단!$A$5:$A$404,0))="","(이름 미입력)",INDEX(명단!$B$5:$B$404,MATCH($B981,명단!$A$5:$A$404,0))),"번호 없음"))</f>
        <v/>
      </c>
      <c r="I981" s="25" t="str">
        <f aca="false">IF($B981="","",IF(COUNTIF($B$5:$B$1004,$B981)&gt;1,"중복 입력",""))</f>
        <v/>
      </c>
    </row>
    <row r="982" customFormat="false" ht="15" hidden="false" customHeight="false" outlineLevel="0" collapsed="false">
      <c r="A982" s="23"/>
      <c r="B982" s="24"/>
      <c r="C982" s="24"/>
      <c r="D982" s="24"/>
      <c r="E982" s="24"/>
      <c r="F982" s="24"/>
      <c r="G982" s="24"/>
      <c r="H982" s="25" t="str">
        <f aca="false">IF($B982="","",IFERROR(IF(INDEX(명단!$B$5:$B$404,MATCH($B982,명단!$A$5:$A$404,0))="","(이름 미입력)",INDEX(명단!$B$5:$B$404,MATCH($B982,명단!$A$5:$A$404,0))),"번호 없음"))</f>
        <v/>
      </c>
      <c r="I982" s="25" t="str">
        <f aca="false">IF($B982="","",IF(COUNTIF($B$5:$B$1004,$B982)&gt;1,"중복 입력",""))</f>
        <v/>
      </c>
    </row>
    <row r="983" customFormat="false" ht="15" hidden="false" customHeight="false" outlineLevel="0" collapsed="false">
      <c r="A983" s="23"/>
      <c r="B983" s="24"/>
      <c r="C983" s="24"/>
      <c r="D983" s="24"/>
      <c r="E983" s="24"/>
      <c r="F983" s="24"/>
      <c r="G983" s="24"/>
      <c r="H983" s="25" t="str">
        <f aca="false">IF($B983="","",IFERROR(IF(INDEX(명단!$B$5:$B$404,MATCH($B983,명단!$A$5:$A$404,0))="","(이름 미입력)",INDEX(명단!$B$5:$B$404,MATCH($B983,명단!$A$5:$A$404,0))),"번호 없음"))</f>
        <v/>
      </c>
      <c r="I983" s="25" t="str">
        <f aca="false">IF($B983="","",IF(COUNTIF($B$5:$B$1004,$B983)&gt;1,"중복 입력",""))</f>
        <v/>
      </c>
    </row>
    <row r="984" customFormat="false" ht="15" hidden="false" customHeight="false" outlineLevel="0" collapsed="false">
      <c r="A984" s="23"/>
      <c r="B984" s="24"/>
      <c r="C984" s="24"/>
      <c r="D984" s="24"/>
      <c r="E984" s="24"/>
      <c r="F984" s="24"/>
      <c r="G984" s="24"/>
      <c r="H984" s="25" t="str">
        <f aca="false">IF($B984="","",IFERROR(IF(INDEX(명단!$B$5:$B$404,MATCH($B984,명단!$A$5:$A$404,0))="","(이름 미입력)",INDEX(명단!$B$5:$B$404,MATCH($B984,명단!$A$5:$A$404,0))),"번호 없음"))</f>
        <v/>
      </c>
      <c r="I984" s="25" t="str">
        <f aca="false">IF($B984="","",IF(COUNTIF($B$5:$B$1004,$B984)&gt;1,"중복 입력",""))</f>
        <v/>
      </c>
    </row>
    <row r="985" customFormat="false" ht="15" hidden="false" customHeight="false" outlineLevel="0" collapsed="false">
      <c r="A985" s="23"/>
      <c r="B985" s="24"/>
      <c r="C985" s="24"/>
      <c r="D985" s="24"/>
      <c r="E985" s="24"/>
      <c r="F985" s="24"/>
      <c r="G985" s="24"/>
      <c r="H985" s="25" t="str">
        <f aca="false">IF($B985="","",IFERROR(IF(INDEX(명단!$B$5:$B$404,MATCH($B985,명단!$A$5:$A$404,0))="","(이름 미입력)",INDEX(명단!$B$5:$B$404,MATCH($B985,명단!$A$5:$A$404,0))),"번호 없음"))</f>
        <v/>
      </c>
      <c r="I985" s="25" t="str">
        <f aca="false">IF($B985="","",IF(COUNTIF($B$5:$B$1004,$B985)&gt;1,"중복 입력",""))</f>
        <v/>
      </c>
    </row>
    <row r="986" customFormat="false" ht="15" hidden="false" customHeight="false" outlineLevel="0" collapsed="false">
      <c r="A986" s="23"/>
      <c r="B986" s="24"/>
      <c r="C986" s="24"/>
      <c r="D986" s="24"/>
      <c r="E986" s="24"/>
      <c r="F986" s="24"/>
      <c r="G986" s="24"/>
      <c r="H986" s="25" t="str">
        <f aca="false">IF($B986="","",IFERROR(IF(INDEX(명단!$B$5:$B$404,MATCH($B986,명단!$A$5:$A$404,0))="","(이름 미입력)",INDEX(명단!$B$5:$B$404,MATCH($B986,명단!$A$5:$A$404,0))),"번호 없음"))</f>
        <v/>
      </c>
      <c r="I986" s="25" t="str">
        <f aca="false">IF($B986="","",IF(COUNTIF($B$5:$B$1004,$B986)&gt;1,"중복 입력",""))</f>
        <v/>
      </c>
    </row>
    <row r="987" customFormat="false" ht="15" hidden="false" customHeight="false" outlineLevel="0" collapsed="false">
      <c r="A987" s="23"/>
      <c r="B987" s="24"/>
      <c r="C987" s="24"/>
      <c r="D987" s="24"/>
      <c r="E987" s="24"/>
      <c r="F987" s="24"/>
      <c r="G987" s="24"/>
      <c r="H987" s="25" t="str">
        <f aca="false">IF($B987="","",IFERROR(IF(INDEX(명단!$B$5:$B$404,MATCH($B987,명단!$A$5:$A$404,0))="","(이름 미입력)",INDEX(명단!$B$5:$B$404,MATCH($B987,명단!$A$5:$A$404,0))),"번호 없음"))</f>
        <v/>
      </c>
      <c r="I987" s="25" t="str">
        <f aca="false">IF($B987="","",IF(COUNTIF($B$5:$B$1004,$B987)&gt;1,"중복 입력",""))</f>
        <v/>
      </c>
    </row>
    <row r="988" customFormat="false" ht="15" hidden="false" customHeight="false" outlineLevel="0" collapsed="false">
      <c r="A988" s="23"/>
      <c r="B988" s="24"/>
      <c r="C988" s="24"/>
      <c r="D988" s="24"/>
      <c r="E988" s="24"/>
      <c r="F988" s="24"/>
      <c r="G988" s="24"/>
      <c r="H988" s="25" t="str">
        <f aca="false">IF($B988="","",IFERROR(IF(INDEX(명단!$B$5:$B$404,MATCH($B988,명단!$A$5:$A$404,0))="","(이름 미입력)",INDEX(명단!$B$5:$B$404,MATCH($B988,명단!$A$5:$A$404,0))),"번호 없음"))</f>
        <v/>
      </c>
      <c r="I988" s="25" t="str">
        <f aca="false">IF($B988="","",IF(COUNTIF($B$5:$B$1004,$B988)&gt;1,"중복 입력",""))</f>
        <v/>
      </c>
    </row>
    <row r="989" customFormat="false" ht="15" hidden="false" customHeight="false" outlineLevel="0" collapsed="false">
      <c r="A989" s="23"/>
      <c r="B989" s="24"/>
      <c r="C989" s="24"/>
      <c r="D989" s="24"/>
      <c r="E989" s="24"/>
      <c r="F989" s="24"/>
      <c r="G989" s="24"/>
      <c r="H989" s="25" t="str">
        <f aca="false">IF($B989="","",IFERROR(IF(INDEX(명단!$B$5:$B$404,MATCH($B989,명단!$A$5:$A$404,0))="","(이름 미입력)",INDEX(명단!$B$5:$B$404,MATCH($B989,명단!$A$5:$A$404,0))),"번호 없음"))</f>
        <v/>
      </c>
      <c r="I989" s="25" t="str">
        <f aca="false">IF($B989="","",IF(COUNTIF($B$5:$B$1004,$B989)&gt;1,"중복 입력",""))</f>
        <v/>
      </c>
    </row>
    <row r="990" customFormat="false" ht="15" hidden="false" customHeight="false" outlineLevel="0" collapsed="false">
      <c r="A990" s="23"/>
      <c r="B990" s="24"/>
      <c r="C990" s="24"/>
      <c r="D990" s="24"/>
      <c r="E990" s="24"/>
      <c r="F990" s="24"/>
      <c r="G990" s="24"/>
      <c r="H990" s="25" t="str">
        <f aca="false">IF($B990="","",IFERROR(IF(INDEX(명단!$B$5:$B$404,MATCH($B990,명단!$A$5:$A$404,0))="","(이름 미입력)",INDEX(명단!$B$5:$B$404,MATCH($B990,명단!$A$5:$A$404,0))),"번호 없음"))</f>
        <v/>
      </c>
      <c r="I990" s="25" t="str">
        <f aca="false">IF($B990="","",IF(COUNTIF($B$5:$B$1004,$B990)&gt;1,"중복 입력",""))</f>
        <v/>
      </c>
    </row>
    <row r="991" customFormat="false" ht="15" hidden="false" customHeight="false" outlineLevel="0" collapsed="false">
      <c r="A991" s="23"/>
      <c r="B991" s="24"/>
      <c r="C991" s="24"/>
      <c r="D991" s="24"/>
      <c r="E991" s="24"/>
      <c r="F991" s="24"/>
      <c r="G991" s="24"/>
      <c r="H991" s="25" t="str">
        <f aca="false">IF($B991="","",IFERROR(IF(INDEX(명단!$B$5:$B$404,MATCH($B991,명단!$A$5:$A$404,0))="","(이름 미입력)",INDEX(명단!$B$5:$B$404,MATCH($B991,명단!$A$5:$A$404,0))),"번호 없음"))</f>
        <v/>
      </c>
      <c r="I991" s="25" t="str">
        <f aca="false">IF($B991="","",IF(COUNTIF($B$5:$B$1004,$B991)&gt;1,"중복 입력",""))</f>
        <v/>
      </c>
    </row>
    <row r="992" customFormat="false" ht="15" hidden="false" customHeight="false" outlineLevel="0" collapsed="false">
      <c r="A992" s="23"/>
      <c r="B992" s="24"/>
      <c r="C992" s="24"/>
      <c r="D992" s="24"/>
      <c r="E992" s="24"/>
      <c r="F992" s="24"/>
      <c r="G992" s="24"/>
      <c r="H992" s="25" t="str">
        <f aca="false">IF($B992="","",IFERROR(IF(INDEX(명단!$B$5:$B$404,MATCH($B992,명단!$A$5:$A$404,0))="","(이름 미입력)",INDEX(명단!$B$5:$B$404,MATCH($B992,명단!$A$5:$A$404,0))),"번호 없음"))</f>
        <v/>
      </c>
      <c r="I992" s="25" t="str">
        <f aca="false">IF($B992="","",IF(COUNTIF($B$5:$B$1004,$B992)&gt;1,"중복 입력",""))</f>
        <v/>
      </c>
    </row>
    <row r="993" customFormat="false" ht="15" hidden="false" customHeight="false" outlineLevel="0" collapsed="false">
      <c r="A993" s="23"/>
      <c r="B993" s="24"/>
      <c r="C993" s="24"/>
      <c r="D993" s="24"/>
      <c r="E993" s="24"/>
      <c r="F993" s="24"/>
      <c r="G993" s="24"/>
      <c r="H993" s="25" t="str">
        <f aca="false">IF($B993="","",IFERROR(IF(INDEX(명단!$B$5:$B$404,MATCH($B993,명단!$A$5:$A$404,0))="","(이름 미입력)",INDEX(명단!$B$5:$B$404,MATCH($B993,명단!$A$5:$A$404,0))),"번호 없음"))</f>
        <v/>
      </c>
      <c r="I993" s="25" t="str">
        <f aca="false">IF($B993="","",IF(COUNTIF($B$5:$B$1004,$B993)&gt;1,"중복 입력",""))</f>
        <v/>
      </c>
    </row>
    <row r="994" customFormat="false" ht="15" hidden="false" customHeight="false" outlineLevel="0" collapsed="false">
      <c r="A994" s="23"/>
      <c r="B994" s="24"/>
      <c r="C994" s="24"/>
      <c r="D994" s="24"/>
      <c r="E994" s="24"/>
      <c r="F994" s="24"/>
      <c r="G994" s="24"/>
      <c r="H994" s="25" t="str">
        <f aca="false">IF($B994="","",IFERROR(IF(INDEX(명단!$B$5:$B$404,MATCH($B994,명단!$A$5:$A$404,0))="","(이름 미입력)",INDEX(명단!$B$5:$B$404,MATCH($B994,명단!$A$5:$A$404,0))),"번호 없음"))</f>
        <v/>
      </c>
      <c r="I994" s="25" t="str">
        <f aca="false">IF($B994="","",IF(COUNTIF($B$5:$B$1004,$B994)&gt;1,"중복 입력",""))</f>
        <v/>
      </c>
    </row>
    <row r="995" customFormat="false" ht="15" hidden="false" customHeight="false" outlineLevel="0" collapsed="false">
      <c r="A995" s="23"/>
      <c r="B995" s="24"/>
      <c r="C995" s="24"/>
      <c r="D995" s="24"/>
      <c r="E995" s="24"/>
      <c r="F995" s="24"/>
      <c r="G995" s="24"/>
      <c r="H995" s="25" t="str">
        <f aca="false">IF($B995="","",IFERROR(IF(INDEX(명단!$B$5:$B$404,MATCH($B995,명단!$A$5:$A$404,0))="","(이름 미입력)",INDEX(명단!$B$5:$B$404,MATCH($B995,명단!$A$5:$A$404,0))),"번호 없음"))</f>
        <v/>
      </c>
      <c r="I995" s="25" t="str">
        <f aca="false">IF($B995="","",IF(COUNTIF($B$5:$B$1004,$B995)&gt;1,"중복 입력",""))</f>
        <v/>
      </c>
    </row>
    <row r="996" customFormat="false" ht="15" hidden="false" customHeight="false" outlineLevel="0" collapsed="false">
      <c r="A996" s="23"/>
      <c r="B996" s="24"/>
      <c r="C996" s="24"/>
      <c r="D996" s="24"/>
      <c r="E996" s="24"/>
      <c r="F996" s="24"/>
      <c r="G996" s="24"/>
      <c r="H996" s="25" t="str">
        <f aca="false">IF($B996="","",IFERROR(IF(INDEX(명단!$B$5:$B$404,MATCH($B996,명단!$A$5:$A$404,0))="","(이름 미입력)",INDEX(명단!$B$5:$B$404,MATCH($B996,명단!$A$5:$A$404,0))),"번호 없음"))</f>
        <v/>
      </c>
      <c r="I996" s="25" t="str">
        <f aca="false">IF($B996="","",IF(COUNTIF($B$5:$B$1004,$B996)&gt;1,"중복 입력",""))</f>
        <v/>
      </c>
    </row>
    <row r="997" customFormat="false" ht="15" hidden="false" customHeight="false" outlineLevel="0" collapsed="false">
      <c r="A997" s="23"/>
      <c r="B997" s="24"/>
      <c r="C997" s="24"/>
      <c r="D997" s="24"/>
      <c r="E997" s="24"/>
      <c r="F997" s="24"/>
      <c r="G997" s="24"/>
      <c r="H997" s="25" t="str">
        <f aca="false">IF($B997="","",IFERROR(IF(INDEX(명단!$B$5:$B$404,MATCH($B997,명단!$A$5:$A$404,0))="","(이름 미입력)",INDEX(명단!$B$5:$B$404,MATCH($B997,명단!$A$5:$A$404,0))),"번호 없음"))</f>
        <v/>
      </c>
      <c r="I997" s="25" t="str">
        <f aca="false">IF($B997="","",IF(COUNTIF($B$5:$B$1004,$B997)&gt;1,"중복 입력",""))</f>
        <v/>
      </c>
    </row>
    <row r="998" customFormat="false" ht="15" hidden="false" customHeight="false" outlineLevel="0" collapsed="false">
      <c r="A998" s="23"/>
      <c r="B998" s="24"/>
      <c r="C998" s="24"/>
      <c r="D998" s="24"/>
      <c r="E998" s="24"/>
      <c r="F998" s="24"/>
      <c r="G998" s="24"/>
      <c r="H998" s="25" t="str">
        <f aca="false">IF($B998="","",IFERROR(IF(INDEX(명단!$B$5:$B$404,MATCH($B998,명단!$A$5:$A$404,0))="","(이름 미입력)",INDEX(명단!$B$5:$B$404,MATCH($B998,명단!$A$5:$A$404,0))),"번호 없음"))</f>
        <v/>
      </c>
      <c r="I998" s="25" t="str">
        <f aca="false">IF($B998="","",IF(COUNTIF($B$5:$B$1004,$B998)&gt;1,"중복 입력",""))</f>
        <v/>
      </c>
    </row>
    <row r="999" customFormat="false" ht="15" hidden="false" customHeight="false" outlineLevel="0" collapsed="false">
      <c r="A999" s="23"/>
      <c r="B999" s="24"/>
      <c r="C999" s="24"/>
      <c r="D999" s="24"/>
      <c r="E999" s="24"/>
      <c r="F999" s="24"/>
      <c r="G999" s="24"/>
      <c r="H999" s="25" t="str">
        <f aca="false">IF($B999="","",IFERROR(IF(INDEX(명단!$B$5:$B$404,MATCH($B999,명단!$A$5:$A$404,0))="","(이름 미입력)",INDEX(명단!$B$5:$B$404,MATCH($B999,명단!$A$5:$A$404,0))),"번호 없음"))</f>
        <v/>
      </c>
      <c r="I999" s="25" t="str">
        <f aca="false">IF($B999="","",IF(COUNTIF($B$5:$B$1004,$B999)&gt;1,"중복 입력",""))</f>
        <v/>
      </c>
    </row>
    <row r="1000" customFormat="false" ht="15" hidden="false" customHeight="false" outlineLevel="0" collapsed="false">
      <c r="A1000" s="23"/>
      <c r="B1000" s="24"/>
      <c r="C1000" s="24"/>
      <c r="D1000" s="24"/>
      <c r="E1000" s="24"/>
      <c r="F1000" s="24"/>
      <c r="G1000" s="24"/>
      <c r="H1000" s="25" t="str">
        <f aca="false">IF($B1000="","",IFERROR(IF(INDEX(명단!$B$5:$B$404,MATCH($B1000,명단!$A$5:$A$404,0))="","(이름 미입력)",INDEX(명단!$B$5:$B$404,MATCH($B1000,명단!$A$5:$A$404,0))),"번호 없음"))</f>
        <v/>
      </c>
      <c r="I1000" s="25" t="str">
        <f aca="false">IF($B1000="","",IF(COUNTIF($B$5:$B$1004,$B1000)&gt;1,"중복 입력",""))</f>
        <v/>
      </c>
    </row>
    <row r="1001" customFormat="false" ht="15" hidden="false" customHeight="false" outlineLevel="0" collapsed="false">
      <c r="A1001" s="23"/>
      <c r="B1001" s="24"/>
      <c r="C1001" s="24"/>
      <c r="D1001" s="24"/>
      <c r="E1001" s="24"/>
      <c r="F1001" s="24"/>
      <c r="G1001" s="24"/>
      <c r="H1001" s="25" t="str">
        <f aca="false">IF($B1001="","",IFERROR(IF(INDEX(명단!$B$5:$B$404,MATCH($B1001,명단!$A$5:$A$404,0))="","(이름 미입력)",INDEX(명단!$B$5:$B$404,MATCH($B1001,명단!$A$5:$A$404,0))),"번호 없음"))</f>
        <v/>
      </c>
      <c r="I1001" s="25" t="str">
        <f aca="false">IF($B1001="","",IF(COUNTIF($B$5:$B$1004,$B1001)&gt;1,"중복 입력",""))</f>
        <v/>
      </c>
    </row>
    <row r="1002" customFormat="false" ht="15" hidden="false" customHeight="false" outlineLevel="0" collapsed="false">
      <c r="A1002" s="23"/>
      <c r="B1002" s="24"/>
      <c r="C1002" s="24"/>
      <c r="D1002" s="24"/>
      <c r="E1002" s="24"/>
      <c r="F1002" s="24"/>
      <c r="G1002" s="24"/>
      <c r="H1002" s="25" t="str">
        <f aca="false">IF($B1002="","",IFERROR(IF(INDEX(명단!$B$5:$B$404,MATCH($B1002,명단!$A$5:$A$404,0))="","(이름 미입력)",INDEX(명단!$B$5:$B$404,MATCH($B1002,명단!$A$5:$A$404,0))),"번호 없음"))</f>
        <v/>
      </c>
      <c r="I1002" s="25" t="str">
        <f aca="false">IF($B1002="","",IF(COUNTIF($B$5:$B$1004,$B1002)&gt;1,"중복 입력",""))</f>
        <v/>
      </c>
    </row>
    <row r="1003" customFormat="false" ht="15" hidden="false" customHeight="false" outlineLevel="0" collapsed="false">
      <c r="A1003" s="23"/>
      <c r="B1003" s="24"/>
      <c r="C1003" s="24"/>
      <c r="D1003" s="24"/>
      <c r="E1003" s="24"/>
      <c r="F1003" s="24"/>
      <c r="G1003" s="24"/>
      <c r="H1003" s="25" t="str">
        <f aca="false">IF($B1003="","",IFERROR(IF(INDEX(명단!$B$5:$B$404,MATCH($B1003,명단!$A$5:$A$404,0))="","(이름 미입력)",INDEX(명단!$B$5:$B$404,MATCH($B1003,명단!$A$5:$A$404,0))),"번호 없음"))</f>
        <v/>
      </c>
      <c r="I1003" s="25" t="str">
        <f aca="false">IF($B1003="","",IF(COUNTIF($B$5:$B$1004,$B1003)&gt;1,"중복 입력",""))</f>
        <v/>
      </c>
    </row>
    <row r="1004" customFormat="false" ht="15" hidden="false" customHeight="false" outlineLevel="0" collapsed="false">
      <c r="A1004" s="23"/>
      <c r="B1004" s="24"/>
      <c r="C1004" s="24"/>
      <c r="D1004" s="24"/>
      <c r="E1004" s="24"/>
      <c r="F1004" s="24"/>
      <c r="G1004" s="24"/>
      <c r="H1004" s="25" t="str">
        <f aca="false">IF($B1004="","",IFERROR(IF(INDEX(명단!$B$5:$B$404,MATCH($B1004,명단!$A$5:$A$404,0))="","(이름 미입력)",INDEX(명단!$B$5:$B$404,MATCH($B1004,명단!$A$5:$A$404,0))),"번호 없음"))</f>
        <v/>
      </c>
      <c r="I1004" s="25" t="str">
        <f aca="false">IF($B1004="","",IF(COUNTIF($B$5:$B$1004,$B1004)&gt;1,"중복 입력",""))</f>
        <v/>
      </c>
    </row>
  </sheetData>
  <conditionalFormatting sqref="A5:I1004">
    <cfRule type="expression" priority="2" aboveAverage="0" equalAverage="0" bottom="0" percent="0" rank="0" text="" dxfId="3">
      <formula>AND($B5="",$B4&lt;&gt;"")</formula>
    </cfRule>
  </conditionalFormatting>
  <conditionalFormatting sqref="H5:H1004">
    <cfRule type="expression" priority="3" aboveAverage="0" equalAverage="0" bottom="0" percent="0" rank="0" text="" dxfId="4">
      <formula>H5="번호 없음"</formula>
    </cfRule>
  </conditionalFormatting>
  <conditionalFormatting sqref="I5:I1004">
    <cfRule type="expression" priority="4" aboveAverage="0" equalAverage="0" bottom="0" percent="0" rank="0" text="" dxfId="5">
      <formula>I5&lt;&gt;""</formula>
    </cfRule>
  </conditionalFormatting>
  <dataValidations count="4">
    <dataValidation allowBlank="true" error="번호는 1~400 사이의 숫자입니다." errorStyle="stop" errorTitle="번호 확인" operator="between" showDropDown="false" showErrorMessage="true" showInputMessage="false" sqref="B5:B1004" type="whole">
      <formula1>1</formula1>
      <formula2>400</formula2>
    </dataValidation>
    <dataValidation allowBlank="true" error="악력(kg) 3~80 범위를 벗어났습니다. 측정 거부·불가라면 '-'를 입력하세요. 그대로 입력할까요?" errorStyle="warning" errorTitle="값 확인" operator="between" showDropDown="false" showErrorMessage="true" showInputMessage="false" sqref="C5:D1004" type="decimal">
      <formula1>3</formula1>
      <formula2>80</formula2>
    </dataValidation>
    <dataValidation allowBlank="true" error="한발서기(초) 0~300 범위를 벗어났습니다. 측정 거부·불가라면 '-'를 입력하세요. 그대로 입력할까요?" errorStyle="warning" errorTitle="값 확인" operator="between" showDropDown="false" showErrorMessage="true" showInputMessage="false" sqref="E5:E1004" type="decimal">
      <formula1>0</formula1>
      <formula2>300</formula2>
    </dataValidation>
    <dataValidation allowBlank="true" error="10m 보행(초) 2~60 범위를 벗어났습니다. 측정 거부·불가라면 '-'를 입력하세요. 그대로 입력할까요?" errorStyle="warning" errorTitle="값 확인" operator="between" showDropDown="false" showErrorMessage="true" showInputMessage="false" sqref="F5:F1004" type="decimal">
      <formula1>2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7A"/>
    <pageSetUpPr fitToPage="true"/>
  </sheetPr>
  <dimension ref="A1:L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22"/>
    <col collapsed="false" customWidth="true" hidden="false" outlineLevel="0" max="12" min="12" style="0" width="12"/>
  </cols>
  <sheetData>
    <row r="1" customFormat="false" ht="19.4" hidden="false" customHeight="false" outlineLevel="0" collapsed="false">
      <c r="A1" s="18" t="s">
        <v>136</v>
      </c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A3" s="26" t="s">
        <v>138</v>
      </c>
    </row>
    <row r="4" customFormat="false" ht="31.5" hidden="false" customHeight="true" outlineLevel="0" collapsed="false">
      <c r="A4" s="27" t="s">
        <v>127</v>
      </c>
      <c r="B4" s="27" t="s">
        <v>128</v>
      </c>
      <c r="C4" s="27" t="s">
        <v>139</v>
      </c>
      <c r="D4" s="27" t="s">
        <v>140</v>
      </c>
      <c r="E4" s="27" t="s">
        <v>141</v>
      </c>
      <c r="F4" s="27" t="s">
        <v>142</v>
      </c>
      <c r="G4" s="27" t="s">
        <v>133</v>
      </c>
      <c r="H4" s="22" t="s">
        <v>134</v>
      </c>
      <c r="I4" s="22" t="s">
        <v>143</v>
      </c>
      <c r="J4" s="22" t="s">
        <v>144</v>
      </c>
      <c r="K4" s="22" t="s">
        <v>145</v>
      </c>
      <c r="L4" s="22" t="s">
        <v>135</v>
      </c>
    </row>
    <row r="5" customFormat="false" ht="15" hidden="false" customHeight="false" outlineLevel="0" collapsed="false">
      <c r="A5" s="23"/>
      <c r="B5" s="24"/>
      <c r="C5" s="24"/>
      <c r="D5" s="24"/>
      <c r="E5" s="24"/>
      <c r="F5" s="24"/>
      <c r="G5" s="24"/>
      <c r="H5" s="25" t="str">
        <f aca="false">IF($B5="","",IFERROR(IF(INDEX(명단!$B$5:$B$404,MATCH($B5,명단!$A$5:$A$404,0))="","(이름 미입력)",INDEX(명단!$B$5:$B$404,MATCH($B5,명단!$A$5:$A$404,0))),"번호 없음"))</f>
        <v/>
      </c>
      <c r="I5" s="25" t="str">
        <f aca="false">IF(AND(C5="",D5=""),"",IF(OR(C5="-",D5="-"),"측정불가",IF(AND(ISNUMBER(C5),ISNUMBER(D5)),IF(OR(C5&gt;=설정!$C$11,D5&gt;=설정!$C$12),"긴급",IF(OR(C5&gt;=설정!$C$9,D5&gt;=설정!$C$10,C5&lt;설정!$C$13),"주의","정상")),"확인필요")))</f>
        <v/>
      </c>
      <c r="J5" s="25" t="str">
        <f aca="false">IF(E5="","",IF(E5="-","측정불가",IF(NOT(ISNUMBER(E5)),"확인필요",IF(E5&lt;설정!$C$17,"긴급(저혈당)",IF(E5&gt;=설정!$C$18,"긴급(고혈당)",IF(F5="공복",IF(E5&gt;=설정!$C$15,"주의","정상"),IF(F5="식후",IF(E5&gt;=설정!$C$16,"주의","정상"),"조건확인")))))))</f>
        <v/>
      </c>
      <c r="K5" s="25" t="str">
        <f aca="false">IF(OR(I5="긴급",LEFT(J5,2)="긴급"),"★ 즉시 선생님 호출",IF(OR(I5="주의",J5="주의"),"결과상담에서 확인",IF(J5="조건확인","혈당조건(공복/식후) 선택","")))</f>
        <v/>
      </c>
      <c r="L5" s="25" t="str">
        <f aca="false">IF($B5="","",IF(COUNTIF($B$5:$B$1004,$B5)&gt;1,"중복 입력",""))</f>
        <v/>
      </c>
    </row>
    <row r="6" customFormat="false" ht="15" hidden="false" customHeight="false" outlineLevel="0" collapsed="false">
      <c r="A6" s="23"/>
      <c r="B6" s="24"/>
      <c r="C6" s="24"/>
      <c r="D6" s="24"/>
      <c r="E6" s="24"/>
      <c r="F6" s="24"/>
      <c r="G6" s="24"/>
      <c r="H6" s="25" t="str">
        <f aca="false">IF($B6="","",IFERROR(IF(INDEX(명단!$B$5:$B$404,MATCH($B6,명단!$A$5:$A$404,0))="","(이름 미입력)",INDEX(명단!$B$5:$B$404,MATCH($B6,명단!$A$5:$A$404,0))),"번호 없음"))</f>
        <v/>
      </c>
      <c r="I6" s="25" t="str">
        <f aca="false">IF(AND(C6="",D6=""),"",IF(OR(C6="-",D6="-"),"측정불가",IF(AND(ISNUMBER(C6),ISNUMBER(D6)),IF(OR(C6&gt;=설정!$C$11,D6&gt;=설정!$C$12),"긴급",IF(OR(C6&gt;=설정!$C$9,D6&gt;=설정!$C$10,C6&lt;설정!$C$13),"주의","정상")),"확인필요")))</f>
        <v/>
      </c>
      <c r="J6" s="25" t="str">
        <f aca="false">IF(E6="","",IF(E6="-","측정불가",IF(NOT(ISNUMBER(E6)),"확인필요",IF(E6&lt;설정!$C$17,"긴급(저혈당)",IF(E6&gt;=설정!$C$18,"긴급(고혈당)",IF(F6="공복",IF(E6&gt;=설정!$C$15,"주의","정상"),IF(F6="식후",IF(E6&gt;=설정!$C$16,"주의","정상"),"조건확인")))))))</f>
        <v/>
      </c>
      <c r="K6" s="25" t="str">
        <f aca="false">IF(OR(I6="긴급",LEFT(J6,2)="긴급"),"★ 즉시 선생님 호출",IF(OR(I6="주의",J6="주의"),"결과상담에서 확인",IF(J6="조건확인","혈당조건(공복/식후) 선택","")))</f>
        <v/>
      </c>
      <c r="L6" s="25" t="str">
        <f aca="false">IF($B6="","",IF(COUNTIF($B$5:$B$1004,$B6)&gt;1,"중복 입력",""))</f>
        <v/>
      </c>
    </row>
    <row r="7" customFormat="false" ht="15" hidden="false" customHeight="false" outlineLevel="0" collapsed="false">
      <c r="A7" s="23"/>
      <c r="B7" s="24"/>
      <c r="C7" s="24"/>
      <c r="D7" s="24"/>
      <c r="E7" s="24"/>
      <c r="F7" s="24"/>
      <c r="G7" s="24"/>
      <c r="H7" s="25" t="str">
        <f aca="false">IF($B7="","",IFERROR(IF(INDEX(명단!$B$5:$B$404,MATCH($B7,명단!$A$5:$A$404,0))="","(이름 미입력)",INDEX(명단!$B$5:$B$404,MATCH($B7,명단!$A$5:$A$404,0))),"번호 없음"))</f>
        <v/>
      </c>
      <c r="I7" s="25" t="str">
        <f aca="false">IF(AND(C7="",D7=""),"",IF(OR(C7="-",D7="-"),"측정불가",IF(AND(ISNUMBER(C7),ISNUMBER(D7)),IF(OR(C7&gt;=설정!$C$11,D7&gt;=설정!$C$12),"긴급",IF(OR(C7&gt;=설정!$C$9,D7&gt;=설정!$C$10,C7&lt;설정!$C$13),"주의","정상")),"확인필요")))</f>
        <v/>
      </c>
      <c r="J7" s="25" t="str">
        <f aca="false">IF(E7="","",IF(E7="-","측정불가",IF(NOT(ISNUMBER(E7)),"확인필요",IF(E7&lt;설정!$C$17,"긴급(저혈당)",IF(E7&gt;=설정!$C$18,"긴급(고혈당)",IF(F7="공복",IF(E7&gt;=설정!$C$15,"주의","정상"),IF(F7="식후",IF(E7&gt;=설정!$C$16,"주의","정상"),"조건확인")))))))</f>
        <v/>
      </c>
      <c r="K7" s="25" t="str">
        <f aca="false">IF(OR(I7="긴급",LEFT(J7,2)="긴급"),"★ 즉시 선생님 호출",IF(OR(I7="주의",J7="주의"),"결과상담에서 확인",IF(J7="조건확인","혈당조건(공복/식후) 선택","")))</f>
        <v/>
      </c>
      <c r="L7" s="25" t="str">
        <f aca="false">IF($B7="","",IF(COUNTIF($B$5:$B$1004,$B7)&gt;1,"중복 입력",""))</f>
        <v/>
      </c>
    </row>
    <row r="8" customFormat="false" ht="15" hidden="false" customHeight="false" outlineLevel="0" collapsed="false">
      <c r="A8" s="23"/>
      <c r="B8" s="24"/>
      <c r="C8" s="24"/>
      <c r="D8" s="24"/>
      <c r="E8" s="24"/>
      <c r="F8" s="24"/>
      <c r="G8" s="24"/>
      <c r="H8" s="25" t="str">
        <f aca="false">IF($B8="","",IFERROR(IF(INDEX(명단!$B$5:$B$404,MATCH($B8,명단!$A$5:$A$404,0))="","(이름 미입력)",INDEX(명단!$B$5:$B$404,MATCH($B8,명단!$A$5:$A$404,0))),"번호 없음"))</f>
        <v/>
      </c>
      <c r="I8" s="25" t="str">
        <f aca="false">IF(AND(C8="",D8=""),"",IF(OR(C8="-",D8="-"),"측정불가",IF(AND(ISNUMBER(C8),ISNUMBER(D8)),IF(OR(C8&gt;=설정!$C$11,D8&gt;=설정!$C$12),"긴급",IF(OR(C8&gt;=설정!$C$9,D8&gt;=설정!$C$10,C8&lt;설정!$C$13),"주의","정상")),"확인필요")))</f>
        <v/>
      </c>
      <c r="J8" s="25" t="str">
        <f aca="false">IF(E8="","",IF(E8="-","측정불가",IF(NOT(ISNUMBER(E8)),"확인필요",IF(E8&lt;설정!$C$17,"긴급(저혈당)",IF(E8&gt;=설정!$C$18,"긴급(고혈당)",IF(F8="공복",IF(E8&gt;=설정!$C$15,"주의","정상"),IF(F8="식후",IF(E8&gt;=설정!$C$16,"주의","정상"),"조건확인")))))))</f>
        <v/>
      </c>
      <c r="K8" s="25" t="str">
        <f aca="false">IF(OR(I8="긴급",LEFT(J8,2)="긴급"),"★ 즉시 선생님 호출",IF(OR(I8="주의",J8="주의"),"결과상담에서 확인",IF(J8="조건확인","혈당조건(공복/식후) 선택","")))</f>
        <v/>
      </c>
      <c r="L8" s="25" t="str">
        <f aca="false">IF($B8="","",IF(COUNTIF($B$5:$B$1004,$B8)&gt;1,"중복 입력",""))</f>
        <v/>
      </c>
    </row>
    <row r="9" customFormat="false" ht="15" hidden="false" customHeight="false" outlineLevel="0" collapsed="false">
      <c r="A9" s="23"/>
      <c r="B9" s="24"/>
      <c r="C9" s="24"/>
      <c r="D9" s="24"/>
      <c r="E9" s="24"/>
      <c r="F9" s="24"/>
      <c r="G9" s="24"/>
      <c r="H9" s="25" t="str">
        <f aca="false">IF($B9="","",IFERROR(IF(INDEX(명단!$B$5:$B$404,MATCH($B9,명단!$A$5:$A$404,0))="","(이름 미입력)",INDEX(명단!$B$5:$B$404,MATCH($B9,명단!$A$5:$A$404,0))),"번호 없음"))</f>
        <v/>
      </c>
      <c r="I9" s="25" t="str">
        <f aca="false">IF(AND(C9="",D9=""),"",IF(OR(C9="-",D9="-"),"측정불가",IF(AND(ISNUMBER(C9),ISNUMBER(D9)),IF(OR(C9&gt;=설정!$C$11,D9&gt;=설정!$C$12),"긴급",IF(OR(C9&gt;=설정!$C$9,D9&gt;=설정!$C$10,C9&lt;설정!$C$13),"주의","정상")),"확인필요")))</f>
        <v/>
      </c>
      <c r="J9" s="25" t="str">
        <f aca="false">IF(E9="","",IF(E9="-","측정불가",IF(NOT(ISNUMBER(E9)),"확인필요",IF(E9&lt;설정!$C$17,"긴급(저혈당)",IF(E9&gt;=설정!$C$18,"긴급(고혈당)",IF(F9="공복",IF(E9&gt;=설정!$C$15,"주의","정상"),IF(F9="식후",IF(E9&gt;=설정!$C$16,"주의","정상"),"조건확인")))))))</f>
        <v/>
      </c>
      <c r="K9" s="25" t="str">
        <f aca="false">IF(OR(I9="긴급",LEFT(J9,2)="긴급"),"★ 즉시 선생님 호출",IF(OR(I9="주의",J9="주의"),"결과상담에서 확인",IF(J9="조건확인","혈당조건(공복/식후) 선택","")))</f>
        <v/>
      </c>
      <c r="L9" s="25" t="str">
        <f aca="false">IF($B9="","",IF(COUNTIF($B$5:$B$1004,$B9)&gt;1,"중복 입력",""))</f>
        <v/>
      </c>
    </row>
    <row r="10" customFormat="false" ht="15" hidden="false" customHeight="false" outlineLevel="0" collapsed="false">
      <c r="A10" s="23"/>
      <c r="B10" s="24"/>
      <c r="C10" s="24"/>
      <c r="D10" s="24"/>
      <c r="E10" s="24"/>
      <c r="F10" s="24"/>
      <c r="G10" s="24"/>
      <c r="H10" s="25" t="str">
        <f aca="false">IF($B10="","",IFERROR(IF(INDEX(명단!$B$5:$B$404,MATCH($B10,명단!$A$5:$A$404,0))="","(이름 미입력)",INDEX(명단!$B$5:$B$404,MATCH($B10,명단!$A$5:$A$404,0))),"번호 없음"))</f>
        <v/>
      </c>
      <c r="I10" s="25" t="str">
        <f aca="false">IF(AND(C10="",D10=""),"",IF(OR(C10="-",D10="-"),"측정불가",IF(AND(ISNUMBER(C10),ISNUMBER(D10)),IF(OR(C10&gt;=설정!$C$11,D10&gt;=설정!$C$12),"긴급",IF(OR(C10&gt;=설정!$C$9,D10&gt;=설정!$C$10,C10&lt;설정!$C$13),"주의","정상")),"확인필요")))</f>
        <v/>
      </c>
      <c r="J10" s="25" t="str">
        <f aca="false">IF(E10="","",IF(E10="-","측정불가",IF(NOT(ISNUMBER(E10)),"확인필요",IF(E10&lt;설정!$C$17,"긴급(저혈당)",IF(E10&gt;=설정!$C$18,"긴급(고혈당)",IF(F10="공복",IF(E10&gt;=설정!$C$15,"주의","정상"),IF(F10="식후",IF(E10&gt;=설정!$C$16,"주의","정상"),"조건확인")))))))</f>
        <v/>
      </c>
      <c r="K10" s="25" t="str">
        <f aca="false">IF(OR(I10="긴급",LEFT(J10,2)="긴급"),"★ 즉시 선생님 호출",IF(OR(I10="주의",J10="주의"),"결과상담에서 확인",IF(J10="조건확인","혈당조건(공복/식후) 선택","")))</f>
        <v/>
      </c>
      <c r="L10" s="25" t="str">
        <f aca="false">IF($B10="","",IF(COUNTIF($B$5:$B$1004,$B10)&gt;1,"중복 입력",""))</f>
        <v/>
      </c>
    </row>
    <row r="11" customFormat="false" ht="15" hidden="false" customHeight="false" outlineLevel="0" collapsed="false">
      <c r="A11" s="23"/>
      <c r="B11" s="24"/>
      <c r="C11" s="24"/>
      <c r="D11" s="24"/>
      <c r="E11" s="24"/>
      <c r="F11" s="24"/>
      <c r="G11" s="24"/>
      <c r="H11" s="25" t="str">
        <f aca="false">IF($B11="","",IFERROR(IF(INDEX(명단!$B$5:$B$404,MATCH($B11,명단!$A$5:$A$404,0))="","(이름 미입력)",INDEX(명단!$B$5:$B$404,MATCH($B11,명단!$A$5:$A$404,0))),"번호 없음"))</f>
        <v/>
      </c>
      <c r="I11" s="25" t="str">
        <f aca="false">IF(AND(C11="",D11=""),"",IF(OR(C11="-",D11="-"),"측정불가",IF(AND(ISNUMBER(C11),ISNUMBER(D11)),IF(OR(C11&gt;=설정!$C$11,D11&gt;=설정!$C$12),"긴급",IF(OR(C11&gt;=설정!$C$9,D11&gt;=설정!$C$10,C11&lt;설정!$C$13),"주의","정상")),"확인필요")))</f>
        <v/>
      </c>
      <c r="J11" s="25" t="str">
        <f aca="false">IF(E11="","",IF(E11="-","측정불가",IF(NOT(ISNUMBER(E11)),"확인필요",IF(E11&lt;설정!$C$17,"긴급(저혈당)",IF(E11&gt;=설정!$C$18,"긴급(고혈당)",IF(F11="공복",IF(E11&gt;=설정!$C$15,"주의","정상"),IF(F11="식후",IF(E11&gt;=설정!$C$16,"주의","정상"),"조건확인")))))))</f>
        <v/>
      </c>
      <c r="K11" s="25" t="str">
        <f aca="false">IF(OR(I11="긴급",LEFT(J11,2)="긴급"),"★ 즉시 선생님 호출",IF(OR(I11="주의",J11="주의"),"결과상담에서 확인",IF(J11="조건확인","혈당조건(공복/식후) 선택","")))</f>
        <v/>
      </c>
      <c r="L11" s="25" t="str">
        <f aca="false">IF($B11="","",IF(COUNTIF($B$5:$B$1004,$B11)&gt;1,"중복 입력",""))</f>
        <v/>
      </c>
    </row>
    <row r="12" customFormat="false" ht="15" hidden="false" customHeight="false" outlineLevel="0" collapsed="false">
      <c r="A12" s="23"/>
      <c r="B12" s="24"/>
      <c r="C12" s="24"/>
      <c r="D12" s="24"/>
      <c r="E12" s="24"/>
      <c r="F12" s="24"/>
      <c r="G12" s="24"/>
      <c r="H12" s="25" t="str">
        <f aca="false">IF($B12="","",IFERROR(IF(INDEX(명단!$B$5:$B$404,MATCH($B12,명단!$A$5:$A$404,0))="","(이름 미입력)",INDEX(명단!$B$5:$B$404,MATCH($B12,명단!$A$5:$A$404,0))),"번호 없음"))</f>
        <v/>
      </c>
      <c r="I12" s="25" t="str">
        <f aca="false">IF(AND(C12="",D12=""),"",IF(OR(C12="-",D12="-"),"측정불가",IF(AND(ISNUMBER(C12),ISNUMBER(D12)),IF(OR(C12&gt;=설정!$C$11,D12&gt;=설정!$C$12),"긴급",IF(OR(C12&gt;=설정!$C$9,D12&gt;=설정!$C$10,C12&lt;설정!$C$13),"주의","정상")),"확인필요")))</f>
        <v/>
      </c>
      <c r="J12" s="25" t="str">
        <f aca="false">IF(E12="","",IF(E12="-","측정불가",IF(NOT(ISNUMBER(E12)),"확인필요",IF(E12&lt;설정!$C$17,"긴급(저혈당)",IF(E12&gt;=설정!$C$18,"긴급(고혈당)",IF(F12="공복",IF(E12&gt;=설정!$C$15,"주의","정상"),IF(F12="식후",IF(E12&gt;=설정!$C$16,"주의","정상"),"조건확인")))))))</f>
        <v/>
      </c>
      <c r="K12" s="25" t="str">
        <f aca="false">IF(OR(I12="긴급",LEFT(J12,2)="긴급"),"★ 즉시 선생님 호출",IF(OR(I12="주의",J12="주의"),"결과상담에서 확인",IF(J12="조건확인","혈당조건(공복/식후) 선택","")))</f>
        <v/>
      </c>
      <c r="L12" s="25" t="str">
        <f aca="false">IF($B12="","",IF(COUNTIF($B$5:$B$1004,$B12)&gt;1,"중복 입력",""))</f>
        <v/>
      </c>
    </row>
    <row r="13" customFormat="false" ht="15" hidden="false" customHeight="false" outlineLevel="0" collapsed="false">
      <c r="A13" s="23"/>
      <c r="B13" s="24"/>
      <c r="C13" s="24"/>
      <c r="D13" s="24"/>
      <c r="E13" s="24"/>
      <c r="F13" s="24"/>
      <c r="G13" s="24"/>
      <c r="H13" s="25" t="str">
        <f aca="false">IF($B13="","",IFERROR(IF(INDEX(명단!$B$5:$B$404,MATCH($B13,명단!$A$5:$A$404,0))="","(이름 미입력)",INDEX(명단!$B$5:$B$404,MATCH($B13,명단!$A$5:$A$404,0))),"번호 없음"))</f>
        <v/>
      </c>
      <c r="I13" s="25" t="str">
        <f aca="false">IF(AND(C13="",D13=""),"",IF(OR(C13="-",D13="-"),"측정불가",IF(AND(ISNUMBER(C13),ISNUMBER(D13)),IF(OR(C13&gt;=설정!$C$11,D13&gt;=설정!$C$12),"긴급",IF(OR(C13&gt;=설정!$C$9,D13&gt;=설정!$C$10,C13&lt;설정!$C$13),"주의","정상")),"확인필요")))</f>
        <v/>
      </c>
      <c r="J13" s="25" t="str">
        <f aca="false">IF(E13="","",IF(E13="-","측정불가",IF(NOT(ISNUMBER(E13)),"확인필요",IF(E13&lt;설정!$C$17,"긴급(저혈당)",IF(E13&gt;=설정!$C$18,"긴급(고혈당)",IF(F13="공복",IF(E13&gt;=설정!$C$15,"주의","정상"),IF(F13="식후",IF(E13&gt;=설정!$C$16,"주의","정상"),"조건확인")))))))</f>
        <v/>
      </c>
      <c r="K13" s="25" t="str">
        <f aca="false">IF(OR(I13="긴급",LEFT(J13,2)="긴급"),"★ 즉시 선생님 호출",IF(OR(I13="주의",J13="주의"),"결과상담에서 확인",IF(J13="조건확인","혈당조건(공복/식후) 선택","")))</f>
        <v/>
      </c>
      <c r="L13" s="25" t="str">
        <f aca="false">IF($B13="","",IF(COUNTIF($B$5:$B$1004,$B13)&gt;1,"중복 입력",""))</f>
        <v/>
      </c>
    </row>
    <row r="14" customFormat="false" ht="15" hidden="false" customHeight="false" outlineLevel="0" collapsed="false">
      <c r="A14" s="23"/>
      <c r="B14" s="24"/>
      <c r="C14" s="24"/>
      <c r="D14" s="24"/>
      <c r="E14" s="24"/>
      <c r="F14" s="24"/>
      <c r="G14" s="24"/>
      <c r="H14" s="25" t="str">
        <f aca="false">IF($B14="","",IFERROR(IF(INDEX(명단!$B$5:$B$404,MATCH($B14,명단!$A$5:$A$404,0))="","(이름 미입력)",INDEX(명단!$B$5:$B$404,MATCH($B14,명단!$A$5:$A$404,0))),"번호 없음"))</f>
        <v/>
      </c>
      <c r="I14" s="25" t="str">
        <f aca="false">IF(AND(C14="",D14=""),"",IF(OR(C14="-",D14="-"),"측정불가",IF(AND(ISNUMBER(C14),ISNUMBER(D14)),IF(OR(C14&gt;=설정!$C$11,D14&gt;=설정!$C$12),"긴급",IF(OR(C14&gt;=설정!$C$9,D14&gt;=설정!$C$10,C14&lt;설정!$C$13),"주의","정상")),"확인필요")))</f>
        <v/>
      </c>
      <c r="J14" s="25" t="str">
        <f aca="false">IF(E14="","",IF(E14="-","측정불가",IF(NOT(ISNUMBER(E14)),"확인필요",IF(E14&lt;설정!$C$17,"긴급(저혈당)",IF(E14&gt;=설정!$C$18,"긴급(고혈당)",IF(F14="공복",IF(E14&gt;=설정!$C$15,"주의","정상"),IF(F14="식후",IF(E14&gt;=설정!$C$16,"주의","정상"),"조건확인")))))))</f>
        <v/>
      </c>
      <c r="K14" s="25" t="str">
        <f aca="false">IF(OR(I14="긴급",LEFT(J14,2)="긴급"),"★ 즉시 선생님 호출",IF(OR(I14="주의",J14="주의"),"결과상담에서 확인",IF(J14="조건확인","혈당조건(공복/식후) 선택","")))</f>
        <v/>
      </c>
      <c r="L14" s="25" t="str">
        <f aca="false">IF($B14="","",IF(COUNTIF($B$5:$B$1004,$B14)&gt;1,"중복 입력",""))</f>
        <v/>
      </c>
    </row>
    <row r="15" customFormat="false" ht="15" hidden="false" customHeight="false" outlineLevel="0" collapsed="false">
      <c r="A15" s="23"/>
      <c r="B15" s="24"/>
      <c r="C15" s="24"/>
      <c r="D15" s="24"/>
      <c r="E15" s="24"/>
      <c r="F15" s="24"/>
      <c r="G15" s="24"/>
      <c r="H15" s="25" t="str">
        <f aca="false">IF($B15="","",IFERROR(IF(INDEX(명단!$B$5:$B$404,MATCH($B15,명단!$A$5:$A$404,0))="","(이름 미입력)",INDEX(명단!$B$5:$B$404,MATCH($B15,명단!$A$5:$A$404,0))),"번호 없음"))</f>
        <v/>
      </c>
      <c r="I15" s="25" t="str">
        <f aca="false">IF(AND(C15="",D15=""),"",IF(OR(C15="-",D15="-"),"측정불가",IF(AND(ISNUMBER(C15),ISNUMBER(D15)),IF(OR(C15&gt;=설정!$C$11,D15&gt;=설정!$C$12),"긴급",IF(OR(C15&gt;=설정!$C$9,D15&gt;=설정!$C$10,C15&lt;설정!$C$13),"주의","정상")),"확인필요")))</f>
        <v/>
      </c>
      <c r="J15" s="25" t="str">
        <f aca="false">IF(E15="","",IF(E15="-","측정불가",IF(NOT(ISNUMBER(E15)),"확인필요",IF(E15&lt;설정!$C$17,"긴급(저혈당)",IF(E15&gt;=설정!$C$18,"긴급(고혈당)",IF(F15="공복",IF(E15&gt;=설정!$C$15,"주의","정상"),IF(F15="식후",IF(E15&gt;=설정!$C$16,"주의","정상"),"조건확인")))))))</f>
        <v/>
      </c>
      <c r="K15" s="25" t="str">
        <f aca="false">IF(OR(I15="긴급",LEFT(J15,2)="긴급"),"★ 즉시 선생님 호출",IF(OR(I15="주의",J15="주의"),"결과상담에서 확인",IF(J15="조건확인","혈당조건(공복/식후) 선택","")))</f>
        <v/>
      </c>
      <c r="L15" s="25" t="str">
        <f aca="false">IF($B15="","",IF(COUNTIF($B$5:$B$1004,$B15)&gt;1,"중복 입력",""))</f>
        <v/>
      </c>
    </row>
    <row r="16" customFormat="false" ht="15" hidden="false" customHeight="false" outlineLevel="0" collapsed="false">
      <c r="A16" s="23"/>
      <c r="B16" s="24"/>
      <c r="C16" s="24"/>
      <c r="D16" s="24"/>
      <c r="E16" s="24"/>
      <c r="F16" s="24"/>
      <c r="G16" s="24"/>
      <c r="H16" s="25" t="str">
        <f aca="false">IF($B16="","",IFERROR(IF(INDEX(명단!$B$5:$B$404,MATCH($B16,명단!$A$5:$A$404,0))="","(이름 미입력)",INDEX(명단!$B$5:$B$404,MATCH($B16,명단!$A$5:$A$404,0))),"번호 없음"))</f>
        <v/>
      </c>
      <c r="I16" s="25" t="str">
        <f aca="false">IF(AND(C16="",D16=""),"",IF(OR(C16="-",D16="-"),"측정불가",IF(AND(ISNUMBER(C16),ISNUMBER(D16)),IF(OR(C16&gt;=설정!$C$11,D16&gt;=설정!$C$12),"긴급",IF(OR(C16&gt;=설정!$C$9,D16&gt;=설정!$C$10,C16&lt;설정!$C$13),"주의","정상")),"확인필요")))</f>
        <v/>
      </c>
      <c r="J16" s="25" t="str">
        <f aca="false">IF(E16="","",IF(E16="-","측정불가",IF(NOT(ISNUMBER(E16)),"확인필요",IF(E16&lt;설정!$C$17,"긴급(저혈당)",IF(E16&gt;=설정!$C$18,"긴급(고혈당)",IF(F16="공복",IF(E16&gt;=설정!$C$15,"주의","정상"),IF(F16="식후",IF(E16&gt;=설정!$C$16,"주의","정상"),"조건확인")))))))</f>
        <v/>
      </c>
      <c r="K16" s="25" t="str">
        <f aca="false">IF(OR(I16="긴급",LEFT(J16,2)="긴급"),"★ 즉시 선생님 호출",IF(OR(I16="주의",J16="주의"),"결과상담에서 확인",IF(J16="조건확인","혈당조건(공복/식후) 선택","")))</f>
        <v/>
      </c>
      <c r="L16" s="25" t="str">
        <f aca="false">IF($B16="","",IF(COUNTIF($B$5:$B$1004,$B16)&gt;1,"중복 입력",""))</f>
        <v/>
      </c>
    </row>
    <row r="17" customFormat="false" ht="15" hidden="false" customHeight="false" outlineLevel="0" collapsed="false">
      <c r="A17" s="23"/>
      <c r="B17" s="24"/>
      <c r="C17" s="24"/>
      <c r="D17" s="24"/>
      <c r="E17" s="24"/>
      <c r="F17" s="24"/>
      <c r="G17" s="24"/>
      <c r="H17" s="25" t="str">
        <f aca="false">IF($B17="","",IFERROR(IF(INDEX(명단!$B$5:$B$404,MATCH($B17,명단!$A$5:$A$404,0))="","(이름 미입력)",INDEX(명단!$B$5:$B$404,MATCH($B17,명단!$A$5:$A$404,0))),"번호 없음"))</f>
        <v/>
      </c>
      <c r="I17" s="25" t="str">
        <f aca="false">IF(AND(C17="",D17=""),"",IF(OR(C17="-",D17="-"),"측정불가",IF(AND(ISNUMBER(C17),ISNUMBER(D17)),IF(OR(C17&gt;=설정!$C$11,D17&gt;=설정!$C$12),"긴급",IF(OR(C17&gt;=설정!$C$9,D17&gt;=설정!$C$10,C17&lt;설정!$C$13),"주의","정상")),"확인필요")))</f>
        <v/>
      </c>
      <c r="J17" s="25" t="str">
        <f aca="false">IF(E17="","",IF(E17="-","측정불가",IF(NOT(ISNUMBER(E17)),"확인필요",IF(E17&lt;설정!$C$17,"긴급(저혈당)",IF(E17&gt;=설정!$C$18,"긴급(고혈당)",IF(F17="공복",IF(E17&gt;=설정!$C$15,"주의","정상"),IF(F17="식후",IF(E17&gt;=설정!$C$16,"주의","정상"),"조건확인")))))))</f>
        <v/>
      </c>
      <c r="K17" s="25" t="str">
        <f aca="false">IF(OR(I17="긴급",LEFT(J17,2)="긴급"),"★ 즉시 선생님 호출",IF(OR(I17="주의",J17="주의"),"결과상담에서 확인",IF(J17="조건확인","혈당조건(공복/식후) 선택","")))</f>
        <v/>
      </c>
      <c r="L17" s="25" t="str">
        <f aca="false">IF($B17="","",IF(COUNTIF($B$5:$B$1004,$B17)&gt;1,"중복 입력",""))</f>
        <v/>
      </c>
    </row>
    <row r="18" customFormat="false" ht="15" hidden="false" customHeight="false" outlineLevel="0" collapsed="false">
      <c r="A18" s="23"/>
      <c r="B18" s="24"/>
      <c r="C18" s="24"/>
      <c r="D18" s="24"/>
      <c r="E18" s="24"/>
      <c r="F18" s="24"/>
      <c r="G18" s="24"/>
      <c r="H18" s="25" t="str">
        <f aca="false">IF($B18="","",IFERROR(IF(INDEX(명단!$B$5:$B$404,MATCH($B18,명단!$A$5:$A$404,0))="","(이름 미입력)",INDEX(명단!$B$5:$B$404,MATCH($B18,명단!$A$5:$A$404,0))),"번호 없음"))</f>
        <v/>
      </c>
      <c r="I18" s="25" t="str">
        <f aca="false">IF(AND(C18="",D18=""),"",IF(OR(C18="-",D18="-"),"측정불가",IF(AND(ISNUMBER(C18),ISNUMBER(D18)),IF(OR(C18&gt;=설정!$C$11,D18&gt;=설정!$C$12),"긴급",IF(OR(C18&gt;=설정!$C$9,D18&gt;=설정!$C$10,C18&lt;설정!$C$13),"주의","정상")),"확인필요")))</f>
        <v/>
      </c>
      <c r="J18" s="25" t="str">
        <f aca="false">IF(E18="","",IF(E18="-","측정불가",IF(NOT(ISNUMBER(E18)),"확인필요",IF(E18&lt;설정!$C$17,"긴급(저혈당)",IF(E18&gt;=설정!$C$18,"긴급(고혈당)",IF(F18="공복",IF(E18&gt;=설정!$C$15,"주의","정상"),IF(F18="식후",IF(E18&gt;=설정!$C$16,"주의","정상"),"조건확인")))))))</f>
        <v/>
      </c>
      <c r="K18" s="25" t="str">
        <f aca="false">IF(OR(I18="긴급",LEFT(J18,2)="긴급"),"★ 즉시 선생님 호출",IF(OR(I18="주의",J18="주의"),"결과상담에서 확인",IF(J18="조건확인","혈당조건(공복/식후) 선택","")))</f>
        <v/>
      </c>
      <c r="L18" s="25" t="str">
        <f aca="false">IF($B18="","",IF(COUNTIF($B$5:$B$1004,$B18)&gt;1,"중복 입력",""))</f>
        <v/>
      </c>
    </row>
    <row r="19" customFormat="false" ht="15" hidden="false" customHeight="false" outlineLevel="0" collapsed="false">
      <c r="A19" s="23"/>
      <c r="B19" s="24"/>
      <c r="C19" s="24"/>
      <c r="D19" s="24"/>
      <c r="E19" s="24"/>
      <c r="F19" s="24"/>
      <c r="G19" s="24"/>
      <c r="H19" s="25" t="str">
        <f aca="false">IF($B19="","",IFERROR(IF(INDEX(명단!$B$5:$B$404,MATCH($B19,명단!$A$5:$A$404,0))="","(이름 미입력)",INDEX(명단!$B$5:$B$404,MATCH($B19,명단!$A$5:$A$404,0))),"번호 없음"))</f>
        <v/>
      </c>
      <c r="I19" s="25" t="str">
        <f aca="false">IF(AND(C19="",D19=""),"",IF(OR(C19="-",D19="-"),"측정불가",IF(AND(ISNUMBER(C19),ISNUMBER(D19)),IF(OR(C19&gt;=설정!$C$11,D19&gt;=설정!$C$12),"긴급",IF(OR(C19&gt;=설정!$C$9,D19&gt;=설정!$C$10,C19&lt;설정!$C$13),"주의","정상")),"확인필요")))</f>
        <v/>
      </c>
      <c r="J19" s="25" t="str">
        <f aca="false">IF(E19="","",IF(E19="-","측정불가",IF(NOT(ISNUMBER(E19)),"확인필요",IF(E19&lt;설정!$C$17,"긴급(저혈당)",IF(E19&gt;=설정!$C$18,"긴급(고혈당)",IF(F19="공복",IF(E19&gt;=설정!$C$15,"주의","정상"),IF(F19="식후",IF(E19&gt;=설정!$C$16,"주의","정상"),"조건확인")))))))</f>
        <v/>
      </c>
      <c r="K19" s="25" t="str">
        <f aca="false">IF(OR(I19="긴급",LEFT(J19,2)="긴급"),"★ 즉시 선생님 호출",IF(OR(I19="주의",J19="주의"),"결과상담에서 확인",IF(J19="조건확인","혈당조건(공복/식후) 선택","")))</f>
        <v/>
      </c>
      <c r="L19" s="25" t="str">
        <f aca="false">IF($B19="","",IF(COUNTIF($B$5:$B$1004,$B19)&gt;1,"중복 입력",""))</f>
        <v/>
      </c>
    </row>
    <row r="20" customFormat="false" ht="15" hidden="false" customHeight="false" outlineLevel="0" collapsed="false">
      <c r="A20" s="23"/>
      <c r="B20" s="24"/>
      <c r="C20" s="24"/>
      <c r="D20" s="24"/>
      <c r="E20" s="24"/>
      <c r="F20" s="24"/>
      <c r="G20" s="24"/>
      <c r="H20" s="25" t="str">
        <f aca="false">IF($B20="","",IFERROR(IF(INDEX(명단!$B$5:$B$404,MATCH($B20,명단!$A$5:$A$404,0))="","(이름 미입력)",INDEX(명단!$B$5:$B$404,MATCH($B20,명단!$A$5:$A$404,0))),"번호 없음"))</f>
        <v/>
      </c>
      <c r="I20" s="25" t="str">
        <f aca="false">IF(AND(C20="",D20=""),"",IF(OR(C20="-",D20="-"),"측정불가",IF(AND(ISNUMBER(C20),ISNUMBER(D20)),IF(OR(C20&gt;=설정!$C$11,D20&gt;=설정!$C$12),"긴급",IF(OR(C20&gt;=설정!$C$9,D20&gt;=설정!$C$10,C20&lt;설정!$C$13),"주의","정상")),"확인필요")))</f>
        <v/>
      </c>
      <c r="J20" s="25" t="str">
        <f aca="false">IF(E20="","",IF(E20="-","측정불가",IF(NOT(ISNUMBER(E20)),"확인필요",IF(E20&lt;설정!$C$17,"긴급(저혈당)",IF(E20&gt;=설정!$C$18,"긴급(고혈당)",IF(F20="공복",IF(E20&gt;=설정!$C$15,"주의","정상"),IF(F20="식후",IF(E20&gt;=설정!$C$16,"주의","정상"),"조건확인")))))))</f>
        <v/>
      </c>
      <c r="K20" s="25" t="str">
        <f aca="false">IF(OR(I20="긴급",LEFT(J20,2)="긴급"),"★ 즉시 선생님 호출",IF(OR(I20="주의",J20="주의"),"결과상담에서 확인",IF(J20="조건확인","혈당조건(공복/식후) 선택","")))</f>
        <v/>
      </c>
      <c r="L20" s="25" t="str">
        <f aca="false">IF($B20="","",IF(COUNTIF($B$5:$B$1004,$B20)&gt;1,"중복 입력",""))</f>
        <v/>
      </c>
    </row>
    <row r="21" customFormat="false" ht="15" hidden="false" customHeight="false" outlineLevel="0" collapsed="false">
      <c r="A21" s="23"/>
      <c r="B21" s="24"/>
      <c r="C21" s="24"/>
      <c r="D21" s="24"/>
      <c r="E21" s="24"/>
      <c r="F21" s="24"/>
      <c r="G21" s="24"/>
      <c r="H21" s="25" t="str">
        <f aca="false">IF($B21="","",IFERROR(IF(INDEX(명단!$B$5:$B$404,MATCH($B21,명단!$A$5:$A$404,0))="","(이름 미입력)",INDEX(명단!$B$5:$B$404,MATCH($B21,명단!$A$5:$A$404,0))),"번호 없음"))</f>
        <v/>
      </c>
      <c r="I21" s="25" t="str">
        <f aca="false">IF(AND(C21="",D21=""),"",IF(OR(C21="-",D21="-"),"측정불가",IF(AND(ISNUMBER(C21),ISNUMBER(D21)),IF(OR(C21&gt;=설정!$C$11,D21&gt;=설정!$C$12),"긴급",IF(OR(C21&gt;=설정!$C$9,D21&gt;=설정!$C$10,C21&lt;설정!$C$13),"주의","정상")),"확인필요")))</f>
        <v/>
      </c>
      <c r="J21" s="25" t="str">
        <f aca="false">IF(E21="","",IF(E21="-","측정불가",IF(NOT(ISNUMBER(E21)),"확인필요",IF(E21&lt;설정!$C$17,"긴급(저혈당)",IF(E21&gt;=설정!$C$18,"긴급(고혈당)",IF(F21="공복",IF(E21&gt;=설정!$C$15,"주의","정상"),IF(F21="식후",IF(E21&gt;=설정!$C$16,"주의","정상"),"조건확인")))))))</f>
        <v/>
      </c>
      <c r="K21" s="25" t="str">
        <f aca="false">IF(OR(I21="긴급",LEFT(J21,2)="긴급"),"★ 즉시 선생님 호출",IF(OR(I21="주의",J21="주의"),"결과상담에서 확인",IF(J21="조건확인","혈당조건(공복/식후) 선택","")))</f>
        <v/>
      </c>
      <c r="L21" s="25" t="str">
        <f aca="false">IF($B21="","",IF(COUNTIF($B$5:$B$1004,$B21)&gt;1,"중복 입력",""))</f>
        <v/>
      </c>
    </row>
    <row r="22" customFormat="false" ht="15" hidden="false" customHeight="false" outlineLevel="0" collapsed="false">
      <c r="A22" s="23"/>
      <c r="B22" s="24"/>
      <c r="C22" s="24"/>
      <c r="D22" s="24"/>
      <c r="E22" s="24"/>
      <c r="F22" s="24"/>
      <c r="G22" s="24"/>
      <c r="H22" s="25" t="str">
        <f aca="false">IF($B22="","",IFERROR(IF(INDEX(명단!$B$5:$B$404,MATCH($B22,명단!$A$5:$A$404,0))="","(이름 미입력)",INDEX(명단!$B$5:$B$404,MATCH($B22,명단!$A$5:$A$404,0))),"번호 없음"))</f>
        <v/>
      </c>
      <c r="I22" s="25" t="str">
        <f aca="false">IF(AND(C22="",D22=""),"",IF(OR(C22="-",D22="-"),"측정불가",IF(AND(ISNUMBER(C22),ISNUMBER(D22)),IF(OR(C22&gt;=설정!$C$11,D22&gt;=설정!$C$12),"긴급",IF(OR(C22&gt;=설정!$C$9,D22&gt;=설정!$C$10,C22&lt;설정!$C$13),"주의","정상")),"확인필요")))</f>
        <v/>
      </c>
      <c r="J22" s="25" t="str">
        <f aca="false">IF(E22="","",IF(E22="-","측정불가",IF(NOT(ISNUMBER(E22)),"확인필요",IF(E22&lt;설정!$C$17,"긴급(저혈당)",IF(E22&gt;=설정!$C$18,"긴급(고혈당)",IF(F22="공복",IF(E22&gt;=설정!$C$15,"주의","정상"),IF(F22="식후",IF(E22&gt;=설정!$C$16,"주의","정상"),"조건확인")))))))</f>
        <v/>
      </c>
      <c r="K22" s="25" t="str">
        <f aca="false">IF(OR(I22="긴급",LEFT(J22,2)="긴급"),"★ 즉시 선생님 호출",IF(OR(I22="주의",J22="주의"),"결과상담에서 확인",IF(J22="조건확인","혈당조건(공복/식후) 선택","")))</f>
        <v/>
      </c>
      <c r="L22" s="25" t="str">
        <f aca="false">IF($B22="","",IF(COUNTIF($B$5:$B$1004,$B22)&gt;1,"중복 입력",""))</f>
        <v/>
      </c>
    </row>
    <row r="23" customFormat="false" ht="15" hidden="false" customHeight="false" outlineLevel="0" collapsed="false">
      <c r="A23" s="23"/>
      <c r="B23" s="24"/>
      <c r="C23" s="24"/>
      <c r="D23" s="24"/>
      <c r="E23" s="24"/>
      <c r="F23" s="24"/>
      <c r="G23" s="24"/>
      <c r="H23" s="25" t="str">
        <f aca="false">IF($B23="","",IFERROR(IF(INDEX(명단!$B$5:$B$404,MATCH($B23,명단!$A$5:$A$404,0))="","(이름 미입력)",INDEX(명단!$B$5:$B$404,MATCH($B23,명단!$A$5:$A$404,0))),"번호 없음"))</f>
        <v/>
      </c>
      <c r="I23" s="25" t="str">
        <f aca="false">IF(AND(C23="",D23=""),"",IF(OR(C23="-",D23="-"),"측정불가",IF(AND(ISNUMBER(C23),ISNUMBER(D23)),IF(OR(C23&gt;=설정!$C$11,D23&gt;=설정!$C$12),"긴급",IF(OR(C23&gt;=설정!$C$9,D23&gt;=설정!$C$10,C23&lt;설정!$C$13),"주의","정상")),"확인필요")))</f>
        <v/>
      </c>
      <c r="J23" s="25" t="str">
        <f aca="false">IF(E23="","",IF(E23="-","측정불가",IF(NOT(ISNUMBER(E23)),"확인필요",IF(E23&lt;설정!$C$17,"긴급(저혈당)",IF(E23&gt;=설정!$C$18,"긴급(고혈당)",IF(F23="공복",IF(E23&gt;=설정!$C$15,"주의","정상"),IF(F23="식후",IF(E23&gt;=설정!$C$16,"주의","정상"),"조건확인")))))))</f>
        <v/>
      </c>
      <c r="K23" s="25" t="str">
        <f aca="false">IF(OR(I23="긴급",LEFT(J23,2)="긴급"),"★ 즉시 선생님 호출",IF(OR(I23="주의",J23="주의"),"결과상담에서 확인",IF(J23="조건확인","혈당조건(공복/식후) 선택","")))</f>
        <v/>
      </c>
      <c r="L23" s="25" t="str">
        <f aca="false">IF($B23="","",IF(COUNTIF($B$5:$B$1004,$B23)&gt;1,"중복 입력",""))</f>
        <v/>
      </c>
    </row>
    <row r="24" customFormat="false" ht="15" hidden="false" customHeight="false" outlineLevel="0" collapsed="false">
      <c r="A24" s="23"/>
      <c r="B24" s="24"/>
      <c r="C24" s="24"/>
      <c r="D24" s="24"/>
      <c r="E24" s="24"/>
      <c r="F24" s="24"/>
      <c r="G24" s="24"/>
      <c r="H24" s="25" t="str">
        <f aca="false">IF($B24="","",IFERROR(IF(INDEX(명단!$B$5:$B$404,MATCH($B24,명단!$A$5:$A$404,0))="","(이름 미입력)",INDEX(명단!$B$5:$B$404,MATCH($B24,명단!$A$5:$A$404,0))),"번호 없음"))</f>
        <v/>
      </c>
      <c r="I24" s="25" t="str">
        <f aca="false">IF(AND(C24="",D24=""),"",IF(OR(C24="-",D24="-"),"측정불가",IF(AND(ISNUMBER(C24),ISNUMBER(D24)),IF(OR(C24&gt;=설정!$C$11,D24&gt;=설정!$C$12),"긴급",IF(OR(C24&gt;=설정!$C$9,D24&gt;=설정!$C$10,C24&lt;설정!$C$13),"주의","정상")),"확인필요")))</f>
        <v/>
      </c>
      <c r="J24" s="25" t="str">
        <f aca="false">IF(E24="","",IF(E24="-","측정불가",IF(NOT(ISNUMBER(E24)),"확인필요",IF(E24&lt;설정!$C$17,"긴급(저혈당)",IF(E24&gt;=설정!$C$18,"긴급(고혈당)",IF(F24="공복",IF(E24&gt;=설정!$C$15,"주의","정상"),IF(F24="식후",IF(E24&gt;=설정!$C$16,"주의","정상"),"조건확인")))))))</f>
        <v/>
      </c>
      <c r="K24" s="25" t="str">
        <f aca="false">IF(OR(I24="긴급",LEFT(J24,2)="긴급"),"★ 즉시 선생님 호출",IF(OR(I24="주의",J24="주의"),"결과상담에서 확인",IF(J24="조건확인","혈당조건(공복/식후) 선택","")))</f>
        <v/>
      </c>
      <c r="L24" s="25" t="str">
        <f aca="false">IF($B24="","",IF(COUNTIF($B$5:$B$1004,$B24)&gt;1,"중복 입력",""))</f>
        <v/>
      </c>
    </row>
    <row r="25" customFormat="false" ht="15" hidden="false" customHeight="false" outlineLevel="0" collapsed="false">
      <c r="A25" s="23"/>
      <c r="B25" s="24"/>
      <c r="C25" s="24"/>
      <c r="D25" s="24"/>
      <c r="E25" s="24"/>
      <c r="F25" s="24"/>
      <c r="G25" s="24"/>
      <c r="H25" s="25" t="str">
        <f aca="false">IF($B25="","",IFERROR(IF(INDEX(명단!$B$5:$B$404,MATCH($B25,명단!$A$5:$A$404,0))="","(이름 미입력)",INDEX(명단!$B$5:$B$404,MATCH($B25,명단!$A$5:$A$404,0))),"번호 없음"))</f>
        <v/>
      </c>
      <c r="I25" s="25" t="str">
        <f aca="false">IF(AND(C25="",D25=""),"",IF(OR(C25="-",D25="-"),"측정불가",IF(AND(ISNUMBER(C25),ISNUMBER(D25)),IF(OR(C25&gt;=설정!$C$11,D25&gt;=설정!$C$12),"긴급",IF(OR(C25&gt;=설정!$C$9,D25&gt;=설정!$C$10,C25&lt;설정!$C$13),"주의","정상")),"확인필요")))</f>
        <v/>
      </c>
      <c r="J25" s="25" t="str">
        <f aca="false">IF(E25="","",IF(E25="-","측정불가",IF(NOT(ISNUMBER(E25)),"확인필요",IF(E25&lt;설정!$C$17,"긴급(저혈당)",IF(E25&gt;=설정!$C$18,"긴급(고혈당)",IF(F25="공복",IF(E25&gt;=설정!$C$15,"주의","정상"),IF(F25="식후",IF(E25&gt;=설정!$C$16,"주의","정상"),"조건확인")))))))</f>
        <v/>
      </c>
      <c r="K25" s="25" t="str">
        <f aca="false">IF(OR(I25="긴급",LEFT(J25,2)="긴급"),"★ 즉시 선생님 호출",IF(OR(I25="주의",J25="주의"),"결과상담에서 확인",IF(J25="조건확인","혈당조건(공복/식후) 선택","")))</f>
        <v/>
      </c>
      <c r="L25" s="25" t="str">
        <f aca="false">IF($B25="","",IF(COUNTIF($B$5:$B$1004,$B25)&gt;1,"중복 입력",""))</f>
        <v/>
      </c>
    </row>
    <row r="26" customFormat="false" ht="15" hidden="false" customHeight="false" outlineLevel="0" collapsed="false">
      <c r="A26" s="23"/>
      <c r="B26" s="24"/>
      <c r="C26" s="24"/>
      <c r="D26" s="24"/>
      <c r="E26" s="24"/>
      <c r="F26" s="24"/>
      <c r="G26" s="24"/>
      <c r="H26" s="25" t="str">
        <f aca="false">IF($B26="","",IFERROR(IF(INDEX(명단!$B$5:$B$404,MATCH($B26,명단!$A$5:$A$404,0))="","(이름 미입력)",INDEX(명단!$B$5:$B$404,MATCH($B26,명단!$A$5:$A$404,0))),"번호 없음"))</f>
        <v/>
      </c>
      <c r="I26" s="25" t="str">
        <f aca="false">IF(AND(C26="",D26=""),"",IF(OR(C26="-",D26="-"),"측정불가",IF(AND(ISNUMBER(C26),ISNUMBER(D26)),IF(OR(C26&gt;=설정!$C$11,D26&gt;=설정!$C$12),"긴급",IF(OR(C26&gt;=설정!$C$9,D26&gt;=설정!$C$10,C26&lt;설정!$C$13),"주의","정상")),"확인필요")))</f>
        <v/>
      </c>
      <c r="J26" s="25" t="str">
        <f aca="false">IF(E26="","",IF(E26="-","측정불가",IF(NOT(ISNUMBER(E26)),"확인필요",IF(E26&lt;설정!$C$17,"긴급(저혈당)",IF(E26&gt;=설정!$C$18,"긴급(고혈당)",IF(F26="공복",IF(E26&gt;=설정!$C$15,"주의","정상"),IF(F26="식후",IF(E26&gt;=설정!$C$16,"주의","정상"),"조건확인")))))))</f>
        <v/>
      </c>
      <c r="K26" s="25" t="str">
        <f aca="false">IF(OR(I26="긴급",LEFT(J26,2)="긴급"),"★ 즉시 선생님 호출",IF(OR(I26="주의",J26="주의"),"결과상담에서 확인",IF(J26="조건확인","혈당조건(공복/식후) 선택","")))</f>
        <v/>
      </c>
      <c r="L26" s="25" t="str">
        <f aca="false">IF($B26="","",IF(COUNTIF($B$5:$B$1004,$B26)&gt;1,"중복 입력",""))</f>
        <v/>
      </c>
    </row>
    <row r="27" customFormat="false" ht="15" hidden="false" customHeight="false" outlineLevel="0" collapsed="false">
      <c r="A27" s="23"/>
      <c r="B27" s="24"/>
      <c r="C27" s="24"/>
      <c r="D27" s="24"/>
      <c r="E27" s="24"/>
      <c r="F27" s="24"/>
      <c r="G27" s="24"/>
      <c r="H27" s="25" t="str">
        <f aca="false">IF($B27="","",IFERROR(IF(INDEX(명단!$B$5:$B$404,MATCH($B27,명단!$A$5:$A$404,0))="","(이름 미입력)",INDEX(명단!$B$5:$B$404,MATCH($B27,명단!$A$5:$A$404,0))),"번호 없음"))</f>
        <v/>
      </c>
      <c r="I27" s="25" t="str">
        <f aca="false">IF(AND(C27="",D27=""),"",IF(OR(C27="-",D27="-"),"측정불가",IF(AND(ISNUMBER(C27),ISNUMBER(D27)),IF(OR(C27&gt;=설정!$C$11,D27&gt;=설정!$C$12),"긴급",IF(OR(C27&gt;=설정!$C$9,D27&gt;=설정!$C$10,C27&lt;설정!$C$13),"주의","정상")),"확인필요")))</f>
        <v/>
      </c>
      <c r="J27" s="25" t="str">
        <f aca="false">IF(E27="","",IF(E27="-","측정불가",IF(NOT(ISNUMBER(E27)),"확인필요",IF(E27&lt;설정!$C$17,"긴급(저혈당)",IF(E27&gt;=설정!$C$18,"긴급(고혈당)",IF(F27="공복",IF(E27&gt;=설정!$C$15,"주의","정상"),IF(F27="식후",IF(E27&gt;=설정!$C$16,"주의","정상"),"조건확인")))))))</f>
        <v/>
      </c>
      <c r="K27" s="25" t="str">
        <f aca="false">IF(OR(I27="긴급",LEFT(J27,2)="긴급"),"★ 즉시 선생님 호출",IF(OR(I27="주의",J27="주의"),"결과상담에서 확인",IF(J27="조건확인","혈당조건(공복/식후) 선택","")))</f>
        <v/>
      </c>
      <c r="L27" s="25" t="str">
        <f aca="false">IF($B27="","",IF(COUNTIF($B$5:$B$1004,$B27)&gt;1,"중복 입력",""))</f>
        <v/>
      </c>
    </row>
    <row r="28" customFormat="false" ht="15" hidden="false" customHeight="false" outlineLevel="0" collapsed="false">
      <c r="A28" s="23"/>
      <c r="B28" s="24"/>
      <c r="C28" s="24"/>
      <c r="D28" s="24"/>
      <c r="E28" s="24"/>
      <c r="F28" s="24"/>
      <c r="G28" s="24"/>
      <c r="H28" s="25" t="str">
        <f aca="false">IF($B28="","",IFERROR(IF(INDEX(명단!$B$5:$B$404,MATCH($B28,명단!$A$5:$A$404,0))="","(이름 미입력)",INDEX(명단!$B$5:$B$404,MATCH($B28,명단!$A$5:$A$404,0))),"번호 없음"))</f>
        <v/>
      </c>
      <c r="I28" s="25" t="str">
        <f aca="false">IF(AND(C28="",D28=""),"",IF(OR(C28="-",D28="-"),"측정불가",IF(AND(ISNUMBER(C28),ISNUMBER(D28)),IF(OR(C28&gt;=설정!$C$11,D28&gt;=설정!$C$12),"긴급",IF(OR(C28&gt;=설정!$C$9,D28&gt;=설정!$C$10,C28&lt;설정!$C$13),"주의","정상")),"확인필요")))</f>
        <v/>
      </c>
      <c r="J28" s="25" t="str">
        <f aca="false">IF(E28="","",IF(E28="-","측정불가",IF(NOT(ISNUMBER(E28)),"확인필요",IF(E28&lt;설정!$C$17,"긴급(저혈당)",IF(E28&gt;=설정!$C$18,"긴급(고혈당)",IF(F28="공복",IF(E28&gt;=설정!$C$15,"주의","정상"),IF(F28="식후",IF(E28&gt;=설정!$C$16,"주의","정상"),"조건확인")))))))</f>
        <v/>
      </c>
      <c r="K28" s="25" t="str">
        <f aca="false">IF(OR(I28="긴급",LEFT(J28,2)="긴급"),"★ 즉시 선생님 호출",IF(OR(I28="주의",J28="주의"),"결과상담에서 확인",IF(J28="조건확인","혈당조건(공복/식후) 선택","")))</f>
        <v/>
      </c>
      <c r="L28" s="25" t="str">
        <f aca="false">IF($B28="","",IF(COUNTIF($B$5:$B$1004,$B28)&gt;1,"중복 입력",""))</f>
        <v/>
      </c>
    </row>
    <row r="29" customFormat="false" ht="15" hidden="false" customHeight="false" outlineLevel="0" collapsed="false">
      <c r="A29" s="23"/>
      <c r="B29" s="24"/>
      <c r="C29" s="24"/>
      <c r="D29" s="24"/>
      <c r="E29" s="24"/>
      <c r="F29" s="24"/>
      <c r="G29" s="24"/>
      <c r="H29" s="25" t="str">
        <f aca="false">IF($B29="","",IFERROR(IF(INDEX(명단!$B$5:$B$404,MATCH($B29,명단!$A$5:$A$404,0))="","(이름 미입력)",INDEX(명단!$B$5:$B$404,MATCH($B29,명단!$A$5:$A$404,0))),"번호 없음"))</f>
        <v/>
      </c>
      <c r="I29" s="25" t="str">
        <f aca="false">IF(AND(C29="",D29=""),"",IF(OR(C29="-",D29="-"),"측정불가",IF(AND(ISNUMBER(C29),ISNUMBER(D29)),IF(OR(C29&gt;=설정!$C$11,D29&gt;=설정!$C$12),"긴급",IF(OR(C29&gt;=설정!$C$9,D29&gt;=설정!$C$10,C29&lt;설정!$C$13),"주의","정상")),"확인필요")))</f>
        <v/>
      </c>
      <c r="J29" s="25" t="str">
        <f aca="false">IF(E29="","",IF(E29="-","측정불가",IF(NOT(ISNUMBER(E29)),"확인필요",IF(E29&lt;설정!$C$17,"긴급(저혈당)",IF(E29&gt;=설정!$C$18,"긴급(고혈당)",IF(F29="공복",IF(E29&gt;=설정!$C$15,"주의","정상"),IF(F29="식후",IF(E29&gt;=설정!$C$16,"주의","정상"),"조건확인")))))))</f>
        <v/>
      </c>
      <c r="K29" s="25" t="str">
        <f aca="false">IF(OR(I29="긴급",LEFT(J29,2)="긴급"),"★ 즉시 선생님 호출",IF(OR(I29="주의",J29="주의"),"결과상담에서 확인",IF(J29="조건확인","혈당조건(공복/식후) 선택","")))</f>
        <v/>
      </c>
      <c r="L29" s="25" t="str">
        <f aca="false">IF($B29="","",IF(COUNTIF($B$5:$B$1004,$B29)&gt;1,"중복 입력",""))</f>
        <v/>
      </c>
    </row>
    <row r="30" customFormat="false" ht="15" hidden="false" customHeight="false" outlineLevel="0" collapsed="false">
      <c r="A30" s="23"/>
      <c r="B30" s="24"/>
      <c r="C30" s="24"/>
      <c r="D30" s="24"/>
      <c r="E30" s="24"/>
      <c r="F30" s="24"/>
      <c r="G30" s="24"/>
      <c r="H30" s="25" t="str">
        <f aca="false">IF($B30="","",IFERROR(IF(INDEX(명단!$B$5:$B$404,MATCH($B30,명단!$A$5:$A$404,0))="","(이름 미입력)",INDEX(명단!$B$5:$B$404,MATCH($B30,명단!$A$5:$A$404,0))),"번호 없음"))</f>
        <v/>
      </c>
      <c r="I30" s="25" t="str">
        <f aca="false">IF(AND(C30="",D30=""),"",IF(OR(C30="-",D30="-"),"측정불가",IF(AND(ISNUMBER(C30),ISNUMBER(D30)),IF(OR(C30&gt;=설정!$C$11,D30&gt;=설정!$C$12),"긴급",IF(OR(C30&gt;=설정!$C$9,D30&gt;=설정!$C$10,C30&lt;설정!$C$13),"주의","정상")),"확인필요")))</f>
        <v/>
      </c>
      <c r="J30" s="25" t="str">
        <f aca="false">IF(E30="","",IF(E30="-","측정불가",IF(NOT(ISNUMBER(E30)),"확인필요",IF(E30&lt;설정!$C$17,"긴급(저혈당)",IF(E30&gt;=설정!$C$18,"긴급(고혈당)",IF(F30="공복",IF(E30&gt;=설정!$C$15,"주의","정상"),IF(F30="식후",IF(E30&gt;=설정!$C$16,"주의","정상"),"조건확인")))))))</f>
        <v/>
      </c>
      <c r="K30" s="25" t="str">
        <f aca="false">IF(OR(I30="긴급",LEFT(J30,2)="긴급"),"★ 즉시 선생님 호출",IF(OR(I30="주의",J30="주의"),"결과상담에서 확인",IF(J30="조건확인","혈당조건(공복/식후) 선택","")))</f>
        <v/>
      </c>
      <c r="L30" s="25" t="str">
        <f aca="false">IF($B30="","",IF(COUNTIF($B$5:$B$1004,$B30)&gt;1,"중복 입력",""))</f>
        <v/>
      </c>
    </row>
    <row r="31" customFormat="false" ht="15" hidden="false" customHeight="false" outlineLevel="0" collapsed="false">
      <c r="A31" s="23"/>
      <c r="B31" s="24"/>
      <c r="C31" s="24"/>
      <c r="D31" s="24"/>
      <c r="E31" s="24"/>
      <c r="F31" s="24"/>
      <c r="G31" s="24"/>
      <c r="H31" s="25" t="str">
        <f aca="false">IF($B31="","",IFERROR(IF(INDEX(명단!$B$5:$B$404,MATCH($B31,명단!$A$5:$A$404,0))="","(이름 미입력)",INDEX(명단!$B$5:$B$404,MATCH($B31,명단!$A$5:$A$404,0))),"번호 없음"))</f>
        <v/>
      </c>
      <c r="I31" s="25" t="str">
        <f aca="false">IF(AND(C31="",D31=""),"",IF(OR(C31="-",D31="-"),"측정불가",IF(AND(ISNUMBER(C31),ISNUMBER(D31)),IF(OR(C31&gt;=설정!$C$11,D31&gt;=설정!$C$12),"긴급",IF(OR(C31&gt;=설정!$C$9,D31&gt;=설정!$C$10,C31&lt;설정!$C$13),"주의","정상")),"확인필요")))</f>
        <v/>
      </c>
      <c r="J31" s="25" t="str">
        <f aca="false">IF(E31="","",IF(E31="-","측정불가",IF(NOT(ISNUMBER(E31)),"확인필요",IF(E31&lt;설정!$C$17,"긴급(저혈당)",IF(E31&gt;=설정!$C$18,"긴급(고혈당)",IF(F31="공복",IF(E31&gt;=설정!$C$15,"주의","정상"),IF(F31="식후",IF(E31&gt;=설정!$C$16,"주의","정상"),"조건확인")))))))</f>
        <v/>
      </c>
      <c r="K31" s="25" t="str">
        <f aca="false">IF(OR(I31="긴급",LEFT(J31,2)="긴급"),"★ 즉시 선생님 호출",IF(OR(I31="주의",J31="주의"),"결과상담에서 확인",IF(J31="조건확인","혈당조건(공복/식후) 선택","")))</f>
        <v/>
      </c>
      <c r="L31" s="25" t="str">
        <f aca="false">IF($B31="","",IF(COUNTIF($B$5:$B$1004,$B31)&gt;1,"중복 입력",""))</f>
        <v/>
      </c>
    </row>
    <row r="32" customFormat="false" ht="15" hidden="false" customHeight="false" outlineLevel="0" collapsed="false">
      <c r="A32" s="23"/>
      <c r="B32" s="24"/>
      <c r="C32" s="24"/>
      <c r="D32" s="24"/>
      <c r="E32" s="24"/>
      <c r="F32" s="24"/>
      <c r="G32" s="24"/>
      <c r="H32" s="25" t="str">
        <f aca="false">IF($B32="","",IFERROR(IF(INDEX(명단!$B$5:$B$404,MATCH($B32,명단!$A$5:$A$404,0))="","(이름 미입력)",INDEX(명단!$B$5:$B$404,MATCH($B32,명단!$A$5:$A$404,0))),"번호 없음"))</f>
        <v/>
      </c>
      <c r="I32" s="25" t="str">
        <f aca="false">IF(AND(C32="",D32=""),"",IF(OR(C32="-",D32="-"),"측정불가",IF(AND(ISNUMBER(C32),ISNUMBER(D32)),IF(OR(C32&gt;=설정!$C$11,D32&gt;=설정!$C$12),"긴급",IF(OR(C32&gt;=설정!$C$9,D32&gt;=설정!$C$10,C32&lt;설정!$C$13),"주의","정상")),"확인필요")))</f>
        <v/>
      </c>
      <c r="J32" s="25" t="str">
        <f aca="false">IF(E32="","",IF(E32="-","측정불가",IF(NOT(ISNUMBER(E32)),"확인필요",IF(E32&lt;설정!$C$17,"긴급(저혈당)",IF(E32&gt;=설정!$C$18,"긴급(고혈당)",IF(F32="공복",IF(E32&gt;=설정!$C$15,"주의","정상"),IF(F32="식후",IF(E32&gt;=설정!$C$16,"주의","정상"),"조건확인")))))))</f>
        <v/>
      </c>
      <c r="K32" s="25" t="str">
        <f aca="false">IF(OR(I32="긴급",LEFT(J32,2)="긴급"),"★ 즉시 선생님 호출",IF(OR(I32="주의",J32="주의"),"결과상담에서 확인",IF(J32="조건확인","혈당조건(공복/식후) 선택","")))</f>
        <v/>
      </c>
      <c r="L32" s="25" t="str">
        <f aca="false">IF($B32="","",IF(COUNTIF($B$5:$B$1004,$B32)&gt;1,"중복 입력",""))</f>
        <v/>
      </c>
    </row>
    <row r="33" customFormat="false" ht="15" hidden="false" customHeight="false" outlineLevel="0" collapsed="false">
      <c r="A33" s="23"/>
      <c r="B33" s="24"/>
      <c r="C33" s="24"/>
      <c r="D33" s="24"/>
      <c r="E33" s="24"/>
      <c r="F33" s="24"/>
      <c r="G33" s="24"/>
      <c r="H33" s="25" t="str">
        <f aca="false">IF($B33="","",IFERROR(IF(INDEX(명단!$B$5:$B$404,MATCH($B33,명단!$A$5:$A$404,0))="","(이름 미입력)",INDEX(명단!$B$5:$B$404,MATCH($B33,명단!$A$5:$A$404,0))),"번호 없음"))</f>
        <v/>
      </c>
      <c r="I33" s="25" t="str">
        <f aca="false">IF(AND(C33="",D33=""),"",IF(OR(C33="-",D33="-"),"측정불가",IF(AND(ISNUMBER(C33),ISNUMBER(D33)),IF(OR(C33&gt;=설정!$C$11,D33&gt;=설정!$C$12),"긴급",IF(OR(C33&gt;=설정!$C$9,D33&gt;=설정!$C$10,C33&lt;설정!$C$13),"주의","정상")),"확인필요")))</f>
        <v/>
      </c>
      <c r="J33" s="25" t="str">
        <f aca="false">IF(E33="","",IF(E33="-","측정불가",IF(NOT(ISNUMBER(E33)),"확인필요",IF(E33&lt;설정!$C$17,"긴급(저혈당)",IF(E33&gt;=설정!$C$18,"긴급(고혈당)",IF(F33="공복",IF(E33&gt;=설정!$C$15,"주의","정상"),IF(F33="식후",IF(E33&gt;=설정!$C$16,"주의","정상"),"조건확인")))))))</f>
        <v/>
      </c>
      <c r="K33" s="25" t="str">
        <f aca="false">IF(OR(I33="긴급",LEFT(J33,2)="긴급"),"★ 즉시 선생님 호출",IF(OR(I33="주의",J33="주의"),"결과상담에서 확인",IF(J33="조건확인","혈당조건(공복/식후) 선택","")))</f>
        <v/>
      </c>
      <c r="L33" s="25" t="str">
        <f aca="false">IF($B33="","",IF(COUNTIF($B$5:$B$1004,$B33)&gt;1,"중복 입력",""))</f>
        <v/>
      </c>
    </row>
    <row r="34" customFormat="false" ht="15" hidden="false" customHeight="false" outlineLevel="0" collapsed="false">
      <c r="A34" s="23"/>
      <c r="B34" s="24"/>
      <c r="C34" s="24"/>
      <c r="D34" s="24"/>
      <c r="E34" s="24"/>
      <c r="F34" s="24"/>
      <c r="G34" s="24"/>
      <c r="H34" s="25" t="str">
        <f aca="false">IF($B34="","",IFERROR(IF(INDEX(명단!$B$5:$B$404,MATCH($B34,명단!$A$5:$A$404,0))="","(이름 미입력)",INDEX(명단!$B$5:$B$404,MATCH($B34,명단!$A$5:$A$404,0))),"번호 없음"))</f>
        <v/>
      </c>
      <c r="I34" s="25" t="str">
        <f aca="false">IF(AND(C34="",D34=""),"",IF(OR(C34="-",D34="-"),"측정불가",IF(AND(ISNUMBER(C34),ISNUMBER(D34)),IF(OR(C34&gt;=설정!$C$11,D34&gt;=설정!$C$12),"긴급",IF(OR(C34&gt;=설정!$C$9,D34&gt;=설정!$C$10,C34&lt;설정!$C$13),"주의","정상")),"확인필요")))</f>
        <v/>
      </c>
      <c r="J34" s="25" t="str">
        <f aca="false">IF(E34="","",IF(E34="-","측정불가",IF(NOT(ISNUMBER(E34)),"확인필요",IF(E34&lt;설정!$C$17,"긴급(저혈당)",IF(E34&gt;=설정!$C$18,"긴급(고혈당)",IF(F34="공복",IF(E34&gt;=설정!$C$15,"주의","정상"),IF(F34="식후",IF(E34&gt;=설정!$C$16,"주의","정상"),"조건확인")))))))</f>
        <v/>
      </c>
      <c r="K34" s="25" t="str">
        <f aca="false">IF(OR(I34="긴급",LEFT(J34,2)="긴급"),"★ 즉시 선생님 호출",IF(OR(I34="주의",J34="주의"),"결과상담에서 확인",IF(J34="조건확인","혈당조건(공복/식후) 선택","")))</f>
        <v/>
      </c>
      <c r="L34" s="25" t="str">
        <f aca="false">IF($B34="","",IF(COUNTIF($B$5:$B$1004,$B34)&gt;1,"중복 입력",""))</f>
        <v/>
      </c>
    </row>
    <row r="35" customFormat="false" ht="15" hidden="false" customHeight="false" outlineLevel="0" collapsed="false">
      <c r="A35" s="23"/>
      <c r="B35" s="24"/>
      <c r="C35" s="24"/>
      <c r="D35" s="24"/>
      <c r="E35" s="24"/>
      <c r="F35" s="24"/>
      <c r="G35" s="24"/>
      <c r="H35" s="25" t="str">
        <f aca="false">IF($B35="","",IFERROR(IF(INDEX(명단!$B$5:$B$404,MATCH($B35,명단!$A$5:$A$404,0))="","(이름 미입력)",INDEX(명단!$B$5:$B$404,MATCH($B35,명단!$A$5:$A$404,0))),"번호 없음"))</f>
        <v/>
      </c>
      <c r="I35" s="25" t="str">
        <f aca="false">IF(AND(C35="",D35=""),"",IF(OR(C35="-",D35="-"),"측정불가",IF(AND(ISNUMBER(C35),ISNUMBER(D35)),IF(OR(C35&gt;=설정!$C$11,D35&gt;=설정!$C$12),"긴급",IF(OR(C35&gt;=설정!$C$9,D35&gt;=설정!$C$10,C35&lt;설정!$C$13),"주의","정상")),"확인필요")))</f>
        <v/>
      </c>
      <c r="J35" s="25" t="str">
        <f aca="false">IF(E35="","",IF(E35="-","측정불가",IF(NOT(ISNUMBER(E35)),"확인필요",IF(E35&lt;설정!$C$17,"긴급(저혈당)",IF(E35&gt;=설정!$C$18,"긴급(고혈당)",IF(F35="공복",IF(E35&gt;=설정!$C$15,"주의","정상"),IF(F35="식후",IF(E35&gt;=설정!$C$16,"주의","정상"),"조건확인")))))))</f>
        <v/>
      </c>
      <c r="K35" s="25" t="str">
        <f aca="false">IF(OR(I35="긴급",LEFT(J35,2)="긴급"),"★ 즉시 선생님 호출",IF(OR(I35="주의",J35="주의"),"결과상담에서 확인",IF(J35="조건확인","혈당조건(공복/식후) 선택","")))</f>
        <v/>
      </c>
      <c r="L35" s="25" t="str">
        <f aca="false">IF($B35="","",IF(COUNTIF($B$5:$B$1004,$B35)&gt;1,"중복 입력",""))</f>
        <v/>
      </c>
    </row>
    <row r="36" customFormat="false" ht="15" hidden="false" customHeight="false" outlineLevel="0" collapsed="false">
      <c r="A36" s="23"/>
      <c r="B36" s="24"/>
      <c r="C36" s="24"/>
      <c r="D36" s="24"/>
      <c r="E36" s="24"/>
      <c r="F36" s="24"/>
      <c r="G36" s="24"/>
      <c r="H36" s="25" t="str">
        <f aca="false">IF($B36="","",IFERROR(IF(INDEX(명단!$B$5:$B$404,MATCH($B36,명단!$A$5:$A$404,0))="","(이름 미입력)",INDEX(명단!$B$5:$B$404,MATCH($B36,명단!$A$5:$A$404,0))),"번호 없음"))</f>
        <v/>
      </c>
      <c r="I36" s="25" t="str">
        <f aca="false">IF(AND(C36="",D36=""),"",IF(OR(C36="-",D36="-"),"측정불가",IF(AND(ISNUMBER(C36),ISNUMBER(D36)),IF(OR(C36&gt;=설정!$C$11,D36&gt;=설정!$C$12),"긴급",IF(OR(C36&gt;=설정!$C$9,D36&gt;=설정!$C$10,C36&lt;설정!$C$13),"주의","정상")),"확인필요")))</f>
        <v/>
      </c>
      <c r="J36" s="25" t="str">
        <f aca="false">IF(E36="","",IF(E36="-","측정불가",IF(NOT(ISNUMBER(E36)),"확인필요",IF(E36&lt;설정!$C$17,"긴급(저혈당)",IF(E36&gt;=설정!$C$18,"긴급(고혈당)",IF(F36="공복",IF(E36&gt;=설정!$C$15,"주의","정상"),IF(F36="식후",IF(E36&gt;=설정!$C$16,"주의","정상"),"조건확인")))))))</f>
        <v/>
      </c>
      <c r="K36" s="25" t="str">
        <f aca="false">IF(OR(I36="긴급",LEFT(J36,2)="긴급"),"★ 즉시 선생님 호출",IF(OR(I36="주의",J36="주의"),"결과상담에서 확인",IF(J36="조건확인","혈당조건(공복/식후) 선택","")))</f>
        <v/>
      </c>
      <c r="L36" s="25" t="str">
        <f aca="false">IF($B36="","",IF(COUNTIF($B$5:$B$1004,$B36)&gt;1,"중복 입력",""))</f>
        <v/>
      </c>
    </row>
    <row r="37" customFormat="false" ht="15" hidden="false" customHeight="false" outlineLevel="0" collapsed="false">
      <c r="A37" s="23"/>
      <c r="B37" s="24"/>
      <c r="C37" s="24"/>
      <c r="D37" s="24"/>
      <c r="E37" s="24"/>
      <c r="F37" s="24"/>
      <c r="G37" s="24"/>
      <c r="H37" s="25" t="str">
        <f aca="false">IF($B37="","",IFERROR(IF(INDEX(명단!$B$5:$B$404,MATCH($B37,명단!$A$5:$A$404,0))="","(이름 미입력)",INDEX(명단!$B$5:$B$404,MATCH($B37,명단!$A$5:$A$404,0))),"번호 없음"))</f>
        <v/>
      </c>
      <c r="I37" s="25" t="str">
        <f aca="false">IF(AND(C37="",D37=""),"",IF(OR(C37="-",D37="-"),"측정불가",IF(AND(ISNUMBER(C37),ISNUMBER(D37)),IF(OR(C37&gt;=설정!$C$11,D37&gt;=설정!$C$12),"긴급",IF(OR(C37&gt;=설정!$C$9,D37&gt;=설정!$C$10,C37&lt;설정!$C$13),"주의","정상")),"확인필요")))</f>
        <v/>
      </c>
      <c r="J37" s="25" t="str">
        <f aca="false">IF(E37="","",IF(E37="-","측정불가",IF(NOT(ISNUMBER(E37)),"확인필요",IF(E37&lt;설정!$C$17,"긴급(저혈당)",IF(E37&gt;=설정!$C$18,"긴급(고혈당)",IF(F37="공복",IF(E37&gt;=설정!$C$15,"주의","정상"),IF(F37="식후",IF(E37&gt;=설정!$C$16,"주의","정상"),"조건확인")))))))</f>
        <v/>
      </c>
      <c r="K37" s="25" t="str">
        <f aca="false">IF(OR(I37="긴급",LEFT(J37,2)="긴급"),"★ 즉시 선생님 호출",IF(OR(I37="주의",J37="주의"),"결과상담에서 확인",IF(J37="조건확인","혈당조건(공복/식후) 선택","")))</f>
        <v/>
      </c>
      <c r="L37" s="25" t="str">
        <f aca="false">IF($B37="","",IF(COUNTIF($B$5:$B$1004,$B37)&gt;1,"중복 입력",""))</f>
        <v/>
      </c>
    </row>
    <row r="38" customFormat="false" ht="15" hidden="false" customHeight="false" outlineLevel="0" collapsed="false">
      <c r="A38" s="23"/>
      <c r="B38" s="24"/>
      <c r="C38" s="24"/>
      <c r="D38" s="24"/>
      <c r="E38" s="24"/>
      <c r="F38" s="24"/>
      <c r="G38" s="24"/>
      <c r="H38" s="25" t="str">
        <f aca="false">IF($B38="","",IFERROR(IF(INDEX(명단!$B$5:$B$404,MATCH($B38,명단!$A$5:$A$404,0))="","(이름 미입력)",INDEX(명단!$B$5:$B$404,MATCH($B38,명단!$A$5:$A$404,0))),"번호 없음"))</f>
        <v/>
      </c>
      <c r="I38" s="25" t="str">
        <f aca="false">IF(AND(C38="",D38=""),"",IF(OR(C38="-",D38="-"),"측정불가",IF(AND(ISNUMBER(C38),ISNUMBER(D38)),IF(OR(C38&gt;=설정!$C$11,D38&gt;=설정!$C$12),"긴급",IF(OR(C38&gt;=설정!$C$9,D38&gt;=설정!$C$10,C38&lt;설정!$C$13),"주의","정상")),"확인필요")))</f>
        <v/>
      </c>
      <c r="J38" s="25" t="str">
        <f aca="false">IF(E38="","",IF(E38="-","측정불가",IF(NOT(ISNUMBER(E38)),"확인필요",IF(E38&lt;설정!$C$17,"긴급(저혈당)",IF(E38&gt;=설정!$C$18,"긴급(고혈당)",IF(F38="공복",IF(E38&gt;=설정!$C$15,"주의","정상"),IF(F38="식후",IF(E38&gt;=설정!$C$16,"주의","정상"),"조건확인")))))))</f>
        <v/>
      </c>
      <c r="K38" s="25" t="str">
        <f aca="false">IF(OR(I38="긴급",LEFT(J38,2)="긴급"),"★ 즉시 선생님 호출",IF(OR(I38="주의",J38="주의"),"결과상담에서 확인",IF(J38="조건확인","혈당조건(공복/식후) 선택","")))</f>
        <v/>
      </c>
      <c r="L38" s="25" t="str">
        <f aca="false">IF($B38="","",IF(COUNTIF($B$5:$B$1004,$B38)&gt;1,"중복 입력",""))</f>
        <v/>
      </c>
    </row>
    <row r="39" customFormat="false" ht="15" hidden="false" customHeight="false" outlineLevel="0" collapsed="false">
      <c r="A39" s="23"/>
      <c r="B39" s="24"/>
      <c r="C39" s="24"/>
      <c r="D39" s="24"/>
      <c r="E39" s="24"/>
      <c r="F39" s="24"/>
      <c r="G39" s="24"/>
      <c r="H39" s="25" t="str">
        <f aca="false">IF($B39="","",IFERROR(IF(INDEX(명단!$B$5:$B$404,MATCH($B39,명단!$A$5:$A$404,0))="","(이름 미입력)",INDEX(명단!$B$5:$B$404,MATCH($B39,명단!$A$5:$A$404,0))),"번호 없음"))</f>
        <v/>
      </c>
      <c r="I39" s="25" t="str">
        <f aca="false">IF(AND(C39="",D39=""),"",IF(OR(C39="-",D39="-"),"측정불가",IF(AND(ISNUMBER(C39),ISNUMBER(D39)),IF(OR(C39&gt;=설정!$C$11,D39&gt;=설정!$C$12),"긴급",IF(OR(C39&gt;=설정!$C$9,D39&gt;=설정!$C$10,C39&lt;설정!$C$13),"주의","정상")),"확인필요")))</f>
        <v/>
      </c>
      <c r="J39" s="25" t="str">
        <f aca="false">IF(E39="","",IF(E39="-","측정불가",IF(NOT(ISNUMBER(E39)),"확인필요",IF(E39&lt;설정!$C$17,"긴급(저혈당)",IF(E39&gt;=설정!$C$18,"긴급(고혈당)",IF(F39="공복",IF(E39&gt;=설정!$C$15,"주의","정상"),IF(F39="식후",IF(E39&gt;=설정!$C$16,"주의","정상"),"조건확인")))))))</f>
        <v/>
      </c>
      <c r="K39" s="25" t="str">
        <f aca="false">IF(OR(I39="긴급",LEFT(J39,2)="긴급"),"★ 즉시 선생님 호출",IF(OR(I39="주의",J39="주의"),"결과상담에서 확인",IF(J39="조건확인","혈당조건(공복/식후) 선택","")))</f>
        <v/>
      </c>
      <c r="L39" s="25" t="str">
        <f aca="false">IF($B39="","",IF(COUNTIF($B$5:$B$1004,$B39)&gt;1,"중복 입력",""))</f>
        <v/>
      </c>
    </row>
    <row r="40" customFormat="false" ht="15" hidden="false" customHeight="false" outlineLevel="0" collapsed="false">
      <c r="A40" s="23"/>
      <c r="B40" s="24"/>
      <c r="C40" s="24"/>
      <c r="D40" s="24"/>
      <c r="E40" s="24"/>
      <c r="F40" s="24"/>
      <c r="G40" s="24"/>
      <c r="H40" s="25" t="str">
        <f aca="false">IF($B40="","",IFERROR(IF(INDEX(명단!$B$5:$B$404,MATCH($B40,명단!$A$5:$A$404,0))="","(이름 미입력)",INDEX(명단!$B$5:$B$404,MATCH($B40,명단!$A$5:$A$404,0))),"번호 없음"))</f>
        <v/>
      </c>
      <c r="I40" s="25" t="str">
        <f aca="false">IF(AND(C40="",D40=""),"",IF(OR(C40="-",D40="-"),"측정불가",IF(AND(ISNUMBER(C40),ISNUMBER(D40)),IF(OR(C40&gt;=설정!$C$11,D40&gt;=설정!$C$12),"긴급",IF(OR(C40&gt;=설정!$C$9,D40&gt;=설정!$C$10,C40&lt;설정!$C$13),"주의","정상")),"확인필요")))</f>
        <v/>
      </c>
      <c r="J40" s="25" t="str">
        <f aca="false">IF(E40="","",IF(E40="-","측정불가",IF(NOT(ISNUMBER(E40)),"확인필요",IF(E40&lt;설정!$C$17,"긴급(저혈당)",IF(E40&gt;=설정!$C$18,"긴급(고혈당)",IF(F40="공복",IF(E40&gt;=설정!$C$15,"주의","정상"),IF(F40="식후",IF(E40&gt;=설정!$C$16,"주의","정상"),"조건확인")))))))</f>
        <v/>
      </c>
      <c r="K40" s="25" t="str">
        <f aca="false">IF(OR(I40="긴급",LEFT(J40,2)="긴급"),"★ 즉시 선생님 호출",IF(OR(I40="주의",J40="주의"),"결과상담에서 확인",IF(J40="조건확인","혈당조건(공복/식후) 선택","")))</f>
        <v/>
      </c>
      <c r="L40" s="25" t="str">
        <f aca="false">IF($B40="","",IF(COUNTIF($B$5:$B$1004,$B40)&gt;1,"중복 입력",""))</f>
        <v/>
      </c>
    </row>
    <row r="41" customFormat="false" ht="15" hidden="false" customHeight="false" outlineLevel="0" collapsed="false">
      <c r="A41" s="23"/>
      <c r="B41" s="24"/>
      <c r="C41" s="24"/>
      <c r="D41" s="24"/>
      <c r="E41" s="24"/>
      <c r="F41" s="24"/>
      <c r="G41" s="24"/>
      <c r="H41" s="25" t="str">
        <f aca="false">IF($B41="","",IFERROR(IF(INDEX(명단!$B$5:$B$404,MATCH($B41,명단!$A$5:$A$404,0))="","(이름 미입력)",INDEX(명단!$B$5:$B$404,MATCH($B41,명단!$A$5:$A$404,0))),"번호 없음"))</f>
        <v/>
      </c>
      <c r="I41" s="25" t="str">
        <f aca="false">IF(AND(C41="",D41=""),"",IF(OR(C41="-",D41="-"),"측정불가",IF(AND(ISNUMBER(C41),ISNUMBER(D41)),IF(OR(C41&gt;=설정!$C$11,D41&gt;=설정!$C$12),"긴급",IF(OR(C41&gt;=설정!$C$9,D41&gt;=설정!$C$10,C41&lt;설정!$C$13),"주의","정상")),"확인필요")))</f>
        <v/>
      </c>
      <c r="J41" s="25" t="str">
        <f aca="false">IF(E41="","",IF(E41="-","측정불가",IF(NOT(ISNUMBER(E41)),"확인필요",IF(E41&lt;설정!$C$17,"긴급(저혈당)",IF(E41&gt;=설정!$C$18,"긴급(고혈당)",IF(F41="공복",IF(E41&gt;=설정!$C$15,"주의","정상"),IF(F41="식후",IF(E41&gt;=설정!$C$16,"주의","정상"),"조건확인")))))))</f>
        <v/>
      </c>
      <c r="K41" s="25" t="str">
        <f aca="false">IF(OR(I41="긴급",LEFT(J41,2)="긴급"),"★ 즉시 선생님 호출",IF(OR(I41="주의",J41="주의"),"결과상담에서 확인",IF(J41="조건확인","혈당조건(공복/식후) 선택","")))</f>
        <v/>
      </c>
      <c r="L41" s="25" t="str">
        <f aca="false">IF($B41="","",IF(COUNTIF($B$5:$B$1004,$B41)&gt;1,"중복 입력",""))</f>
        <v/>
      </c>
    </row>
    <row r="42" customFormat="false" ht="15" hidden="false" customHeight="false" outlineLevel="0" collapsed="false">
      <c r="A42" s="23"/>
      <c r="B42" s="24"/>
      <c r="C42" s="24"/>
      <c r="D42" s="24"/>
      <c r="E42" s="24"/>
      <c r="F42" s="24"/>
      <c r="G42" s="24"/>
      <c r="H42" s="25" t="str">
        <f aca="false">IF($B42="","",IFERROR(IF(INDEX(명단!$B$5:$B$404,MATCH($B42,명단!$A$5:$A$404,0))="","(이름 미입력)",INDEX(명단!$B$5:$B$404,MATCH($B42,명단!$A$5:$A$404,0))),"번호 없음"))</f>
        <v/>
      </c>
      <c r="I42" s="25" t="str">
        <f aca="false">IF(AND(C42="",D42=""),"",IF(OR(C42="-",D42="-"),"측정불가",IF(AND(ISNUMBER(C42),ISNUMBER(D42)),IF(OR(C42&gt;=설정!$C$11,D42&gt;=설정!$C$12),"긴급",IF(OR(C42&gt;=설정!$C$9,D42&gt;=설정!$C$10,C42&lt;설정!$C$13),"주의","정상")),"확인필요")))</f>
        <v/>
      </c>
      <c r="J42" s="25" t="str">
        <f aca="false">IF(E42="","",IF(E42="-","측정불가",IF(NOT(ISNUMBER(E42)),"확인필요",IF(E42&lt;설정!$C$17,"긴급(저혈당)",IF(E42&gt;=설정!$C$18,"긴급(고혈당)",IF(F42="공복",IF(E42&gt;=설정!$C$15,"주의","정상"),IF(F42="식후",IF(E42&gt;=설정!$C$16,"주의","정상"),"조건확인")))))))</f>
        <v/>
      </c>
      <c r="K42" s="25" t="str">
        <f aca="false">IF(OR(I42="긴급",LEFT(J42,2)="긴급"),"★ 즉시 선생님 호출",IF(OR(I42="주의",J42="주의"),"결과상담에서 확인",IF(J42="조건확인","혈당조건(공복/식후) 선택","")))</f>
        <v/>
      </c>
      <c r="L42" s="25" t="str">
        <f aca="false">IF($B42="","",IF(COUNTIF($B$5:$B$1004,$B42)&gt;1,"중복 입력",""))</f>
        <v/>
      </c>
    </row>
    <row r="43" customFormat="false" ht="15" hidden="false" customHeight="false" outlineLevel="0" collapsed="false">
      <c r="A43" s="23"/>
      <c r="B43" s="24"/>
      <c r="C43" s="24"/>
      <c r="D43" s="24"/>
      <c r="E43" s="24"/>
      <c r="F43" s="24"/>
      <c r="G43" s="24"/>
      <c r="H43" s="25" t="str">
        <f aca="false">IF($B43="","",IFERROR(IF(INDEX(명단!$B$5:$B$404,MATCH($B43,명단!$A$5:$A$404,0))="","(이름 미입력)",INDEX(명단!$B$5:$B$404,MATCH($B43,명단!$A$5:$A$404,0))),"번호 없음"))</f>
        <v/>
      </c>
      <c r="I43" s="25" t="str">
        <f aca="false">IF(AND(C43="",D43=""),"",IF(OR(C43="-",D43="-"),"측정불가",IF(AND(ISNUMBER(C43),ISNUMBER(D43)),IF(OR(C43&gt;=설정!$C$11,D43&gt;=설정!$C$12),"긴급",IF(OR(C43&gt;=설정!$C$9,D43&gt;=설정!$C$10,C43&lt;설정!$C$13),"주의","정상")),"확인필요")))</f>
        <v/>
      </c>
      <c r="J43" s="25" t="str">
        <f aca="false">IF(E43="","",IF(E43="-","측정불가",IF(NOT(ISNUMBER(E43)),"확인필요",IF(E43&lt;설정!$C$17,"긴급(저혈당)",IF(E43&gt;=설정!$C$18,"긴급(고혈당)",IF(F43="공복",IF(E43&gt;=설정!$C$15,"주의","정상"),IF(F43="식후",IF(E43&gt;=설정!$C$16,"주의","정상"),"조건확인")))))))</f>
        <v/>
      </c>
      <c r="K43" s="25" t="str">
        <f aca="false">IF(OR(I43="긴급",LEFT(J43,2)="긴급"),"★ 즉시 선생님 호출",IF(OR(I43="주의",J43="주의"),"결과상담에서 확인",IF(J43="조건확인","혈당조건(공복/식후) 선택","")))</f>
        <v/>
      </c>
      <c r="L43" s="25" t="str">
        <f aca="false">IF($B43="","",IF(COUNTIF($B$5:$B$1004,$B43)&gt;1,"중복 입력",""))</f>
        <v/>
      </c>
    </row>
    <row r="44" customFormat="false" ht="15" hidden="false" customHeight="false" outlineLevel="0" collapsed="false">
      <c r="A44" s="23"/>
      <c r="B44" s="24"/>
      <c r="C44" s="24"/>
      <c r="D44" s="24"/>
      <c r="E44" s="24"/>
      <c r="F44" s="24"/>
      <c r="G44" s="24"/>
      <c r="H44" s="25" t="str">
        <f aca="false">IF($B44="","",IFERROR(IF(INDEX(명단!$B$5:$B$404,MATCH($B44,명단!$A$5:$A$404,0))="","(이름 미입력)",INDEX(명단!$B$5:$B$404,MATCH($B44,명단!$A$5:$A$404,0))),"번호 없음"))</f>
        <v/>
      </c>
      <c r="I44" s="25" t="str">
        <f aca="false">IF(AND(C44="",D44=""),"",IF(OR(C44="-",D44="-"),"측정불가",IF(AND(ISNUMBER(C44),ISNUMBER(D44)),IF(OR(C44&gt;=설정!$C$11,D44&gt;=설정!$C$12),"긴급",IF(OR(C44&gt;=설정!$C$9,D44&gt;=설정!$C$10,C44&lt;설정!$C$13),"주의","정상")),"확인필요")))</f>
        <v/>
      </c>
      <c r="J44" s="25" t="str">
        <f aca="false">IF(E44="","",IF(E44="-","측정불가",IF(NOT(ISNUMBER(E44)),"확인필요",IF(E44&lt;설정!$C$17,"긴급(저혈당)",IF(E44&gt;=설정!$C$18,"긴급(고혈당)",IF(F44="공복",IF(E44&gt;=설정!$C$15,"주의","정상"),IF(F44="식후",IF(E44&gt;=설정!$C$16,"주의","정상"),"조건확인")))))))</f>
        <v/>
      </c>
      <c r="K44" s="25" t="str">
        <f aca="false">IF(OR(I44="긴급",LEFT(J44,2)="긴급"),"★ 즉시 선생님 호출",IF(OR(I44="주의",J44="주의"),"결과상담에서 확인",IF(J44="조건확인","혈당조건(공복/식후) 선택","")))</f>
        <v/>
      </c>
      <c r="L44" s="25" t="str">
        <f aca="false">IF($B44="","",IF(COUNTIF($B$5:$B$1004,$B44)&gt;1,"중복 입력",""))</f>
        <v/>
      </c>
    </row>
    <row r="45" customFormat="false" ht="15" hidden="false" customHeight="false" outlineLevel="0" collapsed="false">
      <c r="A45" s="23"/>
      <c r="B45" s="24"/>
      <c r="C45" s="24"/>
      <c r="D45" s="24"/>
      <c r="E45" s="24"/>
      <c r="F45" s="24"/>
      <c r="G45" s="24"/>
      <c r="H45" s="25" t="str">
        <f aca="false">IF($B45="","",IFERROR(IF(INDEX(명단!$B$5:$B$404,MATCH($B45,명단!$A$5:$A$404,0))="","(이름 미입력)",INDEX(명단!$B$5:$B$404,MATCH($B45,명단!$A$5:$A$404,0))),"번호 없음"))</f>
        <v/>
      </c>
      <c r="I45" s="25" t="str">
        <f aca="false">IF(AND(C45="",D45=""),"",IF(OR(C45="-",D45="-"),"측정불가",IF(AND(ISNUMBER(C45),ISNUMBER(D45)),IF(OR(C45&gt;=설정!$C$11,D45&gt;=설정!$C$12),"긴급",IF(OR(C45&gt;=설정!$C$9,D45&gt;=설정!$C$10,C45&lt;설정!$C$13),"주의","정상")),"확인필요")))</f>
        <v/>
      </c>
      <c r="J45" s="25" t="str">
        <f aca="false">IF(E45="","",IF(E45="-","측정불가",IF(NOT(ISNUMBER(E45)),"확인필요",IF(E45&lt;설정!$C$17,"긴급(저혈당)",IF(E45&gt;=설정!$C$18,"긴급(고혈당)",IF(F45="공복",IF(E45&gt;=설정!$C$15,"주의","정상"),IF(F45="식후",IF(E45&gt;=설정!$C$16,"주의","정상"),"조건확인")))))))</f>
        <v/>
      </c>
      <c r="K45" s="25" t="str">
        <f aca="false">IF(OR(I45="긴급",LEFT(J45,2)="긴급"),"★ 즉시 선생님 호출",IF(OR(I45="주의",J45="주의"),"결과상담에서 확인",IF(J45="조건확인","혈당조건(공복/식후) 선택","")))</f>
        <v/>
      </c>
      <c r="L45" s="25" t="str">
        <f aca="false">IF($B45="","",IF(COUNTIF($B$5:$B$1004,$B45)&gt;1,"중복 입력",""))</f>
        <v/>
      </c>
    </row>
    <row r="46" customFormat="false" ht="15" hidden="false" customHeight="false" outlineLevel="0" collapsed="false">
      <c r="A46" s="23"/>
      <c r="B46" s="24"/>
      <c r="C46" s="24"/>
      <c r="D46" s="24"/>
      <c r="E46" s="24"/>
      <c r="F46" s="24"/>
      <c r="G46" s="24"/>
      <c r="H46" s="25" t="str">
        <f aca="false">IF($B46="","",IFERROR(IF(INDEX(명단!$B$5:$B$404,MATCH($B46,명단!$A$5:$A$404,0))="","(이름 미입력)",INDEX(명단!$B$5:$B$404,MATCH($B46,명단!$A$5:$A$404,0))),"번호 없음"))</f>
        <v/>
      </c>
      <c r="I46" s="25" t="str">
        <f aca="false">IF(AND(C46="",D46=""),"",IF(OR(C46="-",D46="-"),"측정불가",IF(AND(ISNUMBER(C46),ISNUMBER(D46)),IF(OR(C46&gt;=설정!$C$11,D46&gt;=설정!$C$12),"긴급",IF(OR(C46&gt;=설정!$C$9,D46&gt;=설정!$C$10,C46&lt;설정!$C$13),"주의","정상")),"확인필요")))</f>
        <v/>
      </c>
      <c r="J46" s="25" t="str">
        <f aca="false">IF(E46="","",IF(E46="-","측정불가",IF(NOT(ISNUMBER(E46)),"확인필요",IF(E46&lt;설정!$C$17,"긴급(저혈당)",IF(E46&gt;=설정!$C$18,"긴급(고혈당)",IF(F46="공복",IF(E46&gt;=설정!$C$15,"주의","정상"),IF(F46="식후",IF(E46&gt;=설정!$C$16,"주의","정상"),"조건확인")))))))</f>
        <v/>
      </c>
      <c r="K46" s="25" t="str">
        <f aca="false">IF(OR(I46="긴급",LEFT(J46,2)="긴급"),"★ 즉시 선생님 호출",IF(OR(I46="주의",J46="주의"),"결과상담에서 확인",IF(J46="조건확인","혈당조건(공복/식후) 선택","")))</f>
        <v/>
      </c>
      <c r="L46" s="25" t="str">
        <f aca="false">IF($B46="","",IF(COUNTIF($B$5:$B$1004,$B46)&gt;1,"중복 입력",""))</f>
        <v/>
      </c>
    </row>
    <row r="47" customFormat="false" ht="15" hidden="false" customHeight="false" outlineLevel="0" collapsed="false">
      <c r="A47" s="23"/>
      <c r="B47" s="24"/>
      <c r="C47" s="24"/>
      <c r="D47" s="24"/>
      <c r="E47" s="24"/>
      <c r="F47" s="24"/>
      <c r="G47" s="24"/>
      <c r="H47" s="25" t="str">
        <f aca="false">IF($B47="","",IFERROR(IF(INDEX(명단!$B$5:$B$404,MATCH($B47,명단!$A$5:$A$404,0))="","(이름 미입력)",INDEX(명단!$B$5:$B$404,MATCH($B47,명단!$A$5:$A$404,0))),"번호 없음"))</f>
        <v/>
      </c>
      <c r="I47" s="25" t="str">
        <f aca="false">IF(AND(C47="",D47=""),"",IF(OR(C47="-",D47="-"),"측정불가",IF(AND(ISNUMBER(C47),ISNUMBER(D47)),IF(OR(C47&gt;=설정!$C$11,D47&gt;=설정!$C$12),"긴급",IF(OR(C47&gt;=설정!$C$9,D47&gt;=설정!$C$10,C47&lt;설정!$C$13),"주의","정상")),"확인필요")))</f>
        <v/>
      </c>
      <c r="J47" s="25" t="str">
        <f aca="false">IF(E47="","",IF(E47="-","측정불가",IF(NOT(ISNUMBER(E47)),"확인필요",IF(E47&lt;설정!$C$17,"긴급(저혈당)",IF(E47&gt;=설정!$C$18,"긴급(고혈당)",IF(F47="공복",IF(E47&gt;=설정!$C$15,"주의","정상"),IF(F47="식후",IF(E47&gt;=설정!$C$16,"주의","정상"),"조건확인")))))))</f>
        <v/>
      </c>
      <c r="K47" s="25" t="str">
        <f aca="false">IF(OR(I47="긴급",LEFT(J47,2)="긴급"),"★ 즉시 선생님 호출",IF(OR(I47="주의",J47="주의"),"결과상담에서 확인",IF(J47="조건확인","혈당조건(공복/식후) 선택","")))</f>
        <v/>
      </c>
      <c r="L47" s="25" t="str">
        <f aca="false">IF($B47="","",IF(COUNTIF($B$5:$B$1004,$B47)&gt;1,"중복 입력",""))</f>
        <v/>
      </c>
    </row>
    <row r="48" customFormat="false" ht="15" hidden="false" customHeight="false" outlineLevel="0" collapsed="false">
      <c r="A48" s="23"/>
      <c r="B48" s="24"/>
      <c r="C48" s="24"/>
      <c r="D48" s="24"/>
      <c r="E48" s="24"/>
      <c r="F48" s="24"/>
      <c r="G48" s="24"/>
      <c r="H48" s="25" t="str">
        <f aca="false">IF($B48="","",IFERROR(IF(INDEX(명단!$B$5:$B$404,MATCH($B48,명단!$A$5:$A$404,0))="","(이름 미입력)",INDEX(명단!$B$5:$B$404,MATCH($B48,명단!$A$5:$A$404,0))),"번호 없음"))</f>
        <v/>
      </c>
      <c r="I48" s="25" t="str">
        <f aca="false">IF(AND(C48="",D48=""),"",IF(OR(C48="-",D48="-"),"측정불가",IF(AND(ISNUMBER(C48),ISNUMBER(D48)),IF(OR(C48&gt;=설정!$C$11,D48&gt;=설정!$C$12),"긴급",IF(OR(C48&gt;=설정!$C$9,D48&gt;=설정!$C$10,C48&lt;설정!$C$13),"주의","정상")),"확인필요")))</f>
        <v/>
      </c>
      <c r="J48" s="25" t="str">
        <f aca="false">IF(E48="","",IF(E48="-","측정불가",IF(NOT(ISNUMBER(E48)),"확인필요",IF(E48&lt;설정!$C$17,"긴급(저혈당)",IF(E48&gt;=설정!$C$18,"긴급(고혈당)",IF(F48="공복",IF(E48&gt;=설정!$C$15,"주의","정상"),IF(F48="식후",IF(E48&gt;=설정!$C$16,"주의","정상"),"조건확인")))))))</f>
        <v/>
      </c>
      <c r="K48" s="25" t="str">
        <f aca="false">IF(OR(I48="긴급",LEFT(J48,2)="긴급"),"★ 즉시 선생님 호출",IF(OR(I48="주의",J48="주의"),"결과상담에서 확인",IF(J48="조건확인","혈당조건(공복/식후) 선택","")))</f>
        <v/>
      </c>
      <c r="L48" s="25" t="str">
        <f aca="false">IF($B48="","",IF(COUNTIF($B$5:$B$1004,$B48)&gt;1,"중복 입력",""))</f>
        <v/>
      </c>
    </row>
    <row r="49" customFormat="false" ht="15" hidden="false" customHeight="false" outlineLevel="0" collapsed="false">
      <c r="A49" s="23"/>
      <c r="B49" s="24"/>
      <c r="C49" s="24"/>
      <c r="D49" s="24"/>
      <c r="E49" s="24"/>
      <c r="F49" s="24"/>
      <c r="G49" s="24"/>
      <c r="H49" s="25" t="str">
        <f aca="false">IF($B49="","",IFERROR(IF(INDEX(명단!$B$5:$B$404,MATCH($B49,명단!$A$5:$A$404,0))="","(이름 미입력)",INDEX(명단!$B$5:$B$404,MATCH($B49,명단!$A$5:$A$404,0))),"번호 없음"))</f>
        <v/>
      </c>
      <c r="I49" s="25" t="str">
        <f aca="false">IF(AND(C49="",D49=""),"",IF(OR(C49="-",D49="-"),"측정불가",IF(AND(ISNUMBER(C49),ISNUMBER(D49)),IF(OR(C49&gt;=설정!$C$11,D49&gt;=설정!$C$12),"긴급",IF(OR(C49&gt;=설정!$C$9,D49&gt;=설정!$C$10,C49&lt;설정!$C$13),"주의","정상")),"확인필요")))</f>
        <v/>
      </c>
      <c r="J49" s="25" t="str">
        <f aca="false">IF(E49="","",IF(E49="-","측정불가",IF(NOT(ISNUMBER(E49)),"확인필요",IF(E49&lt;설정!$C$17,"긴급(저혈당)",IF(E49&gt;=설정!$C$18,"긴급(고혈당)",IF(F49="공복",IF(E49&gt;=설정!$C$15,"주의","정상"),IF(F49="식후",IF(E49&gt;=설정!$C$16,"주의","정상"),"조건확인")))))))</f>
        <v/>
      </c>
      <c r="K49" s="25" t="str">
        <f aca="false">IF(OR(I49="긴급",LEFT(J49,2)="긴급"),"★ 즉시 선생님 호출",IF(OR(I49="주의",J49="주의"),"결과상담에서 확인",IF(J49="조건확인","혈당조건(공복/식후) 선택","")))</f>
        <v/>
      </c>
      <c r="L49" s="25" t="str">
        <f aca="false">IF($B49="","",IF(COUNTIF($B$5:$B$1004,$B49)&gt;1,"중복 입력",""))</f>
        <v/>
      </c>
    </row>
    <row r="50" customFormat="false" ht="15" hidden="false" customHeight="false" outlineLevel="0" collapsed="false">
      <c r="A50" s="23"/>
      <c r="B50" s="24"/>
      <c r="C50" s="24"/>
      <c r="D50" s="24"/>
      <c r="E50" s="24"/>
      <c r="F50" s="24"/>
      <c r="G50" s="24"/>
      <c r="H50" s="25" t="str">
        <f aca="false">IF($B50="","",IFERROR(IF(INDEX(명단!$B$5:$B$404,MATCH($B50,명단!$A$5:$A$404,0))="","(이름 미입력)",INDEX(명단!$B$5:$B$404,MATCH($B50,명단!$A$5:$A$404,0))),"번호 없음"))</f>
        <v/>
      </c>
      <c r="I50" s="25" t="str">
        <f aca="false">IF(AND(C50="",D50=""),"",IF(OR(C50="-",D50="-"),"측정불가",IF(AND(ISNUMBER(C50),ISNUMBER(D50)),IF(OR(C50&gt;=설정!$C$11,D50&gt;=설정!$C$12),"긴급",IF(OR(C50&gt;=설정!$C$9,D50&gt;=설정!$C$10,C50&lt;설정!$C$13),"주의","정상")),"확인필요")))</f>
        <v/>
      </c>
      <c r="J50" s="25" t="str">
        <f aca="false">IF(E50="","",IF(E50="-","측정불가",IF(NOT(ISNUMBER(E50)),"확인필요",IF(E50&lt;설정!$C$17,"긴급(저혈당)",IF(E50&gt;=설정!$C$18,"긴급(고혈당)",IF(F50="공복",IF(E50&gt;=설정!$C$15,"주의","정상"),IF(F50="식후",IF(E50&gt;=설정!$C$16,"주의","정상"),"조건확인")))))))</f>
        <v/>
      </c>
      <c r="K50" s="25" t="str">
        <f aca="false">IF(OR(I50="긴급",LEFT(J50,2)="긴급"),"★ 즉시 선생님 호출",IF(OR(I50="주의",J50="주의"),"결과상담에서 확인",IF(J50="조건확인","혈당조건(공복/식후) 선택","")))</f>
        <v/>
      </c>
      <c r="L50" s="25" t="str">
        <f aca="false">IF($B50="","",IF(COUNTIF($B$5:$B$1004,$B50)&gt;1,"중복 입력",""))</f>
        <v/>
      </c>
    </row>
    <row r="51" customFormat="false" ht="15" hidden="false" customHeight="false" outlineLevel="0" collapsed="false">
      <c r="A51" s="23"/>
      <c r="B51" s="24"/>
      <c r="C51" s="24"/>
      <c r="D51" s="24"/>
      <c r="E51" s="24"/>
      <c r="F51" s="24"/>
      <c r="G51" s="24"/>
      <c r="H51" s="25" t="str">
        <f aca="false">IF($B51="","",IFERROR(IF(INDEX(명단!$B$5:$B$404,MATCH($B51,명단!$A$5:$A$404,0))="","(이름 미입력)",INDEX(명단!$B$5:$B$404,MATCH($B51,명단!$A$5:$A$404,0))),"번호 없음"))</f>
        <v/>
      </c>
      <c r="I51" s="25" t="str">
        <f aca="false">IF(AND(C51="",D51=""),"",IF(OR(C51="-",D51="-"),"측정불가",IF(AND(ISNUMBER(C51),ISNUMBER(D51)),IF(OR(C51&gt;=설정!$C$11,D51&gt;=설정!$C$12),"긴급",IF(OR(C51&gt;=설정!$C$9,D51&gt;=설정!$C$10,C51&lt;설정!$C$13),"주의","정상")),"확인필요")))</f>
        <v/>
      </c>
      <c r="J51" s="25" t="str">
        <f aca="false">IF(E51="","",IF(E51="-","측정불가",IF(NOT(ISNUMBER(E51)),"확인필요",IF(E51&lt;설정!$C$17,"긴급(저혈당)",IF(E51&gt;=설정!$C$18,"긴급(고혈당)",IF(F51="공복",IF(E51&gt;=설정!$C$15,"주의","정상"),IF(F51="식후",IF(E51&gt;=설정!$C$16,"주의","정상"),"조건확인")))))))</f>
        <v/>
      </c>
      <c r="K51" s="25" t="str">
        <f aca="false">IF(OR(I51="긴급",LEFT(J51,2)="긴급"),"★ 즉시 선생님 호출",IF(OR(I51="주의",J51="주의"),"결과상담에서 확인",IF(J51="조건확인","혈당조건(공복/식후) 선택","")))</f>
        <v/>
      </c>
      <c r="L51" s="25" t="str">
        <f aca="false">IF($B51="","",IF(COUNTIF($B$5:$B$1004,$B51)&gt;1,"중복 입력",""))</f>
        <v/>
      </c>
    </row>
    <row r="52" customFormat="false" ht="15" hidden="false" customHeight="false" outlineLevel="0" collapsed="false">
      <c r="A52" s="23"/>
      <c r="B52" s="24"/>
      <c r="C52" s="24"/>
      <c r="D52" s="24"/>
      <c r="E52" s="24"/>
      <c r="F52" s="24"/>
      <c r="G52" s="24"/>
      <c r="H52" s="25" t="str">
        <f aca="false">IF($B52="","",IFERROR(IF(INDEX(명단!$B$5:$B$404,MATCH($B52,명단!$A$5:$A$404,0))="","(이름 미입력)",INDEX(명단!$B$5:$B$404,MATCH($B52,명단!$A$5:$A$404,0))),"번호 없음"))</f>
        <v/>
      </c>
      <c r="I52" s="25" t="str">
        <f aca="false">IF(AND(C52="",D52=""),"",IF(OR(C52="-",D52="-"),"측정불가",IF(AND(ISNUMBER(C52),ISNUMBER(D52)),IF(OR(C52&gt;=설정!$C$11,D52&gt;=설정!$C$12),"긴급",IF(OR(C52&gt;=설정!$C$9,D52&gt;=설정!$C$10,C52&lt;설정!$C$13),"주의","정상")),"확인필요")))</f>
        <v/>
      </c>
      <c r="J52" s="25" t="str">
        <f aca="false">IF(E52="","",IF(E52="-","측정불가",IF(NOT(ISNUMBER(E52)),"확인필요",IF(E52&lt;설정!$C$17,"긴급(저혈당)",IF(E52&gt;=설정!$C$18,"긴급(고혈당)",IF(F52="공복",IF(E52&gt;=설정!$C$15,"주의","정상"),IF(F52="식후",IF(E52&gt;=설정!$C$16,"주의","정상"),"조건확인")))))))</f>
        <v/>
      </c>
      <c r="K52" s="25" t="str">
        <f aca="false">IF(OR(I52="긴급",LEFT(J52,2)="긴급"),"★ 즉시 선생님 호출",IF(OR(I52="주의",J52="주의"),"결과상담에서 확인",IF(J52="조건확인","혈당조건(공복/식후) 선택","")))</f>
        <v/>
      </c>
      <c r="L52" s="25" t="str">
        <f aca="false">IF($B52="","",IF(COUNTIF($B$5:$B$1004,$B52)&gt;1,"중복 입력",""))</f>
        <v/>
      </c>
    </row>
    <row r="53" customFormat="false" ht="15" hidden="false" customHeight="false" outlineLevel="0" collapsed="false">
      <c r="A53" s="23"/>
      <c r="B53" s="24"/>
      <c r="C53" s="24"/>
      <c r="D53" s="24"/>
      <c r="E53" s="24"/>
      <c r="F53" s="24"/>
      <c r="G53" s="24"/>
      <c r="H53" s="25" t="str">
        <f aca="false">IF($B53="","",IFERROR(IF(INDEX(명단!$B$5:$B$404,MATCH($B53,명단!$A$5:$A$404,0))="","(이름 미입력)",INDEX(명단!$B$5:$B$404,MATCH($B53,명단!$A$5:$A$404,0))),"번호 없음"))</f>
        <v/>
      </c>
      <c r="I53" s="25" t="str">
        <f aca="false">IF(AND(C53="",D53=""),"",IF(OR(C53="-",D53="-"),"측정불가",IF(AND(ISNUMBER(C53),ISNUMBER(D53)),IF(OR(C53&gt;=설정!$C$11,D53&gt;=설정!$C$12),"긴급",IF(OR(C53&gt;=설정!$C$9,D53&gt;=설정!$C$10,C53&lt;설정!$C$13),"주의","정상")),"확인필요")))</f>
        <v/>
      </c>
      <c r="J53" s="25" t="str">
        <f aca="false">IF(E53="","",IF(E53="-","측정불가",IF(NOT(ISNUMBER(E53)),"확인필요",IF(E53&lt;설정!$C$17,"긴급(저혈당)",IF(E53&gt;=설정!$C$18,"긴급(고혈당)",IF(F53="공복",IF(E53&gt;=설정!$C$15,"주의","정상"),IF(F53="식후",IF(E53&gt;=설정!$C$16,"주의","정상"),"조건확인")))))))</f>
        <v/>
      </c>
      <c r="K53" s="25" t="str">
        <f aca="false">IF(OR(I53="긴급",LEFT(J53,2)="긴급"),"★ 즉시 선생님 호출",IF(OR(I53="주의",J53="주의"),"결과상담에서 확인",IF(J53="조건확인","혈당조건(공복/식후) 선택","")))</f>
        <v/>
      </c>
      <c r="L53" s="25" t="str">
        <f aca="false">IF($B53="","",IF(COUNTIF($B$5:$B$1004,$B53)&gt;1,"중복 입력",""))</f>
        <v/>
      </c>
    </row>
    <row r="54" customFormat="false" ht="15" hidden="false" customHeight="false" outlineLevel="0" collapsed="false">
      <c r="A54" s="23"/>
      <c r="B54" s="24"/>
      <c r="C54" s="24"/>
      <c r="D54" s="24"/>
      <c r="E54" s="24"/>
      <c r="F54" s="24"/>
      <c r="G54" s="24"/>
      <c r="H54" s="25" t="str">
        <f aca="false">IF($B54="","",IFERROR(IF(INDEX(명단!$B$5:$B$404,MATCH($B54,명단!$A$5:$A$404,0))="","(이름 미입력)",INDEX(명단!$B$5:$B$404,MATCH($B54,명단!$A$5:$A$404,0))),"번호 없음"))</f>
        <v/>
      </c>
      <c r="I54" s="25" t="str">
        <f aca="false">IF(AND(C54="",D54=""),"",IF(OR(C54="-",D54="-"),"측정불가",IF(AND(ISNUMBER(C54),ISNUMBER(D54)),IF(OR(C54&gt;=설정!$C$11,D54&gt;=설정!$C$12),"긴급",IF(OR(C54&gt;=설정!$C$9,D54&gt;=설정!$C$10,C54&lt;설정!$C$13),"주의","정상")),"확인필요")))</f>
        <v/>
      </c>
      <c r="J54" s="25" t="str">
        <f aca="false">IF(E54="","",IF(E54="-","측정불가",IF(NOT(ISNUMBER(E54)),"확인필요",IF(E54&lt;설정!$C$17,"긴급(저혈당)",IF(E54&gt;=설정!$C$18,"긴급(고혈당)",IF(F54="공복",IF(E54&gt;=설정!$C$15,"주의","정상"),IF(F54="식후",IF(E54&gt;=설정!$C$16,"주의","정상"),"조건확인")))))))</f>
        <v/>
      </c>
      <c r="K54" s="25" t="str">
        <f aca="false">IF(OR(I54="긴급",LEFT(J54,2)="긴급"),"★ 즉시 선생님 호출",IF(OR(I54="주의",J54="주의"),"결과상담에서 확인",IF(J54="조건확인","혈당조건(공복/식후) 선택","")))</f>
        <v/>
      </c>
      <c r="L54" s="25" t="str">
        <f aca="false">IF($B54="","",IF(COUNTIF($B$5:$B$1004,$B54)&gt;1,"중복 입력",""))</f>
        <v/>
      </c>
    </row>
    <row r="55" customFormat="false" ht="15" hidden="false" customHeight="false" outlineLevel="0" collapsed="false">
      <c r="A55" s="23"/>
      <c r="B55" s="24"/>
      <c r="C55" s="24"/>
      <c r="D55" s="24"/>
      <c r="E55" s="24"/>
      <c r="F55" s="24"/>
      <c r="G55" s="24"/>
      <c r="H55" s="25" t="str">
        <f aca="false">IF($B55="","",IFERROR(IF(INDEX(명단!$B$5:$B$404,MATCH($B55,명단!$A$5:$A$404,0))="","(이름 미입력)",INDEX(명단!$B$5:$B$404,MATCH($B55,명단!$A$5:$A$404,0))),"번호 없음"))</f>
        <v/>
      </c>
      <c r="I55" s="25" t="str">
        <f aca="false">IF(AND(C55="",D55=""),"",IF(OR(C55="-",D55="-"),"측정불가",IF(AND(ISNUMBER(C55),ISNUMBER(D55)),IF(OR(C55&gt;=설정!$C$11,D55&gt;=설정!$C$12),"긴급",IF(OR(C55&gt;=설정!$C$9,D55&gt;=설정!$C$10,C55&lt;설정!$C$13),"주의","정상")),"확인필요")))</f>
        <v/>
      </c>
      <c r="J55" s="25" t="str">
        <f aca="false">IF(E55="","",IF(E55="-","측정불가",IF(NOT(ISNUMBER(E55)),"확인필요",IF(E55&lt;설정!$C$17,"긴급(저혈당)",IF(E55&gt;=설정!$C$18,"긴급(고혈당)",IF(F55="공복",IF(E55&gt;=설정!$C$15,"주의","정상"),IF(F55="식후",IF(E55&gt;=설정!$C$16,"주의","정상"),"조건확인")))))))</f>
        <v/>
      </c>
      <c r="K55" s="25" t="str">
        <f aca="false">IF(OR(I55="긴급",LEFT(J55,2)="긴급"),"★ 즉시 선생님 호출",IF(OR(I55="주의",J55="주의"),"결과상담에서 확인",IF(J55="조건확인","혈당조건(공복/식후) 선택","")))</f>
        <v/>
      </c>
      <c r="L55" s="25" t="str">
        <f aca="false">IF($B55="","",IF(COUNTIF($B$5:$B$1004,$B55)&gt;1,"중복 입력",""))</f>
        <v/>
      </c>
    </row>
    <row r="56" customFormat="false" ht="15" hidden="false" customHeight="false" outlineLevel="0" collapsed="false">
      <c r="A56" s="23"/>
      <c r="B56" s="24"/>
      <c r="C56" s="24"/>
      <c r="D56" s="24"/>
      <c r="E56" s="24"/>
      <c r="F56" s="24"/>
      <c r="G56" s="24"/>
      <c r="H56" s="25" t="str">
        <f aca="false">IF($B56="","",IFERROR(IF(INDEX(명단!$B$5:$B$404,MATCH($B56,명단!$A$5:$A$404,0))="","(이름 미입력)",INDEX(명단!$B$5:$B$404,MATCH($B56,명단!$A$5:$A$404,0))),"번호 없음"))</f>
        <v/>
      </c>
      <c r="I56" s="25" t="str">
        <f aca="false">IF(AND(C56="",D56=""),"",IF(OR(C56="-",D56="-"),"측정불가",IF(AND(ISNUMBER(C56),ISNUMBER(D56)),IF(OR(C56&gt;=설정!$C$11,D56&gt;=설정!$C$12),"긴급",IF(OR(C56&gt;=설정!$C$9,D56&gt;=설정!$C$10,C56&lt;설정!$C$13),"주의","정상")),"확인필요")))</f>
        <v/>
      </c>
      <c r="J56" s="25" t="str">
        <f aca="false">IF(E56="","",IF(E56="-","측정불가",IF(NOT(ISNUMBER(E56)),"확인필요",IF(E56&lt;설정!$C$17,"긴급(저혈당)",IF(E56&gt;=설정!$C$18,"긴급(고혈당)",IF(F56="공복",IF(E56&gt;=설정!$C$15,"주의","정상"),IF(F56="식후",IF(E56&gt;=설정!$C$16,"주의","정상"),"조건확인")))))))</f>
        <v/>
      </c>
      <c r="K56" s="25" t="str">
        <f aca="false">IF(OR(I56="긴급",LEFT(J56,2)="긴급"),"★ 즉시 선생님 호출",IF(OR(I56="주의",J56="주의"),"결과상담에서 확인",IF(J56="조건확인","혈당조건(공복/식후) 선택","")))</f>
        <v/>
      </c>
      <c r="L56" s="25" t="str">
        <f aca="false">IF($B56="","",IF(COUNTIF($B$5:$B$1004,$B56)&gt;1,"중복 입력",""))</f>
        <v/>
      </c>
    </row>
    <row r="57" customFormat="false" ht="15" hidden="false" customHeight="false" outlineLevel="0" collapsed="false">
      <c r="A57" s="23"/>
      <c r="B57" s="24"/>
      <c r="C57" s="24"/>
      <c r="D57" s="24"/>
      <c r="E57" s="24"/>
      <c r="F57" s="24"/>
      <c r="G57" s="24"/>
      <c r="H57" s="25" t="str">
        <f aca="false">IF($B57="","",IFERROR(IF(INDEX(명단!$B$5:$B$404,MATCH($B57,명단!$A$5:$A$404,0))="","(이름 미입력)",INDEX(명단!$B$5:$B$404,MATCH($B57,명단!$A$5:$A$404,0))),"번호 없음"))</f>
        <v/>
      </c>
      <c r="I57" s="25" t="str">
        <f aca="false">IF(AND(C57="",D57=""),"",IF(OR(C57="-",D57="-"),"측정불가",IF(AND(ISNUMBER(C57),ISNUMBER(D57)),IF(OR(C57&gt;=설정!$C$11,D57&gt;=설정!$C$12),"긴급",IF(OR(C57&gt;=설정!$C$9,D57&gt;=설정!$C$10,C57&lt;설정!$C$13),"주의","정상")),"확인필요")))</f>
        <v/>
      </c>
      <c r="J57" s="25" t="str">
        <f aca="false">IF(E57="","",IF(E57="-","측정불가",IF(NOT(ISNUMBER(E57)),"확인필요",IF(E57&lt;설정!$C$17,"긴급(저혈당)",IF(E57&gt;=설정!$C$18,"긴급(고혈당)",IF(F57="공복",IF(E57&gt;=설정!$C$15,"주의","정상"),IF(F57="식후",IF(E57&gt;=설정!$C$16,"주의","정상"),"조건확인")))))))</f>
        <v/>
      </c>
      <c r="K57" s="25" t="str">
        <f aca="false">IF(OR(I57="긴급",LEFT(J57,2)="긴급"),"★ 즉시 선생님 호출",IF(OR(I57="주의",J57="주의"),"결과상담에서 확인",IF(J57="조건확인","혈당조건(공복/식후) 선택","")))</f>
        <v/>
      </c>
      <c r="L57" s="25" t="str">
        <f aca="false">IF($B57="","",IF(COUNTIF($B$5:$B$1004,$B57)&gt;1,"중복 입력",""))</f>
        <v/>
      </c>
    </row>
    <row r="58" customFormat="false" ht="15" hidden="false" customHeight="false" outlineLevel="0" collapsed="false">
      <c r="A58" s="23"/>
      <c r="B58" s="24"/>
      <c r="C58" s="24"/>
      <c r="D58" s="24"/>
      <c r="E58" s="24"/>
      <c r="F58" s="24"/>
      <c r="G58" s="24"/>
      <c r="H58" s="25" t="str">
        <f aca="false">IF($B58="","",IFERROR(IF(INDEX(명단!$B$5:$B$404,MATCH($B58,명단!$A$5:$A$404,0))="","(이름 미입력)",INDEX(명단!$B$5:$B$404,MATCH($B58,명단!$A$5:$A$404,0))),"번호 없음"))</f>
        <v/>
      </c>
      <c r="I58" s="25" t="str">
        <f aca="false">IF(AND(C58="",D58=""),"",IF(OR(C58="-",D58="-"),"측정불가",IF(AND(ISNUMBER(C58),ISNUMBER(D58)),IF(OR(C58&gt;=설정!$C$11,D58&gt;=설정!$C$12),"긴급",IF(OR(C58&gt;=설정!$C$9,D58&gt;=설정!$C$10,C58&lt;설정!$C$13),"주의","정상")),"확인필요")))</f>
        <v/>
      </c>
      <c r="J58" s="25" t="str">
        <f aca="false">IF(E58="","",IF(E58="-","측정불가",IF(NOT(ISNUMBER(E58)),"확인필요",IF(E58&lt;설정!$C$17,"긴급(저혈당)",IF(E58&gt;=설정!$C$18,"긴급(고혈당)",IF(F58="공복",IF(E58&gt;=설정!$C$15,"주의","정상"),IF(F58="식후",IF(E58&gt;=설정!$C$16,"주의","정상"),"조건확인")))))))</f>
        <v/>
      </c>
      <c r="K58" s="25" t="str">
        <f aca="false">IF(OR(I58="긴급",LEFT(J58,2)="긴급"),"★ 즉시 선생님 호출",IF(OR(I58="주의",J58="주의"),"결과상담에서 확인",IF(J58="조건확인","혈당조건(공복/식후) 선택","")))</f>
        <v/>
      </c>
      <c r="L58" s="25" t="str">
        <f aca="false">IF($B58="","",IF(COUNTIF($B$5:$B$1004,$B58)&gt;1,"중복 입력",""))</f>
        <v/>
      </c>
    </row>
    <row r="59" customFormat="false" ht="15" hidden="false" customHeight="false" outlineLevel="0" collapsed="false">
      <c r="A59" s="23"/>
      <c r="B59" s="24"/>
      <c r="C59" s="24"/>
      <c r="D59" s="24"/>
      <c r="E59" s="24"/>
      <c r="F59" s="24"/>
      <c r="G59" s="24"/>
      <c r="H59" s="25" t="str">
        <f aca="false">IF($B59="","",IFERROR(IF(INDEX(명단!$B$5:$B$404,MATCH($B59,명단!$A$5:$A$404,0))="","(이름 미입력)",INDEX(명단!$B$5:$B$404,MATCH($B59,명단!$A$5:$A$404,0))),"번호 없음"))</f>
        <v/>
      </c>
      <c r="I59" s="25" t="str">
        <f aca="false">IF(AND(C59="",D59=""),"",IF(OR(C59="-",D59="-"),"측정불가",IF(AND(ISNUMBER(C59),ISNUMBER(D59)),IF(OR(C59&gt;=설정!$C$11,D59&gt;=설정!$C$12),"긴급",IF(OR(C59&gt;=설정!$C$9,D59&gt;=설정!$C$10,C59&lt;설정!$C$13),"주의","정상")),"확인필요")))</f>
        <v/>
      </c>
      <c r="J59" s="25" t="str">
        <f aca="false">IF(E59="","",IF(E59="-","측정불가",IF(NOT(ISNUMBER(E59)),"확인필요",IF(E59&lt;설정!$C$17,"긴급(저혈당)",IF(E59&gt;=설정!$C$18,"긴급(고혈당)",IF(F59="공복",IF(E59&gt;=설정!$C$15,"주의","정상"),IF(F59="식후",IF(E59&gt;=설정!$C$16,"주의","정상"),"조건확인")))))))</f>
        <v/>
      </c>
      <c r="K59" s="25" t="str">
        <f aca="false">IF(OR(I59="긴급",LEFT(J59,2)="긴급"),"★ 즉시 선생님 호출",IF(OR(I59="주의",J59="주의"),"결과상담에서 확인",IF(J59="조건확인","혈당조건(공복/식후) 선택","")))</f>
        <v/>
      </c>
      <c r="L59" s="25" t="str">
        <f aca="false">IF($B59="","",IF(COUNTIF($B$5:$B$1004,$B59)&gt;1,"중복 입력",""))</f>
        <v/>
      </c>
    </row>
    <row r="60" customFormat="false" ht="15" hidden="false" customHeight="false" outlineLevel="0" collapsed="false">
      <c r="A60" s="23"/>
      <c r="B60" s="24"/>
      <c r="C60" s="24"/>
      <c r="D60" s="24"/>
      <c r="E60" s="24"/>
      <c r="F60" s="24"/>
      <c r="G60" s="24"/>
      <c r="H60" s="25" t="str">
        <f aca="false">IF($B60="","",IFERROR(IF(INDEX(명단!$B$5:$B$404,MATCH($B60,명단!$A$5:$A$404,0))="","(이름 미입력)",INDEX(명단!$B$5:$B$404,MATCH($B60,명단!$A$5:$A$404,0))),"번호 없음"))</f>
        <v/>
      </c>
      <c r="I60" s="25" t="str">
        <f aca="false">IF(AND(C60="",D60=""),"",IF(OR(C60="-",D60="-"),"측정불가",IF(AND(ISNUMBER(C60),ISNUMBER(D60)),IF(OR(C60&gt;=설정!$C$11,D60&gt;=설정!$C$12),"긴급",IF(OR(C60&gt;=설정!$C$9,D60&gt;=설정!$C$10,C60&lt;설정!$C$13),"주의","정상")),"확인필요")))</f>
        <v/>
      </c>
      <c r="J60" s="25" t="str">
        <f aca="false">IF(E60="","",IF(E60="-","측정불가",IF(NOT(ISNUMBER(E60)),"확인필요",IF(E60&lt;설정!$C$17,"긴급(저혈당)",IF(E60&gt;=설정!$C$18,"긴급(고혈당)",IF(F60="공복",IF(E60&gt;=설정!$C$15,"주의","정상"),IF(F60="식후",IF(E60&gt;=설정!$C$16,"주의","정상"),"조건확인")))))))</f>
        <v/>
      </c>
      <c r="K60" s="25" t="str">
        <f aca="false">IF(OR(I60="긴급",LEFT(J60,2)="긴급"),"★ 즉시 선생님 호출",IF(OR(I60="주의",J60="주의"),"결과상담에서 확인",IF(J60="조건확인","혈당조건(공복/식후) 선택","")))</f>
        <v/>
      </c>
      <c r="L60" s="25" t="str">
        <f aca="false">IF($B60="","",IF(COUNTIF($B$5:$B$1004,$B60)&gt;1,"중복 입력",""))</f>
        <v/>
      </c>
    </row>
    <row r="61" customFormat="false" ht="15" hidden="false" customHeight="false" outlineLevel="0" collapsed="false">
      <c r="A61" s="23"/>
      <c r="B61" s="24"/>
      <c r="C61" s="24"/>
      <c r="D61" s="24"/>
      <c r="E61" s="24"/>
      <c r="F61" s="24"/>
      <c r="G61" s="24"/>
      <c r="H61" s="25" t="str">
        <f aca="false">IF($B61="","",IFERROR(IF(INDEX(명단!$B$5:$B$404,MATCH($B61,명단!$A$5:$A$404,0))="","(이름 미입력)",INDEX(명단!$B$5:$B$404,MATCH($B61,명단!$A$5:$A$404,0))),"번호 없음"))</f>
        <v/>
      </c>
      <c r="I61" s="25" t="str">
        <f aca="false">IF(AND(C61="",D61=""),"",IF(OR(C61="-",D61="-"),"측정불가",IF(AND(ISNUMBER(C61),ISNUMBER(D61)),IF(OR(C61&gt;=설정!$C$11,D61&gt;=설정!$C$12),"긴급",IF(OR(C61&gt;=설정!$C$9,D61&gt;=설정!$C$10,C61&lt;설정!$C$13),"주의","정상")),"확인필요")))</f>
        <v/>
      </c>
      <c r="J61" s="25" t="str">
        <f aca="false">IF(E61="","",IF(E61="-","측정불가",IF(NOT(ISNUMBER(E61)),"확인필요",IF(E61&lt;설정!$C$17,"긴급(저혈당)",IF(E61&gt;=설정!$C$18,"긴급(고혈당)",IF(F61="공복",IF(E61&gt;=설정!$C$15,"주의","정상"),IF(F61="식후",IF(E61&gt;=설정!$C$16,"주의","정상"),"조건확인")))))))</f>
        <v/>
      </c>
      <c r="K61" s="25" t="str">
        <f aca="false">IF(OR(I61="긴급",LEFT(J61,2)="긴급"),"★ 즉시 선생님 호출",IF(OR(I61="주의",J61="주의"),"결과상담에서 확인",IF(J61="조건확인","혈당조건(공복/식후) 선택","")))</f>
        <v/>
      </c>
      <c r="L61" s="25" t="str">
        <f aca="false">IF($B61="","",IF(COUNTIF($B$5:$B$1004,$B61)&gt;1,"중복 입력",""))</f>
        <v/>
      </c>
    </row>
    <row r="62" customFormat="false" ht="15" hidden="false" customHeight="false" outlineLevel="0" collapsed="false">
      <c r="A62" s="23"/>
      <c r="B62" s="24"/>
      <c r="C62" s="24"/>
      <c r="D62" s="24"/>
      <c r="E62" s="24"/>
      <c r="F62" s="24"/>
      <c r="G62" s="24"/>
      <c r="H62" s="25" t="str">
        <f aca="false">IF($B62="","",IFERROR(IF(INDEX(명단!$B$5:$B$404,MATCH($B62,명단!$A$5:$A$404,0))="","(이름 미입력)",INDEX(명단!$B$5:$B$404,MATCH($B62,명단!$A$5:$A$404,0))),"번호 없음"))</f>
        <v/>
      </c>
      <c r="I62" s="25" t="str">
        <f aca="false">IF(AND(C62="",D62=""),"",IF(OR(C62="-",D62="-"),"측정불가",IF(AND(ISNUMBER(C62),ISNUMBER(D62)),IF(OR(C62&gt;=설정!$C$11,D62&gt;=설정!$C$12),"긴급",IF(OR(C62&gt;=설정!$C$9,D62&gt;=설정!$C$10,C62&lt;설정!$C$13),"주의","정상")),"확인필요")))</f>
        <v/>
      </c>
      <c r="J62" s="25" t="str">
        <f aca="false">IF(E62="","",IF(E62="-","측정불가",IF(NOT(ISNUMBER(E62)),"확인필요",IF(E62&lt;설정!$C$17,"긴급(저혈당)",IF(E62&gt;=설정!$C$18,"긴급(고혈당)",IF(F62="공복",IF(E62&gt;=설정!$C$15,"주의","정상"),IF(F62="식후",IF(E62&gt;=설정!$C$16,"주의","정상"),"조건확인")))))))</f>
        <v/>
      </c>
      <c r="K62" s="25" t="str">
        <f aca="false">IF(OR(I62="긴급",LEFT(J62,2)="긴급"),"★ 즉시 선생님 호출",IF(OR(I62="주의",J62="주의"),"결과상담에서 확인",IF(J62="조건확인","혈당조건(공복/식후) 선택","")))</f>
        <v/>
      </c>
      <c r="L62" s="25" t="str">
        <f aca="false">IF($B62="","",IF(COUNTIF($B$5:$B$1004,$B62)&gt;1,"중복 입력",""))</f>
        <v/>
      </c>
    </row>
    <row r="63" customFormat="false" ht="15" hidden="false" customHeight="false" outlineLevel="0" collapsed="false">
      <c r="A63" s="23"/>
      <c r="B63" s="24"/>
      <c r="C63" s="24"/>
      <c r="D63" s="24"/>
      <c r="E63" s="24"/>
      <c r="F63" s="24"/>
      <c r="G63" s="24"/>
      <c r="H63" s="25" t="str">
        <f aca="false">IF($B63="","",IFERROR(IF(INDEX(명단!$B$5:$B$404,MATCH($B63,명단!$A$5:$A$404,0))="","(이름 미입력)",INDEX(명단!$B$5:$B$404,MATCH($B63,명단!$A$5:$A$404,0))),"번호 없음"))</f>
        <v/>
      </c>
      <c r="I63" s="25" t="str">
        <f aca="false">IF(AND(C63="",D63=""),"",IF(OR(C63="-",D63="-"),"측정불가",IF(AND(ISNUMBER(C63),ISNUMBER(D63)),IF(OR(C63&gt;=설정!$C$11,D63&gt;=설정!$C$12),"긴급",IF(OR(C63&gt;=설정!$C$9,D63&gt;=설정!$C$10,C63&lt;설정!$C$13),"주의","정상")),"확인필요")))</f>
        <v/>
      </c>
      <c r="J63" s="25" t="str">
        <f aca="false">IF(E63="","",IF(E63="-","측정불가",IF(NOT(ISNUMBER(E63)),"확인필요",IF(E63&lt;설정!$C$17,"긴급(저혈당)",IF(E63&gt;=설정!$C$18,"긴급(고혈당)",IF(F63="공복",IF(E63&gt;=설정!$C$15,"주의","정상"),IF(F63="식후",IF(E63&gt;=설정!$C$16,"주의","정상"),"조건확인")))))))</f>
        <v/>
      </c>
      <c r="K63" s="25" t="str">
        <f aca="false">IF(OR(I63="긴급",LEFT(J63,2)="긴급"),"★ 즉시 선생님 호출",IF(OR(I63="주의",J63="주의"),"결과상담에서 확인",IF(J63="조건확인","혈당조건(공복/식후) 선택","")))</f>
        <v/>
      </c>
      <c r="L63" s="25" t="str">
        <f aca="false">IF($B63="","",IF(COUNTIF($B$5:$B$1004,$B63)&gt;1,"중복 입력",""))</f>
        <v/>
      </c>
    </row>
    <row r="64" customFormat="false" ht="15" hidden="false" customHeight="false" outlineLevel="0" collapsed="false">
      <c r="A64" s="23"/>
      <c r="B64" s="24"/>
      <c r="C64" s="24"/>
      <c r="D64" s="24"/>
      <c r="E64" s="24"/>
      <c r="F64" s="24"/>
      <c r="G64" s="24"/>
      <c r="H64" s="25" t="str">
        <f aca="false">IF($B64="","",IFERROR(IF(INDEX(명단!$B$5:$B$404,MATCH($B64,명단!$A$5:$A$404,0))="","(이름 미입력)",INDEX(명단!$B$5:$B$404,MATCH($B64,명단!$A$5:$A$404,0))),"번호 없음"))</f>
        <v/>
      </c>
      <c r="I64" s="25" t="str">
        <f aca="false">IF(AND(C64="",D64=""),"",IF(OR(C64="-",D64="-"),"측정불가",IF(AND(ISNUMBER(C64),ISNUMBER(D64)),IF(OR(C64&gt;=설정!$C$11,D64&gt;=설정!$C$12),"긴급",IF(OR(C64&gt;=설정!$C$9,D64&gt;=설정!$C$10,C64&lt;설정!$C$13),"주의","정상")),"확인필요")))</f>
        <v/>
      </c>
      <c r="J64" s="25" t="str">
        <f aca="false">IF(E64="","",IF(E64="-","측정불가",IF(NOT(ISNUMBER(E64)),"확인필요",IF(E64&lt;설정!$C$17,"긴급(저혈당)",IF(E64&gt;=설정!$C$18,"긴급(고혈당)",IF(F64="공복",IF(E64&gt;=설정!$C$15,"주의","정상"),IF(F64="식후",IF(E64&gt;=설정!$C$16,"주의","정상"),"조건확인")))))))</f>
        <v/>
      </c>
      <c r="K64" s="25" t="str">
        <f aca="false">IF(OR(I64="긴급",LEFT(J64,2)="긴급"),"★ 즉시 선생님 호출",IF(OR(I64="주의",J64="주의"),"결과상담에서 확인",IF(J64="조건확인","혈당조건(공복/식후) 선택","")))</f>
        <v/>
      </c>
      <c r="L64" s="25" t="str">
        <f aca="false">IF($B64="","",IF(COUNTIF($B$5:$B$1004,$B64)&gt;1,"중복 입력",""))</f>
        <v/>
      </c>
    </row>
    <row r="65" customFormat="false" ht="15" hidden="false" customHeight="false" outlineLevel="0" collapsed="false">
      <c r="A65" s="23"/>
      <c r="B65" s="24"/>
      <c r="C65" s="24"/>
      <c r="D65" s="24"/>
      <c r="E65" s="24"/>
      <c r="F65" s="24"/>
      <c r="G65" s="24"/>
      <c r="H65" s="25" t="str">
        <f aca="false">IF($B65="","",IFERROR(IF(INDEX(명단!$B$5:$B$404,MATCH($B65,명단!$A$5:$A$404,0))="","(이름 미입력)",INDEX(명단!$B$5:$B$404,MATCH($B65,명단!$A$5:$A$404,0))),"번호 없음"))</f>
        <v/>
      </c>
      <c r="I65" s="25" t="str">
        <f aca="false">IF(AND(C65="",D65=""),"",IF(OR(C65="-",D65="-"),"측정불가",IF(AND(ISNUMBER(C65),ISNUMBER(D65)),IF(OR(C65&gt;=설정!$C$11,D65&gt;=설정!$C$12),"긴급",IF(OR(C65&gt;=설정!$C$9,D65&gt;=설정!$C$10,C65&lt;설정!$C$13),"주의","정상")),"확인필요")))</f>
        <v/>
      </c>
      <c r="J65" s="25" t="str">
        <f aca="false">IF(E65="","",IF(E65="-","측정불가",IF(NOT(ISNUMBER(E65)),"확인필요",IF(E65&lt;설정!$C$17,"긴급(저혈당)",IF(E65&gt;=설정!$C$18,"긴급(고혈당)",IF(F65="공복",IF(E65&gt;=설정!$C$15,"주의","정상"),IF(F65="식후",IF(E65&gt;=설정!$C$16,"주의","정상"),"조건확인")))))))</f>
        <v/>
      </c>
      <c r="K65" s="25" t="str">
        <f aca="false">IF(OR(I65="긴급",LEFT(J65,2)="긴급"),"★ 즉시 선생님 호출",IF(OR(I65="주의",J65="주의"),"결과상담에서 확인",IF(J65="조건확인","혈당조건(공복/식후) 선택","")))</f>
        <v/>
      </c>
      <c r="L65" s="25" t="str">
        <f aca="false">IF($B65="","",IF(COUNTIF($B$5:$B$1004,$B65)&gt;1,"중복 입력",""))</f>
        <v/>
      </c>
    </row>
    <row r="66" customFormat="false" ht="15" hidden="false" customHeight="false" outlineLevel="0" collapsed="false">
      <c r="A66" s="23"/>
      <c r="B66" s="24"/>
      <c r="C66" s="24"/>
      <c r="D66" s="24"/>
      <c r="E66" s="24"/>
      <c r="F66" s="24"/>
      <c r="G66" s="24"/>
      <c r="H66" s="25" t="str">
        <f aca="false">IF($B66="","",IFERROR(IF(INDEX(명단!$B$5:$B$404,MATCH($B66,명단!$A$5:$A$404,0))="","(이름 미입력)",INDEX(명단!$B$5:$B$404,MATCH($B66,명단!$A$5:$A$404,0))),"번호 없음"))</f>
        <v/>
      </c>
      <c r="I66" s="25" t="str">
        <f aca="false">IF(AND(C66="",D66=""),"",IF(OR(C66="-",D66="-"),"측정불가",IF(AND(ISNUMBER(C66),ISNUMBER(D66)),IF(OR(C66&gt;=설정!$C$11,D66&gt;=설정!$C$12),"긴급",IF(OR(C66&gt;=설정!$C$9,D66&gt;=설정!$C$10,C66&lt;설정!$C$13),"주의","정상")),"확인필요")))</f>
        <v/>
      </c>
      <c r="J66" s="25" t="str">
        <f aca="false">IF(E66="","",IF(E66="-","측정불가",IF(NOT(ISNUMBER(E66)),"확인필요",IF(E66&lt;설정!$C$17,"긴급(저혈당)",IF(E66&gt;=설정!$C$18,"긴급(고혈당)",IF(F66="공복",IF(E66&gt;=설정!$C$15,"주의","정상"),IF(F66="식후",IF(E66&gt;=설정!$C$16,"주의","정상"),"조건확인")))))))</f>
        <v/>
      </c>
      <c r="K66" s="25" t="str">
        <f aca="false">IF(OR(I66="긴급",LEFT(J66,2)="긴급"),"★ 즉시 선생님 호출",IF(OR(I66="주의",J66="주의"),"결과상담에서 확인",IF(J66="조건확인","혈당조건(공복/식후) 선택","")))</f>
        <v/>
      </c>
      <c r="L66" s="25" t="str">
        <f aca="false">IF($B66="","",IF(COUNTIF($B$5:$B$1004,$B66)&gt;1,"중복 입력",""))</f>
        <v/>
      </c>
    </row>
    <row r="67" customFormat="false" ht="15" hidden="false" customHeight="false" outlineLevel="0" collapsed="false">
      <c r="A67" s="23"/>
      <c r="B67" s="24"/>
      <c r="C67" s="24"/>
      <c r="D67" s="24"/>
      <c r="E67" s="24"/>
      <c r="F67" s="24"/>
      <c r="G67" s="24"/>
      <c r="H67" s="25" t="str">
        <f aca="false">IF($B67="","",IFERROR(IF(INDEX(명단!$B$5:$B$404,MATCH($B67,명단!$A$5:$A$404,0))="","(이름 미입력)",INDEX(명단!$B$5:$B$404,MATCH($B67,명단!$A$5:$A$404,0))),"번호 없음"))</f>
        <v/>
      </c>
      <c r="I67" s="25" t="str">
        <f aca="false">IF(AND(C67="",D67=""),"",IF(OR(C67="-",D67="-"),"측정불가",IF(AND(ISNUMBER(C67),ISNUMBER(D67)),IF(OR(C67&gt;=설정!$C$11,D67&gt;=설정!$C$12),"긴급",IF(OR(C67&gt;=설정!$C$9,D67&gt;=설정!$C$10,C67&lt;설정!$C$13),"주의","정상")),"확인필요")))</f>
        <v/>
      </c>
      <c r="J67" s="25" t="str">
        <f aca="false">IF(E67="","",IF(E67="-","측정불가",IF(NOT(ISNUMBER(E67)),"확인필요",IF(E67&lt;설정!$C$17,"긴급(저혈당)",IF(E67&gt;=설정!$C$18,"긴급(고혈당)",IF(F67="공복",IF(E67&gt;=설정!$C$15,"주의","정상"),IF(F67="식후",IF(E67&gt;=설정!$C$16,"주의","정상"),"조건확인")))))))</f>
        <v/>
      </c>
      <c r="K67" s="25" t="str">
        <f aca="false">IF(OR(I67="긴급",LEFT(J67,2)="긴급"),"★ 즉시 선생님 호출",IF(OR(I67="주의",J67="주의"),"결과상담에서 확인",IF(J67="조건확인","혈당조건(공복/식후) 선택","")))</f>
        <v/>
      </c>
      <c r="L67" s="25" t="str">
        <f aca="false">IF($B67="","",IF(COUNTIF($B$5:$B$1004,$B67)&gt;1,"중복 입력",""))</f>
        <v/>
      </c>
    </row>
    <row r="68" customFormat="false" ht="15" hidden="false" customHeight="false" outlineLevel="0" collapsed="false">
      <c r="A68" s="23"/>
      <c r="B68" s="24"/>
      <c r="C68" s="24"/>
      <c r="D68" s="24"/>
      <c r="E68" s="24"/>
      <c r="F68" s="24"/>
      <c r="G68" s="24"/>
      <c r="H68" s="25" t="str">
        <f aca="false">IF($B68="","",IFERROR(IF(INDEX(명단!$B$5:$B$404,MATCH($B68,명단!$A$5:$A$404,0))="","(이름 미입력)",INDEX(명단!$B$5:$B$404,MATCH($B68,명단!$A$5:$A$404,0))),"번호 없음"))</f>
        <v/>
      </c>
      <c r="I68" s="25" t="str">
        <f aca="false">IF(AND(C68="",D68=""),"",IF(OR(C68="-",D68="-"),"측정불가",IF(AND(ISNUMBER(C68),ISNUMBER(D68)),IF(OR(C68&gt;=설정!$C$11,D68&gt;=설정!$C$12),"긴급",IF(OR(C68&gt;=설정!$C$9,D68&gt;=설정!$C$10,C68&lt;설정!$C$13),"주의","정상")),"확인필요")))</f>
        <v/>
      </c>
      <c r="J68" s="25" t="str">
        <f aca="false">IF(E68="","",IF(E68="-","측정불가",IF(NOT(ISNUMBER(E68)),"확인필요",IF(E68&lt;설정!$C$17,"긴급(저혈당)",IF(E68&gt;=설정!$C$18,"긴급(고혈당)",IF(F68="공복",IF(E68&gt;=설정!$C$15,"주의","정상"),IF(F68="식후",IF(E68&gt;=설정!$C$16,"주의","정상"),"조건확인")))))))</f>
        <v/>
      </c>
      <c r="K68" s="25" t="str">
        <f aca="false">IF(OR(I68="긴급",LEFT(J68,2)="긴급"),"★ 즉시 선생님 호출",IF(OR(I68="주의",J68="주의"),"결과상담에서 확인",IF(J68="조건확인","혈당조건(공복/식후) 선택","")))</f>
        <v/>
      </c>
      <c r="L68" s="25" t="str">
        <f aca="false">IF($B68="","",IF(COUNTIF($B$5:$B$1004,$B68)&gt;1,"중복 입력",""))</f>
        <v/>
      </c>
    </row>
    <row r="69" customFormat="false" ht="15" hidden="false" customHeight="false" outlineLevel="0" collapsed="false">
      <c r="A69" s="23"/>
      <c r="B69" s="24"/>
      <c r="C69" s="24"/>
      <c r="D69" s="24"/>
      <c r="E69" s="24"/>
      <c r="F69" s="24"/>
      <c r="G69" s="24"/>
      <c r="H69" s="25" t="str">
        <f aca="false">IF($B69="","",IFERROR(IF(INDEX(명단!$B$5:$B$404,MATCH($B69,명단!$A$5:$A$404,0))="","(이름 미입력)",INDEX(명단!$B$5:$B$404,MATCH($B69,명단!$A$5:$A$404,0))),"번호 없음"))</f>
        <v/>
      </c>
      <c r="I69" s="25" t="str">
        <f aca="false">IF(AND(C69="",D69=""),"",IF(OR(C69="-",D69="-"),"측정불가",IF(AND(ISNUMBER(C69),ISNUMBER(D69)),IF(OR(C69&gt;=설정!$C$11,D69&gt;=설정!$C$12),"긴급",IF(OR(C69&gt;=설정!$C$9,D69&gt;=설정!$C$10,C69&lt;설정!$C$13),"주의","정상")),"확인필요")))</f>
        <v/>
      </c>
      <c r="J69" s="25" t="str">
        <f aca="false">IF(E69="","",IF(E69="-","측정불가",IF(NOT(ISNUMBER(E69)),"확인필요",IF(E69&lt;설정!$C$17,"긴급(저혈당)",IF(E69&gt;=설정!$C$18,"긴급(고혈당)",IF(F69="공복",IF(E69&gt;=설정!$C$15,"주의","정상"),IF(F69="식후",IF(E69&gt;=설정!$C$16,"주의","정상"),"조건확인")))))))</f>
        <v/>
      </c>
      <c r="K69" s="25" t="str">
        <f aca="false">IF(OR(I69="긴급",LEFT(J69,2)="긴급"),"★ 즉시 선생님 호출",IF(OR(I69="주의",J69="주의"),"결과상담에서 확인",IF(J69="조건확인","혈당조건(공복/식후) 선택","")))</f>
        <v/>
      </c>
      <c r="L69" s="25" t="str">
        <f aca="false">IF($B69="","",IF(COUNTIF($B$5:$B$1004,$B69)&gt;1,"중복 입력",""))</f>
        <v/>
      </c>
    </row>
    <row r="70" customFormat="false" ht="15" hidden="false" customHeight="false" outlineLevel="0" collapsed="false">
      <c r="A70" s="23"/>
      <c r="B70" s="24"/>
      <c r="C70" s="24"/>
      <c r="D70" s="24"/>
      <c r="E70" s="24"/>
      <c r="F70" s="24"/>
      <c r="G70" s="24"/>
      <c r="H70" s="25" t="str">
        <f aca="false">IF($B70="","",IFERROR(IF(INDEX(명단!$B$5:$B$404,MATCH($B70,명단!$A$5:$A$404,0))="","(이름 미입력)",INDEX(명단!$B$5:$B$404,MATCH($B70,명단!$A$5:$A$404,0))),"번호 없음"))</f>
        <v/>
      </c>
      <c r="I70" s="25" t="str">
        <f aca="false">IF(AND(C70="",D70=""),"",IF(OR(C70="-",D70="-"),"측정불가",IF(AND(ISNUMBER(C70),ISNUMBER(D70)),IF(OR(C70&gt;=설정!$C$11,D70&gt;=설정!$C$12),"긴급",IF(OR(C70&gt;=설정!$C$9,D70&gt;=설정!$C$10,C70&lt;설정!$C$13),"주의","정상")),"확인필요")))</f>
        <v/>
      </c>
      <c r="J70" s="25" t="str">
        <f aca="false">IF(E70="","",IF(E70="-","측정불가",IF(NOT(ISNUMBER(E70)),"확인필요",IF(E70&lt;설정!$C$17,"긴급(저혈당)",IF(E70&gt;=설정!$C$18,"긴급(고혈당)",IF(F70="공복",IF(E70&gt;=설정!$C$15,"주의","정상"),IF(F70="식후",IF(E70&gt;=설정!$C$16,"주의","정상"),"조건확인")))))))</f>
        <v/>
      </c>
      <c r="K70" s="25" t="str">
        <f aca="false">IF(OR(I70="긴급",LEFT(J70,2)="긴급"),"★ 즉시 선생님 호출",IF(OR(I70="주의",J70="주의"),"결과상담에서 확인",IF(J70="조건확인","혈당조건(공복/식후) 선택","")))</f>
        <v/>
      </c>
      <c r="L70" s="25" t="str">
        <f aca="false">IF($B70="","",IF(COUNTIF($B$5:$B$1004,$B70)&gt;1,"중복 입력",""))</f>
        <v/>
      </c>
    </row>
    <row r="71" customFormat="false" ht="15" hidden="false" customHeight="false" outlineLevel="0" collapsed="false">
      <c r="A71" s="23"/>
      <c r="B71" s="24"/>
      <c r="C71" s="24"/>
      <c r="D71" s="24"/>
      <c r="E71" s="24"/>
      <c r="F71" s="24"/>
      <c r="G71" s="24"/>
      <c r="H71" s="25" t="str">
        <f aca="false">IF($B71="","",IFERROR(IF(INDEX(명단!$B$5:$B$404,MATCH($B71,명단!$A$5:$A$404,0))="","(이름 미입력)",INDEX(명단!$B$5:$B$404,MATCH($B71,명단!$A$5:$A$404,0))),"번호 없음"))</f>
        <v/>
      </c>
      <c r="I71" s="25" t="str">
        <f aca="false">IF(AND(C71="",D71=""),"",IF(OR(C71="-",D71="-"),"측정불가",IF(AND(ISNUMBER(C71),ISNUMBER(D71)),IF(OR(C71&gt;=설정!$C$11,D71&gt;=설정!$C$12),"긴급",IF(OR(C71&gt;=설정!$C$9,D71&gt;=설정!$C$10,C71&lt;설정!$C$13),"주의","정상")),"확인필요")))</f>
        <v/>
      </c>
      <c r="J71" s="25" t="str">
        <f aca="false">IF(E71="","",IF(E71="-","측정불가",IF(NOT(ISNUMBER(E71)),"확인필요",IF(E71&lt;설정!$C$17,"긴급(저혈당)",IF(E71&gt;=설정!$C$18,"긴급(고혈당)",IF(F71="공복",IF(E71&gt;=설정!$C$15,"주의","정상"),IF(F71="식후",IF(E71&gt;=설정!$C$16,"주의","정상"),"조건확인")))))))</f>
        <v/>
      </c>
      <c r="K71" s="25" t="str">
        <f aca="false">IF(OR(I71="긴급",LEFT(J71,2)="긴급"),"★ 즉시 선생님 호출",IF(OR(I71="주의",J71="주의"),"결과상담에서 확인",IF(J71="조건확인","혈당조건(공복/식후) 선택","")))</f>
        <v/>
      </c>
      <c r="L71" s="25" t="str">
        <f aca="false">IF($B71="","",IF(COUNTIF($B$5:$B$1004,$B71)&gt;1,"중복 입력",""))</f>
        <v/>
      </c>
    </row>
    <row r="72" customFormat="false" ht="15" hidden="false" customHeight="false" outlineLevel="0" collapsed="false">
      <c r="A72" s="23"/>
      <c r="B72" s="24"/>
      <c r="C72" s="24"/>
      <c r="D72" s="24"/>
      <c r="E72" s="24"/>
      <c r="F72" s="24"/>
      <c r="G72" s="24"/>
      <c r="H72" s="25" t="str">
        <f aca="false">IF($B72="","",IFERROR(IF(INDEX(명단!$B$5:$B$404,MATCH($B72,명단!$A$5:$A$404,0))="","(이름 미입력)",INDEX(명단!$B$5:$B$404,MATCH($B72,명단!$A$5:$A$404,0))),"번호 없음"))</f>
        <v/>
      </c>
      <c r="I72" s="25" t="str">
        <f aca="false">IF(AND(C72="",D72=""),"",IF(OR(C72="-",D72="-"),"측정불가",IF(AND(ISNUMBER(C72),ISNUMBER(D72)),IF(OR(C72&gt;=설정!$C$11,D72&gt;=설정!$C$12),"긴급",IF(OR(C72&gt;=설정!$C$9,D72&gt;=설정!$C$10,C72&lt;설정!$C$13),"주의","정상")),"확인필요")))</f>
        <v/>
      </c>
      <c r="J72" s="25" t="str">
        <f aca="false">IF(E72="","",IF(E72="-","측정불가",IF(NOT(ISNUMBER(E72)),"확인필요",IF(E72&lt;설정!$C$17,"긴급(저혈당)",IF(E72&gt;=설정!$C$18,"긴급(고혈당)",IF(F72="공복",IF(E72&gt;=설정!$C$15,"주의","정상"),IF(F72="식후",IF(E72&gt;=설정!$C$16,"주의","정상"),"조건확인")))))))</f>
        <v/>
      </c>
      <c r="K72" s="25" t="str">
        <f aca="false">IF(OR(I72="긴급",LEFT(J72,2)="긴급"),"★ 즉시 선생님 호출",IF(OR(I72="주의",J72="주의"),"결과상담에서 확인",IF(J72="조건확인","혈당조건(공복/식후) 선택","")))</f>
        <v/>
      </c>
      <c r="L72" s="25" t="str">
        <f aca="false">IF($B72="","",IF(COUNTIF($B$5:$B$1004,$B72)&gt;1,"중복 입력",""))</f>
        <v/>
      </c>
    </row>
    <row r="73" customFormat="false" ht="15" hidden="false" customHeight="false" outlineLevel="0" collapsed="false">
      <c r="A73" s="23"/>
      <c r="B73" s="24"/>
      <c r="C73" s="24"/>
      <c r="D73" s="24"/>
      <c r="E73" s="24"/>
      <c r="F73" s="24"/>
      <c r="G73" s="24"/>
      <c r="H73" s="25" t="str">
        <f aca="false">IF($B73="","",IFERROR(IF(INDEX(명단!$B$5:$B$404,MATCH($B73,명단!$A$5:$A$404,0))="","(이름 미입력)",INDEX(명단!$B$5:$B$404,MATCH($B73,명단!$A$5:$A$404,0))),"번호 없음"))</f>
        <v/>
      </c>
      <c r="I73" s="25" t="str">
        <f aca="false">IF(AND(C73="",D73=""),"",IF(OR(C73="-",D73="-"),"측정불가",IF(AND(ISNUMBER(C73),ISNUMBER(D73)),IF(OR(C73&gt;=설정!$C$11,D73&gt;=설정!$C$12),"긴급",IF(OR(C73&gt;=설정!$C$9,D73&gt;=설정!$C$10,C73&lt;설정!$C$13),"주의","정상")),"확인필요")))</f>
        <v/>
      </c>
      <c r="J73" s="25" t="str">
        <f aca="false">IF(E73="","",IF(E73="-","측정불가",IF(NOT(ISNUMBER(E73)),"확인필요",IF(E73&lt;설정!$C$17,"긴급(저혈당)",IF(E73&gt;=설정!$C$18,"긴급(고혈당)",IF(F73="공복",IF(E73&gt;=설정!$C$15,"주의","정상"),IF(F73="식후",IF(E73&gt;=설정!$C$16,"주의","정상"),"조건확인")))))))</f>
        <v/>
      </c>
      <c r="K73" s="25" t="str">
        <f aca="false">IF(OR(I73="긴급",LEFT(J73,2)="긴급"),"★ 즉시 선생님 호출",IF(OR(I73="주의",J73="주의"),"결과상담에서 확인",IF(J73="조건확인","혈당조건(공복/식후) 선택","")))</f>
        <v/>
      </c>
      <c r="L73" s="25" t="str">
        <f aca="false">IF($B73="","",IF(COUNTIF($B$5:$B$1004,$B73)&gt;1,"중복 입력",""))</f>
        <v/>
      </c>
    </row>
    <row r="74" customFormat="false" ht="15" hidden="false" customHeight="false" outlineLevel="0" collapsed="false">
      <c r="A74" s="23"/>
      <c r="B74" s="24"/>
      <c r="C74" s="24"/>
      <c r="D74" s="24"/>
      <c r="E74" s="24"/>
      <c r="F74" s="24"/>
      <c r="G74" s="24"/>
      <c r="H74" s="25" t="str">
        <f aca="false">IF($B74="","",IFERROR(IF(INDEX(명단!$B$5:$B$404,MATCH($B74,명단!$A$5:$A$404,0))="","(이름 미입력)",INDEX(명단!$B$5:$B$404,MATCH($B74,명단!$A$5:$A$404,0))),"번호 없음"))</f>
        <v/>
      </c>
      <c r="I74" s="25" t="str">
        <f aca="false">IF(AND(C74="",D74=""),"",IF(OR(C74="-",D74="-"),"측정불가",IF(AND(ISNUMBER(C74),ISNUMBER(D74)),IF(OR(C74&gt;=설정!$C$11,D74&gt;=설정!$C$12),"긴급",IF(OR(C74&gt;=설정!$C$9,D74&gt;=설정!$C$10,C74&lt;설정!$C$13),"주의","정상")),"확인필요")))</f>
        <v/>
      </c>
      <c r="J74" s="25" t="str">
        <f aca="false">IF(E74="","",IF(E74="-","측정불가",IF(NOT(ISNUMBER(E74)),"확인필요",IF(E74&lt;설정!$C$17,"긴급(저혈당)",IF(E74&gt;=설정!$C$18,"긴급(고혈당)",IF(F74="공복",IF(E74&gt;=설정!$C$15,"주의","정상"),IF(F74="식후",IF(E74&gt;=설정!$C$16,"주의","정상"),"조건확인")))))))</f>
        <v/>
      </c>
      <c r="K74" s="25" t="str">
        <f aca="false">IF(OR(I74="긴급",LEFT(J74,2)="긴급"),"★ 즉시 선생님 호출",IF(OR(I74="주의",J74="주의"),"결과상담에서 확인",IF(J74="조건확인","혈당조건(공복/식후) 선택","")))</f>
        <v/>
      </c>
      <c r="L74" s="25" t="str">
        <f aca="false">IF($B74="","",IF(COUNTIF($B$5:$B$1004,$B74)&gt;1,"중복 입력",""))</f>
        <v/>
      </c>
    </row>
    <row r="75" customFormat="false" ht="15" hidden="false" customHeight="false" outlineLevel="0" collapsed="false">
      <c r="A75" s="23"/>
      <c r="B75" s="24"/>
      <c r="C75" s="24"/>
      <c r="D75" s="24"/>
      <c r="E75" s="24"/>
      <c r="F75" s="24"/>
      <c r="G75" s="24"/>
      <c r="H75" s="25" t="str">
        <f aca="false">IF($B75="","",IFERROR(IF(INDEX(명단!$B$5:$B$404,MATCH($B75,명단!$A$5:$A$404,0))="","(이름 미입력)",INDEX(명단!$B$5:$B$404,MATCH($B75,명단!$A$5:$A$404,0))),"번호 없음"))</f>
        <v/>
      </c>
      <c r="I75" s="25" t="str">
        <f aca="false">IF(AND(C75="",D75=""),"",IF(OR(C75="-",D75="-"),"측정불가",IF(AND(ISNUMBER(C75),ISNUMBER(D75)),IF(OR(C75&gt;=설정!$C$11,D75&gt;=설정!$C$12),"긴급",IF(OR(C75&gt;=설정!$C$9,D75&gt;=설정!$C$10,C75&lt;설정!$C$13),"주의","정상")),"확인필요")))</f>
        <v/>
      </c>
      <c r="J75" s="25" t="str">
        <f aca="false">IF(E75="","",IF(E75="-","측정불가",IF(NOT(ISNUMBER(E75)),"확인필요",IF(E75&lt;설정!$C$17,"긴급(저혈당)",IF(E75&gt;=설정!$C$18,"긴급(고혈당)",IF(F75="공복",IF(E75&gt;=설정!$C$15,"주의","정상"),IF(F75="식후",IF(E75&gt;=설정!$C$16,"주의","정상"),"조건확인")))))))</f>
        <v/>
      </c>
      <c r="K75" s="25" t="str">
        <f aca="false">IF(OR(I75="긴급",LEFT(J75,2)="긴급"),"★ 즉시 선생님 호출",IF(OR(I75="주의",J75="주의"),"결과상담에서 확인",IF(J75="조건확인","혈당조건(공복/식후) 선택","")))</f>
        <v/>
      </c>
      <c r="L75" s="25" t="str">
        <f aca="false">IF($B75="","",IF(COUNTIF($B$5:$B$1004,$B75)&gt;1,"중복 입력",""))</f>
        <v/>
      </c>
    </row>
    <row r="76" customFormat="false" ht="15" hidden="false" customHeight="false" outlineLevel="0" collapsed="false">
      <c r="A76" s="23"/>
      <c r="B76" s="24"/>
      <c r="C76" s="24"/>
      <c r="D76" s="24"/>
      <c r="E76" s="24"/>
      <c r="F76" s="24"/>
      <c r="G76" s="24"/>
      <c r="H76" s="25" t="str">
        <f aca="false">IF($B76="","",IFERROR(IF(INDEX(명단!$B$5:$B$404,MATCH($B76,명단!$A$5:$A$404,0))="","(이름 미입력)",INDEX(명단!$B$5:$B$404,MATCH($B76,명단!$A$5:$A$404,0))),"번호 없음"))</f>
        <v/>
      </c>
      <c r="I76" s="25" t="str">
        <f aca="false">IF(AND(C76="",D76=""),"",IF(OR(C76="-",D76="-"),"측정불가",IF(AND(ISNUMBER(C76),ISNUMBER(D76)),IF(OR(C76&gt;=설정!$C$11,D76&gt;=설정!$C$12),"긴급",IF(OR(C76&gt;=설정!$C$9,D76&gt;=설정!$C$10,C76&lt;설정!$C$13),"주의","정상")),"확인필요")))</f>
        <v/>
      </c>
      <c r="J76" s="25" t="str">
        <f aca="false">IF(E76="","",IF(E76="-","측정불가",IF(NOT(ISNUMBER(E76)),"확인필요",IF(E76&lt;설정!$C$17,"긴급(저혈당)",IF(E76&gt;=설정!$C$18,"긴급(고혈당)",IF(F76="공복",IF(E76&gt;=설정!$C$15,"주의","정상"),IF(F76="식후",IF(E76&gt;=설정!$C$16,"주의","정상"),"조건확인")))))))</f>
        <v/>
      </c>
      <c r="K76" s="25" t="str">
        <f aca="false">IF(OR(I76="긴급",LEFT(J76,2)="긴급"),"★ 즉시 선생님 호출",IF(OR(I76="주의",J76="주의"),"결과상담에서 확인",IF(J76="조건확인","혈당조건(공복/식후) 선택","")))</f>
        <v/>
      </c>
      <c r="L76" s="25" t="str">
        <f aca="false">IF($B76="","",IF(COUNTIF($B$5:$B$1004,$B76)&gt;1,"중복 입력",""))</f>
        <v/>
      </c>
    </row>
    <row r="77" customFormat="false" ht="15" hidden="false" customHeight="false" outlineLevel="0" collapsed="false">
      <c r="A77" s="23"/>
      <c r="B77" s="24"/>
      <c r="C77" s="24"/>
      <c r="D77" s="24"/>
      <c r="E77" s="24"/>
      <c r="F77" s="24"/>
      <c r="G77" s="24"/>
      <c r="H77" s="25" t="str">
        <f aca="false">IF($B77="","",IFERROR(IF(INDEX(명단!$B$5:$B$404,MATCH($B77,명단!$A$5:$A$404,0))="","(이름 미입력)",INDEX(명단!$B$5:$B$404,MATCH($B77,명단!$A$5:$A$404,0))),"번호 없음"))</f>
        <v/>
      </c>
      <c r="I77" s="25" t="str">
        <f aca="false">IF(AND(C77="",D77=""),"",IF(OR(C77="-",D77="-"),"측정불가",IF(AND(ISNUMBER(C77),ISNUMBER(D77)),IF(OR(C77&gt;=설정!$C$11,D77&gt;=설정!$C$12),"긴급",IF(OR(C77&gt;=설정!$C$9,D77&gt;=설정!$C$10,C77&lt;설정!$C$13),"주의","정상")),"확인필요")))</f>
        <v/>
      </c>
      <c r="J77" s="25" t="str">
        <f aca="false">IF(E77="","",IF(E77="-","측정불가",IF(NOT(ISNUMBER(E77)),"확인필요",IF(E77&lt;설정!$C$17,"긴급(저혈당)",IF(E77&gt;=설정!$C$18,"긴급(고혈당)",IF(F77="공복",IF(E77&gt;=설정!$C$15,"주의","정상"),IF(F77="식후",IF(E77&gt;=설정!$C$16,"주의","정상"),"조건확인")))))))</f>
        <v/>
      </c>
      <c r="K77" s="25" t="str">
        <f aca="false">IF(OR(I77="긴급",LEFT(J77,2)="긴급"),"★ 즉시 선생님 호출",IF(OR(I77="주의",J77="주의"),"결과상담에서 확인",IF(J77="조건확인","혈당조건(공복/식후) 선택","")))</f>
        <v/>
      </c>
      <c r="L77" s="25" t="str">
        <f aca="false">IF($B77="","",IF(COUNTIF($B$5:$B$1004,$B77)&gt;1,"중복 입력",""))</f>
        <v/>
      </c>
    </row>
    <row r="78" customFormat="false" ht="15" hidden="false" customHeight="false" outlineLevel="0" collapsed="false">
      <c r="A78" s="23"/>
      <c r="B78" s="24"/>
      <c r="C78" s="24"/>
      <c r="D78" s="24"/>
      <c r="E78" s="24"/>
      <c r="F78" s="24"/>
      <c r="G78" s="24"/>
      <c r="H78" s="25" t="str">
        <f aca="false">IF($B78="","",IFERROR(IF(INDEX(명단!$B$5:$B$404,MATCH($B78,명단!$A$5:$A$404,0))="","(이름 미입력)",INDEX(명단!$B$5:$B$404,MATCH($B78,명단!$A$5:$A$404,0))),"번호 없음"))</f>
        <v/>
      </c>
      <c r="I78" s="25" t="str">
        <f aca="false">IF(AND(C78="",D78=""),"",IF(OR(C78="-",D78="-"),"측정불가",IF(AND(ISNUMBER(C78),ISNUMBER(D78)),IF(OR(C78&gt;=설정!$C$11,D78&gt;=설정!$C$12),"긴급",IF(OR(C78&gt;=설정!$C$9,D78&gt;=설정!$C$10,C78&lt;설정!$C$13),"주의","정상")),"확인필요")))</f>
        <v/>
      </c>
      <c r="J78" s="25" t="str">
        <f aca="false">IF(E78="","",IF(E78="-","측정불가",IF(NOT(ISNUMBER(E78)),"확인필요",IF(E78&lt;설정!$C$17,"긴급(저혈당)",IF(E78&gt;=설정!$C$18,"긴급(고혈당)",IF(F78="공복",IF(E78&gt;=설정!$C$15,"주의","정상"),IF(F78="식후",IF(E78&gt;=설정!$C$16,"주의","정상"),"조건확인")))))))</f>
        <v/>
      </c>
      <c r="K78" s="25" t="str">
        <f aca="false">IF(OR(I78="긴급",LEFT(J78,2)="긴급"),"★ 즉시 선생님 호출",IF(OR(I78="주의",J78="주의"),"결과상담에서 확인",IF(J78="조건확인","혈당조건(공복/식후) 선택","")))</f>
        <v/>
      </c>
      <c r="L78" s="25" t="str">
        <f aca="false">IF($B78="","",IF(COUNTIF($B$5:$B$1004,$B78)&gt;1,"중복 입력",""))</f>
        <v/>
      </c>
    </row>
    <row r="79" customFormat="false" ht="15" hidden="false" customHeight="false" outlineLevel="0" collapsed="false">
      <c r="A79" s="23"/>
      <c r="B79" s="24"/>
      <c r="C79" s="24"/>
      <c r="D79" s="24"/>
      <c r="E79" s="24"/>
      <c r="F79" s="24"/>
      <c r="G79" s="24"/>
      <c r="H79" s="25" t="str">
        <f aca="false">IF($B79="","",IFERROR(IF(INDEX(명단!$B$5:$B$404,MATCH($B79,명단!$A$5:$A$404,0))="","(이름 미입력)",INDEX(명단!$B$5:$B$404,MATCH($B79,명단!$A$5:$A$404,0))),"번호 없음"))</f>
        <v/>
      </c>
      <c r="I79" s="25" t="str">
        <f aca="false">IF(AND(C79="",D79=""),"",IF(OR(C79="-",D79="-"),"측정불가",IF(AND(ISNUMBER(C79),ISNUMBER(D79)),IF(OR(C79&gt;=설정!$C$11,D79&gt;=설정!$C$12),"긴급",IF(OR(C79&gt;=설정!$C$9,D79&gt;=설정!$C$10,C79&lt;설정!$C$13),"주의","정상")),"확인필요")))</f>
        <v/>
      </c>
      <c r="J79" s="25" t="str">
        <f aca="false">IF(E79="","",IF(E79="-","측정불가",IF(NOT(ISNUMBER(E79)),"확인필요",IF(E79&lt;설정!$C$17,"긴급(저혈당)",IF(E79&gt;=설정!$C$18,"긴급(고혈당)",IF(F79="공복",IF(E79&gt;=설정!$C$15,"주의","정상"),IF(F79="식후",IF(E79&gt;=설정!$C$16,"주의","정상"),"조건확인")))))))</f>
        <v/>
      </c>
      <c r="K79" s="25" t="str">
        <f aca="false">IF(OR(I79="긴급",LEFT(J79,2)="긴급"),"★ 즉시 선생님 호출",IF(OR(I79="주의",J79="주의"),"결과상담에서 확인",IF(J79="조건확인","혈당조건(공복/식후) 선택","")))</f>
        <v/>
      </c>
      <c r="L79" s="25" t="str">
        <f aca="false">IF($B79="","",IF(COUNTIF($B$5:$B$1004,$B79)&gt;1,"중복 입력",""))</f>
        <v/>
      </c>
    </row>
    <row r="80" customFormat="false" ht="15" hidden="false" customHeight="false" outlineLevel="0" collapsed="false">
      <c r="A80" s="23"/>
      <c r="B80" s="24"/>
      <c r="C80" s="24"/>
      <c r="D80" s="24"/>
      <c r="E80" s="24"/>
      <c r="F80" s="24"/>
      <c r="G80" s="24"/>
      <c r="H80" s="25" t="str">
        <f aca="false">IF($B80="","",IFERROR(IF(INDEX(명단!$B$5:$B$404,MATCH($B80,명단!$A$5:$A$404,0))="","(이름 미입력)",INDEX(명단!$B$5:$B$404,MATCH($B80,명단!$A$5:$A$404,0))),"번호 없음"))</f>
        <v/>
      </c>
      <c r="I80" s="25" t="str">
        <f aca="false">IF(AND(C80="",D80=""),"",IF(OR(C80="-",D80="-"),"측정불가",IF(AND(ISNUMBER(C80),ISNUMBER(D80)),IF(OR(C80&gt;=설정!$C$11,D80&gt;=설정!$C$12),"긴급",IF(OR(C80&gt;=설정!$C$9,D80&gt;=설정!$C$10,C80&lt;설정!$C$13),"주의","정상")),"확인필요")))</f>
        <v/>
      </c>
      <c r="J80" s="25" t="str">
        <f aca="false">IF(E80="","",IF(E80="-","측정불가",IF(NOT(ISNUMBER(E80)),"확인필요",IF(E80&lt;설정!$C$17,"긴급(저혈당)",IF(E80&gt;=설정!$C$18,"긴급(고혈당)",IF(F80="공복",IF(E80&gt;=설정!$C$15,"주의","정상"),IF(F80="식후",IF(E80&gt;=설정!$C$16,"주의","정상"),"조건확인")))))))</f>
        <v/>
      </c>
      <c r="K80" s="25" t="str">
        <f aca="false">IF(OR(I80="긴급",LEFT(J80,2)="긴급"),"★ 즉시 선생님 호출",IF(OR(I80="주의",J80="주의"),"결과상담에서 확인",IF(J80="조건확인","혈당조건(공복/식후) 선택","")))</f>
        <v/>
      </c>
      <c r="L80" s="25" t="str">
        <f aca="false">IF($B80="","",IF(COUNTIF($B$5:$B$1004,$B80)&gt;1,"중복 입력",""))</f>
        <v/>
      </c>
    </row>
    <row r="81" customFormat="false" ht="15" hidden="false" customHeight="false" outlineLevel="0" collapsed="false">
      <c r="A81" s="23"/>
      <c r="B81" s="24"/>
      <c r="C81" s="24"/>
      <c r="D81" s="24"/>
      <c r="E81" s="24"/>
      <c r="F81" s="24"/>
      <c r="G81" s="24"/>
      <c r="H81" s="25" t="str">
        <f aca="false">IF($B81="","",IFERROR(IF(INDEX(명단!$B$5:$B$404,MATCH($B81,명단!$A$5:$A$404,0))="","(이름 미입력)",INDEX(명단!$B$5:$B$404,MATCH($B81,명단!$A$5:$A$404,0))),"번호 없음"))</f>
        <v/>
      </c>
      <c r="I81" s="25" t="str">
        <f aca="false">IF(AND(C81="",D81=""),"",IF(OR(C81="-",D81="-"),"측정불가",IF(AND(ISNUMBER(C81),ISNUMBER(D81)),IF(OR(C81&gt;=설정!$C$11,D81&gt;=설정!$C$12),"긴급",IF(OR(C81&gt;=설정!$C$9,D81&gt;=설정!$C$10,C81&lt;설정!$C$13),"주의","정상")),"확인필요")))</f>
        <v/>
      </c>
      <c r="J81" s="25" t="str">
        <f aca="false">IF(E81="","",IF(E81="-","측정불가",IF(NOT(ISNUMBER(E81)),"확인필요",IF(E81&lt;설정!$C$17,"긴급(저혈당)",IF(E81&gt;=설정!$C$18,"긴급(고혈당)",IF(F81="공복",IF(E81&gt;=설정!$C$15,"주의","정상"),IF(F81="식후",IF(E81&gt;=설정!$C$16,"주의","정상"),"조건확인")))))))</f>
        <v/>
      </c>
      <c r="K81" s="25" t="str">
        <f aca="false">IF(OR(I81="긴급",LEFT(J81,2)="긴급"),"★ 즉시 선생님 호출",IF(OR(I81="주의",J81="주의"),"결과상담에서 확인",IF(J81="조건확인","혈당조건(공복/식후) 선택","")))</f>
        <v/>
      </c>
      <c r="L81" s="25" t="str">
        <f aca="false">IF($B81="","",IF(COUNTIF($B$5:$B$1004,$B81)&gt;1,"중복 입력",""))</f>
        <v/>
      </c>
    </row>
    <row r="82" customFormat="false" ht="15" hidden="false" customHeight="false" outlineLevel="0" collapsed="false">
      <c r="A82" s="23"/>
      <c r="B82" s="24"/>
      <c r="C82" s="24"/>
      <c r="D82" s="24"/>
      <c r="E82" s="24"/>
      <c r="F82" s="24"/>
      <c r="G82" s="24"/>
      <c r="H82" s="25" t="str">
        <f aca="false">IF($B82="","",IFERROR(IF(INDEX(명단!$B$5:$B$404,MATCH($B82,명단!$A$5:$A$404,0))="","(이름 미입력)",INDEX(명단!$B$5:$B$404,MATCH($B82,명단!$A$5:$A$404,0))),"번호 없음"))</f>
        <v/>
      </c>
      <c r="I82" s="25" t="str">
        <f aca="false">IF(AND(C82="",D82=""),"",IF(OR(C82="-",D82="-"),"측정불가",IF(AND(ISNUMBER(C82),ISNUMBER(D82)),IF(OR(C82&gt;=설정!$C$11,D82&gt;=설정!$C$12),"긴급",IF(OR(C82&gt;=설정!$C$9,D82&gt;=설정!$C$10,C82&lt;설정!$C$13),"주의","정상")),"확인필요")))</f>
        <v/>
      </c>
      <c r="J82" s="25" t="str">
        <f aca="false">IF(E82="","",IF(E82="-","측정불가",IF(NOT(ISNUMBER(E82)),"확인필요",IF(E82&lt;설정!$C$17,"긴급(저혈당)",IF(E82&gt;=설정!$C$18,"긴급(고혈당)",IF(F82="공복",IF(E82&gt;=설정!$C$15,"주의","정상"),IF(F82="식후",IF(E82&gt;=설정!$C$16,"주의","정상"),"조건확인")))))))</f>
        <v/>
      </c>
      <c r="K82" s="25" t="str">
        <f aca="false">IF(OR(I82="긴급",LEFT(J82,2)="긴급"),"★ 즉시 선생님 호출",IF(OR(I82="주의",J82="주의"),"결과상담에서 확인",IF(J82="조건확인","혈당조건(공복/식후) 선택","")))</f>
        <v/>
      </c>
      <c r="L82" s="25" t="str">
        <f aca="false">IF($B82="","",IF(COUNTIF($B$5:$B$1004,$B82)&gt;1,"중복 입력",""))</f>
        <v/>
      </c>
    </row>
    <row r="83" customFormat="false" ht="15" hidden="false" customHeight="false" outlineLevel="0" collapsed="false">
      <c r="A83" s="23"/>
      <c r="B83" s="24"/>
      <c r="C83" s="24"/>
      <c r="D83" s="24"/>
      <c r="E83" s="24"/>
      <c r="F83" s="24"/>
      <c r="G83" s="24"/>
      <c r="H83" s="25" t="str">
        <f aca="false">IF($B83="","",IFERROR(IF(INDEX(명단!$B$5:$B$404,MATCH($B83,명단!$A$5:$A$404,0))="","(이름 미입력)",INDEX(명단!$B$5:$B$404,MATCH($B83,명단!$A$5:$A$404,0))),"번호 없음"))</f>
        <v/>
      </c>
      <c r="I83" s="25" t="str">
        <f aca="false">IF(AND(C83="",D83=""),"",IF(OR(C83="-",D83="-"),"측정불가",IF(AND(ISNUMBER(C83),ISNUMBER(D83)),IF(OR(C83&gt;=설정!$C$11,D83&gt;=설정!$C$12),"긴급",IF(OR(C83&gt;=설정!$C$9,D83&gt;=설정!$C$10,C83&lt;설정!$C$13),"주의","정상")),"확인필요")))</f>
        <v/>
      </c>
      <c r="J83" s="25" t="str">
        <f aca="false">IF(E83="","",IF(E83="-","측정불가",IF(NOT(ISNUMBER(E83)),"확인필요",IF(E83&lt;설정!$C$17,"긴급(저혈당)",IF(E83&gt;=설정!$C$18,"긴급(고혈당)",IF(F83="공복",IF(E83&gt;=설정!$C$15,"주의","정상"),IF(F83="식후",IF(E83&gt;=설정!$C$16,"주의","정상"),"조건확인")))))))</f>
        <v/>
      </c>
      <c r="K83" s="25" t="str">
        <f aca="false">IF(OR(I83="긴급",LEFT(J83,2)="긴급"),"★ 즉시 선생님 호출",IF(OR(I83="주의",J83="주의"),"결과상담에서 확인",IF(J83="조건확인","혈당조건(공복/식후) 선택","")))</f>
        <v/>
      </c>
      <c r="L83" s="25" t="str">
        <f aca="false">IF($B83="","",IF(COUNTIF($B$5:$B$1004,$B83)&gt;1,"중복 입력",""))</f>
        <v/>
      </c>
    </row>
    <row r="84" customFormat="false" ht="15" hidden="false" customHeight="false" outlineLevel="0" collapsed="false">
      <c r="A84" s="23"/>
      <c r="B84" s="24"/>
      <c r="C84" s="24"/>
      <c r="D84" s="24"/>
      <c r="E84" s="24"/>
      <c r="F84" s="24"/>
      <c r="G84" s="24"/>
      <c r="H84" s="25" t="str">
        <f aca="false">IF($B84="","",IFERROR(IF(INDEX(명단!$B$5:$B$404,MATCH($B84,명단!$A$5:$A$404,0))="","(이름 미입력)",INDEX(명단!$B$5:$B$404,MATCH($B84,명단!$A$5:$A$404,0))),"번호 없음"))</f>
        <v/>
      </c>
      <c r="I84" s="25" t="str">
        <f aca="false">IF(AND(C84="",D84=""),"",IF(OR(C84="-",D84="-"),"측정불가",IF(AND(ISNUMBER(C84),ISNUMBER(D84)),IF(OR(C84&gt;=설정!$C$11,D84&gt;=설정!$C$12),"긴급",IF(OR(C84&gt;=설정!$C$9,D84&gt;=설정!$C$10,C84&lt;설정!$C$13),"주의","정상")),"확인필요")))</f>
        <v/>
      </c>
      <c r="J84" s="25" t="str">
        <f aca="false">IF(E84="","",IF(E84="-","측정불가",IF(NOT(ISNUMBER(E84)),"확인필요",IF(E84&lt;설정!$C$17,"긴급(저혈당)",IF(E84&gt;=설정!$C$18,"긴급(고혈당)",IF(F84="공복",IF(E84&gt;=설정!$C$15,"주의","정상"),IF(F84="식후",IF(E84&gt;=설정!$C$16,"주의","정상"),"조건확인")))))))</f>
        <v/>
      </c>
      <c r="K84" s="25" t="str">
        <f aca="false">IF(OR(I84="긴급",LEFT(J84,2)="긴급"),"★ 즉시 선생님 호출",IF(OR(I84="주의",J84="주의"),"결과상담에서 확인",IF(J84="조건확인","혈당조건(공복/식후) 선택","")))</f>
        <v/>
      </c>
      <c r="L84" s="25" t="str">
        <f aca="false">IF($B84="","",IF(COUNTIF($B$5:$B$1004,$B84)&gt;1,"중복 입력",""))</f>
        <v/>
      </c>
    </row>
    <row r="85" customFormat="false" ht="15" hidden="false" customHeight="false" outlineLevel="0" collapsed="false">
      <c r="A85" s="23"/>
      <c r="B85" s="24"/>
      <c r="C85" s="24"/>
      <c r="D85" s="24"/>
      <c r="E85" s="24"/>
      <c r="F85" s="24"/>
      <c r="G85" s="24"/>
      <c r="H85" s="25" t="str">
        <f aca="false">IF($B85="","",IFERROR(IF(INDEX(명단!$B$5:$B$404,MATCH($B85,명단!$A$5:$A$404,0))="","(이름 미입력)",INDEX(명단!$B$5:$B$404,MATCH($B85,명단!$A$5:$A$404,0))),"번호 없음"))</f>
        <v/>
      </c>
      <c r="I85" s="25" t="str">
        <f aca="false">IF(AND(C85="",D85=""),"",IF(OR(C85="-",D85="-"),"측정불가",IF(AND(ISNUMBER(C85),ISNUMBER(D85)),IF(OR(C85&gt;=설정!$C$11,D85&gt;=설정!$C$12),"긴급",IF(OR(C85&gt;=설정!$C$9,D85&gt;=설정!$C$10,C85&lt;설정!$C$13),"주의","정상")),"확인필요")))</f>
        <v/>
      </c>
      <c r="J85" s="25" t="str">
        <f aca="false">IF(E85="","",IF(E85="-","측정불가",IF(NOT(ISNUMBER(E85)),"확인필요",IF(E85&lt;설정!$C$17,"긴급(저혈당)",IF(E85&gt;=설정!$C$18,"긴급(고혈당)",IF(F85="공복",IF(E85&gt;=설정!$C$15,"주의","정상"),IF(F85="식후",IF(E85&gt;=설정!$C$16,"주의","정상"),"조건확인")))))))</f>
        <v/>
      </c>
      <c r="K85" s="25" t="str">
        <f aca="false">IF(OR(I85="긴급",LEFT(J85,2)="긴급"),"★ 즉시 선생님 호출",IF(OR(I85="주의",J85="주의"),"결과상담에서 확인",IF(J85="조건확인","혈당조건(공복/식후) 선택","")))</f>
        <v/>
      </c>
      <c r="L85" s="25" t="str">
        <f aca="false">IF($B85="","",IF(COUNTIF($B$5:$B$1004,$B85)&gt;1,"중복 입력",""))</f>
        <v/>
      </c>
    </row>
    <row r="86" customFormat="false" ht="15" hidden="false" customHeight="false" outlineLevel="0" collapsed="false">
      <c r="A86" s="23"/>
      <c r="B86" s="24"/>
      <c r="C86" s="24"/>
      <c r="D86" s="24"/>
      <c r="E86" s="24"/>
      <c r="F86" s="24"/>
      <c r="G86" s="24"/>
      <c r="H86" s="25" t="str">
        <f aca="false">IF($B86="","",IFERROR(IF(INDEX(명단!$B$5:$B$404,MATCH($B86,명단!$A$5:$A$404,0))="","(이름 미입력)",INDEX(명단!$B$5:$B$404,MATCH($B86,명단!$A$5:$A$404,0))),"번호 없음"))</f>
        <v/>
      </c>
      <c r="I86" s="25" t="str">
        <f aca="false">IF(AND(C86="",D86=""),"",IF(OR(C86="-",D86="-"),"측정불가",IF(AND(ISNUMBER(C86),ISNUMBER(D86)),IF(OR(C86&gt;=설정!$C$11,D86&gt;=설정!$C$12),"긴급",IF(OR(C86&gt;=설정!$C$9,D86&gt;=설정!$C$10,C86&lt;설정!$C$13),"주의","정상")),"확인필요")))</f>
        <v/>
      </c>
      <c r="J86" s="25" t="str">
        <f aca="false">IF(E86="","",IF(E86="-","측정불가",IF(NOT(ISNUMBER(E86)),"확인필요",IF(E86&lt;설정!$C$17,"긴급(저혈당)",IF(E86&gt;=설정!$C$18,"긴급(고혈당)",IF(F86="공복",IF(E86&gt;=설정!$C$15,"주의","정상"),IF(F86="식후",IF(E86&gt;=설정!$C$16,"주의","정상"),"조건확인")))))))</f>
        <v/>
      </c>
      <c r="K86" s="25" t="str">
        <f aca="false">IF(OR(I86="긴급",LEFT(J86,2)="긴급"),"★ 즉시 선생님 호출",IF(OR(I86="주의",J86="주의"),"결과상담에서 확인",IF(J86="조건확인","혈당조건(공복/식후) 선택","")))</f>
        <v/>
      </c>
      <c r="L86" s="25" t="str">
        <f aca="false">IF($B86="","",IF(COUNTIF($B$5:$B$1004,$B86)&gt;1,"중복 입력",""))</f>
        <v/>
      </c>
    </row>
    <row r="87" customFormat="false" ht="15" hidden="false" customHeight="false" outlineLevel="0" collapsed="false">
      <c r="A87" s="23"/>
      <c r="B87" s="24"/>
      <c r="C87" s="24"/>
      <c r="D87" s="24"/>
      <c r="E87" s="24"/>
      <c r="F87" s="24"/>
      <c r="G87" s="24"/>
      <c r="H87" s="25" t="str">
        <f aca="false">IF($B87="","",IFERROR(IF(INDEX(명단!$B$5:$B$404,MATCH($B87,명단!$A$5:$A$404,0))="","(이름 미입력)",INDEX(명단!$B$5:$B$404,MATCH($B87,명단!$A$5:$A$404,0))),"번호 없음"))</f>
        <v/>
      </c>
      <c r="I87" s="25" t="str">
        <f aca="false">IF(AND(C87="",D87=""),"",IF(OR(C87="-",D87="-"),"측정불가",IF(AND(ISNUMBER(C87),ISNUMBER(D87)),IF(OR(C87&gt;=설정!$C$11,D87&gt;=설정!$C$12),"긴급",IF(OR(C87&gt;=설정!$C$9,D87&gt;=설정!$C$10,C87&lt;설정!$C$13),"주의","정상")),"확인필요")))</f>
        <v/>
      </c>
      <c r="J87" s="25" t="str">
        <f aca="false">IF(E87="","",IF(E87="-","측정불가",IF(NOT(ISNUMBER(E87)),"확인필요",IF(E87&lt;설정!$C$17,"긴급(저혈당)",IF(E87&gt;=설정!$C$18,"긴급(고혈당)",IF(F87="공복",IF(E87&gt;=설정!$C$15,"주의","정상"),IF(F87="식후",IF(E87&gt;=설정!$C$16,"주의","정상"),"조건확인")))))))</f>
        <v/>
      </c>
      <c r="K87" s="25" t="str">
        <f aca="false">IF(OR(I87="긴급",LEFT(J87,2)="긴급"),"★ 즉시 선생님 호출",IF(OR(I87="주의",J87="주의"),"결과상담에서 확인",IF(J87="조건확인","혈당조건(공복/식후) 선택","")))</f>
        <v/>
      </c>
      <c r="L87" s="25" t="str">
        <f aca="false">IF($B87="","",IF(COUNTIF($B$5:$B$1004,$B87)&gt;1,"중복 입력",""))</f>
        <v/>
      </c>
    </row>
    <row r="88" customFormat="false" ht="15" hidden="false" customHeight="false" outlineLevel="0" collapsed="false">
      <c r="A88" s="23"/>
      <c r="B88" s="24"/>
      <c r="C88" s="24"/>
      <c r="D88" s="24"/>
      <c r="E88" s="24"/>
      <c r="F88" s="24"/>
      <c r="G88" s="24"/>
      <c r="H88" s="25" t="str">
        <f aca="false">IF($B88="","",IFERROR(IF(INDEX(명단!$B$5:$B$404,MATCH($B88,명단!$A$5:$A$404,0))="","(이름 미입력)",INDEX(명단!$B$5:$B$404,MATCH($B88,명단!$A$5:$A$404,0))),"번호 없음"))</f>
        <v/>
      </c>
      <c r="I88" s="25" t="str">
        <f aca="false">IF(AND(C88="",D88=""),"",IF(OR(C88="-",D88="-"),"측정불가",IF(AND(ISNUMBER(C88),ISNUMBER(D88)),IF(OR(C88&gt;=설정!$C$11,D88&gt;=설정!$C$12),"긴급",IF(OR(C88&gt;=설정!$C$9,D88&gt;=설정!$C$10,C88&lt;설정!$C$13),"주의","정상")),"확인필요")))</f>
        <v/>
      </c>
      <c r="J88" s="25" t="str">
        <f aca="false">IF(E88="","",IF(E88="-","측정불가",IF(NOT(ISNUMBER(E88)),"확인필요",IF(E88&lt;설정!$C$17,"긴급(저혈당)",IF(E88&gt;=설정!$C$18,"긴급(고혈당)",IF(F88="공복",IF(E88&gt;=설정!$C$15,"주의","정상"),IF(F88="식후",IF(E88&gt;=설정!$C$16,"주의","정상"),"조건확인")))))))</f>
        <v/>
      </c>
      <c r="K88" s="25" t="str">
        <f aca="false">IF(OR(I88="긴급",LEFT(J88,2)="긴급"),"★ 즉시 선생님 호출",IF(OR(I88="주의",J88="주의"),"결과상담에서 확인",IF(J88="조건확인","혈당조건(공복/식후) 선택","")))</f>
        <v/>
      </c>
      <c r="L88" s="25" t="str">
        <f aca="false">IF($B88="","",IF(COUNTIF($B$5:$B$1004,$B88)&gt;1,"중복 입력",""))</f>
        <v/>
      </c>
    </row>
    <row r="89" customFormat="false" ht="15" hidden="false" customHeight="false" outlineLevel="0" collapsed="false">
      <c r="A89" s="23"/>
      <c r="B89" s="24"/>
      <c r="C89" s="24"/>
      <c r="D89" s="24"/>
      <c r="E89" s="24"/>
      <c r="F89" s="24"/>
      <c r="G89" s="24"/>
      <c r="H89" s="25" t="str">
        <f aca="false">IF($B89="","",IFERROR(IF(INDEX(명단!$B$5:$B$404,MATCH($B89,명단!$A$5:$A$404,0))="","(이름 미입력)",INDEX(명단!$B$5:$B$404,MATCH($B89,명단!$A$5:$A$404,0))),"번호 없음"))</f>
        <v/>
      </c>
      <c r="I89" s="25" t="str">
        <f aca="false">IF(AND(C89="",D89=""),"",IF(OR(C89="-",D89="-"),"측정불가",IF(AND(ISNUMBER(C89),ISNUMBER(D89)),IF(OR(C89&gt;=설정!$C$11,D89&gt;=설정!$C$12),"긴급",IF(OR(C89&gt;=설정!$C$9,D89&gt;=설정!$C$10,C89&lt;설정!$C$13),"주의","정상")),"확인필요")))</f>
        <v/>
      </c>
      <c r="J89" s="25" t="str">
        <f aca="false">IF(E89="","",IF(E89="-","측정불가",IF(NOT(ISNUMBER(E89)),"확인필요",IF(E89&lt;설정!$C$17,"긴급(저혈당)",IF(E89&gt;=설정!$C$18,"긴급(고혈당)",IF(F89="공복",IF(E89&gt;=설정!$C$15,"주의","정상"),IF(F89="식후",IF(E89&gt;=설정!$C$16,"주의","정상"),"조건확인")))))))</f>
        <v/>
      </c>
      <c r="K89" s="25" t="str">
        <f aca="false">IF(OR(I89="긴급",LEFT(J89,2)="긴급"),"★ 즉시 선생님 호출",IF(OR(I89="주의",J89="주의"),"결과상담에서 확인",IF(J89="조건확인","혈당조건(공복/식후) 선택","")))</f>
        <v/>
      </c>
      <c r="L89" s="25" t="str">
        <f aca="false">IF($B89="","",IF(COUNTIF($B$5:$B$1004,$B89)&gt;1,"중복 입력",""))</f>
        <v/>
      </c>
    </row>
    <row r="90" customFormat="false" ht="15" hidden="false" customHeight="false" outlineLevel="0" collapsed="false">
      <c r="A90" s="23"/>
      <c r="B90" s="24"/>
      <c r="C90" s="24"/>
      <c r="D90" s="24"/>
      <c r="E90" s="24"/>
      <c r="F90" s="24"/>
      <c r="G90" s="24"/>
      <c r="H90" s="25" t="str">
        <f aca="false">IF($B90="","",IFERROR(IF(INDEX(명단!$B$5:$B$404,MATCH($B90,명단!$A$5:$A$404,0))="","(이름 미입력)",INDEX(명단!$B$5:$B$404,MATCH($B90,명단!$A$5:$A$404,0))),"번호 없음"))</f>
        <v/>
      </c>
      <c r="I90" s="25" t="str">
        <f aca="false">IF(AND(C90="",D90=""),"",IF(OR(C90="-",D90="-"),"측정불가",IF(AND(ISNUMBER(C90),ISNUMBER(D90)),IF(OR(C90&gt;=설정!$C$11,D90&gt;=설정!$C$12),"긴급",IF(OR(C90&gt;=설정!$C$9,D90&gt;=설정!$C$10,C90&lt;설정!$C$13),"주의","정상")),"확인필요")))</f>
        <v/>
      </c>
      <c r="J90" s="25" t="str">
        <f aca="false">IF(E90="","",IF(E90="-","측정불가",IF(NOT(ISNUMBER(E90)),"확인필요",IF(E90&lt;설정!$C$17,"긴급(저혈당)",IF(E90&gt;=설정!$C$18,"긴급(고혈당)",IF(F90="공복",IF(E90&gt;=설정!$C$15,"주의","정상"),IF(F90="식후",IF(E90&gt;=설정!$C$16,"주의","정상"),"조건확인")))))))</f>
        <v/>
      </c>
      <c r="K90" s="25" t="str">
        <f aca="false">IF(OR(I90="긴급",LEFT(J90,2)="긴급"),"★ 즉시 선생님 호출",IF(OR(I90="주의",J90="주의"),"결과상담에서 확인",IF(J90="조건확인","혈당조건(공복/식후) 선택","")))</f>
        <v/>
      </c>
      <c r="L90" s="25" t="str">
        <f aca="false">IF($B90="","",IF(COUNTIF($B$5:$B$1004,$B90)&gt;1,"중복 입력",""))</f>
        <v/>
      </c>
    </row>
    <row r="91" customFormat="false" ht="15" hidden="false" customHeight="false" outlineLevel="0" collapsed="false">
      <c r="A91" s="23"/>
      <c r="B91" s="24"/>
      <c r="C91" s="24"/>
      <c r="D91" s="24"/>
      <c r="E91" s="24"/>
      <c r="F91" s="24"/>
      <c r="G91" s="24"/>
      <c r="H91" s="25" t="str">
        <f aca="false">IF($B91="","",IFERROR(IF(INDEX(명단!$B$5:$B$404,MATCH($B91,명단!$A$5:$A$404,0))="","(이름 미입력)",INDEX(명단!$B$5:$B$404,MATCH($B91,명단!$A$5:$A$404,0))),"번호 없음"))</f>
        <v/>
      </c>
      <c r="I91" s="25" t="str">
        <f aca="false">IF(AND(C91="",D91=""),"",IF(OR(C91="-",D91="-"),"측정불가",IF(AND(ISNUMBER(C91),ISNUMBER(D91)),IF(OR(C91&gt;=설정!$C$11,D91&gt;=설정!$C$12),"긴급",IF(OR(C91&gt;=설정!$C$9,D91&gt;=설정!$C$10,C91&lt;설정!$C$13),"주의","정상")),"확인필요")))</f>
        <v/>
      </c>
      <c r="J91" s="25" t="str">
        <f aca="false">IF(E91="","",IF(E91="-","측정불가",IF(NOT(ISNUMBER(E91)),"확인필요",IF(E91&lt;설정!$C$17,"긴급(저혈당)",IF(E91&gt;=설정!$C$18,"긴급(고혈당)",IF(F91="공복",IF(E91&gt;=설정!$C$15,"주의","정상"),IF(F91="식후",IF(E91&gt;=설정!$C$16,"주의","정상"),"조건확인")))))))</f>
        <v/>
      </c>
      <c r="K91" s="25" t="str">
        <f aca="false">IF(OR(I91="긴급",LEFT(J91,2)="긴급"),"★ 즉시 선생님 호출",IF(OR(I91="주의",J91="주의"),"결과상담에서 확인",IF(J91="조건확인","혈당조건(공복/식후) 선택","")))</f>
        <v/>
      </c>
      <c r="L91" s="25" t="str">
        <f aca="false">IF($B91="","",IF(COUNTIF($B$5:$B$1004,$B91)&gt;1,"중복 입력",""))</f>
        <v/>
      </c>
    </row>
    <row r="92" customFormat="false" ht="15" hidden="false" customHeight="false" outlineLevel="0" collapsed="false">
      <c r="A92" s="23"/>
      <c r="B92" s="24"/>
      <c r="C92" s="24"/>
      <c r="D92" s="24"/>
      <c r="E92" s="24"/>
      <c r="F92" s="24"/>
      <c r="G92" s="24"/>
      <c r="H92" s="25" t="str">
        <f aca="false">IF($B92="","",IFERROR(IF(INDEX(명단!$B$5:$B$404,MATCH($B92,명단!$A$5:$A$404,0))="","(이름 미입력)",INDEX(명단!$B$5:$B$404,MATCH($B92,명단!$A$5:$A$404,0))),"번호 없음"))</f>
        <v/>
      </c>
      <c r="I92" s="25" t="str">
        <f aca="false">IF(AND(C92="",D92=""),"",IF(OR(C92="-",D92="-"),"측정불가",IF(AND(ISNUMBER(C92),ISNUMBER(D92)),IF(OR(C92&gt;=설정!$C$11,D92&gt;=설정!$C$12),"긴급",IF(OR(C92&gt;=설정!$C$9,D92&gt;=설정!$C$10,C92&lt;설정!$C$13),"주의","정상")),"확인필요")))</f>
        <v/>
      </c>
      <c r="J92" s="25" t="str">
        <f aca="false">IF(E92="","",IF(E92="-","측정불가",IF(NOT(ISNUMBER(E92)),"확인필요",IF(E92&lt;설정!$C$17,"긴급(저혈당)",IF(E92&gt;=설정!$C$18,"긴급(고혈당)",IF(F92="공복",IF(E92&gt;=설정!$C$15,"주의","정상"),IF(F92="식후",IF(E92&gt;=설정!$C$16,"주의","정상"),"조건확인")))))))</f>
        <v/>
      </c>
      <c r="K92" s="25" t="str">
        <f aca="false">IF(OR(I92="긴급",LEFT(J92,2)="긴급"),"★ 즉시 선생님 호출",IF(OR(I92="주의",J92="주의"),"결과상담에서 확인",IF(J92="조건확인","혈당조건(공복/식후) 선택","")))</f>
        <v/>
      </c>
      <c r="L92" s="25" t="str">
        <f aca="false">IF($B92="","",IF(COUNTIF($B$5:$B$1004,$B92)&gt;1,"중복 입력",""))</f>
        <v/>
      </c>
    </row>
    <row r="93" customFormat="false" ht="15" hidden="false" customHeight="false" outlineLevel="0" collapsed="false">
      <c r="A93" s="23"/>
      <c r="B93" s="24"/>
      <c r="C93" s="24"/>
      <c r="D93" s="24"/>
      <c r="E93" s="24"/>
      <c r="F93" s="24"/>
      <c r="G93" s="24"/>
      <c r="H93" s="25" t="str">
        <f aca="false">IF($B93="","",IFERROR(IF(INDEX(명단!$B$5:$B$404,MATCH($B93,명단!$A$5:$A$404,0))="","(이름 미입력)",INDEX(명단!$B$5:$B$404,MATCH($B93,명단!$A$5:$A$404,0))),"번호 없음"))</f>
        <v/>
      </c>
      <c r="I93" s="25" t="str">
        <f aca="false">IF(AND(C93="",D93=""),"",IF(OR(C93="-",D93="-"),"측정불가",IF(AND(ISNUMBER(C93),ISNUMBER(D93)),IF(OR(C93&gt;=설정!$C$11,D93&gt;=설정!$C$12),"긴급",IF(OR(C93&gt;=설정!$C$9,D93&gt;=설정!$C$10,C93&lt;설정!$C$13),"주의","정상")),"확인필요")))</f>
        <v/>
      </c>
      <c r="J93" s="25" t="str">
        <f aca="false">IF(E93="","",IF(E93="-","측정불가",IF(NOT(ISNUMBER(E93)),"확인필요",IF(E93&lt;설정!$C$17,"긴급(저혈당)",IF(E93&gt;=설정!$C$18,"긴급(고혈당)",IF(F93="공복",IF(E93&gt;=설정!$C$15,"주의","정상"),IF(F93="식후",IF(E93&gt;=설정!$C$16,"주의","정상"),"조건확인")))))))</f>
        <v/>
      </c>
      <c r="K93" s="25" t="str">
        <f aca="false">IF(OR(I93="긴급",LEFT(J93,2)="긴급"),"★ 즉시 선생님 호출",IF(OR(I93="주의",J93="주의"),"결과상담에서 확인",IF(J93="조건확인","혈당조건(공복/식후) 선택","")))</f>
        <v/>
      </c>
      <c r="L93" s="25" t="str">
        <f aca="false">IF($B93="","",IF(COUNTIF($B$5:$B$1004,$B93)&gt;1,"중복 입력",""))</f>
        <v/>
      </c>
    </row>
    <row r="94" customFormat="false" ht="15" hidden="false" customHeight="false" outlineLevel="0" collapsed="false">
      <c r="A94" s="23"/>
      <c r="B94" s="24"/>
      <c r="C94" s="24"/>
      <c r="D94" s="24"/>
      <c r="E94" s="24"/>
      <c r="F94" s="24"/>
      <c r="G94" s="24"/>
      <c r="H94" s="25" t="str">
        <f aca="false">IF($B94="","",IFERROR(IF(INDEX(명단!$B$5:$B$404,MATCH($B94,명단!$A$5:$A$404,0))="","(이름 미입력)",INDEX(명단!$B$5:$B$404,MATCH($B94,명단!$A$5:$A$404,0))),"번호 없음"))</f>
        <v/>
      </c>
      <c r="I94" s="25" t="str">
        <f aca="false">IF(AND(C94="",D94=""),"",IF(OR(C94="-",D94="-"),"측정불가",IF(AND(ISNUMBER(C94),ISNUMBER(D94)),IF(OR(C94&gt;=설정!$C$11,D94&gt;=설정!$C$12),"긴급",IF(OR(C94&gt;=설정!$C$9,D94&gt;=설정!$C$10,C94&lt;설정!$C$13),"주의","정상")),"확인필요")))</f>
        <v/>
      </c>
      <c r="J94" s="25" t="str">
        <f aca="false">IF(E94="","",IF(E94="-","측정불가",IF(NOT(ISNUMBER(E94)),"확인필요",IF(E94&lt;설정!$C$17,"긴급(저혈당)",IF(E94&gt;=설정!$C$18,"긴급(고혈당)",IF(F94="공복",IF(E94&gt;=설정!$C$15,"주의","정상"),IF(F94="식후",IF(E94&gt;=설정!$C$16,"주의","정상"),"조건확인")))))))</f>
        <v/>
      </c>
      <c r="K94" s="25" t="str">
        <f aca="false">IF(OR(I94="긴급",LEFT(J94,2)="긴급"),"★ 즉시 선생님 호출",IF(OR(I94="주의",J94="주의"),"결과상담에서 확인",IF(J94="조건확인","혈당조건(공복/식후) 선택","")))</f>
        <v/>
      </c>
      <c r="L94" s="25" t="str">
        <f aca="false">IF($B94="","",IF(COUNTIF($B$5:$B$1004,$B94)&gt;1,"중복 입력",""))</f>
        <v/>
      </c>
    </row>
    <row r="95" customFormat="false" ht="15" hidden="false" customHeight="false" outlineLevel="0" collapsed="false">
      <c r="A95" s="23"/>
      <c r="B95" s="24"/>
      <c r="C95" s="24"/>
      <c r="D95" s="24"/>
      <c r="E95" s="24"/>
      <c r="F95" s="24"/>
      <c r="G95" s="24"/>
      <c r="H95" s="25" t="str">
        <f aca="false">IF($B95="","",IFERROR(IF(INDEX(명단!$B$5:$B$404,MATCH($B95,명단!$A$5:$A$404,0))="","(이름 미입력)",INDEX(명단!$B$5:$B$404,MATCH($B95,명단!$A$5:$A$404,0))),"번호 없음"))</f>
        <v/>
      </c>
      <c r="I95" s="25" t="str">
        <f aca="false">IF(AND(C95="",D95=""),"",IF(OR(C95="-",D95="-"),"측정불가",IF(AND(ISNUMBER(C95),ISNUMBER(D95)),IF(OR(C95&gt;=설정!$C$11,D95&gt;=설정!$C$12),"긴급",IF(OR(C95&gt;=설정!$C$9,D95&gt;=설정!$C$10,C95&lt;설정!$C$13),"주의","정상")),"확인필요")))</f>
        <v/>
      </c>
      <c r="J95" s="25" t="str">
        <f aca="false">IF(E95="","",IF(E95="-","측정불가",IF(NOT(ISNUMBER(E95)),"확인필요",IF(E95&lt;설정!$C$17,"긴급(저혈당)",IF(E95&gt;=설정!$C$18,"긴급(고혈당)",IF(F95="공복",IF(E95&gt;=설정!$C$15,"주의","정상"),IF(F95="식후",IF(E95&gt;=설정!$C$16,"주의","정상"),"조건확인")))))))</f>
        <v/>
      </c>
      <c r="K95" s="25" t="str">
        <f aca="false">IF(OR(I95="긴급",LEFT(J95,2)="긴급"),"★ 즉시 선생님 호출",IF(OR(I95="주의",J95="주의"),"결과상담에서 확인",IF(J95="조건확인","혈당조건(공복/식후) 선택","")))</f>
        <v/>
      </c>
      <c r="L95" s="25" t="str">
        <f aca="false">IF($B95="","",IF(COUNTIF($B$5:$B$1004,$B95)&gt;1,"중복 입력",""))</f>
        <v/>
      </c>
    </row>
    <row r="96" customFormat="false" ht="15" hidden="false" customHeight="false" outlineLevel="0" collapsed="false">
      <c r="A96" s="23"/>
      <c r="B96" s="24"/>
      <c r="C96" s="24"/>
      <c r="D96" s="24"/>
      <c r="E96" s="24"/>
      <c r="F96" s="24"/>
      <c r="G96" s="24"/>
      <c r="H96" s="25" t="str">
        <f aca="false">IF($B96="","",IFERROR(IF(INDEX(명단!$B$5:$B$404,MATCH($B96,명단!$A$5:$A$404,0))="","(이름 미입력)",INDEX(명단!$B$5:$B$404,MATCH($B96,명단!$A$5:$A$404,0))),"번호 없음"))</f>
        <v/>
      </c>
      <c r="I96" s="25" t="str">
        <f aca="false">IF(AND(C96="",D96=""),"",IF(OR(C96="-",D96="-"),"측정불가",IF(AND(ISNUMBER(C96),ISNUMBER(D96)),IF(OR(C96&gt;=설정!$C$11,D96&gt;=설정!$C$12),"긴급",IF(OR(C96&gt;=설정!$C$9,D96&gt;=설정!$C$10,C96&lt;설정!$C$13),"주의","정상")),"확인필요")))</f>
        <v/>
      </c>
      <c r="J96" s="25" t="str">
        <f aca="false">IF(E96="","",IF(E96="-","측정불가",IF(NOT(ISNUMBER(E96)),"확인필요",IF(E96&lt;설정!$C$17,"긴급(저혈당)",IF(E96&gt;=설정!$C$18,"긴급(고혈당)",IF(F96="공복",IF(E96&gt;=설정!$C$15,"주의","정상"),IF(F96="식후",IF(E96&gt;=설정!$C$16,"주의","정상"),"조건확인")))))))</f>
        <v/>
      </c>
      <c r="K96" s="25" t="str">
        <f aca="false">IF(OR(I96="긴급",LEFT(J96,2)="긴급"),"★ 즉시 선생님 호출",IF(OR(I96="주의",J96="주의"),"결과상담에서 확인",IF(J96="조건확인","혈당조건(공복/식후) 선택","")))</f>
        <v/>
      </c>
      <c r="L96" s="25" t="str">
        <f aca="false">IF($B96="","",IF(COUNTIF($B$5:$B$1004,$B96)&gt;1,"중복 입력",""))</f>
        <v/>
      </c>
    </row>
    <row r="97" customFormat="false" ht="15" hidden="false" customHeight="false" outlineLevel="0" collapsed="false">
      <c r="A97" s="23"/>
      <c r="B97" s="24"/>
      <c r="C97" s="24"/>
      <c r="D97" s="24"/>
      <c r="E97" s="24"/>
      <c r="F97" s="24"/>
      <c r="G97" s="24"/>
      <c r="H97" s="25" t="str">
        <f aca="false">IF($B97="","",IFERROR(IF(INDEX(명단!$B$5:$B$404,MATCH($B97,명단!$A$5:$A$404,0))="","(이름 미입력)",INDEX(명단!$B$5:$B$404,MATCH($B97,명단!$A$5:$A$404,0))),"번호 없음"))</f>
        <v/>
      </c>
      <c r="I97" s="25" t="str">
        <f aca="false">IF(AND(C97="",D97=""),"",IF(OR(C97="-",D97="-"),"측정불가",IF(AND(ISNUMBER(C97),ISNUMBER(D97)),IF(OR(C97&gt;=설정!$C$11,D97&gt;=설정!$C$12),"긴급",IF(OR(C97&gt;=설정!$C$9,D97&gt;=설정!$C$10,C97&lt;설정!$C$13),"주의","정상")),"확인필요")))</f>
        <v/>
      </c>
      <c r="J97" s="25" t="str">
        <f aca="false">IF(E97="","",IF(E97="-","측정불가",IF(NOT(ISNUMBER(E97)),"확인필요",IF(E97&lt;설정!$C$17,"긴급(저혈당)",IF(E97&gt;=설정!$C$18,"긴급(고혈당)",IF(F97="공복",IF(E97&gt;=설정!$C$15,"주의","정상"),IF(F97="식후",IF(E97&gt;=설정!$C$16,"주의","정상"),"조건확인")))))))</f>
        <v/>
      </c>
      <c r="K97" s="25" t="str">
        <f aca="false">IF(OR(I97="긴급",LEFT(J97,2)="긴급"),"★ 즉시 선생님 호출",IF(OR(I97="주의",J97="주의"),"결과상담에서 확인",IF(J97="조건확인","혈당조건(공복/식후) 선택","")))</f>
        <v/>
      </c>
      <c r="L97" s="25" t="str">
        <f aca="false">IF($B97="","",IF(COUNTIF($B$5:$B$1004,$B97)&gt;1,"중복 입력",""))</f>
        <v/>
      </c>
    </row>
    <row r="98" customFormat="false" ht="15" hidden="false" customHeight="false" outlineLevel="0" collapsed="false">
      <c r="A98" s="23"/>
      <c r="B98" s="24"/>
      <c r="C98" s="24"/>
      <c r="D98" s="24"/>
      <c r="E98" s="24"/>
      <c r="F98" s="24"/>
      <c r="G98" s="24"/>
      <c r="H98" s="25" t="str">
        <f aca="false">IF($B98="","",IFERROR(IF(INDEX(명단!$B$5:$B$404,MATCH($B98,명단!$A$5:$A$404,0))="","(이름 미입력)",INDEX(명단!$B$5:$B$404,MATCH($B98,명단!$A$5:$A$404,0))),"번호 없음"))</f>
        <v/>
      </c>
      <c r="I98" s="25" t="str">
        <f aca="false">IF(AND(C98="",D98=""),"",IF(OR(C98="-",D98="-"),"측정불가",IF(AND(ISNUMBER(C98),ISNUMBER(D98)),IF(OR(C98&gt;=설정!$C$11,D98&gt;=설정!$C$12),"긴급",IF(OR(C98&gt;=설정!$C$9,D98&gt;=설정!$C$10,C98&lt;설정!$C$13),"주의","정상")),"확인필요")))</f>
        <v/>
      </c>
      <c r="J98" s="25" t="str">
        <f aca="false">IF(E98="","",IF(E98="-","측정불가",IF(NOT(ISNUMBER(E98)),"확인필요",IF(E98&lt;설정!$C$17,"긴급(저혈당)",IF(E98&gt;=설정!$C$18,"긴급(고혈당)",IF(F98="공복",IF(E98&gt;=설정!$C$15,"주의","정상"),IF(F98="식후",IF(E98&gt;=설정!$C$16,"주의","정상"),"조건확인")))))))</f>
        <v/>
      </c>
      <c r="K98" s="25" t="str">
        <f aca="false">IF(OR(I98="긴급",LEFT(J98,2)="긴급"),"★ 즉시 선생님 호출",IF(OR(I98="주의",J98="주의"),"결과상담에서 확인",IF(J98="조건확인","혈당조건(공복/식후) 선택","")))</f>
        <v/>
      </c>
      <c r="L98" s="25" t="str">
        <f aca="false">IF($B98="","",IF(COUNTIF($B$5:$B$1004,$B98)&gt;1,"중복 입력",""))</f>
        <v/>
      </c>
    </row>
    <row r="99" customFormat="false" ht="15" hidden="false" customHeight="false" outlineLevel="0" collapsed="false">
      <c r="A99" s="23"/>
      <c r="B99" s="24"/>
      <c r="C99" s="24"/>
      <c r="D99" s="24"/>
      <c r="E99" s="24"/>
      <c r="F99" s="24"/>
      <c r="G99" s="24"/>
      <c r="H99" s="25" t="str">
        <f aca="false">IF($B99="","",IFERROR(IF(INDEX(명단!$B$5:$B$404,MATCH($B99,명단!$A$5:$A$404,0))="","(이름 미입력)",INDEX(명단!$B$5:$B$404,MATCH($B99,명단!$A$5:$A$404,0))),"번호 없음"))</f>
        <v/>
      </c>
      <c r="I99" s="25" t="str">
        <f aca="false">IF(AND(C99="",D99=""),"",IF(OR(C99="-",D99="-"),"측정불가",IF(AND(ISNUMBER(C99),ISNUMBER(D99)),IF(OR(C99&gt;=설정!$C$11,D99&gt;=설정!$C$12),"긴급",IF(OR(C99&gt;=설정!$C$9,D99&gt;=설정!$C$10,C99&lt;설정!$C$13),"주의","정상")),"확인필요")))</f>
        <v/>
      </c>
      <c r="J99" s="25" t="str">
        <f aca="false">IF(E99="","",IF(E99="-","측정불가",IF(NOT(ISNUMBER(E99)),"확인필요",IF(E99&lt;설정!$C$17,"긴급(저혈당)",IF(E99&gt;=설정!$C$18,"긴급(고혈당)",IF(F99="공복",IF(E99&gt;=설정!$C$15,"주의","정상"),IF(F99="식후",IF(E99&gt;=설정!$C$16,"주의","정상"),"조건확인")))))))</f>
        <v/>
      </c>
      <c r="K99" s="25" t="str">
        <f aca="false">IF(OR(I99="긴급",LEFT(J99,2)="긴급"),"★ 즉시 선생님 호출",IF(OR(I99="주의",J99="주의"),"결과상담에서 확인",IF(J99="조건확인","혈당조건(공복/식후) 선택","")))</f>
        <v/>
      </c>
      <c r="L99" s="25" t="str">
        <f aca="false">IF($B99="","",IF(COUNTIF($B$5:$B$1004,$B99)&gt;1,"중복 입력",""))</f>
        <v/>
      </c>
    </row>
    <row r="100" customFormat="false" ht="1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5" t="str">
        <f aca="false">IF($B100="","",IFERROR(IF(INDEX(명단!$B$5:$B$404,MATCH($B100,명단!$A$5:$A$404,0))="","(이름 미입력)",INDEX(명단!$B$5:$B$404,MATCH($B100,명단!$A$5:$A$404,0))),"번호 없음"))</f>
        <v/>
      </c>
      <c r="I100" s="25" t="str">
        <f aca="false">IF(AND(C100="",D100=""),"",IF(OR(C100="-",D100="-"),"측정불가",IF(AND(ISNUMBER(C100),ISNUMBER(D100)),IF(OR(C100&gt;=설정!$C$11,D100&gt;=설정!$C$12),"긴급",IF(OR(C100&gt;=설정!$C$9,D100&gt;=설정!$C$10,C100&lt;설정!$C$13),"주의","정상")),"확인필요")))</f>
        <v/>
      </c>
      <c r="J100" s="25" t="str">
        <f aca="false">IF(E100="","",IF(E100="-","측정불가",IF(NOT(ISNUMBER(E100)),"확인필요",IF(E100&lt;설정!$C$17,"긴급(저혈당)",IF(E100&gt;=설정!$C$18,"긴급(고혈당)",IF(F100="공복",IF(E100&gt;=설정!$C$15,"주의","정상"),IF(F100="식후",IF(E100&gt;=설정!$C$16,"주의","정상"),"조건확인")))))))</f>
        <v/>
      </c>
      <c r="K100" s="25" t="str">
        <f aca="false">IF(OR(I100="긴급",LEFT(J100,2)="긴급"),"★ 즉시 선생님 호출",IF(OR(I100="주의",J100="주의"),"결과상담에서 확인",IF(J100="조건확인","혈당조건(공복/식후) 선택","")))</f>
        <v/>
      </c>
      <c r="L100" s="25" t="str">
        <f aca="false">IF($B100="","",IF(COUNTIF($B$5:$B$1004,$B100)&gt;1,"중복 입력",""))</f>
        <v/>
      </c>
    </row>
    <row r="101" customFormat="false" ht="1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5" t="str">
        <f aca="false">IF($B101="","",IFERROR(IF(INDEX(명단!$B$5:$B$404,MATCH($B101,명단!$A$5:$A$404,0))="","(이름 미입력)",INDEX(명단!$B$5:$B$404,MATCH($B101,명단!$A$5:$A$404,0))),"번호 없음"))</f>
        <v/>
      </c>
      <c r="I101" s="25" t="str">
        <f aca="false">IF(AND(C101="",D101=""),"",IF(OR(C101="-",D101="-"),"측정불가",IF(AND(ISNUMBER(C101),ISNUMBER(D101)),IF(OR(C101&gt;=설정!$C$11,D101&gt;=설정!$C$12),"긴급",IF(OR(C101&gt;=설정!$C$9,D101&gt;=설정!$C$10,C101&lt;설정!$C$13),"주의","정상")),"확인필요")))</f>
        <v/>
      </c>
      <c r="J101" s="25" t="str">
        <f aca="false">IF(E101="","",IF(E101="-","측정불가",IF(NOT(ISNUMBER(E101)),"확인필요",IF(E101&lt;설정!$C$17,"긴급(저혈당)",IF(E101&gt;=설정!$C$18,"긴급(고혈당)",IF(F101="공복",IF(E101&gt;=설정!$C$15,"주의","정상"),IF(F101="식후",IF(E101&gt;=설정!$C$16,"주의","정상"),"조건확인")))))))</f>
        <v/>
      </c>
      <c r="K101" s="25" t="str">
        <f aca="false">IF(OR(I101="긴급",LEFT(J101,2)="긴급"),"★ 즉시 선생님 호출",IF(OR(I101="주의",J101="주의"),"결과상담에서 확인",IF(J101="조건확인","혈당조건(공복/식후) 선택","")))</f>
        <v/>
      </c>
      <c r="L101" s="25" t="str">
        <f aca="false">IF($B101="","",IF(COUNTIF($B$5:$B$1004,$B101)&gt;1,"중복 입력",""))</f>
        <v/>
      </c>
    </row>
    <row r="102" customFormat="false" ht="1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5" t="str">
        <f aca="false">IF($B102="","",IFERROR(IF(INDEX(명단!$B$5:$B$404,MATCH($B102,명단!$A$5:$A$404,0))="","(이름 미입력)",INDEX(명단!$B$5:$B$404,MATCH($B102,명단!$A$5:$A$404,0))),"번호 없음"))</f>
        <v/>
      </c>
      <c r="I102" s="25" t="str">
        <f aca="false">IF(AND(C102="",D102=""),"",IF(OR(C102="-",D102="-"),"측정불가",IF(AND(ISNUMBER(C102),ISNUMBER(D102)),IF(OR(C102&gt;=설정!$C$11,D102&gt;=설정!$C$12),"긴급",IF(OR(C102&gt;=설정!$C$9,D102&gt;=설정!$C$10,C102&lt;설정!$C$13),"주의","정상")),"확인필요")))</f>
        <v/>
      </c>
      <c r="J102" s="25" t="str">
        <f aca="false">IF(E102="","",IF(E102="-","측정불가",IF(NOT(ISNUMBER(E102)),"확인필요",IF(E102&lt;설정!$C$17,"긴급(저혈당)",IF(E102&gt;=설정!$C$18,"긴급(고혈당)",IF(F102="공복",IF(E102&gt;=설정!$C$15,"주의","정상"),IF(F102="식후",IF(E102&gt;=설정!$C$16,"주의","정상"),"조건확인")))))))</f>
        <v/>
      </c>
      <c r="K102" s="25" t="str">
        <f aca="false">IF(OR(I102="긴급",LEFT(J102,2)="긴급"),"★ 즉시 선생님 호출",IF(OR(I102="주의",J102="주의"),"결과상담에서 확인",IF(J102="조건확인","혈당조건(공복/식후) 선택","")))</f>
        <v/>
      </c>
      <c r="L102" s="25" t="str">
        <f aca="false">IF($B102="","",IF(COUNTIF($B$5:$B$1004,$B102)&gt;1,"중복 입력",""))</f>
        <v/>
      </c>
    </row>
    <row r="103" customFormat="false" ht="1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5" t="str">
        <f aca="false">IF($B103="","",IFERROR(IF(INDEX(명단!$B$5:$B$404,MATCH($B103,명단!$A$5:$A$404,0))="","(이름 미입력)",INDEX(명단!$B$5:$B$404,MATCH($B103,명단!$A$5:$A$404,0))),"번호 없음"))</f>
        <v/>
      </c>
      <c r="I103" s="25" t="str">
        <f aca="false">IF(AND(C103="",D103=""),"",IF(OR(C103="-",D103="-"),"측정불가",IF(AND(ISNUMBER(C103),ISNUMBER(D103)),IF(OR(C103&gt;=설정!$C$11,D103&gt;=설정!$C$12),"긴급",IF(OR(C103&gt;=설정!$C$9,D103&gt;=설정!$C$10,C103&lt;설정!$C$13),"주의","정상")),"확인필요")))</f>
        <v/>
      </c>
      <c r="J103" s="25" t="str">
        <f aca="false">IF(E103="","",IF(E103="-","측정불가",IF(NOT(ISNUMBER(E103)),"확인필요",IF(E103&lt;설정!$C$17,"긴급(저혈당)",IF(E103&gt;=설정!$C$18,"긴급(고혈당)",IF(F103="공복",IF(E103&gt;=설정!$C$15,"주의","정상"),IF(F103="식후",IF(E103&gt;=설정!$C$16,"주의","정상"),"조건확인")))))))</f>
        <v/>
      </c>
      <c r="K103" s="25" t="str">
        <f aca="false">IF(OR(I103="긴급",LEFT(J103,2)="긴급"),"★ 즉시 선생님 호출",IF(OR(I103="주의",J103="주의"),"결과상담에서 확인",IF(J103="조건확인","혈당조건(공복/식후) 선택","")))</f>
        <v/>
      </c>
      <c r="L103" s="25" t="str">
        <f aca="false">IF($B103="","",IF(COUNTIF($B$5:$B$1004,$B103)&gt;1,"중복 입력",""))</f>
        <v/>
      </c>
    </row>
    <row r="104" customFormat="false" ht="1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5" t="str">
        <f aca="false">IF($B104="","",IFERROR(IF(INDEX(명단!$B$5:$B$404,MATCH($B104,명단!$A$5:$A$404,0))="","(이름 미입력)",INDEX(명단!$B$5:$B$404,MATCH($B104,명단!$A$5:$A$404,0))),"번호 없음"))</f>
        <v/>
      </c>
      <c r="I104" s="25" t="str">
        <f aca="false">IF(AND(C104="",D104=""),"",IF(OR(C104="-",D104="-"),"측정불가",IF(AND(ISNUMBER(C104),ISNUMBER(D104)),IF(OR(C104&gt;=설정!$C$11,D104&gt;=설정!$C$12),"긴급",IF(OR(C104&gt;=설정!$C$9,D104&gt;=설정!$C$10,C104&lt;설정!$C$13),"주의","정상")),"확인필요")))</f>
        <v/>
      </c>
      <c r="J104" s="25" t="str">
        <f aca="false">IF(E104="","",IF(E104="-","측정불가",IF(NOT(ISNUMBER(E104)),"확인필요",IF(E104&lt;설정!$C$17,"긴급(저혈당)",IF(E104&gt;=설정!$C$18,"긴급(고혈당)",IF(F104="공복",IF(E104&gt;=설정!$C$15,"주의","정상"),IF(F104="식후",IF(E104&gt;=설정!$C$16,"주의","정상"),"조건확인")))))))</f>
        <v/>
      </c>
      <c r="K104" s="25" t="str">
        <f aca="false">IF(OR(I104="긴급",LEFT(J104,2)="긴급"),"★ 즉시 선생님 호출",IF(OR(I104="주의",J104="주의"),"결과상담에서 확인",IF(J104="조건확인","혈당조건(공복/식후) 선택","")))</f>
        <v/>
      </c>
      <c r="L104" s="25" t="str">
        <f aca="false">IF($B104="","",IF(COUNTIF($B$5:$B$1004,$B104)&gt;1,"중복 입력",""))</f>
        <v/>
      </c>
    </row>
    <row r="105" customFormat="false" ht="1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5" t="str">
        <f aca="false">IF($B105="","",IFERROR(IF(INDEX(명단!$B$5:$B$404,MATCH($B105,명단!$A$5:$A$404,0))="","(이름 미입력)",INDEX(명단!$B$5:$B$404,MATCH($B105,명단!$A$5:$A$404,0))),"번호 없음"))</f>
        <v/>
      </c>
      <c r="I105" s="25" t="str">
        <f aca="false">IF(AND(C105="",D105=""),"",IF(OR(C105="-",D105="-"),"측정불가",IF(AND(ISNUMBER(C105),ISNUMBER(D105)),IF(OR(C105&gt;=설정!$C$11,D105&gt;=설정!$C$12),"긴급",IF(OR(C105&gt;=설정!$C$9,D105&gt;=설정!$C$10,C105&lt;설정!$C$13),"주의","정상")),"확인필요")))</f>
        <v/>
      </c>
      <c r="J105" s="25" t="str">
        <f aca="false">IF(E105="","",IF(E105="-","측정불가",IF(NOT(ISNUMBER(E105)),"확인필요",IF(E105&lt;설정!$C$17,"긴급(저혈당)",IF(E105&gt;=설정!$C$18,"긴급(고혈당)",IF(F105="공복",IF(E105&gt;=설정!$C$15,"주의","정상"),IF(F105="식후",IF(E105&gt;=설정!$C$16,"주의","정상"),"조건확인")))))))</f>
        <v/>
      </c>
      <c r="K105" s="25" t="str">
        <f aca="false">IF(OR(I105="긴급",LEFT(J105,2)="긴급"),"★ 즉시 선생님 호출",IF(OR(I105="주의",J105="주의"),"결과상담에서 확인",IF(J105="조건확인","혈당조건(공복/식후) 선택","")))</f>
        <v/>
      </c>
      <c r="L105" s="25" t="str">
        <f aca="false">IF($B105="","",IF(COUNTIF($B$5:$B$1004,$B105)&gt;1,"중복 입력",""))</f>
        <v/>
      </c>
    </row>
    <row r="106" customFormat="false" ht="1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5" t="str">
        <f aca="false">IF($B106="","",IFERROR(IF(INDEX(명단!$B$5:$B$404,MATCH($B106,명단!$A$5:$A$404,0))="","(이름 미입력)",INDEX(명단!$B$5:$B$404,MATCH($B106,명단!$A$5:$A$404,0))),"번호 없음"))</f>
        <v/>
      </c>
      <c r="I106" s="25" t="str">
        <f aca="false">IF(AND(C106="",D106=""),"",IF(OR(C106="-",D106="-"),"측정불가",IF(AND(ISNUMBER(C106),ISNUMBER(D106)),IF(OR(C106&gt;=설정!$C$11,D106&gt;=설정!$C$12),"긴급",IF(OR(C106&gt;=설정!$C$9,D106&gt;=설정!$C$10,C106&lt;설정!$C$13),"주의","정상")),"확인필요")))</f>
        <v/>
      </c>
      <c r="J106" s="25" t="str">
        <f aca="false">IF(E106="","",IF(E106="-","측정불가",IF(NOT(ISNUMBER(E106)),"확인필요",IF(E106&lt;설정!$C$17,"긴급(저혈당)",IF(E106&gt;=설정!$C$18,"긴급(고혈당)",IF(F106="공복",IF(E106&gt;=설정!$C$15,"주의","정상"),IF(F106="식후",IF(E106&gt;=설정!$C$16,"주의","정상"),"조건확인")))))))</f>
        <v/>
      </c>
      <c r="K106" s="25" t="str">
        <f aca="false">IF(OR(I106="긴급",LEFT(J106,2)="긴급"),"★ 즉시 선생님 호출",IF(OR(I106="주의",J106="주의"),"결과상담에서 확인",IF(J106="조건확인","혈당조건(공복/식후) 선택","")))</f>
        <v/>
      </c>
      <c r="L106" s="25" t="str">
        <f aca="false">IF($B106="","",IF(COUNTIF($B$5:$B$1004,$B106)&gt;1,"중복 입력",""))</f>
        <v/>
      </c>
    </row>
    <row r="107" customFormat="false" ht="1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5" t="str">
        <f aca="false">IF($B107="","",IFERROR(IF(INDEX(명단!$B$5:$B$404,MATCH($B107,명단!$A$5:$A$404,0))="","(이름 미입력)",INDEX(명단!$B$5:$B$404,MATCH($B107,명단!$A$5:$A$404,0))),"번호 없음"))</f>
        <v/>
      </c>
      <c r="I107" s="25" t="str">
        <f aca="false">IF(AND(C107="",D107=""),"",IF(OR(C107="-",D107="-"),"측정불가",IF(AND(ISNUMBER(C107),ISNUMBER(D107)),IF(OR(C107&gt;=설정!$C$11,D107&gt;=설정!$C$12),"긴급",IF(OR(C107&gt;=설정!$C$9,D107&gt;=설정!$C$10,C107&lt;설정!$C$13),"주의","정상")),"확인필요")))</f>
        <v/>
      </c>
      <c r="J107" s="25" t="str">
        <f aca="false">IF(E107="","",IF(E107="-","측정불가",IF(NOT(ISNUMBER(E107)),"확인필요",IF(E107&lt;설정!$C$17,"긴급(저혈당)",IF(E107&gt;=설정!$C$18,"긴급(고혈당)",IF(F107="공복",IF(E107&gt;=설정!$C$15,"주의","정상"),IF(F107="식후",IF(E107&gt;=설정!$C$16,"주의","정상"),"조건확인")))))))</f>
        <v/>
      </c>
      <c r="K107" s="25" t="str">
        <f aca="false">IF(OR(I107="긴급",LEFT(J107,2)="긴급"),"★ 즉시 선생님 호출",IF(OR(I107="주의",J107="주의"),"결과상담에서 확인",IF(J107="조건확인","혈당조건(공복/식후) 선택","")))</f>
        <v/>
      </c>
      <c r="L107" s="25" t="str">
        <f aca="false">IF($B107="","",IF(COUNTIF($B$5:$B$1004,$B107)&gt;1,"중복 입력",""))</f>
        <v/>
      </c>
    </row>
    <row r="108" customFormat="false" ht="1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5" t="str">
        <f aca="false">IF($B108="","",IFERROR(IF(INDEX(명단!$B$5:$B$404,MATCH($B108,명단!$A$5:$A$404,0))="","(이름 미입력)",INDEX(명단!$B$5:$B$404,MATCH($B108,명단!$A$5:$A$404,0))),"번호 없음"))</f>
        <v/>
      </c>
      <c r="I108" s="25" t="str">
        <f aca="false">IF(AND(C108="",D108=""),"",IF(OR(C108="-",D108="-"),"측정불가",IF(AND(ISNUMBER(C108),ISNUMBER(D108)),IF(OR(C108&gt;=설정!$C$11,D108&gt;=설정!$C$12),"긴급",IF(OR(C108&gt;=설정!$C$9,D108&gt;=설정!$C$10,C108&lt;설정!$C$13),"주의","정상")),"확인필요")))</f>
        <v/>
      </c>
      <c r="J108" s="25" t="str">
        <f aca="false">IF(E108="","",IF(E108="-","측정불가",IF(NOT(ISNUMBER(E108)),"확인필요",IF(E108&lt;설정!$C$17,"긴급(저혈당)",IF(E108&gt;=설정!$C$18,"긴급(고혈당)",IF(F108="공복",IF(E108&gt;=설정!$C$15,"주의","정상"),IF(F108="식후",IF(E108&gt;=설정!$C$16,"주의","정상"),"조건확인")))))))</f>
        <v/>
      </c>
      <c r="K108" s="25" t="str">
        <f aca="false">IF(OR(I108="긴급",LEFT(J108,2)="긴급"),"★ 즉시 선생님 호출",IF(OR(I108="주의",J108="주의"),"결과상담에서 확인",IF(J108="조건확인","혈당조건(공복/식후) 선택","")))</f>
        <v/>
      </c>
      <c r="L108" s="25" t="str">
        <f aca="false">IF($B108="","",IF(COUNTIF($B$5:$B$1004,$B108)&gt;1,"중복 입력",""))</f>
        <v/>
      </c>
    </row>
    <row r="109" customFormat="false" ht="1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5" t="str">
        <f aca="false">IF($B109="","",IFERROR(IF(INDEX(명단!$B$5:$B$404,MATCH($B109,명단!$A$5:$A$404,0))="","(이름 미입력)",INDEX(명단!$B$5:$B$404,MATCH($B109,명단!$A$5:$A$404,0))),"번호 없음"))</f>
        <v/>
      </c>
      <c r="I109" s="25" t="str">
        <f aca="false">IF(AND(C109="",D109=""),"",IF(OR(C109="-",D109="-"),"측정불가",IF(AND(ISNUMBER(C109),ISNUMBER(D109)),IF(OR(C109&gt;=설정!$C$11,D109&gt;=설정!$C$12),"긴급",IF(OR(C109&gt;=설정!$C$9,D109&gt;=설정!$C$10,C109&lt;설정!$C$13),"주의","정상")),"확인필요")))</f>
        <v/>
      </c>
      <c r="J109" s="25" t="str">
        <f aca="false">IF(E109="","",IF(E109="-","측정불가",IF(NOT(ISNUMBER(E109)),"확인필요",IF(E109&lt;설정!$C$17,"긴급(저혈당)",IF(E109&gt;=설정!$C$18,"긴급(고혈당)",IF(F109="공복",IF(E109&gt;=설정!$C$15,"주의","정상"),IF(F109="식후",IF(E109&gt;=설정!$C$16,"주의","정상"),"조건확인")))))))</f>
        <v/>
      </c>
      <c r="K109" s="25" t="str">
        <f aca="false">IF(OR(I109="긴급",LEFT(J109,2)="긴급"),"★ 즉시 선생님 호출",IF(OR(I109="주의",J109="주의"),"결과상담에서 확인",IF(J109="조건확인","혈당조건(공복/식후) 선택","")))</f>
        <v/>
      </c>
      <c r="L109" s="25" t="str">
        <f aca="false">IF($B109="","",IF(COUNTIF($B$5:$B$1004,$B109)&gt;1,"중복 입력",""))</f>
        <v/>
      </c>
    </row>
    <row r="110" customFormat="false" ht="1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5" t="str">
        <f aca="false">IF($B110="","",IFERROR(IF(INDEX(명단!$B$5:$B$404,MATCH($B110,명단!$A$5:$A$404,0))="","(이름 미입력)",INDEX(명단!$B$5:$B$404,MATCH($B110,명단!$A$5:$A$404,0))),"번호 없음"))</f>
        <v/>
      </c>
      <c r="I110" s="25" t="str">
        <f aca="false">IF(AND(C110="",D110=""),"",IF(OR(C110="-",D110="-"),"측정불가",IF(AND(ISNUMBER(C110),ISNUMBER(D110)),IF(OR(C110&gt;=설정!$C$11,D110&gt;=설정!$C$12),"긴급",IF(OR(C110&gt;=설정!$C$9,D110&gt;=설정!$C$10,C110&lt;설정!$C$13),"주의","정상")),"확인필요")))</f>
        <v/>
      </c>
      <c r="J110" s="25" t="str">
        <f aca="false">IF(E110="","",IF(E110="-","측정불가",IF(NOT(ISNUMBER(E110)),"확인필요",IF(E110&lt;설정!$C$17,"긴급(저혈당)",IF(E110&gt;=설정!$C$18,"긴급(고혈당)",IF(F110="공복",IF(E110&gt;=설정!$C$15,"주의","정상"),IF(F110="식후",IF(E110&gt;=설정!$C$16,"주의","정상"),"조건확인")))))))</f>
        <v/>
      </c>
      <c r="K110" s="25" t="str">
        <f aca="false">IF(OR(I110="긴급",LEFT(J110,2)="긴급"),"★ 즉시 선생님 호출",IF(OR(I110="주의",J110="주의"),"결과상담에서 확인",IF(J110="조건확인","혈당조건(공복/식후) 선택","")))</f>
        <v/>
      </c>
      <c r="L110" s="25" t="str">
        <f aca="false">IF($B110="","",IF(COUNTIF($B$5:$B$1004,$B110)&gt;1,"중복 입력",""))</f>
        <v/>
      </c>
    </row>
    <row r="111" customFormat="false" ht="1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5" t="str">
        <f aca="false">IF($B111="","",IFERROR(IF(INDEX(명단!$B$5:$B$404,MATCH($B111,명단!$A$5:$A$404,0))="","(이름 미입력)",INDEX(명단!$B$5:$B$404,MATCH($B111,명단!$A$5:$A$404,0))),"번호 없음"))</f>
        <v/>
      </c>
      <c r="I111" s="25" t="str">
        <f aca="false">IF(AND(C111="",D111=""),"",IF(OR(C111="-",D111="-"),"측정불가",IF(AND(ISNUMBER(C111),ISNUMBER(D111)),IF(OR(C111&gt;=설정!$C$11,D111&gt;=설정!$C$12),"긴급",IF(OR(C111&gt;=설정!$C$9,D111&gt;=설정!$C$10,C111&lt;설정!$C$13),"주의","정상")),"확인필요")))</f>
        <v/>
      </c>
      <c r="J111" s="25" t="str">
        <f aca="false">IF(E111="","",IF(E111="-","측정불가",IF(NOT(ISNUMBER(E111)),"확인필요",IF(E111&lt;설정!$C$17,"긴급(저혈당)",IF(E111&gt;=설정!$C$18,"긴급(고혈당)",IF(F111="공복",IF(E111&gt;=설정!$C$15,"주의","정상"),IF(F111="식후",IF(E111&gt;=설정!$C$16,"주의","정상"),"조건확인")))))))</f>
        <v/>
      </c>
      <c r="K111" s="25" t="str">
        <f aca="false">IF(OR(I111="긴급",LEFT(J111,2)="긴급"),"★ 즉시 선생님 호출",IF(OR(I111="주의",J111="주의"),"결과상담에서 확인",IF(J111="조건확인","혈당조건(공복/식후) 선택","")))</f>
        <v/>
      </c>
      <c r="L111" s="25" t="str">
        <f aca="false">IF($B111="","",IF(COUNTIF($B$5:$B$1004,$B111)&gt;1,"중복 입력",""))</f>
        <v/>
      </c>
    </row>
    <row r="112" customFormat="false" ht="1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5" t="str">
        <f aca="false">IF($B112="","",IFERROR(IF(INDEX(명단!$B$5:$B$404,MATCH($B112,명단!$A$5:$A$404,0))="","(이름 미입력)",INDEX(명단!$B$5:$B$404,MATCH($B112,명단!$A$5:$A$404,0))),"번호 없음"))</f>
        <v/>
      </c>
      <c r="I112" s="25" t="str">
        <f aca="false">IF(AND(C112="",D112=""),"",IF(OR(C112="-",D112="-"),"측정불가",IF(AND(ISNUMBER(C112),ISNUMBER(D112)),IF(OR(C112&gt;=설정!$C$11,D112&gt;=설정!$C$12),"긴급",IF(OR(C112&gt;=설정!$C$9,D112&gt;=설정!$C$10,C112&lt;설정!$C$13),"주의","정상")),"확인필요")))</f>
        <v/>
      </c>
      <c r="J112" s="25" t="str">
        <f aca="false">IF(E112="","",IF(E112="-","측정불가",IF(NOT(ISNUMBER(E112)),"확인필요",IF(E112&lt;설정!$C$17,"긴급(저혈당)",IF(E112&gt;=설정!$C$18,"긴급(고혈당)",IF(F112="공복",IF(E112&gt;=설정!$C$15,"주의","정상"),IF(F112="식후",IF(E112&gt;=설정!$C$16,"주의","정상"),"조건확인")))))))</f>
        <v/>
      </c>
      <c r="K112" s="25" t="str">
        <f aca="false">IF(OR(I112="긴급",LEFT(J112,2)="긴급"),"★ 즉시 선생님 호출",IF(OR(I112="주의",J112="주의"),"결과상담에서 확인",IF(J112="조건확인","혈당조건(공복/식후) 선택","")))</f>
        <v/>
      </c>
      <c r="L112" s="25" t="str">
        <f aca="false">IF($B112="","",IF(COUNTIF($B$5:$B$1004,$B112)&gt;1,"중복 입력",""))</f>
        <v/>
      </c>
    </row>
    <row r="113" customFormat="false" ht="1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5" t="str">
        <f aca="false">IF($B113="","",IFERROR(IF(INDEX(명단!$B$5:$B$404,MATCH($B113,명단!$A$5:$A$404,0))="","(이름 미입력)",INDEX(명단!$B$5:$B$404,MATCH($B113,명단!$A$5:$A$404,0))),"번호 없음"))</f>
        <v/>
      </c>
      <c r="I113" s="25" t="str">
        <f aca="false">IF(AND(C113="",D113=""),"",IF(OR(C113="-",D113="-"),"측정불가",IF(AND(ISNUMBER(C113),ISNUMBER(D113)),IF(OR(C113&gt;=설정!$C$11,D113&gt;=설정!$C$12),"긴급",IF(OR(C113&gt;=설정!$C$9,D113&gt;=설정!$C$10,C113&lt;설정!$C$13),"주의","정상")),"확인필요")))</f>
        <v/>
      </c>
      <c r="J113" s="25" t="str">
        <f aca="false">IF(E113="","",IF(E113="-","측정불가",IF(NOT(ISNUMBER(E113)),"확인필요",IF(E113&lt;설정!$C$17,"긴급(저혈당)",IF(E113&gt;=설정!$C$18,"긴급(고혈당)",IF(F113="공복",IF(E113&gt;=설정!$C$15,"주의","정상"),IF(F113="식후",IF(E113&gt;=설정!$C$16,"주의","정상"),"조건확인")))))))</f>
        <v/>
      </c>
      <c r="K113" s="25" t="str">
        <f aca="false">IF(OR(I113="긴급",LEFT(J113,2)="긴급"),"★ 즉시 선생님 호출",IF(OR(I113="주의",J113="주의"),"결과상담에서 확인",IF(J113="조건확인","혈당조건(공복/식후) 선택","")))</f>
        <v/>
      </c>
      <c r="L113" s="25" t="str">
        <f aca="false">IF($B113="","",IF(COUNTIF($B$5:$B$1004,$B113)&gt;1,"중복 입력",""))</f>
        <v/>
      </c>
    </row>
    <row r="114" customFormat="false" ht="1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5" t="str">
        <f aca="false">IF($B114="","",IFERROR(IF(INDEX(명단!$B$5:$B$404,MATCH($B114,명단!$A$5:$A$404,0))="","(이름 미입력)",INDEX(명단!$B$5:$B$404,MATCH($B114,명단!$A$5:$A$404,0))),"번호 없음"))</f>
        <v/>
      </c>
      <c r="I114" s="25" t="str">
        <f aca="false">IF(AND(C114="",D114=""),"",IF(OR(C114="-",D114="-"),"측정불가",IF(AND(ISNUMBER(C114),ISNUMBER(D114)),IF(OR(C114&gt;=설정!$C$11,D114&gt;=설정!$C$12),"긴급",IF(OR(C114&gt;=설정!$C$9,D114&gt;=설정!$C$10,C114&lt;설정!$C$13),"주의","정상")),"확인필요")))</f>
        <v/>
      </c>
      <c r="J114" s="25" t="str">
        <f aca="false">IF(E114="","",IF(E114="-","측정불가",IF(NOT(ISNUMBER(E114)),"확인필요",IF(E114&lt;설정!$C$17,"긴급(저혈당)",IF(E114&gt;=설정!$C$18,"긴급(고혈당)",IF(F114="공복",IF(E114&gt;=설정!$C$15,"주의","정상"),IF(F114="식후",IF(E114&gt;=설정!$C$16,"주의","정상"),"조건확인")))))))</f>
        <v/>
      </c>
      <c r="K114" s="25" t="str">
        <f aca="false">IF(OR(I114="긴급",LEFT(J114,2)="긴급"),"★ 즉시 선생님 호출",IF(OR(I114="주의",J114="주의"),"결과상담에서 확인",IF(J114="조건확인","혈당조건(공복/식후) 선택","")))</f>
        <v/>
      </c>
      <c r="L114" s="25" t="str">
        <f aca="false">IF($B114="","",IF(COUNTIF($B$5:$B$1004,$B114)&gt;1,"중복 입력",""))</f>
        <v/>
      </c>
    </row>
    <row r="115" customFormat="false" ht="1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5" t="str">
        <f aca="false">IF($B115="","",IFERROR(IF(INDEX(명단!$B$5:$B$404,MATCH($B115,명단!$A$5:$A$404,0))="","(이름 미입력)",INDEX(명단!$B$5:$B$404,MATCH($B115,명단!$A$5:$A$404,0))),"번호 없음"))</f>
        <v/>
      </c>
      <c r="I115" s="25" t="str">
        <f aca="false">IF(AND(C115="",D115=""),"",IF(OR(C115="-",D115="-"),"측정불가",IF(AND(ISNUMBER(C115),ISNUMBER(D115)),IF(OR(C115&gt;=설정!$C$11,D115&gt;=설정!$C$12),"긴급",IF(OR(C115&gt;=설정!$C$9,D115&gt;=설정!$C$10,C115&lt;설정!$C$13),"주의","정상")),"확인필요")))</f>
        <v/>
      </c>
      <c r="J115" s="25" t="str">
        <f aca="false">IF(E115="","",IF(E115="-","측정불가",IF(NOT(ISNUMBER(E115)),"확인필요",IF(E115&lt;설정!$C$17,"긴급(저혈당)",IF(E115&gt;=설정!$C$18,"긴급(고혈당)",IF(F115="공복",IF(E115&gt;=설정!$C$15,"주의","정상"),IF(F115="식후",IF(E115&gt;=설정!$C$16,"주의","정상"),"조건확인")))))))</f>
        <v/>
      </c>
      <c r="K115" s="25" t="str">
        <f aca="false">IF(OR(I115="긴급",LEFT(J115,2)="긴급"),"★ 즉시 선생님 호출",IF(OR(I115="주의",J115="주의"),"결과상담에서 확인",IF(J115="조건확인","혈당조건(공복/식후) 선택","")))</f>
        <v/>
      </c>
      <c r="L115" s="25" t="str">
        <f aca="false">IF($B115="","",IF(COUNTIF($B$5:$B$1004,$B115)&gt;1,"중복 입력",""))</f>
        <v/>
      </c>
    </row>
    <row r="116" customFormat="false" ht="1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5" t="str">
        <f aca="false">IF($B116="","",IFERROR(IF(INDEX(명단!$B$5:$B$404,MATCH($B116,명단!$A$5:$A$404,0))="","(이름 미입력)",INDEX(명단!$B$5:$B$404,MATCH($B116,명단!$A$5:$A$404,0))),"번호 없음"))</f>
        <v/>
      </c>
      <c r="I116" s="25" t="str">
        <f aca="false">IF(AND(C116="",D116=""),"",IF(OR(C116="-",D116="-"),"측정불가",IF(AND(ISNUMBER(C116),ISNUMBER(D116)),IF(OR(C116&gt;=설정!$C$11,D116&gt;=설정!$C$12),"긴급",IF(OR(C116&gt;=설정!$C$9,D116&gt;=설정!$C$10,C116&lt;설정!$C$13),"주의","정상")),"확인필요")))</f>
        <v/>
      </c>
      <c r="J116" s="25" t="str">
        <f aca="false">IF(E116="","",IF(E116="-","측정불가",IF(NOT(ISNUMBER(E116)),"확인필요",IF(E116&lt;설정!$C$17,"긴급(저혈당)",IF(E116&gt;=설정!$C$18,"긴급(고혈당)",IF(F116="공복",IF(E116&gt;=설정!$C$15,"주의","정상"),IF(F116="식후",IF(E116&gt;=설정!$C$16,"주의","정상"),"조건확인")))))))</f>
        <v/>
      </c>
      <c r="K116" s="25" t="str">
        <f aca="false">IF(OR(I116="긴급",LEFT(J116,2)="긴급"),"★ 즉시 선생님 호출",IF(OR(I116="주의",J116="주의"),"결과상담에서 확인",IF(J116="조건확인","혈당조건(공복/식후) 선택","")))</f>
        <v/>
      </c>
      <c r="L116" s="25" t="str">
        <f aca="false">IF($B116="","",IF(COUNTIF($B$5:$B$1004,$B116)&gt;1,"중복 입력",""))</f>
        <v/>
      </c>
    </row>
    <row r="117" customFormat="false" ht="1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5" t="str">
        <f aca="false">IF($B117="","",IFERROR(IF(INDEX(명단!$B$5:$B$404,MATCH($B117,명단!$A$5:$A$404,0))="","(이름 미입력)",INDEX(명단!$B$5:$B$404,MATCH($B117,명단!$A$5:$A$404,0))),"번호 없음"))</f>
        <v/>
      </c>
      <c r="I117" s="25" t="str">
        <f aca="false">IF(AND(C117="",D117=""),"",IF(OR(C117="-",D117="-"),"측정불가",IF(AND(ISNUMBER(C117),ISNUMBER(D117)),IF(OR(C117&gt;=설정!$C$11,D117&gt;=설정!$C$12),"긴급",IF(OR(C117&gt;=설정!$C$9,D117&gt;=설정!$C$10,C117&lt;설정!$C$13),"주의","정상")),"확인필요")))</f>
        <v/>
      </c>
      <c r="J117" s="25" t="str">
        <f aca="false">IF(E117="","",IF(E117="-","측정불가",IF(NOT(ISNUMBER(E117)),"확인필요",IF(E117&lt;설정!$C$17,"긴급(저혈당)",IF(E117&gt;=설정!$C$18,"긴급(고혈당)",IF(F117="공복",IF(E117&gt;=설정!$C$15,"주의","정상"),IF(F117="식후",IF(E117&gt;=설정!$C$16,"주의","정상"),"조건확인")))))))</f>
        <v/>
      </c>
      <c r="K117" s="25" t="str">
        <f aca="false">IF(OR(I117="긴급",LEFT(J117,2)="긴급"),"★ 즉시 선생님 호출",IF(OR(I117="주의",J117="주의"),"결과상담에서 확인",IF(J117="조건확인","혈당조건(공복/식후) 선택","")))</f>
        <v/>
      </c>
      <c r="L117" s="25" t="str">
        <f aca="false">IF($B117="","",IF(COUNTIF($B$5:$B$1004,$B117)&gt;1,"중복 입력",""))</f>
        <v/>
      </c>
    </row>
    <row r="118" customFormat="false" ht="1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5" t="str">
        <f aca="false">IF($B118="","",IFERROR(IF(INDEX(명단!$B$5:$B$404,MATCH($B118,명단!$A$5:$A$404,0))="","(이름 미입력)",INDEX(명단!$B$5:$B$404,MATCH($B118,명단!$A$5:$A$404,0))),"번호 없음"))</f>
        <v/>
      </c>
      <c r="I118" s="25" t="str">
        <f aca="false">IF(AND(C118="",D118=""),"",IF(OR(C118="-",D118="-"),"측정불가",IF(AND(ISNUMBER(C118),ISNUMBER(D118)),IF(OR(C118&gt;=설정!$C$11,D118&gt;=설정!$C$12),"긴급",IF(OR(C118&gt;=설정!$C$9,D118&gt;=설정!$C$10,C118&lt;설정!$C$13),"주의","정상")),"확인필요")))</f>
        <v/>
      </c>
      <c r="J118" s="25" t="str">
        <f aca="false">IF(E118="","",IF(E118="-","측정불가",IF(NOT(ISNUMBER(E118)),"확인필요",IF(E118&lt;설정!$C$17,"긴급(저혈당)",IF(E118&gt;=설정!$C$18,"긴급(고혈당)",IF(F118="공복",IF(E118&gt;=설정!$C$15,"주의","정상"),IF(F118="식후",IF(E118&gt;=설정!$C$16,"주의","정상"),"조건확인")))))))</f>
        <v/>
      </c>
      <c r="K118" s="25" t="str">
        <f aca="false">IF(OR(I118="긴급",LEFT(J118,2)="긴급"),"★ 즉시 선생님 호출",IF(OR(I118="주의",J118="주의"),"결과상담에서 확인",IF(J118="조건확인","혈당조건(공복/식후) 선택","")))</f>
        <v/>
      </c>
      <c r="L118" s="25" t="str">
        <f aca="false">IF($B118="","",IF(COUNTIF($B$5:$B$1004,$B118)&gt;1,"중복 입력",""))</f>
        <v/>
      </c>
    </row>
    <row r="119" customFormat="false" ht="1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5" t="str">
        <f aca="false">IF($B119="","",IFERROR(IF(INDEX(명단!$B$5:$B$404,MATCH($B119,명단!$A$5:$A$404,0))="","(이름 미입력)",INDEX(명단!$B$5:$B$404,MATCH($B119,명단!$A$5:$A$404,0))),"번호 없음"))</f>
        <v/>
      </c>
      <c r="I119" s="25" t="str">
        <f aca="false">IF(AND(C119="",D119=""),"",IF(OR(C119="-",D119="-"),"측정불가",IF(AND(ISNUMBER(C119),ISNUMBER(D119)),IF(OR(C119&gt;=설정!$C$11,D119&gt;=설정!$C$12),"긴급",IF(OR(C119&gt;=설정!$C$9,D119&gt;=설정!$C$10,C119&lt;설정!$C$13),"주의","정상")),"확인필요")))</f>
        <v/>
      </c>
      <c r="J119" s="25" t="str">
        <f aca="false">IF(E119="","",IF(E119="-","측정불가",IF(NOT(ISNUMBER(E119)),"확인필요",IF(E119&lt;설정!$C$17,"긴급(저혈당)",IF(E119&gt;=설정!$C$18,"긴급(고혈당)",IF(F119="공복",IF(E119&gt;=설정!$C$15,"주의","정상"),IF(F119="식후",IF(E119&gt;=설정!$C$16,"주의","정상"),"조건확인")))))))</f>
        <v/>
      </c>
      <c r="K119" s="25" t="str">
        <f aca="false">IF(OR(I119="긴급",LEFT(J119,2)="긴급"),"★ 즉시 선생님 호출",IF(OR(I119="주의",J119="주의"),"결과상담에서 확인",IF(J119="조건확인","혈당조건(공복/식후) 선택","")))</f>
        <v/>
      </c>
      <c r="L119" s="25" t="str">
        <f aca="false">IF($B119="","",IF(COUNTIF($B$5:$B$1004,$B119)&gt;1,"중복 입력",""))</f>
        <v/>
      </c>
    </row>
    <row r="120" customFormat="false" ht="1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5" t="str">
        <f aca="false">IF($B120="","",IFERROR(IF(INDEX(명단!$B$5:$B$404,MATCH($B120,명단!$A$5:$A$404,0))="","(이름 미입력)",INDEX(명단!$B$5:$B$404,MATCH($B120,명단!$A$5:$A$404,0))),"번호 없음"))</f>
        <v/>
      </c>
      <c r="I120" s="25" t="str">
        <f aca="false">IF(AND(C120="",D120=""),"",IF(OR(C120="-",D120="-"),"측정불가",IF(AND(ISNUMBER(C120),ISNUMBER(D120)),IF(OR(C120&gt;=설정!$C$11,D120&gt;=설정!$C$12),"긴급",IF(OR(C120&gt;=설정!$C$9,D120&gt;=설정!$C$10,C120&lt;설정!$C$13),"주의","정상")),"확인필요")))</f>
        <v/>
      </c>
      <c r="J120" s="25" t="str">
        <f aca="false">IF(E120="","",IF(E120="-","측정불가",IF(NOT(ISNUMBER(E120)),"확인필요",IF(E120&lt;설정!$C$17,"긴급(저혈당)",IF(E120&gt;=설정!$C$18,"긴급(고혈당)",IF(F120="공복",IF(E120&gt;=설정!$C$15,"주의","정상"),IF(F120="식후",IF(E120&gt;=설정!$C$16,"주의","정상"),"조건확인")))))))</f>
        <v/>
      </c>
      <c r="K120" s="25" t="str">
        <f aca="false">IF(OR(I120="긴급",LEFT(J120,2)="긴급"),"★ 즉시 선생님 호출",IF(OR(I120="주의",J120="주의"),"결과상담에서 확인",IF(J120="조건확인","혈당조건(공복/식후) 선택","")))</f>
        <v/>
      </c>
      <c r="L120" s="25" t="str">
        <f aca="false">IF($B120="","",IF(COUNTIF($B$5:$B$1004,$B120)&gt;1,"중복 입력",""))</f>
        <v/>
      </c>
    </row>
    <row r="121" customFormat="false" ht="1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5" t="str">
        <f aca="false">IF($B121="","",IFERROR(IF(INDEX(명단!$B$5:$B$404,MATCH($B121,명단!$A$5:$A$404,0))="","(이름 미입력)",INDEX(명단!$B$5:$B$404,MATCH($B121,명단!$A$5:$A$404,0))),"번호 없음"))</f>
        <v/>
      </c>
      <c r="I121" s="25" t="str">
        <f aca="false">IF(AND(C121="",D121=""),"",IF(OR(C121="-",D121="-"),"측정불가",IF(AND(ISNUMBER(C121),ISNUMBER(D121)),IF(OR(C121&gt;=설정!$C$11,D121&gt;=설정!$C$12),"긴급",IF(OR(C121&gt;=설정!$C$9,D121&gt;=설정!$C$10,C121&lt;설정!$C$13),"주의","정상")),"확인필요")))</f>
        <v/>
      </c>
      <c r="J121" s="25" t="str">
        <f aca="false">IF(E121="","",IF(E121="-","측정불가",IF(NOT(ISNUMBER(E121)),"확인필요",IF(E121&lt;설정!$C$17,"긴급(저혈당)",IF(E121&gt;=설정!$C$18,"긴급(고혈당)",IF(F121="공복",IF(E121&gt;=설정!$C$15,"주의","정상"),IF(F121="식후",IF(E121&gt;=설정!$C$16,"주의","정상"),"조건확인")))))))</f>
        <v/>
      </c>
      <c r="K121" s="25" t="str">
        <f aca="false">IF(OR(I121="긴급",LEFT(J121,2)="긴급"),"★ 즉시 선생님 호출",IF(OR(I121="주의",J121="주의"),"결과상담에서 확인",IF(J121="조건확인","혈당조건(공복/식후) 선택","")))</f>
        <v/>
      </c>
      <c r="L121" s="25" t="str">
        <f aca="false">IF($B121="","",IF(COUNTIF($B$5:$B$1004,$B121)&gt;1,"중복 입력",""))</f>
        <v/>
      </c>
    </row>
    <row r="122" customFormat="false" ht="1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5" t="str">
        <f aca="false">IF($B122="","",IFERROR(IF(INDEX(명단!$B$5:$B$404,MATCH($B122,명단!$A$5:$A$404,0))="","(이름 미입력)",INDEX(명단!$B$5:$B$404,MATCH($B122,명단!$A$5:$A$404,0))),"번호 없음"))</f>
        <v/>
      </c>
      <c r="I122" s="25" t="str">
        <f aca="false">IF(AND(C122="",D122=""),"",IF(OR(C122="-",D122="-"),"측정불가",IF(AND(ISNUMBER(C122),ISNUMBER(D122)),IF(OR(C122&gt;=설정!$C$11,D122&gt;=설정!$C$12),"긴급",IF(OR(C122&gt;=설정!$C$9,D122&gt;=설정!$C$10,C122&lt;설정!$C$13),"주의","정상")),"확인필요")))</f>
        <v/>
      </c>
      <c r="J122" s="25" t="str">
        <f aca="false">IF(E122="","",IF(E122="-","측정불가",IF(NOT(ISNUMBER(E122)),"확인필요",IF(E122&lt;설정!$C$17,"긴급(저혈당)",IF(E122&gt;=설정!$C$18,"긴급(고혈당)",IF(F122="공복",IF(E122&gt;=설정!$C$15,"주의","정상"),IF(F122="식후",IF(E122&gt;=설정!$C$16,"주의","정상"),"조건확인")))))))</f>
        <v/>
      </c>
      <c r="K122" s="25" t="str">
        <f aca="false">IF(OR(I122="긴급",LEFT(J122,2)="긴급"),"★ 즉시 선생님 호출",IF(OR(I122="주의",J122="주의"),"결과상담에서 확인",IF(J122="조건확인","혈당조건(공복/식후) 선택","")))</f>
        <v/>
      </c>
      <c r="L122" s="25" t="str">
        <f aca="false">IF($B122="","",IF(COUNTIF($B$5:$B$1004,$B122)&gt;1,"중복 입력",""))</f>
        <v/>
      </c>
    </row>
    <row r="123" customFormat="false" ht="1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5" t="str">
        <f aca="false">IF($B123="","",IFERROR(IF(INDEX(명단!$B$5:$B$404,MATCH($B123,명단!$A$5:$A$404,0))="","(이름 미입력)",INDEX(명단!$B$5:$B$404,MATCH($B123,명단!$A$5:$A$404,0))),"번호 없음"))</f>
        <v/>
      </c>
      <c r="I123" s="25" t="str">
        <f aca="false">IF(AND(C123="",D123=""),"",IF(OR(C123="-",D123="-"),"측정불가",IF(AND(ISNUMBER(C123),ISNUMBER(D123)),IF(OR(C123&gt;=설정!$C$11,D123&gt;=설정!$C$12),"긴급",IF(OR(C123&gt;=설정!$C$9,D123&gt;=설정!$C$10,C123&lt;설정!$C$13),"주의","정상")),"확인필요")))</f>
        <v/>
      </c>
      <c r="J123" s="25" t="str">
        <f aca="false">IF(E123="","",IF(E123="-","측정불가",IF(NOT(ISNUMBER(E123)),"확인필요",IF(E123&lt;설정!$C$17,"긴급(저혈당)",IF(E123&gt;=설정!$C$18,"긴급(고혈당)",IF(F123="공복",IF(E123&gt;=설정!$C$15,"주의","정상"),IF(F123="식후",IF(E123&gt;=설정!$C$16,"주의","정상"),"조건확인")))))))</f>
        <v/>
      </c>
      <c r="K123" s="25" t="str">
        <f aca="false">IF(OR(I123="긴급",LEFT(J123,2)="긴급"),"★ 즉시 선생님 호출",IF(OR(I123="주의",J123="주의"),"결과상담에서 확인",IF(J123="조건확인","혈당조건(공복/식후) 선택","")))</f>
        <v/>
      </c>
      <c r="L123" s="25" t="str">
        <f aca="false">IF($B123="","",IF(COUNTIF($B$5:$B$1004,$B123)&gt;1,"중복 입력",""))</f>
        <v/>
      </c>
    </row>
    <row r="124" customFormat="false" ht="1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5" t="str">
        <f aca="false">IF($B124="","",IFERROR(IF(INDEX(명단!$B$5:$B$404,MATCH($B124,명단!$A$5:$A$404,0))="","(이름 미입력)",INDEX(명단!$B$5:$B$404,MATCH($B124,명단!$A$5:$A$404,0))),"번호 없음"))</f>
        <v/>
      </c>
      <c r="I124" s="25" t="str">
        <f aca="false">IF(AND(C124="",D124=""),"",IF(OR(C124="-",D124="-"),"측정불가",IF(AND(ISNUMBER(C124),ISNUMBER(D124)),IF(OR(C124&gt;=설정!$C$11,D124&gt;=설정!$C$12),"긴급",IF(OR(C124&gt;=설정!$C$9,D124&gt;=설정!$C$10,C124&lt;설정!$C$13),"주의","정상")),"확인필요")))</f>
        <v/>
      </c>
      <c r="J124" s="25" t="str">
        <f aca="false">IF(E124="","",IF(E124="-","측정불가",IF(NOT(ISNUMBER(E124)),"확인필요",IF(E124&lt;설정!$C$17,"긴급(저혈당)",IF(E124&gt;=설정!$C$18,"긴급(고혈당)",IF(F124="공복",IF(E124&gt;=설정!$C$15,"주의","정상"),IF(F124="식후",IF(E124&gt;=설정!$C$16,"주의","정상"),"조건확인")))))))</f>
        <v/>
      </c>
      <c r="K124" s="25" t="str">
        <f aca="false">IF(OR(I124="긴급",LEFT(J124,2)="긴급"),"★ 즉시 선생님 호출",IF(OR(I124="주의",J124="주의"),"결과상담에서 확인",IF(J124="조건확인","혈당조건(공복/식후) 선택","")))</f>
        <v/>
      </c>
      <c r="L124" s="25" t="str">
        <f aca="false">IF($B124="","",IF(COUNTIF($B$5:$B$1004,$B124)&gt;1,"중복 입력",""))</f>
        <v/>
      </c>
    </row>
    <row r="125" customFormat="false" ht="1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5" t="str">
        <f aca="false">IF($B125="","",IFERROR(IF(INDEX(명단!$B$5:$B$404,MATCH($B125,명단!$A$5:$A$404,0))="","(이름 미입력)",INDEX(명단!$B$5:$B$404,MATCH($B125,명단!$A$5:$A$404,0))),"번호 없음"))</f>
        <v/>
      </c>
      <c r="I125" s="25" t="str">
        <f aca="false">IF(AND(C125="",D125=""),"",IF(OR(C125="-",D125="-"),"측정불가",IF(AND(ISNUMBER(C125),ISNUMBER(D125)),IF(OR(C125&gt;=설정!$C$11,D125&gt;=설정!$C$12),"긴급",IF(OR(C125&gt;=설정!$C$9,D125&gt;=설정!$C$10,C125&lt;설정!$C$13),"주의","정상")),"확인필요")))</f>
        <v/>
      </c>
      <c r="J125" s="25" t="str">
        <f aca="false">IF(E125="","",IF(E125="-","측정불가",IF(NOT(ISNUMBER(E125)),"확인필요",IF(E125&lt;설정!$C$17,"긴급(저혈당)",IF(E125&gt;=설정!$C$18,"긴급(고혈당)",IF(F125="공복",IF(E125&gt;=설정!$C$15,"주의","정상"),IF(F125="식후",IF(E125&gt;=설정!$C$16,"주의","정상"),"조건확인")))))))</f>
        <v/>
      </c>
      <c r="K125" s="25" t="str">
        <f aca="false">IF(OR(I125="긴급",LEFT(J125,2)="긴급"),"★ 즉시 선생님 호출",IF(OR(I125="주의",J125="주의"),"결과상담에서 확인",IF(J125="조건확인","혈당조건(공복/식후) 선택","")))</f>
        <v/>
      </c>
      <c r="L125" s="25" t="str">
        <f aca="false">IF($B125="","",IF(COUNTIF($B$5:$B$1004,$B125)&gt;1,"중복 입력",""))</f>
        <v/>
      </c>
    </row>
    <row r="126" customFormat="false" ht="1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5" t="str">
        <f aca="false">IF($B126="","",IFERROR(IF(INDEX(명단!$B$5:$B$404,MATCH($B126,명단!$A$5:$A$404,0))="","(이름 미입력)",INDEX(명단!$B$5:$B$404,MATCH($B126,명단!$A$5:$A$404,0))),"번호 없음"))</f>
        <v/>
      </c>
      <c r="I126" s="25" t="str">
        <f aca="false">IF(AND(C126="",D126=""),"",IF(OR(C126="-",D126="-"),"측정불가",IF(AND(ISNUMBER(C126),ISNUMBER(D126)),IF(OR(C126&gt;=설정!$C$11,D126&gt;=설정!$C$12),"긴급",IF(OR(C126&gt;=설정!$C$9,D126&gt;=설정!$C$10,C126&lt;설정!$C$13),"주의","정상")),"확인필요")))</f>
        <v/>
      </c>
      <c r="J126" s="25" t="str">
        <f aca="false">IF(E126="","",IF(E126="-","측정불가",IF(NOT(ISNUMBER(E126)),"확인필요",IF(E126&lt;설정!$C$17,"긴급(저혈당)",IF(E126&gt;=설정!$C$18,"긴급(고혈당)",IF(F126="공복",IF(E126&gt;=설정!$C$15,"주의","정상"),IF(F126="식후",IF(E126&gt;=설정!$C$16,"주의","정상"),"조건확인")))))))</f>
        <v/>
      </c>
      <c r="K126" s="25" t="str">
        <f aca="false">IF(OR(I126="긴급",LEFT(J126,2)="긴급"),"★ 즉시 선생님 호출",IF(OR(I126="주의",J126="주의"),"결과상담에서 확인",IF(J126="조건확인","혈당조건(공복/식후) 선택","")))</f>
        <v/>
      </c>
      <c r="L126" s="25" t="str">
        <f aca="false">IF($B126="","",IF(COUNTIF($B$5:$B$1004,$B126)&gt;1,"중복 입력",""))</f>
        <v/>
      </c>
    </row>
    <row r="127" customFormat="false" ht="1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5" t="str">
        <f aca="false">IF($B127="","",IFERROR(IF(INDEX(명단!$B$5:$B$404,MATCH($B127,명단!$A$5:$A$404,0))="","(이름 미입력)",INDEX(명단!$B$5:$B$404,MATCH($B127,명단!$A$5:$A$404,0))),"번호 없음"))</f>
        <v/>
      </c>
      <c r="I127" s="25" t="str">
        <f aca="false">IF(AND(C127="",D127=""),"",IF(OR(C127="-",D127="-"),"측정불가",IF(AND(ISNUMBER(C127),ISNUMBER(D127)),IF(OR(C127&gt;=설정!$C$11,D127&gt;=설정!$C$12),"긴급",IF(OR(C127&gt;=설정!$C$9,D127&gt;=설정!$C$10,C127&lt;설정!$C$13),"주의","정상")),"확인필요")))</f>
        <v/>
      </c>
      <c r="J127" s="25" t="str">
        <f aca="false">IF(E127="","",IF(E127="-","측정불가",IF(NOT(ISNUMBER(E127)),"확인필요",IF(E127&lt;설정!$C$17,"긴급(저혈당)",IF(E127&gt;=설정!$C$18,"긴급(고혈당)",IF(F127="공복",IF(E127&gt;=설정!$C$15,"주의","정상"),IF(F127="식후",IF(E127&gt;=설정!$C$16,"주의","정상"),"조건확인")))))))</f>
        <v/>
      </c>
      <c r="K127" s="25" t="str">
        <f aca="false">IF(OR(I127="긴급",LEFT(J127,2)="긴급"),"★ 즉시 선생님 호출",IF(OR(I127="주의",J127="주의"),"결과상담에서 확인",IF(J127="조건확인","혈당조건(공복/식후) 선택","")))</f>
        <v/>
      </c>
      <c r="L127" s="25" t="str">
        <f aca="false">IF($B127="","",IF(COUNTIF($B$5:$B$1004,$B127)&gt;1,"중복 입력",""))</f>
        <v/>
      </c>
    </row>
    <row r="128" customFormat="false" ht="1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5" t="str">
        <f aca="false">IF($B128="","",IFERROR(IF(INDEX(명단!$B$5:$B$404,MATCH($B128,명단!$A$5:$A$404,0))="","(이름 미입력)",INDEX(명단!$B$5:$B$404,MATCH($B128,명단!$A$5:$A$404,0))),"번호 없음"))</f>
        <v/>
      </c>
      <c r="I128" s="25" t="str">
        <f aca="false">IF(AND(C128="",D128=""),"",IF(OR(C128="-",D128="-"),"측정불가",IF(AND(ISNUMBER(C128),ISNUMBER(D128)),IF(OR(C128&gt;=설정!$C$11,D128&gt;=설정!$C$12),"긴급",IF(OR(C128&gt;=설정!$C$9,D128&gt;=설정!$C$10,C128&lt;설정!$C$13),"주의","정상")),"확인필요")))</f>
        <v/>
      </c>
      <c r="J128" s="25" t="str">
        <f aca="false">IF(E128="","",IF(E128="-","측정불가",IF(NOT(ISNUMBER(E128)),"확인필요",IF(E128&lt;설정!$C$17,"긴급(저혈당)",IF(E128&gt;=설정!$C$18,"긴급(고혈당)",IF(F128="공복",IF(E128&gt;=설정!$C$15,"주의","정상"),IF(F128="식후",IF(E128&gt;=설정!$C$16,"주의","정상"),"조건확인")))))))</f>
        <v/>
      </c>
      <c r="K128" s="25" t="str">
        <f aca="false">IF(OR(I128="긴급",LEFT(J128,2)="긴급"),"★ 즉시 선생님 호출",IF(OR(I128="주의",J128="주의"),"결과상담에서 확인",IF(J128="조건확인","혈당조건(공복/식후) 선택","")))</f>
        <v/>
      </c>
      <c r="L128" s="25" t="str">
        <f aca="false">IF($B128="","",IF(COUNTIF($B$5:$B$1004,$B128)&gt;1,"중복 입력",""))</f>
        <v/>
      </c>
    </row>
    <row r="129" customFormat="false" ht="1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5" t="str">
        <f aca="false">IF($B129="","",IFERROR(IF(INDEX(명단!$B$5:$B$404,MATCH($B129,명단!$A$5:$A$404,0))="","(이름 미입력)",INDEX(명단!$B$5:$B$404,MATCH($B129,명단!$A$5:$A$404,0))),"번호 없음"))</f>
        <v/>
      </c>
      <c r="I129" s="25" t="str">
        <f aca="false">IF(AND(C129="",D129=""),"",IF(OR(C129="-",D129="-"),"측정불가",IF(AND(ISNUMBER(C129),ISNUMBER(D129)),IF(OR(C129&gt;=설정!$C$11,D129&gt;=설정!$C$12),"긴급",IF(OR(C129&gt;=설정!$C$9,D129&gt;=설정!$C$10,C129&lt;설정!$C$13),"주의","정상")),"확인필요")))</f>
        <v/>
      </c>
      <c r="J129" s="25" t="str">
        <f aca="false">IF(E129="","",IF(E129="-","측정불가",IF(NOT(ISNUMBER(E129)),"확인필요",IF(E129&lt;설정!$C$17,"긴급(저혈당)",IF(E129&gt;=설정!$C$18,"긴급(고혈당)",IF(F129="공복",IF(E129&gt;=설정!$C$15,"주의","정상"),IF(F129="식후",IF(E129&gt;=설정!$C$16,"주의","정상"),"조건확인")))))))</f>
        <v/>
      </c>
      <c r="K129" s="25" t="str">
        <f aca="false">IF(OR(I129="긴급",LEFT(J129,2)="긴급"),"★ 즉시 선생님 호출",IF(OR(I129="주의",J129="주의"),"결과상담에서 확인",IF(J129="조건확인","혈당조건(공복/식후) 선택","")))</f>
        <v/>
      </c>
      <c r="L129" s="25" t="str">
        <f aca="false">IF($B129="","",IF(COUNTIF($B$5:$B$1004,$B129)&gt;1,"중복 입력",""))</f>
        <v/>
      </c>
    </row>
    <row r="130" customFormat="false" ht="1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5" t="str">
        <f aca="false">IF($B130="","",IFERROR(IF(INDEX(명단!$B$5:$B$404,MATCH($B130,명단!$A$5:$A$404,0))="","(이름 미입력)",INDEX(명단!$B$5:$B$404,MATCH($B130,명단!$A$5:$A$404,0))),"번호 없음"))</f>
        <v/>
      </c>
      <c r="I130" s="25" t="str">
        <f aca="false">IF(AND(C130="",D130=""),"",IF(OR(C130="-",D130="-"),"측정불가",IF(AND(ISNUMBER(C130),ISNUMBER(D130)),IF(OR(C130&gt;=설정!$C$11,D130&gt;=설정!$C$12),"긴급",IF(OR(C130&gt;=설정!$C$9,D130&gt;=설정!$C$10,C130&lt;설정!$C$13),"주의","정상")),"확인필요")))</f>
        <v/>
      </c>
      <c r="J130" s="25" t="str">
        <f aca="false">IF(E130="","",IF(E130="-","측정불가",IF(NOT(ISNUMBER(E130)),"확인필요",IF(E130&lt;설정!$C$17,"긴급(저혈당)",IF(E130&gt;=설정!$C$18,"긴급(고혈당)",IF(F130="공복",IF(E130&gt;=설정!$C$15,"주의","정상"),IF(F130="식후",IF(E130&gt;=설정!$C$16,"주의","정상"),"조건확인")))))))</f>
        <v/>
      </c>
      <c r="K130" s="25" t="str">
        <f aca="false">IF(OR(I130="긴급",LEFT(J130,2)="긴급"),"★ 즉시 선생님 호출",IF(OR(I130="주의",J130="주의"),"결과상담에서 확인",IF(J130="조건확인","혈당조건(공복/식후) 선택","")))</f>
        <v/>
      </c>
      <c r="L130" s="25" t="str">
        <f aca="false">IF($B130="","",IF(COUNTIF($B$5:$B$1004,$B130)&gt;1,"중복 입력",""))</f>
        <v/>
      </c>
    </row>
    <row r="131" customFormat="false" ht="1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5" t="str">
        <f aca="false">IF($B131="","",IFERROR(IF(INDEX(명단!$B$5:$B$404,MATCH($B131,명단!$A$5:$A$404,0))="","(이름 미입력)",INDEX(명단!$B$5:$B$404,MATCH($B131,명단!$A$5:$A$404,0))),"번호 없음"))</f>
        <v/>
      </c>
      <c r="I131" s="25" t="str">
        <f aca="false">IF(AND(C131="",D131=""),"",IF(OR(C131="-",D131="-"),"측정불가",IF(AND(ISNUMBER(C131),ISNUMBER(D131)),IF(OR(C131&gt;=설정!$C$11,D131&gt;=설정!$C$12),"긴급",IF(OR(C131&gt;=설정!$C$9,D131&gt;=설정!$C$10,C131&lt;설정!$C$13),"주의","정상")),"확인필요")))</f>
        <v/>
      </c>
      <c r="J131" s="25" t="str">
        <f aca="false">IF(E131="","",IF(E131="-","측정불가",IF(NOT(ISNUMBER(E131)),"확인필요",IF(E131&lt;설정!$C$17,"긴급(저혈당)",IF(E131&gt;=설정!$C$18,"긴급(고혈당)",IF(F131="공복",IF(E131&gt;=설정!$C$15,"주의","정상"),IF(F131="식후",IF(E131&gt;=설정!$C$16,"주의","정상"),"조건확인")))))))</f>
        <v/>
      </c>
      <c r="K131" s="25" t="str">
        <f aca="false">IF(OR(I131="긴급",LEFT(J131,2)="긴급"),"★ 즉시 선생님 호출",IF(OR(I131="주의",J131="주의"),"결과상담에서 확인",IF(J131="조건확인","혈당조건(공복/식후) 선택","")))</f>
        <v/>
      </c>
      <c r="L131" s="25" t="str">
        <f aca="false">IF($B131="","",IF(COUNTIF($B$5:$B$1004,$B131)&gt;1,"중복 입력",""))</f>
        <v/>
      </c>
    </row>
    <row r="132" customFormat="false" ht="1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5" t="str">
        <f aca="false">IF($B132="","",IFERROR(IF(INDEX(명단!$B$5:$B$404,MATCH($B132,명단!$A$5:$A$404,0))="","(이름 미입력)",INDEX(명단!$B$5:$B$404,MATCH($B132,명단!$A$5:$A$404,0))),"번호 없음"))</f>
        <v/>
      </c>
      <c r="I132" s="25" t="str">
        <f aca="false">IF(AND(C132="",D132=""),"",IF(OR(C132="-",D132="-"),"측정불가",IF(AND(ISNUMBER(C132),ISNUMBER(D132)),IF(OR(C132&gt;=설정!$C$11,D132&gt;=설정!$C$12),"긴급",IF(OR(C132&gt;=설정!$C$9,D132&gt;=설정!$C$10,C132&lt;설정!$C$13),"주의","정상")),"확인필요")))</f>
        <v/>
      </c>
      <c r="J132" s="25" t="str">
        <f aca="false">IF(E132="","",IF(E132="-","측정불가",IF(NOT(ISNUMBER(E132)),"확인필요",IF(E132&lt;설정!$C$17,"긴급(저혈당)",IF(E132&gt;=설정!$C$18,"긴급(고혈당)",IF(F132="공복",IF(E132&gt;=설정!$C$15,"주의","정상"),IF(F132="식후",IF(E132&gt;=설정!$C$16,"주의","정상"),"조건확인")))))))</f>
        <v/>
      </c>
      <c r="K132" s="25" t="str">
        <f aca="false">IF(OR(I132="긴급",LEFT(J132,2)="긴급"),"★ 즉시 선생님 호출",IF(OR(I132="주의",J132="주의"),"결과상담에서 확인",IF(J132="조건확인","혈당조건(공복/식후) 선택","")))</f>
        <v/>
      </c>
      <c r="L132" s="25" t="str">
        <f aca="false">IF($B132="","",IF(COUNTIF($B$5:$B$1004,$B132)&gt;1,"중복 입력",""))</f>
        <v/>
      </c>
    </row>
    <row r="133" customFormat="false" ht="1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5" t="str">
        <f aca="false">IF($B133="","",IFERROR(IF(INDEX(명단!$B$5:$B$404,MATCH($B133,명단!$A$5:$A$404,0))="","(이름 미입력)",INDEX(명단!$B$5:$B$404,MATCH($B133,명단!$A$5:$A$404,0))),"번호 없음"))</f>
        <v/>
      </c>
      <c r="I133" s="25" t="str">
        <f aca="false">IF(AND(C133="",D133=""),"",IF(OR(C133="-",D133="-"),"측정불가",IF(AND(ISNUMBER(C133),ISNUMBER(D133)),IF(OR(C133&gt;=설정!$C$11,D133&gt;=설정!$C$12),"긴급",IF(OR(C133&gt;=설정!$C$9,D133&gt;=설정!$C$10,C133&lt;설정!$C$13),"주의","정상")),"확인필요")))</f>
        <v/>
      </c>
      <c r="J133" s="25" t="str">
        <f aca="false">IF(E133="","",IF(E133="-","측정불가",IF(NOT(ISNUMBER(E133)),"확인필요",IF(E133&lt;설정!$C$17,"긴급(저혈당)",IF(E133&gt;=설정!$C$18,"긴급(고혈당)",IF(F133="공복",IF(E133&gt;=설정!$C$15,"주의","정상"),IF(F133="식후",IF(E133&gt;=설정!$C$16,"주의","정상"),"조건확인")))))))</f>
        <v/>
      </c>
      <c r="K133" s="25" t="str">
        <f aca="false">IF(OR(I133="긴급",LEFT(J133,2)="긴급"),"★ 즉시 선생님 호출",IF(OR(I133="주의",J133="주의"),"결과상담에서 확인",IF(J133="조건확인","혈당조건(공복/식후) 선택","")))</f>
        <v/>
      </c>
      <c r="L133" s="25" t="str">
        <f aca="false">IF($B133="","",IF(COUNTIF($B$5:$B$1004,$B133)&gt;1,"중복 입력",""))</f>
        <v/>
      </c>
    </row>
    <row r="134" customFormat="false" ht="1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5" t="str">
        <f aca="false">IF($B134="","",IFERROR(IF(INDEX(명단!$B$5:$B$404,MATCH($B134,명단!$A$5:$A$404,0))="","(이름 미입력)",INDEX(명단!$B$5:$B$404,MATCH($B134,명단!$A$5:$A$404,0))),"번호 없음"))</f>
        <v/>
      </c>
      <c r="I134" s="25" t="str">
        <f aca="false">IF(AND(C134="",D134=""),"",IF(OR(C134="-",D134="-"),"측정불가",IF(AND(ISNUMBER(C134),ISNUMBER(D134)),IF(OR(C134&gt;=설정!$C$11,D134&gt;=설정!$C$12),"긴급",IF(OR(C134&gt;=설정!$C$9,D134&gt;=설정!$C$10,C134&lt;설정!$C$13),"주의","정상")),"확인필요")))</f>
        <v/>
      </c>
      <c r="J134" s="25" t="str">
        <f aca="false">IF(E134="","",IF(E134="-","측정불가",IF(NOT(ISNUMBER(E134)),"확인필요",IF(E134&lt;설정!$C$17,"긴급(저혈당)",IF(E134&gt;=설정!$C$18,"긴급(고혈당)",IF(F134="공복",IF(E134&gt;=설정!$C$15,"주의","정상"),IF(F134="식후",IF(E134&gt;=설정!$C$16,"주의","정상"),"조건확인")))))))</f>
        <v/>
      </c>
      <c r="K134" s="25" t="str">
        <f aca="false">IF(OR(I134="긴급",LEFT(J134,2)="긴급"),"★ 즉시 선생님 호출",IF(OR(I134="주의",J134="주의"),"결과상담에서 확인",IF(J134="조건확인","혈당조건(공복/식후) 선택","")))</f>
        <v/>
      </c>
      <c r="L134" s="25" t="str">
        <f aca="false">IF($B134="","",IF(COUNTIF($B$5:$B$1004,$B134)&gt;1,"중복 입력",""))</f>
        <v/>
      </c>
    </row>
    <row r="135" customFormat="false" ht="1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5" t="str">
        <f aca="false">IF($B135="","",IFERROR(IF(INDEX(명단!$B$5:$B$404,MATCH($B135,명단!$A$5:$A$404,0))="","(이름 미입력)",INDEX(명단!$B$5:$B$404,MATCH($B135,명단!$A$5:$A$404,0))),"번호 없음"))</f>
        <v/>
      </c>
      <c r="I135" s="25" t="str">
        <f aca="false">IF(AND(C135="",D135=""),"",IF(OR(C135="-",D135="-"),"측정불가",IF(AND(ISNUMBER(C135),ISNUMBER(D135)),IF(OR(C135&gt;=설정!$C$11,D135&gt;=설정!$C$12),"긴급",IF(OR(C135&gt;=설정!$C$9,D135&gt;=설정!$C$10,C135&lt;설정!$C$13),"주의","정상")),"확인필요")))</f>
        <v/>
      </c>
      <c r="J135" s="25" t="str">
        <f aca="false">IF(E135="","",IF(E135="-","측정불가",IF(NOT(ISNUMBER(E135)),"확인필요",IF(E135&lt;설정!$C$17,"긴급(저혈당)",IF(E135&gt;=설정!$C$18,"긴급(고혈당)",IF(F135="공복",IF(E135&gt;=설정!$C$15,"주의","정상"),IF(F135="식후",IF(E135&gt;=설정!$C$16,"주의","정상"),"조건확인")))))))</f>
        <v/>
      </c>
      <c r="K135" s="25" t="str">
        <f aca="false">IF(OR(I135="긴급",LEFT(J135,2)="긴급"),"★ 즉시 선생님 호출",IF(OR(I135="주의",J135="주의"),"결과상담에서 확인",IF(J135="조건확인","혈당조건(공복/식후) 선택","")))</f>
        <v/>
      </c>
      <c r="L135" s="25" t="str">
        <f aca="false">IF($B135="","",IF(COUNTIF($B$5:$B$1004,$B135)&gt;1,"중복 입력",""))</f>
        <v/>
      </c>
    </row>
    <row r="136" customFormat="false" ht="1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5" t="str">
        <f aca="false">IF($B136="","",IFERROR(IF(INDEX(명단!$B$5:$B$404,MATCH($B136,명단!$A$5:$A$404,0))="","(이름 미입력)",INDEX(명단!$B$5:$B$404,MATCH($B136,명단!$A$5:$A$404,0))),"번호 없음"))</f>
        <v/>
      </c>
      <c r="I136" s="25" t="str">
        <f aca="false">IF(AND(C136="",D136=""),"",IF(OR(C136="-",D136="-"),"측정불가",IF(AND(ISNUMBER(C136),ISNUMBER(D136)),IF(OR(C136&gt;=설정!$C$11,D136&gt;=설정!$C$12),"긴급",IF(OR(C136&gt;=설정!$C$9,D136&gt;=설정!$C$10,C136&lt;설정!$C$13),"주의","정상")),"확인필요")))</f>
        <v/>
      </c>
      <c r="J136" s="25" t="str">
        <f aca="false">IF(E136="","",IF(E136="-","측정불가",IF(NOT(ISNUMBER(E136)),"확인필요",IF(E136&lt;설정!$C$17,"긴급(저혈당)",IF(E136&gt;=설정!$C$18,"긴급(고혈당)",IF(F136="공복",IF(E136&gt;=설정!$C$15,"주의","정상"),IF(F136="식후",IF(E136&gt;=설정!$C$16,"주의","정상"),"조건확인")))))))</f>
        <v/>
      </c>
      <c r="K136" s="25" t="str">
        <f aca="false">IF(OR(I136="긴급",LEFT(J136,2)="긴급"),"★ 즉시 선생님 호출",IF(OR(I136="주의",J136="주의"),"결과상담에서 확인",IF(J136="조건확인","혈당조건(공복/식후) 선택","")))</f>
        <v/>
      </c>
      <c r="L136" s="25" t="str">
        <f aca="false">IF($B136="","",IF(COUNTIF($B$5:$B$1004,$B136)&gt;1,"중복 입력",""))</f>
        <v/>
      </c>
    </row>
    <row r="137" customFormat="false" ht="1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5" t="str">
        <f aca="false">IF($B137="","",IFERROR(IF(INDEX(명단!$B$5:$B$404,MATCH($B137,명단!$A$5:$A$404,0))="","(이름 미입력)",INDEX(명단!$B$5:$B$404,MATCH($B137,명단!$A$5:$A$404,0))),"번호 없음"))</f>
        <v/>
      </c>
      <c r="I137" s="25" t="str">
        <f aca="false">IF(AND(C137="",D137=""),"",IF(OR(C137="-",D137="-"),"측정불가",IF(AND(ISNUMBER(C137),ISNUMBER(D137)),IF(OR(C137&gt;=설정!$C$11,D137&gt;=설정!$C$12),"긴급",IF(OR(C137&gt;=설정!$C$9,D137&gt;=설정!$C$10,C137&lt;설정!$C$13),"주의","정상")),"확인필요")))</f>
        <v/>
      </c>
      <c r="J137" s="25" t="str">
        <f aca="false">IF(E137="","",IF(E137="-","측정불가",IF(NOT(ISNUMBER(E137)),"확인필요",IF(E137&lt;설정!$C$17,"긴급(저혈당)",IF(E137&gt;=설정!$C$18,"긴급(고혈당)",IF(F137="공복",IF(E137&gt;=설정!$C$15,"주의","정상"),IF(F137="식후",IF(E137&gt;=설정!$C$16,"주의","정상"),"조건확인")))))))</f>
        <v/>
      </c>
      <c r="K137" s="25" t="str">
        <f aca="false">IF(OR(I137="긴급",LEFT(J137,2)="긴급"),"★ 즉시 선생님 호출",IF(OR(I137="주의",J137="주의"),"결과상담에서 확인",IF(J137="조건확인","혈당조건(공복/식후) 선택","")))</f>
        <v/>
      </c>
      <c r="L137" s="25" t="str">
        <f aca="false">IF($B137="","",IF(COUNTIF($B$5:$B$1004,$B137)&gt;1,"중복 입력",""))</f>
        <v/>
      </c>
    </row>
    <row r="138" customFormat="false" ht="1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5" t="str">
        <f aca="false">IF($B138="","",IFERROR(IF(INDEX(명단!$B$5:$B$404,MATCH($B138,명단!$A$5:$A$404,0))="","(이름 미입력)",INDEX(명단!$B$5:$B$404,MATCH($B138,명단!$A$5:$A$404,0))),"번호 없음"))</f>
        <v/>
      </c>
      <c r="I138" s="25" t="str">
        <f aca="false">IF(AND(C138="",D138=""),"",IF(OR(C138="-",D138="-"),"측정불가",IF(AND(ISNUMBER(C138),ISNUMBER(D138)),IF(OR(C138&gt;=설정!$C$11,D138&gt;=설정!$C$12),"긴급",IF(OR(C138&gt;=설정!$C$9,D138&gt;=설정!$C$10,C138&lt;설정!$C$13),"주의","정상")),"확인필요")))</f>
        <v/>
      </c>
      <c r="J138" s="25" t="str">
        <f aca="false">IF(E138="","",IF(E138="-","측정불가",IF(NOT(ISNUMBER(E138)),"확인필요",IF(E138&lt;설정!$C$17,"긴급(저혈당)",IF(E138&gt;=설정!$C$18,"긴급(고혈당)",IF(F138="공복",IF(E138&gt;=설정!$C$15,"주의","정상"),IF(F138="식후",IF(E138&gt;=설정!$C$16,"주의","정상"),"조건확인")))))))</f>
        <v/>
      </c>
      <c r="K138" s="25" t="str">
        <f aca="false">IF(OR(I138="긴급",LEFT(J138,2)="긴급"),"★ 즉시 선생님 호출",IF(OR(I138="주의",J138="주의"),"결과상담에서 확인",IF(J138="조건확인","혈당조건(공복/식후) 선택","")))</f>
        <v/>
      </c>
      <c r="L138" s="25" t="str">
        <f aca="false">IF($B138="","",IF(COUNTIF($B$5:$B$1004,$B138)&gt;1,"중복 입력",""))</f>
        <v/>
      </c>
    </row>
    <row r="139" customFormat="false" ht="1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5" t="str">
        <f aca="false">IF($B139="","",IFERROR(IF(INDEX(명단!$B$5:$B$404,MATCH($B139,명단!$A$5:$A$404,0))="","(이름 미입력)",INDEX(명단!$B$5:$B$404,MATCH($B139,명단!$A$5:$A$404,0))),"번호 없음"))</f>
        <v/>
      </c>
      <c r="I139" s="25" t="str">
        <f aca="false">IF(AND(C139="",D139=""),"",IF(OR(C139="-",D139="-"),"측정불가",IF(AND(ISNUMBER(C139),ISNUMBER(D139)),IF(OR(C139&gt;=설정!$C$11,D139&gt;=설정!$C$12),"긴급",IF(OR(C139&gt;=설정!$C$9,D139&gt;=설정!$C$10,C139&lt;설정!$C$13),"주의","정상")),"확인필요")))</f>
        <v/>
      </c>
      <c r="J139" s="25" t="str">
        <f aca="false">IF(E139="","",IF(E139="-","측정불가",IF(NOT(ISNUMBER(E139)),"확인필요",IF(E139&lt;설정!$C$17,"긴급(저혈당)",IF(E139&gt;=설정!$C$18,"긴급(고혈당)",IF(F139="공복",IF(E139&gt;=설정!$C$15,"주의","정상"),IF(F139="식후",IF(E139&gt;=설정!$C$16,"주의","정상"),"조건확인")))))))</f>
        <v/>
      </c>
      <c r="K139" s="25" t="str">
        <f aca="false">IF(OR(I139="긴급",LEFT(J139,2)="긴급"),"★ 즉시 선생님 호출",IF(OR(I139="주의",J139="주의"),"결과상담에서 확인",IF(J139="조건확인","혈당조건(공복/식후) 선택","")))</f>
        <v/>
      </c>
      <c r="L139" s="25" t="str">
        <f aca="false">IF($B139="","",IF(COUNTIF($B$5:$B$1004,$B139)&gt;1,"중복 입력",""))</f>
        <v/>
      </c>
    </row>
    <row r="140" customFormat="false" ht="1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5" t="str">
        <f aca="false">IF($B140="","",IFERROR(IF(INDEX(명단!$B$5:$B$404,MATCH($B140,명단!$A$5:$A$404,0))="","(이름 미입력)",INDEX(명단!$B$5:$B$404,MATCH($B140,명단!$A$5:$A$404,0))),"번호 없음"))</f>
        <v/>
      </c>
      <c r="I140" s="25" t="str">
        <f aca="false">IF(AND(C140="",D140=""),"",IF(OR(C140="-",D140="-"),"측정불가",IF(AND(ISNUMBER(C140),ISNUMBER(D140)),IF(OR(C140&gt;=설정!$C$11,D140&gt;=설정!$C$12),"긴급",IF(OR(C140&gt;=설정!$C$9,D140&gt;=설정!$C$10,C140&lt;설정!$C$13),"주의","정상")),"확인필요")))</f>
        <v/>
      </c>
      <c r="J140" s="25" t="str">
        <f aca="false">IF(E140="","",IF(E140="-","측정불가",IF(NOT(ISNUMBER(E140)),"확인필요",IF(E140&lt;설정!$C$17,"긴급(저혈당)",IF(E140&gt;=설정!$C$18,"긴급(고혈당)",IF(F140="공복",IF(E140&gt;=설정!$C$15,"주의","정상"),IF(F140="식후",IF(E140&gt;=설정!$C$16,"주의","정상"),"조건확인")))))))</f>
        <v/>
      </c>
      <c r="K140" s="25" t="str">
        <f aca="false">IF(OR(I140="긴급",LEFT(J140,2)="긴급"),"★ 즉시 선생님 호출",IF(OR(I140="주의",J140="주의"),"결과상담에서 확인",IF(J140="조건확인","혈당조건(공복/식후) 선택","")))</f>
        <v/>
      </c>
      <c r="L140" s="25" t="str">
        <f aca="false">IF($B140="","",IF(COUNTIF($B$5:$B$1004,$B140)&gt;1,"중복 입력",""))</f>
        <v/>
      </c>
    </row>
    <row r="141" customFormat="false" ht="1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5" t="str">
        <f aca="false">IF($B141="","",IFERROR(IF(INDEX(명단!$B$5:$B$404,MATCH($B141,명단!$A$5:$A$404,0))="","(이름 미입력)",INDEX(명단!$B$5:$B$404,MATCH($B141,명단!$A$5:$A$404,0))),"번호 없음"))</f>
        <v/>
      </c>
      <c r="I141" s="25" t="str">
        <f aca="false">IF(AND(C141="",D141=""),"",IF(OR(C141="-",D141="-"),"측정불가",IF(AND(ISNUMBER(C141),ISNUMBER(D141)),IF(OR(C141&gt;=설정!$C$11,D141&gt;=설정!$C$12),"긴급",IF(OR(C141&gt;=설정!$C$9,D141&gt;=설정!$C$10,C141&lt;설정!$C$13),"주의","정상")),"확인필요")))</f>
        <v/>
      </c>
      <c r="J141" s="25" t="str">
        <f aca="false">IF(E141="","",IF(E141="-","측정불가",IF(NOT(ISNUMBER(E141)),"확인필요",IF(E141&lt;설정!$C$17,"긴급(저혈당)",IF(E141&gt;=설정!$C$18,"긴급(고혈당)",IF(F141="공복",IF(E141&gt;=설정!$C$15,"주의","정상"),IF(F141="식후",IF(E141&gt;=설정!$C$16,"주의","정상"),"조건확인")))))))</f>
        <v/>
      </c>
      <c r="K141" s="25" t="str">
        <f aca="false">IF(OR(I141="긴급",LEFT(J141,2)="긴급"),"★ 즉시 선생님 호출",IF(OR(I141="주의",J141="주의"),"결과상담에서 확인",IF(J141="조건확인","혈당조건(공복/식후) 선택","")))</f>
        <v/>
      </c>
      <c r="L141" s="25" t="str">
        <f aca="false">IF($B141="","",IF(COUNTIF($B$5:$B$1004,$B141)&gt;1,"중복 입력",""))</f>
        <v/>
      </c>
    </row>
    <row r="142" customFormat="false" ht="1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5" t="str">
        <f aca="false">IF($B142="","",IFERROR(IF(INDEX(명단!$B$5:$B$404,MATCH($B142,명단!$A$5:$A$404,0))="","(이름 미입력)",INDEX(명단!$B$5:$B$404,MATCH($B142,명단!$A$5:$A$404,0))),"번호 없음"))</f>
        <v/>
      </c>
      <c r="I142" s="25" t="str">
        <f aca="false">IF(AND(C142="",D142=""),"",IF(OR(C142="-",D142="-"),"측정불가",IF(AND(ISNUMBER(C142),ISNUMBER(D142)),IF(OR(C142&gt;=설정!$C$11,D142&gt;=설정!$C$12),"긴급",IF(OR(C142&gt;=설정!$C$9,D142&gt;=설정!$C$10,C142&lt;설정!$C$13),"주의","정상")),"확인필요")))</f>
        <v/>
      </c>
      <c r="J142" s="25" t="str">
        <f aca="false">IF(E142="","",IF(E142="-","측정불가",IF(NOT(ISNUMBER(E142)),"확인필요",IF(E142&lt;설정!$C$17,"긴급(저혈당)",IF(E142&gt;=설정!$C$18,"긴급(고혈당)",IF(F142="공복",IF(E142&gt;=설정!$C$15,"주의","정상"),IF(F142="식후",IF(E142&gt;=설정!$C$16,"주의","정상"),"조건확인")))))))</f>
        <v/>
      </c>
      <c r="K142" s="25" t="str">
        <f aca="false">IF(OR(I142="긴급",LEFT(J142,2)="긴급"),"★ 즉시 선생님 호출",IF(OR(I142="주의",J142="주의"),"결과상담에서 확인",IF(J142="조건확인","혈당조건(공복/식후) 선택","")))</f>
        <v/>
      </c>
      <c r="L142" s="25" t="str">
        <f aca="false">IF($B142="","",IF(COUNTIF($B$5:$B$1004,$B142)&gt;1,"중복 입력",""))</f>
        <v/>
      </c>
    </row>
    <row r="143" customFormat="false" ht="1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5" t="str">
        <f aca="false">IF($B143="","",IFERROR(IF(INDEX(명단!$B$5:$B$404,MATCH($B143,명단!$A$5:$A$404,0))="","(이름 미입력)",INDEX(명단!$B$5:$B$404,MATCH($B143,명단!$A$5:$A$404,0))),"번호 없음"))</f>
        <v/>
      </c>
      <c r="I143" s="25" t="str">
        <f aca="false">IF(AND(C143="",D143=""),"",IF(OR(C143="-",D143="-"),"측정불가",IF(AND(ISNUMBER(C143),ISNUMBER(D143)),IF(OR(C143&gt;=설정!$C$11,D143&gt;=설정!$C$12),"긴급",IF(OR(C143&gt;=설정!$C$9,D143&gt;=설정!$C$10,C143&lt;설정!$C$13),"주의","정상")),"확인필요")))</f>
        <v/>
      </c>
      <c r="J143" s="25" t="str">
        <f aca="false">IF(E143="","",IF(E143="-","측정불가",IF(NOT(ISNUMBER(E143)),"확인필요",IF(E143&lt;설정!$C$17,"긴급(저혈당)",IF(E143&gt;=설정!$C$18,"긴급(고혈당)",IF(F143="공복",IF(E143&gt;=설정!$C$15,"주의","정상"),IF(F143="식후",IF(E143&gt;=설정!$C$16,"주의","정상"),"조건확인")))))))</f>
        <v/>
      </c>
      <c r="K143" s="25" t="str">
        <f aca="false">IF(OR(I143="긴급",LEFT(J143,2)="긴급"),"★ 즉시 선생님 호출",IF(OR(I143="주의",J143="주의"),"결과상담에서 확인",IF(J143="조건확인","혈당조건(공복/식후) 선택","")))</f>
        <v/>
      </c>
      <c r="L143" s="25" t="str">
        <f aca="false">IF($B143="","",IF(COUNTIF($B$5:$B$1004,$B143)&gt;1,"중복 입력",""))</f>
        <v/>
      </c>
    </row>
    <row r="144" customFormat="false" ht="1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5" t="str">
        <f aca="false">IF($B144="","",IFERROR(IF(INDEX(명단!$B$5:$B$404,MATCH($B144,명단!$A$5:$A$404,0))="","(이름 미입력)",INDEX(명단!$B$5:$B$404,MATCH($B144,명단!$A$5:$A$404,0))),"번호 없음"))</f>
        <v/>
      </c>
      <c r="I144" s="25" t="str">
        <f aca="false">IF(AND(C144="",D144=""),"",IF(OR(C144="-",D144="-"),"측정불가",IF(AND(ISNUMBER(C144),ISNUMBER(D144)),IF(OR(C144&gt;=설정!$C$11,D144&gt;=설정!$C$12),"긴급",IF(OR(C144&gt;=설정!$C$9,D144&gt;=설정!$C$10,C144&lt;설정!$C$13),"주의","정상")),"확인필요")))</f>
        <v/>
      </c>
      <c r="J144" s="25" t="str">
        <f aca="false">IF(E144="","",IF(E144="-","측정불가",IF(NOT(ISNUMBER(E144)),"확인필요",IF(E144&lt;설정!$C$17,"긴급(저혈당)",IF(E144&gt;=설정!$C$18,"긴급(고혈당)",IF(F144="공복",IF(E144&gt;=설정!$C$15,"주의","정상"),IF(F144="식후",IF(E144&gt;=설정!$C$16,"주의","정상"),"조건확인")))))))</f>
        <v/>
      </c>
      <c r="K144" s="25" t="str">
        <f aca="false">IF(OR(I144="긴급",LEFT(J144,2)="긴급"),"★ 즉시 선생님 호출",IF(OR(I144="주의",J144="주의"),"결과상담에서 확인",IF(J144="조건확인","혈당조건(공복/식후) 선택","")))</f>
        <v/>
      </c>
      <c r="L144" s="25" t="str">
        <f aca="false">IF($B144="","",IF(COUNTIF($B$5:$B$1004,$B144)&gt;1,"중복 입력",""))</f>
        <v/>
      </c>
    </row>
    <row r="145" customFormat="false" ht="1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5" t="str">
        <f aca="false">IF($B145="","",IFERROR(IF(INDEX(명단!$B$5:$B$404,MATCH($B145,명단!$A$5:$A$404,0))="","(이름 미입력)",INDEX(명단!$B$5:$B$404,MATCH($B145,명단!$A$5:$A$404,0))),"번호 없음"))</f>
        <v/>
      </c>
      <c r="I145" s="25" t="str">
        <f aca="false">IF(AND(C145="",D145=""),"",IF(OR(C145="-",D145="-"),"측정불가",IF(AND(ISNUMBER(C145),ISNUMBER(D145)),IF(OR(C145&gt;=설정!$C$11,D145&gt;=설정!$C$12),"긴급",IF(OR(C145&gt;=설정!$C$9,D145&gt;=설정!$C$10,C145&lt;설정!$C$13),"주의","정상")),"확인필요")))</f>
        <v/>
      </c>
      <c r="J145" s="25" t="str">
        <f aca="false">IF(E145="","",IF(E145="-","측정불가",IF(NOT(ISNUMBER(E145)),"확인필요",IF(E145&lt;설정!$C$17,"긴급(저혈당)",IF(E145&gt;=설정!$C$18,"긴급(고혈당)",IF(F145="공복",IF(E145&gt;=설정!$C$15,"주의","정상"),IF(F145="식후",IF(E145&gt;=설정!$C$16,"주의","정상"),"조건확인")))))))</f>
        <v/>
      </c>
      <c r="K145" s="25" t="str">
        <f aca="false">IF(OR(I145="긴급",LEFT(J145,2)="긴급"),"★ 즉시 선생님 호출",IF(OR(I145="주의",J145="주의"),"결과상담에서 확인",IF(J145="조건확인","혈당조건(공복/식후) 선택","")))</f>
        <v/>
      </c>
      <c r="L145" s="25" t="str">
        <f aca="false">IF($B145="","",IF(COUNTIF($B$5:$B$1004,$B145)&gt;1,"중복 입력",""))</f>
        <v/>
      </c>
    </row>
    <row r="146" customFormat="false" ht="1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5" t="str">
        <f aca="false">IF($B146="","",IFERROR(IF(INDEX(명단!$B$5:$B$404,MATCH($B146,명단!$A$5:$A$404,0))="","(이름 미입력)",INDEX(명단!$B$5:$B$404,MATCH($B146,명단!$A$5:$A$404,0))),"번호 없음"))</f>
        <v/>
      </c>
      <c r="I146" s="25" t="str">
        <f aca="false">IF(AND(C146="",D146=""),"",IF(OR(C146="-",D146="-"),"측정불가",IF(AND(ISNUMBER(C146),ISNUMBER(D146)),IF(OR(C146&gt;=설정!$C$11,D146&gt;=설정!$C$12),"긴급",IF(OR(C146&gt;=설정!$C$9,D146&gt;=설정!$C$10,C146&lt;설정!$C$13),"주의","정상")),"확인필요")))</f>
        <v/>
      </c>
      <c r="J146" s="25" t="str">
        <f aca="false">IF(E146="","",IF(E146="-","측정불가",IF(NOT(ISNUMBER(E146)),"확인필요",IF(E146&lt;설정!$C$17,"긴급(저혈당)",IF(E146&gt;=설정!$C$18,"긴급(고혈당)",IF(F146="공복",IF(E146&gt;=설정!$C$15,"주의","정상"),IF(F146="식후",IF(E146&gt;=설정!$C$16,"주의","정상"),"조건확인")))))))</f>
        <v/>
      </c>
      <c r="K146" s="25" t="str">
        <f aca="false">IF(OR(I146="긴급",LEFT(J146,2)="긴급"),"★ 즉시 선생님 호출",IF(OR(I146="주의",J146="주의"),"결과상담에서 확인",IF(J146="조건확인","혈당조건(공복/식후) 선택","")))</f>
        <v/>
      </c>
      <c r="L146" s="25" t="str">
        <f aca="false">IF($B146="","",IF(COUNTIF($B$5:$B$1004,$B146)&gt;1,"중복 입력",""))</f>
        <v/>
      </c>
    </row>
    <row r="147" customFormat="false" ht="1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5" t="str">
        <f aca="false">IF($B147="","",IFERROR(IF(INDEX(명단!$B$5:$B$404,MATCH($B147,명단!$A$5:$A$404,0))="","(이름 미입력)",INDEX(명단!$B$5:$B$404,MATCH($B147,명단!$A$5:$A$404,0))),"번호 없음"))</f>
        <v/>
      </c>
      <c r="I147" s="25" t="str">
        <f aca="false">IF(AND(C147="",D147=""),"",IF(OR(C147="-",D147="-"),"측정불가",IF(AND(ISNUMBER(C147),ISNUMBER(D147)),IF(OR(C147&gt;=설정!$C$11,D147&gt;=설정!$C$12),"긴급",IF(OR(C147&gt;=설정!$C$9,D147&gt;=설정!$C$10,C147&lt;설정!$C$13),"주의","정상")),"확인필요")))</f>
        <v/>
      </c>
      <c r="J147" s="25" t="str">
        <f aca="false">IF(E147="","",IF(E147="-","측정불가",IF(NOT(ISNUMBER(E147)),"확인필요",IF(E147&lt;설정!$C$17,"긴급(저혈당)",IF(E147&gt;=설정!$C$18,"긴급(고혈당)",IF(F147="공복",IF(E147&gt;=설정!$C$15,"주의","정상"),IF(F147="식후",IF(E147&gt;=설정!$C$16,"주의","정상"),"조건확인")))))))</f>
        <v/>
      </c>
      <c r="K147" s="25" t="str">
        <f aca="false">IF(OR(I147="긴급",LEFT(J147,2)="긴급"),"★ 즉시 선생님 호출",IF(OR(I147="주의",J147="주의"),"결과상담에서 확인",IF(J147="조건확인","혈당조건(공복/식후) 선택","")))</f>
        <v/>
      </c>
      <c r="L147" s="25" t="str">
        <f aca="false">IF($B147="","",IF(COUNTIF($B$5:$B$1004,$B147)&gt;1,"중복 입력",""))</f>
        <v/>
      </c>
    </row>
    <row r="148" customFormat="false" ht="1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5" t="str">
        <f aca="false">IF($B148="","",IFERROR(IF(INDEX(명단!$B$5:$B$404,MATCH($B148,명단!$A$5:$A$404,0))="","(이름 미입력)",INDEX(명단!$B$5:$B$404,MATCH($B148,명단!$A$5:$A$404,0))),"번호 없음"))</f>
        <v/>
      </c>
      <c r="I148" s="25" t="str">
        <f aca="false">IF(AND(C148="",D148=""),"",IF(OR(C148="-",D148="-"),"측정불가",IF(AND(ISNUMBER(C148),ISNUMBER(D148)),IF(OR(C148&gt;=설정!$C$11,D148&gt;=설정!$C$12),"긴급",IF(OR(C148&gt;=설정!$C$9,D148&gt;=설정!$C$10,C148&lt;설정!$C$13),"주의","정상")),"확인필요")))</f>
        <v/>
      </c>
      <c r="J148" s="25" t="str">
        <f aca="false">IF(E148="","",IF(E148="-","측정불가",IF(NOT(ISNUMBER(E148)),"확인필요",IF(E148&lt;설정!$C$17,"긴급(저혈당)",IF(E148&gt;=설정!$C$18,"긴급(고혈당)",IF(F148="공복",IF(E148&gt;=설정!$C$15,"주의","정상"),IF(F148="식후",IF(E148&gt;=설정!$C$16,"주의","정상"),"조건확인")))))))</f>
        <v/>
      </c>
      <c r="K148" s="25" t="str">
        <f aca="false">IF(OR(I148="긴급",LEFT(J148,2)="긴급"),"★ 즉시 선생님 호출",IF(OR(I148="주의",J148="주의"),"결과상담에서 확인",IF(J148="조건확인","혈당조건(공복/식후) 선택","")))</f>
        <v/>
      </c>
      <c r="L148" s="25" t="str">
        <f aca="false">IF($B148="","",IF(COUNTIF($B$5:$B$1004,$B148)&gt;1,"중복 입력",""))</f>
        <v/>
      </c>
    </row>
    <row r="149" customFormat="false" ht="1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5" t="str">
        <f aca="false">IF($B149="","",IFERROR(IF(INDEX(명단!$B$5:$B$404,MATCH($B149,명단!$A$5:$A$404,0))="","(이름 미입력)",INDEX(명단!$B$5:$B$404,MATCH($B149,명단!$A$5:$A$404,0))),"번호 없음"))</f>
        <v/>
      </c>
      <c r="I149" s="25" t="str">
        <f aca="false">IF(AND(C149="",D149=""),"",IF(OR(C149="-",D149="-"),"측정불가",IF(AND(ISNUMBER(C149),ISNUMBER(D149)),IF(OR(C149&gt;=설정!$C$11,D149&gt;=설정!$C$12),"긴급",IF(OR(C149&gt;=설정!$C$9,D149&gt;=설정!$C$10,C149&lt;설정!$C$13),"주의","정상")),"확인필요")))</f>
        <v/>
      </c>
      <c r="J149" s="25" t="str">
        <f aca="false">IF(E149="","",IF(E149="-","측정불가",IF(NOT(ISNUMBER(E149)),"확인필요",IF(E149&lt;설정!$C$17,"긴급(저혈당)",IF(E149&gt;=설정!$C$18,"긴급(고혈당)",IF(F149="공복",IF(E149&gt;=설정!$C$15,"주의","정상"),IF(F149="식후",IF(E149&gt;=설정!$C$16,"주의","정상"),"조건확인")))))))</f>
        <v/>
      </c>
      <c r="K149" s="25" t="str">
        <f aca="false">IF(OR(I149="긴급",LEFT(J149,2)="긴급"),"★ 즉시 선생님 호출",IF(OR(I149="주의",J149="주의"),"결과상담에서 확인",IF(J149="조건확인","혈당조건(공복/식후) 선택","")))</f>
        <v/>
      </c>
      <c r="L149" s="25" t="str">
        <f aca="false">IF($B149="","",IF(COUNTIF($B$5:$B$1004,$B149)&gt;1,"중복 입력",""))</f>
        <v/>
      </c>
    </row>
    <row r="150" customFormat="false" ht="1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5" t="str">
        <f aca="false">IF($B150="","",IFERROR(IF(INDEX(명단!$B$5:$B$404,MATCH($B150,명단!$A$5:$A$404,0))="","(이름 미입력)",INDEX(명단!$B$5:$B$404,MATCH($B150,명단!$A$5:$A$404,0))),"번호 없음"))</f>
        <v/>
      </c>
      <c r="I150" s="25" t="str">
        <f aca="false">IF(AND(C150="",D150=""),"",IF(OR(C150="-",D150="-"),"측정불가",IF(AND(ISNUMBER(C150),ISNUMBER(D150)),IF(OR(C150&gt;=설정!$C$11,D150&gt;=설정!$C$12),"긴급",IF(OR(C150&gt;=설정!$C$9,D150&gt;=설정!$C$10,C150&lt;설정!$C$13),"주의","정상")),"확인필요")))</f>
        <v/>
      </c>
      <c r="J150" s="25" t="str">
        <f aca="false">IF(E150="","",IF(E150="-","측정불가",IF(NOT(ISNUMBER(E150)),"확인필요",IF(E150&lt;설정!$C$17,"긴급(저혈당)",IF(E150&gt;=설정!$C$18,"긴급(고혈당)",IF(F150="공복",IF(E150&gt;=설정!$C$15,"주의","정상"),IF(F150="식후",IF(E150&gt;=설정!$C$16,"주의","정상"),"조건확인")))))))</f>
        <v/>
      </c>
      <c r="K150" s="25" t="str">
        <f aca="false">IF(OR(I150="긴급",LEFT(J150,2)="긴급"),"★ 즉시 선생님 호출",IF(OR(I150="주의",J150="주의"),"결과상담에서 확인",IF(J150="조건확인","혈당조건(공복/식후) 선택","")))</f>
        <v/>
      </c>
      <c r="L150" s="25" t="str">
        <f aca="false">IF($B150="","",IF(COUNTIF($B$5:$B$1004,$B150)&gt;1,"중복 입력",""))</f>
        <v/>
      </c>
    </row>
    <row r="151" customFormat="false" ht="1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5" t="str">
        <f aca="false">IF($B151="","",IFERROR(IF(INDEX(명단!$B$5:$B$404,MATCH($B151,명단!$A$5:$A$404,0))="","(이름 미입력)",INDEX(명단!$B$5:$B$404,MATCH($B151,명단!$A$5:$A$404,0))),"번호 없음"))</f>
        <v/>
      </c>
      <c r="I151" s="25" t="str">
        <f aca="false">IF(AND(C151="",D151=""),"",IF(OR(C151="-",D151="-"),"측정불가",IF(AND(ISNUMBER(C151),ISNUMBER(D151)),IF(OR(C151&gt;=설정!$C$11,D151&gt;=설정!$C$12),"긴급",IF(OR(C151&gt;=설정!$C$9,D151&gt;=설정!$C$10,C151&lt;설정!$C$13),"주의","정상")),"확인필요")))</f>
        <v/>
      </c>
      <c r="J151" s="25" t="str">
        <f aca="false">IF(E151="","",IF(E151="-","측정불가",IF(NOT(ISNUMBER(E151)),"확인필요",IF(E151&lt;설정!$C$17,"긴급(저혈당)",IF(E151&gt;=설정!$C$18,"긴급(고혈당)",IF(F151="공복",IF(E151&gt;=설정!$C$15,"주의","정상"),IF(F151="식후",IF(E151&gt;=설정!$C$16,"주의","정상"),"조건확인")))))))</f>
        <v/>
      </c>
      <c r="K151" s="25" t="str">
        <f aca="false">IF(OR(I151="긴급",LEFT(J151,2)="긴급"),"★ 즉시 선생님 호출",IF(OR(I151="주의",J151="주의"),"결과상담에서 확인",IF(J151="조건확인","혈당조건(공복/식후) 선택","")))</f>
        <v/>
      </c>
      <c r="L151" s="25" t="str">
        <f aca="false">IF($B151="","",IF(COUNTIF($B$5:$B$1004,$B151)&gt;1,"중복 입력",""))</f>
        <v/>
      </c>
    </row>
    <row r="152" customFormat="false" ht="1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5" t="str">
        <f aca="false">IF($B152="","",IFERROR(IF(INDEX(명단!$B$5:$B$404,MATCH($B152,명단!$A$5:$A$404,0))="","(이름 미입력)",INDEX(명단!$B$5:$B$404,MATCH($B152,명단!$A$5:$A$404,0))),"번호 없음"))</f>
        <v/>
      </c>
      <c r="I152" s="25" t="str">
        <f aca="false">IF(AND(C152="",D152=""),"",IF(OR(C152="-",D152="-"),"측정불가",IF(AND(ISNUMBER(C152),ISNUMBER(D152)),IF(OR(C152&gt;=설정!$C$11,D152&gt;=설정!$C$12),"긴급",IF(OR(C152&gt;=설정!$C$9,D152&gt;=설정!$C$10,C152&lt;설정!$C$13),"주의","정상")),"확인필요")))</f>
        <v/>
      </c>
      <c r="J152" s="25" t="str">
        <f aca="false">IF(E152="","",IF(E152="-","측정불가",IF(NOT(ISNUMBER(E152)),"확인필요",IF(E152&lt;설정!$C$17,"긴급(저혈당)",IF(E152&gt;=설정!$C$18,"긴급(고혈당)",IF(F152="공복",IF(E152&gt;=설정!$C$15,"주의","정상"),IF(F152="식후",IF(E152&gt;=설정!$C$16,"주의","정상"),"조건확인")))))))</f>
        <v/>
      </c>
      <c r="K152" s="25" t="str">
        <f aca="false">IF(OR(I152="긴급",LEFT(J152,2)="긴급"),"★ 즉시 선생님 호출",IF(OR(I152="주의",J152="주의"),"결과상담에서 확인",IF(J152="조건확인","혈당조건(공복/식후) 선택","")))</f>
        <v/>
      </c>
      <c r="L152" s="25" t="str">
        <f aca="false">IF($B152="","",IF(COUNTIF($B$5:$B$1004,$B152)&gt;1,"중복 입력",""))</f>
        <v/>
      </c>
    </row>
    <row r="153" customFormat="false" ht="1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5" t="str">
        <f aca="false">IF($B153="","",IFERROR(IF(INDEX(명단!$B$5:$B$404,MATCH($B153,명단!$A$5:$A$404,0))="","(이름 미입력)",INDEX(명단!$B$5:$B$404,MATCH($B153,명단!$A$5:$A$404,0))),"번호 없음"))</f>
        <v/>
      </c>
      <c r="I153" s="25" t="str">
        <f aca="false">IF(AND(C153="",D153=""),"",IF(OR(C153="-",D153="-"),"측정불가",IF(AND(ISNUMBER(C153),ISNUMBER(D153)),IF(OR(C153&gt;=설정!$C$11,D153&gt;=설정!$C$12),"긴급",IF(OR(C153&gt;=설정!$C$9,D153&gt;=설정!$C$10,C153&lt;설정!$C$13),"주의","정상")),"확인필요")))</f>
        <v/>
      </c>
      <c r="J153" s="25" t="str">
        <f aca="false">IF(E153="","",IF(E153="-","측정불가",IF(NOT(ISNUMBER(E153)),"확인필요",IF(E153&lt;설정!$C$17,"긴급(저혈당)",IF(E153&gt;=설정!$C$18,"긴급(고혈당)",IF(F153="공복",IF(E153&gt;=설정!$C$15,"주의","정상"),IF(F153="식후",IF(E153&gt;=설정!$C$16,"주의","정상"),"조건확인")))))))</f>
        <v/>
      </c>
      <c r="K153" s="25" t="str">
        <f aca="false">IF(OR(I153="긴급",LEFT(J153,2)="긴급"),"★ 즉시 선생님 호출",IF(OR(I153="주의",J153="주의"),"결과상담에서 확인",IF(J153="조건확인","혈당조건(공복/식후) 선택","")))</f>
        <v/>
      </c>
      <c r="L153" s="25" t="str">
        <f aca="false">IF($B153="","",IF(COUNTIF($B$5:$B$1004,$B153)&gt;1,"중복 입력",""))</f>
        <v/>
      </c>
    </row>
    <row r="154" customFormat="false" ht="1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5" t="str">
        <f aca="false">IF($B154="","",IFERROR(IF(INDEX(명단!$B$5:$B$404,MATCH($B154,명단!$A$5:$A$404,0))="","(이름 미입력)",INDEX(명단!$B$5:$B$404,MATCH($B154,명단!$A$5:$A$404,0))),"번호 없음"))</f>
        <v/>
      </c>
      <c r="I154" s="25" t="str">
        <f aca="false">IF(AND(C154="",D154=""),"",IF(OR(C154="-",D154="-"),"측정불가",IF(AND(ISNUMBER(C154),ISNUMBER(D154)),IF(OR(C154&gt;=설정!$C$11,D154&gt;=설정!$C$12),"긴급",IF(OR(C154&gt;=설정!$C$9,D154&gt;=설정!$C$10,C154&lt;설정!$C$13),"주의","정상")),"확인필요")))</f>
        <v/>
      </c>
      <c r="J154" s="25" t="str">
        <f aca="false">IF(E154="","",IF(E154="-","측정불가",IF(NOT(ISNUMBER(E154)),"확인필요",IF(E154&lt;설정!$C$17,"긴급(저혈당)",IF(E154&gt;=설정!$C$18,"긴급(고혈당)",IF(F154="공복",IF(E154&gt;=설정!$C$15,"주의","정상"),IF(F154="식후",IF(E154&gt;=설정!$C$16,"주의","정상"),"조건확인")))))))</f>
        <v/>
      </c>
      <c r="K154" s="25" t="str">
        <f aca="false">IF(OR(I154="긴급",LEFT(J154,2)="긴급"),"★ 즉시 선생님 호출",IF(OR(I154="주의",J154="주의"),"결과상담에서 확인",IF(J154="조건확인","혈당조건(공복/식후) 선택","")))</f>
        <v/>
      </c>
      <c r="L154" s="25" t="str">
        <f aca="false">IF($B154="","",IF(COUNTIF($B$5:$B$1004,$B154)&gt;1,"중복 입력",""))</f>
        <v/>
      </c>
    </row>
    <row r="155" customFormat="false" ht="1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5" t="str">
        <f aca="false">IF($B155="","",IFERROR(IF(INDEX(명단!$B$5:$B$404,MATCH($B155,명단!$A$5:$A$404,0))="","(이름 미입력)",INDEX(명단!$B$5:$B$404,MATCH($B155,명단!$A$5:$A$404,0))),"번호 없음"))</f>
        <v/>
      </c>
      <c r="I155" s="25" t="str">
        <f aca="false">IF(AND(C155="",D155=""),"",IF(OR(C155="-",D155="-"),"측정불가",IF(AND(ISNUMBER(C155),ISNUMBER(D155)),IF(OR(C155&gt;=설정!$C$11,D155&gt;=설정!$C$12),"긴급",IF(OR(C155&gt;=설정!$C$9,D155&gt;=설정!$C$10,C155&lt;설정!$C$13),"주의","정상")),"확인필요")))</f>
        <v/>
      </c>
      <c r="J155" s="25" t="str">
        <f aca="false">IF(E155="","",IF(E155="-","측정불가",IF(NOT(ISNUMBER(E155)),"확인필요",IF(E155&lt;설정!$C$17,"긴급(저혈당)",IF(E155&gt;=설정!$C$18,"긴급(고혈당)",IF(F155="공복",IF(E155&gt;=설정!$C$15,"주의","정상"),IF(F155="식후",IF(E155&gt;=설정!$C$16,"주의","정상"),"조건확인")))))))</f>
        <v/>
      </c>
      <c r="K155" s="25" t="str">
        <f aca="false">IF(OR(I155="긴급",LEFT(J155,2)="긴급"),"★ 즉시 선생님 호출",IF(OR(I155="주의",J155="주의"),"결과상담에서 확인",IF(J155="조건확인","혈당조건(공복/식후) 선택","")))</f>
        <v/>
      </c>
      <c r="L155" s="25" t="str">
        <f aca="false">IF($B155="","",IF(COUNTIF($B$5:$B$1004,$B155)&gt;1,"중복 입력",""))</f>
        <v/>
      </c>
    </row>
    <row r="156" customFormat="false" ht="1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5" t="str">
        <f aca="false">IF($B156="","",IFERROR(IF(INDEX(명단!$B$5:$B$404,MATCH($B156,명단!$A$5:$A$404,0))="","(이름 미입력)",INDEX(명단!$B$5:$B$404,MATCH($B156,명단!$A$5:$A$404,0))),"번호 없음"))</f>
        <v/>
      </c>
      <c r="I156" s="25" t="str">
        <f aca="false">IF(AND(C156="",D156=""),"",IF(OR(C156="-",D156="-"),"측정불가",IF(AND(ISNUMBER(C156),ISNUMBER(D156)),IF(OR(C156&gt;=설정!$C$11,D156&gt;=설정!$C$12),"긴급",IF(OR(C156&gt;=설정!$C$9,D156&gt;=설정!$C$10,C156&lt;설정!$C$13),"주의","정상")),"확인필요")))</f>
        <v/>
      </c>
      <c r="J156" s="25" t="str">
        <f aca="false">IF(E156="","",IF(E156="-","측정불가",IF(NOT(ISNUMBER(E156)),"확인필요",IF(E156&lt;설정!$C$17,"긴급(저혈당)",IF(E156&gt;=설정!$C$18,"긴급(고혈당)",IF(F156="공복",IF(E156&gt;=설정!$C$15,"주의","정상"),IF(F156="식후",IF(E156&gt;=설정!$C$16,"주의","정상"),"조건확인")))))))</f>
        <v/>
      </c>
      <c r="K156" s="25" t="str">
        <f aca="false">IF(OR(I156="긴급",LEFT(J156,2)="긴급"),"★ 즉시 선생님 호출",IF(OR(I156="주의",J156="주의"),"결과상담에서 확인",IF(J156="조건확인","혈당조건(공복/식후) 선택","")))</f>
        <v/>
      </c>
      <c r="L156" s="25" t="str">
        <f aca="false">IF($B156="","",IF(COUNTIF($B$5:$B$1004,$B156)&gt;1,"중복 입력",""))</f>
        <v/>
      </c>
    </row>
    <row r="157" customFormat="false" ht="1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5" t="str">
        <f aca="false">IF($B157="","",IFERROR(IF(INDEX(명단!$B$5:$B$404,MATCH($B157,명단!$A$5:$A$404,0))="","(이름 미입력)",INDEX(명단!$B$5:$B$404,MATCH($B157,명단!$A$5:$A$404,0))),"번호 없음"))</f>
        <v/>
      </c>
      <c r="I157" s="25" t="str">
        <f aca="false">IF(AND(C157="",D157=""),"",IF(OR(C157="-",D157="-"),"측정불가",IF(AND(ISNUMBER(C157),ISNUMBER(D157)),IF(OR(C157&gt;=설정!$C$11,D157&gt;=설정!$C$12),"긴급",IF(OR(C157&gt;=설정!$C$9,D157&gt;=설정!$C$10,C157&lt;설정!$C$13),"주의","정상")),"확인필요")))</f>
        <v/>
      </c>
      <c r="J157" s="25" t="str">
        <f aca="false">IF(E157="","",IF(E157="-","측정불가",IF(NOT(ISNUMBER(E157)),"확인필요",IF(E157&lt;설정!$C$17,"긴급(저혈당)",IF(E157&gt;=설정!$C$18,"긴급(고혈당)",IF(F157="공복",IF(E157&gt;=설정!$C$15,"주의","정상"),IF(F157="식후",IF(E157&gt;=설정!$C$16,"주의","정상"),"조건확인")))))))</f>
        <v/>
      </c>
      <c r="K157" s="25" t="str">
        <f aca="false">IF(OR(I157="긴급",LEFT(J157,2)="긴급"),"★ 즉시 선생님 호출",IF(OR(I157="주의",J157="주의"),"결과상담에서 확인",IF(J157="조건확인","혈당조건(공복/식후) 선택","")))</f>
        <v/>
      </c>
      <c r="L157" s="25" t="str">
        <f aca="false">IF($B157="","",IF(COUNTIF($B$5:$B$1004,$B157)&gt;1,"중복 입력",""))</f>
        <v/>
      </c>
    </row>
    <row r="158" customFormat="false" ht="1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5" t="str">
        <f aca="false">IF($B158="","",IFERROR(IF(INDEX(명단!$B$5:$B$404,MATCH($B158,명단!$A$5:$A$404,0))="","(이름 미입력)",INDEX(명단!$B$5:$B$404,MATCH($B158,명단!$A$5:$A$404,0))),"번호 없음"))</f>
        <v/>
      </c>
      <c r="I158" s="25" t="str">
        <f aca="false">IF(AND(C158="",D158=""),"",IF(OR(C158="-",D158="-"),"측정불가",IF(AND(ISNUMBER(C158),ISNUMBER(D158)),IF(OR(C158&gt;=설정!$C$11,D158&gt;=설정!$C$12),"긴급",IF(OR(C158&gt;=설정!$C$9,D158&gt;=설정!$C$10,C158&lt;설정!$C$13),"주의","정상")),"확인필요")))</f>
        <v/>
      </c>
      <c r="J158" s="25" t="str">
        <f aca="false">IF(E158="","",IF(E158="-","측정불가",IF(NOT(ISNUMBER(E158)),"확인필요",IF(E158&lt;설정!$C$17,"긴급(저혈당)",IF(E158&gt;=설정!$C$18,"긴급(고혈당)",IF(F158="공복",IF(E158&gt;=설정!$C$15,"주의","정상"),IF(F158="식후",IF(E158&gt;=설정!$C$16,"주의","정상"),"조건확인")))))))</f>
        <v/>
      </c>
      <c r="K158" s="25" t="str">
        <f aca="false">IF(OR(I158="긴급",LEFT(J158,2)="긴급"),"★ 즉시 선생님 호출",IF(OR(I158="주의",J158="주의"),"결과상담에서 확인",IF(J158="조건확인","혈당조건(공복/식후) 선택","")))</f>
        <v/>
      </c>
      <c r="L158" s="25" t="str">
        <f aca="false">IF($B158="","",IF(COUNTIF($B$5:$B$1004,$B158)&gt;1,"중복 입력",""))</f>
        <v/>
      </c>
    </row>
    <row r="159" customFormat="false" ht="1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5" t="str">
        <f aca="false">IF($B159="","",IFERROR(IF(INDEX(명단!$B$5:$B$404,MATCH($B159,명단!$A$5:$A$404,0))="","(이름 미입력)",INDEX(명단!$B$5:$B$404,MATCH($B159,명단!$A$5:$A$404,0))),"번호 없음"))</f>
        <v/>
      </c>
      <c r="I159" s="25" t="str">
        <f aca="false">IF(AND(C159="",D159=""),"",IF(OR(C159="-",D159="-"),"측정불가",IF(AND(ISNUMBER(C159),ISNUMBER(D159)),IF(OR(C159&gt;=설정!$C$11,D159&gt;=설정!$C$12),"긴급",IF(OR(C159&gt;=설정!$C$9,D159&gt;=설정!$C$10,C159&lt;설정!$C$13),"주의","정상")),"확인필요")))</f>
        <v/>
      </c>
      <c r="J159" s="25" t="str">
        <f aca="false">IF(E159="","",IF(E159="-","측정불가",IF(NOT(ISNUMBER(E159)),"확인필요",IF(E159&lt;설정!$C$17,"긴급(저혈당)",IF(E159&gt;=설정!$C$18,"긴급(고혈당)",IF(F159="공복",IF(E159&gt;=설정!$C$15,"주의","정상"),IF(F159="식후",IF(E159&gt;=설정!$C$16,"주의","정상"),"조건확인")))))))</f>
        <v/>
      </c>
      <c r="K159" s="25" t="str">
        <f aca="false">IF(OR(I159="긴급",LEFT(J159,2)="긴급"),"★ 즉시 선생님 호출",IF(OR(I159="주의",J159="주의"),"결과상담에서 확인",IF(J159="조건확인","혈당조건(공복/식후) 선택","")))</f>
        <v/>
      </c>
      <c r="L159" s="25" t="str">
        <f aca="false">IF($B159="","",IF(COUNTIF($B$5:$B$1004,$B159)&gt;1,"중복 입력",""))</f>
        <v/>
      </c>
    </row>
    <row r="160" customFormat="false" ht="1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5" t="str">
        <f aca="false">IF($B160="","",IFERROR(IF(INDEX(명단!$B$5:$B$404,MATCH($B160,명단!$A$5:$A$404,0))="","(이름 미입력)",INDEX(명단!$B$5:$B$404,MATCH($B160,명단!$A$5:$A$404,0))),"번호 없음"))</f>
        <v/>
      </c>
      <c r="I160" s="25" t="str">
        <f aca="false">IF(AND(C160="",D160=""),"",IF(OR(C160="-",D160="-"),"측정불가",IF(AND(ISNUMBER(C160),ISNUMBER(D160)),IF(OR(C160&gt;=설정!$C$11,D160&gt;=설정!$C$12),"긴급",IF(OR(C160&gt;=설정!$C$9,D160&gt;=설정!$C$10,C160&lt;설정!$C$13),"주의","정상")),"확인필요")))</f>
        <v/>
      </c>
      <c r="J160" s="25" t="str">
        <f aca="false">IF(E160="","",IF(E160="-","측정불가",IF(NOT(ISNUMBER(E160)),"확인필요",IF(E160&lt;설정!$C$17,"긴급(저혈당)",IF(E160&gt;=설정!$C$18,"긴급(고혈당)",IF(F160="공복",IF(E160&gt;=설정!$C$15,"주의","정상"),IF(F160="식후",IF(E160&gt;=설정!$C$16,"주의","정상"),"조건확인")))))))</f>
        <v/>
      </c>
      <c r="K160" s="25" t="str">
        <f aca="false">IF(OR(I160="긴급",LEFT(J160,2)="긴급"),"★ 즉시 선생님 호출",IF(OR(I160="주의",J160="주의"),"결과상담에서 확인",IF(J160="조건확인","혈당조건(공복/식후) 선택","")))</f>
        <v/>
      </c>
      <c r="L160" s="25" t="str">
        <f aca="false">IF($B160="","",IF(COUNTIF($B$5:$B$1004,$B160)&gt;1,"중복 입력",""))</f>
        <v/>
      </c>
    </row>
    <row r="161" customFormat="false" ht="1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5" t="str">
        <f aca="false">IF($B161="","",IFERROR(IF(INDEX(명단!$B$5:$B$404,MATCH($B161,명단!$A$5:$A$404,0))="","(이름 미입력)",INDEX(명단!$B$5:$B$404,MATCH($B161,명단!$A$5:$A$404,0))),"번호 없음"))</f>
        <v/>
      </c>
      <c r="I161" s="25" t="str">
        <f aca="false">IF(AND(C161="",D161=""),"",IF(OR(C161="-",D161="-"),"측정불가",IF(AND(ISNUMBER(C161),ISNUMBER(D161)),IF(OR(C161&gt;=설정!$C$11,D161&gt;=설정!$C$12),"긴급",IF(OR(C161&gt;=설정!$C$9,D161&gt;=설정!$C$10,C161&lt;설정!$C$13),"주의","정상")),"확인필요")))</f>
        <v/>
      </c>
      <c r="J161" s="25" t="str">
        <f aca="false">IF(E161="","",IF(E161="-","측정불가",IF(NOT(ISNUMBER(E161)),"확인필요",IF(E161&lt;설정!$C$17,"긴급(저혈당)",IF(E161&gt;=설정!$C$18,"긴급(고혈당)",IF(F161="공복",IF(E161&gt;=설정!$C$15,"주의","정상"),IF(F161="식후",IF(E161&gt;=설정!$C$16,"주의","정상"),"조건확인")))))))</f>
        <v/>
      </c>
      <c r="K161" s="25" t="str">
        <f aca="false">IF(OR(I161="긴급",LEFT(J161,2)="긴급"),"★ 즉시 선생님 호출",IF(OR(I161="주의",J161="주의"),"결과상담에서 확인",IF(J161="조건확인","혈당조건(공복/식후) 선택","")))</f>
        <v/>
      </c>
      <c r="L161" s="25" t="str">
        <f aca="false">IF($B161="","",IF(COUNTIF($B$5:$B$1004,$B161)&gt;1,"중복 입력",""))</f>
        <v/>
      </c>
    </row>
    <row r="162" customFormat="false" ht="1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5" t="str">
        <f aca="false">IF($B162="","",IFERROR(IF(INDEX(명단!$B$5:$B$404,MATCH($B162,명단!$A$5:$A$404,0))="","(이름 미입력)",INDEX(명단!$B$5:$B$404,MATCH($B162,명단!$A$5:$A$404,0))),"번호 없음"))</f>
        <v/>
      </c>
      <c r="I162" s="25" t="str">
        <f aca="false">IF(AND(C162="",D162=""),"",IF(OR(C162="-",D162="-"),"측정불가",IF(AND(ISNUMBER(C162),ISNUMBER(D162)),IF(OR(C162&gt;=설정!$C$11,D162&gt;=설정!$C$12),"긴급",IF(OR(C162&gt;=설정!$C$9,D162&gt;=설정!$C$10,C162&lt;설정!$C$13),"주의","정상")),"확인필요")))</f>
        <v/>
      </c>
      <c r="J162" s="25" t="str">
        <f aca="false">IF(E162="","",IF(E162="-","측정불가",IF(NOT(ISNUMBER(E162)),"확인필요",IF(E162&lt;설정!$C$17,"긴급(저혈당)",IF(E162&gt;=설정!$C$18,"긴급(고혈당)",IF(F162="공복",IF(E162&gt;=설정!$C$15,"주의","정상"),IF(F162="식후",IF(E162&gt;=설정!$C$16,"주의","정상"),"조건확인")))))))</f>
        <v/>
      </c>
      <c r="K162" s="25" t="str">
        <f aca="false">IF(OR(I162="긴급",LEFT(J162,2)="긴급"),"★ 즉시 선생님 호출",IF(OR(I162="주의",J162="주의"),"결과상담에서 확인",IF(J162="조건확인","혈당조건(공복/식후) 선택","")))</f>
        <v/>
      </c>
      <c r="L162" s="25" t="str">
        <f aca="false">IF($B162="","",IF(COUNTIF($B$5:$B$1004,$B162)&gt;1,"중복 입력",""))</f>
        <v/>
      </c>
    </row>
    <row r="163" customFormat="false" ht="1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5" t="str">
        <f aca="false">IF($B163="","",IFERROR(IF(INDEX(명단!$B$5:$B$404,MATCH($B163,명단!$A$5:$A$404,0))="","(이름 미입력)",INDEX(명단!$B$5:$B$404,MATCH($B163,명단!$A$5:$A$404,0))),"번호 없음"))</f>
        <v/>
      </c>
      <c r="I163" s="25" t="str">
        <f aca="false">IF(AND(C163="",D163=""),"",IF(OR(C163="-",D163="-"),"측정불가",IF(AND(ISNUMBER(C163),ISNUMBER(D163)),IF(OR(C163&gt;=설정!$C$11,D163&gt;=설정!$C$12),"긴급",IF(OR(C163&gt;=설정!$C$9,D163&gt;=설정!$C$10,C163&lt;설정!$C$13),"주의","정상")),"확인필요")))</f>
        <v/>
      </c>
      <c r="J163" s="25" t="str">
        <f aca="false">IF(E163="","",IF(E163="-","측정불가",IF(NOT(ISNUMBER(E163)),"확인필요",IF(E163&lt;설정!$C$17,"긴급(저혈당)",IF(E163&gt;=설정!$C$18,"긴급(고혈당)",IF(F163="공복",IF(E163&gt;=설정!$C$15,"주의","정상"),IF(F163="식후",IF(E163&gt;=설정!$C$16,"주의","정상"),"조건확인")))))))</f>
        <v/>
      </c>
      <c r="K163" s="25" t="str">
        <f aca="false">IF(OR(I163="긴급",LEFT(J163,2)="긴급"),"★ 즉시 선생님 호출",IF(OR(I163="주의",J163="주의"),"결과상담에서 확인",IF(J163="조건확인","혈당조건(공복/식후) 선택","")))</f>
        <v/>
      </c>
      <c r="L163" s="25" t="str">
        <f aca="false">IF($B163="","",IF(COUNTIF($B$5:$B$1004,$B163)&gt;1,"중복 입력",""))</f>
        <v/>
      </c>
    </row>
    <row r="164" customFormat="false" ht="1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5" t="str">
        <f aca="false">IF($B164="","",IFERROR(IF(INDEX(명단!$B$5:$B$404,MATCH($B164,명단!$A$5:$A$404,0))="","(이름 미입력)",INDEX(명단!$B$5:$B$404,MATCH($B164,명단!$A$5:$A$404,0))),"번호 없음"))</f>
        <v/>
      </c>
      <c r="I164" s="25" t="str">
        <f aca="false">IF(AND(C164="",D164=""),"",IF(OR(C164="-",D164="-"),"측정불가",IF(AND(ISNUMBER(C164),ISNUMBER(D164)),IF(OR(C164&gt;=설정!$C$11,D164&gt;=설정!$C$12),"긴급",IF(OR(C164&gt;=설정!$C$9,D164&gt;=설정!$C$10,C164&lt;설정!$C$13),"주의","정상")),"확인필요")))</f>
        <v/>
      </c>
      <c r="J164" s="25" t="str">
        <f aca="false">IF(E164="","",IF(E164="-","측정불가",IF(NOT(ISNUMBER(E164)),"확인필요",IF(E164&lt;설정!$C$17,"긴급(저혈당)",IF(E164&gt;=설정!$C$18,"긴급(고혈당)",IF(F164="공복",IF(E164&gt;=설정!$C$15,"주의","정상"),IF(F164="식후",IF(E164&gt;=설정!$C$16,"주의","정상"),"조건확인")))))))</f>
        <v/>
      </c>
      <c r="K164" s="25" t="str">
        <f aca="false">IF(OR(I164="긴급",LEFT(J164,2)="긴급"),"★ 즉시 선생님 호출",IF(OR(I164="주의",J164="주의"),"결과상담에서 확인",IF(J164="조건확인","혈당조건(공복/식후) 선택","")))</f>
        <v/>
      </c>
      <c r="L164" s="25" t="str">
        <f aca="false">IF($B164="","",IF(COUNTIF($B$5:$B$1004,$B164)&gt;1,"중복 입력",""))</f>
        <v/>
      </c>
    </row>
    <row r="165" customFormat="false" ht="1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5" t="str">
        <f aca="false">IF($B165="","",IFERROR(IF(INDEX(명단!$B$5:$B$404,MATCH($B165,명단!$A$5:$A$404,0))="","(이름 미입력)",INDEX(명단!$B$5:$B$404,MATCH($B165,명단!$A$5:$A$404,0))),"번호 없음"))</f>
        <v/>
      </c>
      <c r="I165" s="25" t="str">
        <f aca="false">IF(AND(C165="",D165=""),"",IF(OR(C165="-",D165="-"),"측정불가",IF(AND(ISNUMBER(C165),ISNUMBER(D165)),IF(OR(C165&gt;=설정!$C$11,D165&gt;=설정!$C$12),"긴급",IF(OR(C165&gt;=설정!$C$9,D165&gt;=설정!$C$10,C165&lt;설정!$C$13),"주의","정상")),"확인필요")))</f>
        <v/>
      </c>
      <c r="J165" s="25" t="str">
        <f aca="false">IF(E165="","",IF(E165="-","측정불가",IF(NOT(ISNUMBER(E165)),"확인필요",IF(E165&lt;설정!$C$17,"긴급(저혈당)",IF(E165&gt;=설정!$C$18,"긴급(고혈당)",IF(F165="공복",IF(E165&gt;=설정!$C$15,"주의","정상"),IF(F165="식후",IF(E165&gt;=설정!$C$16,"주의","정상"),"조건확인")))))))</f>
        <v/>
      </c>
      <c r="K165" s="25" t="str">
        <f aca="false">IF(OR(I165="긴급",LEFT(J165,2)="긴급"),"★ 즉시 선생님 호출",IF(OR(I165="주의",J165="주의"),"결과상담에서 확인",IF(J165="조건확인","혈당조건(공복/식후) 선택","")))</f>
        <v/>
      </c>
      <c r="L165" s="25" t="str">
        <f aca="false">IF($B165="","",IF(COUNTIF($B$5:$B$1004,$B165)&gt;1,"중복 입력",""))</f>
        <v/>
      </c>
    </row>
    <row r="166" customFormat="false" ht="1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5" t="str">
        <f aca="false">IF($B166="","",IFERROR(IF(INDEX(명단!$B$5:$B$404,MATCH($B166,명단!$A$5:$A$404,0))="","(이름 미입력)",INDEX(명단!$B$5:$B$404,MATCH($B166,명단!$A$5:$A$404,0))),"번호 없음"))</f>
        <v/>
      </c>
      <c r="I166" s="25" t="str">
        <f aca="false">IF(AND(C166="",D166=""),"",IF(OR(C166="-",D166="-"),"측정불가",IF(AND(ISNUMBER(C166),ISNUMBER(D166)),IF(OR(C166&gt;=설정!$C$11,D166&gt;=설정!$C$12),"긴급",IF(OR(C166&gt;=설정!$C$9,D166&gt;=설정!$C$10,C166&lt;설정!$C$13),"주의","정상")),"확인필요")))</f>
        <v/>
      </c>
      <c r="J166" s="25" t="str">
        <f aca="false">IF(E166="","",IF(E166="-","측정불가",IF(NOT(ISNUMBER(E166)),"확인필요",IF(E166&lt;설정!$C$17,"긴급(저혈당)",IF(E166&gt;=설정!$C$18,"긴급(고혈당)",IF(F166="공복",IF(E166&gt;=설정!$C$15,"주의","정상"),IF(F166="식후",IF(E166&gt;=설정!$C$16,"주의","정상"),"조건확인")))))))</f>
        <v/>
      </c>
      <c r="K166" s="25" t="str">
        <f aca="false">IF(OR(I166="긴급",LEFT(J166,2)="긴급"),"★ 즉시 선생님 호출",IF(OR(I166="주의",J166="주의"),"결과상담에서 확인",IF(J166="조건확인","혈당조건(공복/식후) 선택","")))</f>
        <v/>
      </c>
      <c r="L166" s="25" t="str">
        <f aca="false">IF($B166="","",IF(COUNTIF($B$5:$B$1004,$B166)&gt;1,"중복 입력",""))</f>
        <v/>
      </c>
    </row>
    <row r="167" customFormat="false" ht="1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5" t="str">
        <f aca="false">IF($B167="","",IFERROR(IF(INDEX(명단!$B$5:$B$404,MATCH($B167,명단!$A$5:$A$404,0))="","(이름 미입력)",INDEX(명단!$B$5:$B$404,MATCH($B167,명단!$A$5:$A$404,0))),"번호 없음"))</f>
        <v/>
      </c>
      <c r="I167" s="25" t="str">
        <f aca="false">IF(AND(C167="",D167=""),"",IF(OR(C167="-",D167="-"),"측정불가",IF(AND(ISNUMBER(C167),ISNUMBER(D167)),IF(OR(C167&gt;=설정!$C$11,D167&gt;=설정!$C$12),"긴급",IF(OR(C167&gt;=설정!$C$9,D167&gt;=설정!$C$10,C167&lt;설정!$C$13),"주의","정상")),"확인필요")))</f>
        <v/>
      </c>
      <c r="J167" s="25" t="str">
        <f aca="false">IF(E167="","",IF(E167="-","측정불가",IF(NOT(ISNUMBER(E167)),"확인필요",IF(E167&lt;설정!$C$17,"긴급(저혈당)",IF(E167&gt;=설정!$C$18,"긴급(고혈당)",IF(F167="공복",IF(E167&gt;=설정!$C$15,"주의","정상"),IF(F167="식후",IF(E167&gt;=설정!$C$16,"주의","정상"),"조건확인")))))))</f>
        <v/>
      </c>
      <c r="K167" s="25" t="str">
        <f aca="false">IF(OR(I167="긴급",LEFT(J167,2)="긴급"),"★ 즉시 선생님 호출",IF(OR(I167="주의",J167="주의"),"결과상담에서 확인",IF(J167="조건확인","혈당조건(공복/식후) 선택","")))</f>
        <v/>
      </c>
      <c r="L167" s="25" t="str">
        <f aca="false">IF($B167="","",IF(COUNTIF($B$5:$B$1004,$B167)&gt;1,"중복 입력",""))</f>
        <v/>
      </c>
    </row>
    <row r="168" customFormat="false" ht="1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5" t="str">
        <f aca="false">IF($B168="","",IFERROR(IF(INDEX(명단!$B$5:$B$404,MATCH($B168,명단!$A$5:$A$404,0))="","(이름 미입력)",INDEX(명단!$B$5:$B$404,MATCH($B168,명단!$A$5:$A$404,0))),"번호 없음"))</f>
        <v/>
      </c>
      <c r="I168" s="25" t="str">
        <f aca="false">IF(AND(C168="",D168=""),"",IF(OR(C168="-",D168="-"),"측정불가",IF(AND(ISNUMBER(C168),ISNUMBER(D168)),IF(OR(C168&gt;=설정!$C$11,D168&gt;=설정!$C$12),"긴급",IF(OR(C168&gt;=설정!$C$9,D168&gt;=설정!$C$10,C168&lt;설정!$C$13),"주의","정상")),"확인필요")))</f>
        <v/>
      </c>
      <c r="J168" s="25" t="str">
        <f aca="false">IF(E168="","",IF(E168="-","측정불가",IF(NOT(ISNUMBER(E168)),"확인필요",IF(E168&lt;설정!$C$17,"긴급(저혈당)",IF(E168&gt;=설정!$C$18,"긴급(고혈당)",IF(F168="공복",IF(E168&gt;=설정!$C$15,"주의","정상"),IF(F168="식후",IF(E168&gt;=설정!$C$16,"주의","정상"),"조건확인")))))))</f>
        <v/>
      </c>
      <c r="K168" s="25" t="str">
        <f aca="false">IF(OR(I168="긴급",LEFT(J168,2)="긴급"),"★ 즉시 선생님 호출",IF(OR(I168="주의",J168="주의"),"결과상담에서 확인",IF(J168="조건확인","혈당조건(공복/식후) 선택","")))</f>
        <v/>
      </c>
      <c r="L168" s="25" t="str">
        <f aca="false">IF($B168="","",IF(COUNTIF($B$5:$B$1004,$B168)&gt;1,"중복 입력",""))</f>
        <v/>
      </c>
    </row>
    <row r="169" customFormat="false" ht="1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5" t="str">
        <f aca="false">IF($B169="","",IFERROR(IF(INDEX(명단!$B$5:$B$404,MATCH($B169,명단!$A$5:$A$404,0))="","(이름 미입력)",INDEX(명단!$B$5:$B$404,MATCH($B169,명단!$A$5:$A$404,0))),"번호 없음"))</f>
        <v/>
      </c>
      <c r="I169" s="25" t="str">
        <f aca="false">IF(AND(C169="",D169=""),"",IF(OR(C169="-",D169="-"),"측정불가",IF(AND(ISNUMBER(C169),ISNUMBER(D169)),IF(OR(C169&gt;=설정!$C$11,D169&gt;=설정!$C$12),"긴급",IF(OR(C169&gt;=설정!$C$9,D169&gt;=설정!$C$10,C169&lt;설정!$C$13),"주의","정상")),"확인필요")))</f>
        <v/>
      </c>
      <c r="J169" s="25" t="str">
        <f aca="false">IF(E169="","",IF(E169="-","측정불가",IF(NOT(ISNUMBER(E169)),"확인필요",IF(E169&lt;설정!$C$17,"긴급(저혈당)",IF(E169&gt;=설정!$C$18,"긴급(고혈당)",IF(F169="공복",IF(E169&gt;=설정!$C$15,"주의","정상"),IF(F169="식후",IF(E169&gt;=설정!$C$16,"주의","정상"),"조건확인")))))))</f>
        <v/>
      </c>
      <c r="K169" s="25" t="str">
        <f aca="false">IF(OR(I169="긴급",LEFT(J169,2)="긴급"),"★ 즉시 선생님 호출",IF(OR(I169="주의",J169="주의"),"결과상담에서 확인",IF(J169="조건확인","혈당조건(공복/식후) 선택","")))</f>
        <v/>
      </c>
      <c r="L169" s="25" t="str">
        <f aca="false">IF($B169="","",IF(COUNTIF($B$5:$B$1004,$B169)&gt;1,"중복 입력",""))</f>
        <v/>
      </c>
    </row>
    <row r="170" customFormat="false" ht="1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5" t="str">
        <f aca="false">IF($B170="","",IFERROR(IF(INDEX(명단!$B$5:$B$404,MATCH($B170,명단!$A$5:$A$404,0))="","(이름 미입력)",INDEX(명단!$B$5:$B$404,MATCH($B170,명단!$A$5:$A$404,0))),"번호 없음"))</f>
        <v/>
      </c>
      <c r="I170" s="25" t="str">
        <f aca="false">IF(AND(C170="",D170=""),"",IF(OR(C170="-",D170="-"),"측정불가",IF(AND(ISNUMBER(C170),ISNUMBER(D170)),IF(OR(C170&gt;=설정!$C$11,D170&gt;=설정!$C$12),"긴급",IF(OR(C170&gt;=설정!$C$9,D170&gt;=설정!$C$10,C170&lt;설정!$C$13),"주의","정상")),"확인필요")))</f>
        <v/>
      </c>
      <c r="J170" s="25" t="str">
        <f aca="false">IF(E170="","",IF(E170="-","측정불가",IF(NOT(ISNUMBER(E170)),"확인필요",IF(E170&lt;설정!$C$17,"긴급(저혈당)",IF(E170&gt;=설정!$C$18,"긴급(고혈당)",IF(F170="공복",IF(E170&gt;=설정!$C$15,"주의","정상"),IF(F170="식후",IF(E170&gt;=설정!$C$16,"주의","정상"),"조건확인")))))))</f>
        <v/>
      </c>
      <c r="K170" s="25" t="str">
        <f aca="false">IF(OR(I170="긴급",LEFT(J170,2)="긴급"),"★ 즉시 선생님 호출",IF(OR(I170="주의",J170="주의"),"결과상담에서 확인",IF(J170="조건확인","혈당조건(공복/식후) 선택","")))</f>
        <v/>
      </c>
      <c r="L170" s="25" t="str">
        <f aca="false">IF($B170="","",IF(COUNTIF($B$5:$B$1004,$B170)&gt;1,"중복 입력",""))</f>
        <v/>
      </c>
    </row>
    <row r="171" customFormat="false" ht="1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5" t="str">
        <f aca="false">IF($B171="","",IFERROR(IF(INDEX(명단!$B$5:$B$404,MATCH($B171,명단!$A$5:$A$404,0))="","(이름 미입력)",INDEX(명단!$B$5:$B$404,MATCH($B171,명단!$A$5:$A$404,0))),"번호 없음"))</f>
        <v/>
      </c>
      <c r="I171" s="25" t="str">
        <f aca="false">IF(AND(C171="",D171=""),"",IF(OR(C171="-",D171="-"),"측정불가",IF(AND(ISNUMBER(C171),ISNUMBER(D171)),IF(OR(C171&gt;=설정!$C$11,D171&gt;=설정!$C$12),"긴급",IF(OR(C171&gt;=설정!$C$9,D171&gt;=설정!$C$10,C171&lt;설정!$C$13),"주의","정상")),"확인필요")))</f>
        <v/>
      </c>
      <c r="J171" s="25" t="str">
        <f aca="false">IF(E171="","",IF(E171="-","측정불가",IF(NOT(ISNUMBER(E171)),"확인필요",IF(E171&lt;설정!$C$17,"긴급(저혈당)",IF(E171&gt;=설정!$C$18,"긴급(고혈당)",IF(F171="공복",IF(E171&gt;=설정!$C$15,"주의","정상"),IF(F171="식후",IF(E171&gt;=설정!$C$16,"주의","정상"),"조건확인")))))))</f>
        <v/>
      </c>
      <c r="K171" s="25" t="str">
        <f aca="false">IF(OR(I171="긴급",LEFT(J171,2)="긴급"),"★ 즉시 선생님 호출",IF(OR(I171="주의",J171="주의"),"결과상담에서 확인",IF(J171="조건확인","혈당조건(공복/식후) 선택","")))</f>
        <v/>
      </c>
      <c r="L171" s="25" t="str">
        <f aca="false">IF($B171="","",IF(COUNTIF($B$5:$B$1004,$B171)&gt;1,"중복 입력",""))</f>
        <v/>
      </c>
    </row>
    <row r="172" customFormat="false" ht="1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5" t="str">
        <f aca="false">IF($B172="","",IFERROR(IF(INDEX(명단!$B$5:$B$404,MATCH($B172,명단!$A$5:$A$404,0))="","(이름 미입력)",INDEX(명단!$B$5:$B$404,MATCH($B172,명단!$A$5:$A$404,0))),"번호 없음"))</f>
        <v/>
      </c>
      <c r="I172" s="25" t="str">
        <f aca="false">IF(AND(C172="",D172=""),"",IF(OR(C172="-",D172="-"),"측정불가",IF(AND(ISNUMBER(C172),ISNUMBER(D172)),IF(OR(C172&gt;=설정!$C$11,D172&gt;=설정!$C$12),"긴급",IF(OR(C172&gt;=설정!$C$9,D172&gt;=설정!$C$10,C172&lt;설정!$C$13),"주의","정상")),"확인필요")))</f>
        <v/>
      </c>
      <c r="J172" s="25" t="str">
        <f aca="false">IF(E172="","",IF(E172="-","측정불가",IF(NOT(ISNUMBER(E172)),"확인필요",IF(E172&lt;설정!$C$17,"긴급(저혈당)",IF(E172&gt;=설정!$C$18,"긴급(고혈당)",IF(F172="공복",IF(E172&gt;=설정!$C$15,"주의","정상"),IF(F172="식후",IF(E172&gt;=설정!$C$16,"주의","정상"),"조건확인")))))))</f>
        <v/>
      </c>
      <c r="K172" s="25" t="str">
        <f aca="false">IF(OR(I172="긴급",LEFT(J172,2)="긴급"),"★ 즉시 선생님 호출",IF(OR(I172="주의",J172="주의"),"결과상담에서 확인",IF(J172="조건확인","혈당조건(공복/식후) 선택","")))</f>
        <v/>
      </c>
      <c r="L172" s="25" t="str">
        <f aca="false">IF($B172="","",IF(COUNTIF($B$5:$B$1004,$B172)&gt;1,"중복 입력",""))</f>
        <v/>
      </c>
    </row>
    <row r="173" customFormat="false" ht="1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5" t="str">
        <f aca="false">IF($B173="","",IFERROR(IF(INDEX(명단!$B$5:$B$404,MATCH($B173,명단!$A$5:$A$404,0))="","(이름 미입력)",INDEX(명단!$B$5:$B$404,MATCH($B173,명단!$A$5:$A$404,0))),"번호 없음"))</f>
        <v/>
      </c>
      <c r="I173" s="25" t="str">
        <f aca="false">IF(AND(C173="",D173=""),"",IF(OR(C173="-",D173="-"),"측정불가",IF(AND(ISNUMBER(C173),ISNUMBER(D173)),IF(OR(C173&gt;=설정!$C$11,D173&gt;=설정!$C$12),"긴급",IF(OR(C173&gt;=설정!$C$9,D173&gt;=설정!$C$10,C173&lt;설정!$C$13),"주의","정상")),"확인필요")))</f>
        <v/>
      </c>
      <c r="J173" s="25" t="str">
        <f aca="false">IF(E173="","",IF(E173="-","측정불가",IF(NOT(ISNUMBER(E173)),"확인필요",IF(E173&lt;설정!$C$17,"긴급(저혈당)",IF(E173&gt;=설정!$C$18,"긴급(고혈당)",IF(F173="공복",IF(E173&gt;=설정!$C$15,"주의","정상"),IF(F173="식후",IF(E173&gt;=설정!$C$16,"주의","정상"),"조건확인")))))))</f>
        <v/>
      </c>
      <c r="K173" s="25" t="str">
        <f aca="false">IF(OR(I173="긴급",LEFT(J173,2)="긴급"),"★ 즉시 선생님 호출",IF(OR(I173="주의",J173="주의"),"결과상담에서 확인",IF(J173="조건확인","혈당조건(공복/식후) 선택","")))</f>
        <v/>
      </c>
      <c r="L173" s="25" t="str">
        <f aca="false">IF($B173="","",IF(COUNTIF($B$5:$B$1004,$B173)&gt;1,"중복 입력",""))</f>
        <v/>
      </c>
    </row>
    <row r="174" customFormat="false" ht="1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5" t="str">
        <f aca="false">IF($B174="","",IFERROR(IF(INDEX(명단!$B$5:$B$404,MATCH($B174,명단!$A$5:$A$404,0))="","(이름 미입력)",INDEX(명단!$B$5:$B$404,MATCH($B174,명단!$A$5:$A$404,0))),"번호 없음"))</f>
        <v/>
      </c>
      <c r="I174" s="25" t="str">
        <f aca="false">IF(AND(C174="",D174=""),"",IF(OR(C174="-",D174="-"),"측정불가",IF(AND(ISNUMBER(C174),ISNUMBER(D174)),IF(OR(C174&gt;=설정!$C$11,D174&gt;=설정!$C$12),"긴급",IF(OR(C174&gt;=설정!$C$9,D174&gt;=설정!$C$10,C174&lt;설정!$C$13),"주의","정상")),"확인필요")))</f>
        <v/>
      </c>
      <c r="J174" s="25" t="str">
        <f aca="false">IF(E174="","",IF(E174="-","측정불가",IF(NOT(ISNUMBER(E174)),"확인필요",IF(E174&lt;설정!$C$17,"긴급(저혈당)",IF(E174&gt;=설정!$C$18,"긴급(고혈당)",IF(F174="공복",IF(E174&gt;=설정!$C$15,"주의","정상"),IF(F174="식후",IF(E174&gt;=설정!$C$16,"주의","정상"),"조건확인")))))))</f>
        <v/>
      </c>
      <c r="K174" s="25" t="str">
        <f aca="false">IF(OR(I174="긴급",LEFT(J174,2)="긴급"),"★ 즉시 선생님 호출",IF(OR(I174="주의",J174="주의"),"결과상담에서 확인",IF(J174="조건확인","혈당조건(공복/식후) 선택","")))</f>
        <v/>
      </c>
      <c r="L174" s="25" t="str">
        <f aca="false">IF($B174="","",IF(COUNTIF($B$5:$B$1004,$B174)&gt;1,"중복 입력",""))</f>
        <v/>
      </c>
    </row>
    <row r="175" customFormat="false" ht="1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5" t="str">
        <f aca="false">IF($B175="","",IFERROR(IF(INDEX(명단!$B$5:$B$404,MATCH($B175,명단!$A$5:$A$404,0))="","(이름 미입력)",INDEX(명단!$B$5:$B$404,MATCH($B175,명단!$A$5:$A$404,0))),"번호 없음"))</f>
        <v/>
      </c>
      <c r="I175" s="25" t="str">
        <f aca="false">IF(AND(C175="",D175=""),"",IF(OR(C175="-",D175="-"),"측정불가",IF(AND(ISNUMBER(C175),ISNUMBER(D175)),IF(OR(C175&gt;=설정!$C$11,D175&gt;=설정!$C$12),"긴급",IF(OR(C175&gt;=설정!$C$9,D175&gt;=설정!$C$10,C175&lt;설정!$C$13),"주의","정상")),"확인필요")))</f>
        <v/>
      </c>
      <c r="J175" s="25" t="str">
        <f aca="false">IF(E175="","",IF(E175="-","측정불가",IF(NOT(ISNUMBER(E175)),"확인필요",IF(E175&lt;설정!$C$17,"긴급(저혈당)",IF(E175&gt;=설정!$C$18,"긴급(고혈당)",IF(F175="공복",IF(E175&gt;=설정!$C$15,"주의","정상"),IF(F175="식후",IF(E175&gt;=설정!$C$16,"주의","정상"),"조건확인")))))))</f>
        <v/>
      </c>
      <c r="K175" s="25" t="str">
        <f aca="false">IF(OR(I175="긴급",LEFT(J175,2)="긴급"),"★ 즉시 선생님 호출",IF(OR(I175="주의",J175="주의"),"결과상담에서 확인",IF(J175="조건확인","혈당조건(공복/식후) 선택","")))</f>
        <v/>
      </c>
      <c r="L175" s="25" t="str">
        <f aca="false">IF($B175="","",IF(COUNTIF($B$5:$B$1004,$B175)&gt;1,"중복 입력",""))</f>
        <v/>
      </c>
    </row>
    <row r="176" customFormat="false" ht="1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5" t="str">
        <f aca="false">IF($B176="","",IFERROR(IF(INDEX(명단!$B$5:$B$404,MATCH($B176,명단!$A$5:$A$404,0))="","(이름 미입력)",INDEX(명단!$B$5:$B$404,MATCH($B176,명단!$A$5:$A$404,0))),"번호 없음"))</f>
        <v/>
      </c>
      <c r="I176" s="25" t="str">
        <f aca="false">IF(AND(C176="",D176=""),"",IF(OR(C176="-",D176="-"),"측정불가",IF(AND(ISNUMBER(C176),ISNUMBER(D176)),IF(OR(C176&gt;=설정!$C$11,D176&gt;=설정!$C$12),"긴급",IF(OR(C176&gt;=설정!$C$9,D176&gt;=설정!$C$10,C176&lt;설정!$C$13),"주의","정상")),"확인필요")))</f>
        <v/>
      </c>
      <c r="J176" s="25" t="str">
        <f aca="false">IF(E176="","",IF(E176="-","측정불가",IF(NOT(ISNUMBER(E176)),"확인필요",IF(E176&lt;설정!$C$17,"긴급(저혈당)",IF(E176&gt;=설정!$C$18,"긴급(고혈당)",IF(F176="공복",IF(E176&gt;=설정!$C$15,"주의","정상"),IF(F176="식후",IF(E176&gt;=설정!$C$16,"주의","정상"),"조건확인")))))))</f>
        <v/>
      </c>
      <c r="K176" s="25" t="str">
        <f aca="false">IF(OR(I176="긴급",LEFT(J176,2)="긴급"),"★ 즉시 선생님 호출",IF(OR(I176="주의",J176="주의"),"결과상담에서 확인",IF(J176="조건확인","혈당조건(공복/식후) 선택","")))</f>
        <v/>
      </c>
      <c r="L176" s="25" t="str">
        <f aca="false">IF($B176="","",IF(COUNTIF($B$5:$B$1004,$B176)&gt;1,"중복 입력",""))</f>
        <v/>
      </c>
    </row>
    <row r="177" customFormat="false" ht="1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5" t="str">
        <f aca="false">IF($B177="","",IFERROR(IF(INDEX(명단!$B$5:$B$404,MATCH($B177,명단!$A$5:$A$404,0))="","(이름 미입력)",INDEX(명단!$B$5:$B$404,MATCH($B177,명단!$A$5:$A$404,0))),"번호 없음"))</f>
        <v/>
      </c>
      <c r="I177" s="25" t="str">
        <f aca="false">IF(AND(C177="",D177=""),"",IF(OR(C177="-",D177="-"),"측정불가",IF(AND(ISNUMBER(C177),ISNUMBER(D177)),IF(OR(C177&gt;=설정!$C$11,D177&gt;=설정!$C$12),"긴급",IF(OR(C177&gt;=설정!$C$9,D177&gt;=설정!$C$10,C177&lt;설정!$C$13),"주의","정상")),"확인필요")))</f>
        <v/>
      </c>
      <c r="J177" s="25" t="str">
        <f aca="false">IF(E177="","",IF(E177="-","측정불가",IF(NOT(ISNUMBER(E177)),"확인필요",IF(E177&lt;설정!$C$17,"긴급(저혈당)",IF(E177&gt;=설정!$C$18,"긴급(고혈당)",IF(F177="공복",IF(E177&gt;=설정!$C$15,"주의","정상"),IF(F177="식후",IF(E177&gt;=설정!$C$16,"주의","정상"),"조건확인")))))))</f>
        <v/>
      </c>
      <c r="K177" s="25" t="str">
        <f aca="false">IF(OR(I177="긴급",LEFT(J177,2)="긴급"),"★ 즉시 선생님 호출",IF(OR(I177="주의",J177="주의"),"결과상담에서 확인",IF(J177="조건확인","혈당조건(공복/식후) 선택","")))</f>
        <v/>
      </c>
      <c r="L177" s="25" t="str">
        <f aca="false">IF($B177="","",IF(COUNTIF($B$5:$B$1004,$B177)&gt;1,"중복 입력",""))</f>
        <v/>
      </c>
    </row>
    <row r="178" customFormat="false" ht="1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5" t="str">
        <f aca="false">IF($B178="","",IFERROR(IF(INDEX(명단!$B$5:$B$404,MATCH($B178,명단!$A$5:$A$404,0))="","(이름 미입력)",INDEX(명단!$B$5:$B$404,MATCH($B178,명단!$A$5:$A$404,0))),"번호 없음"))</f>
        <v/>
      </c>
      <c r="I178" s="25" t="str">
        <f aca="false">IF(AND(C178="",D178=""),"",IF(OR(C178="-",D178="-"),"측정불가",IF(AND(ISNUMBER(C178),ISNUMBER(D178)),IF(OR(C178&gt;=설정!$C$11,D178&gt;=설정!$C$12),"긴급",IF(OR(C178&gt;=설정!$C$9,D178&gt;=설정!$C$10,C178&lt;설정!$C$13),"주의","정상")),"확인필요")))</f>
        <v/>
      </c>
      <c r="J178" s="25" t="str">
        <f aca="false">IF(E178="","",IF(E178="-","측정불가",IF(NOT(ISNUMBER(E178)),"확인필요",IF(E178&lt;설정!$C$17,"긴급(저혈당)",IF(E178&gt;=설정!$C$18,"긴급(고혈당)",IF(F178="공복",IF(E178&gt;=설정!$C$15,"주의","정상"),IF(F178="식후",IF(E178&gt;=설정!$C$16,"주의","정상"),"조건확인")))))))</f>
        <v/>
      </c>
      <c r="K178" s="25" t="str">
        <f aca="false">IF(OR(I178="긴급",LEFT(J178,2)="긴급"),"★ 즉시 선생님 호출",IF(OR(I178="주의",J178="주의"),"결과상담에서 확인",IF(J178="조건확인","혈당조건(공복/식후) 선택","")))</f>
        <v/>
      </c>
      <c r="L178" s="25" t="str">
        <f aca="false">IF($B178="","",IF(COUNTIF($B$5:$B$1004,$B178)&gt;1,"중복 입력",""))</f>
        <v/>
      </c>
    </row>
    <row r="179" customFormat="false" ht="1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5" t="str">
        <f aca="false">IF($B179="","",IFERROR(IF(INDEX(명단!$B$5:$B$404,MATCH($B179,명단!$A$5:$A$404,0))="","(이름 미입력)",INDEX(명단!$B$5:$B$404,MATCH($B179,명단!$A$5:$A$404,0))),"번호 없음"))</f>
        <v/>
      </c>
      <c r="I179" s="25" t="str">
        <f aca="false">IF(AND(C179="",D179=""),"",IF(OR(C179="-",D179="-"),"측정불가",IF(AND(ISNUMBER(C179),ISNUMBER(D179)),IF(OR(C179&gt;=설정!$C$11,D179&gt;=설정!$C$12),"긴급",IF(OR(C179&gt;=설정!$C$9,D179&gt;=설정!$C$10,C179&lt;설정!$C$13),"주의","정상")),"확인필요")))</f>
        <v/>
      </c>
      <c r="J179" s="25" t="str">
        <f aca="false">IF(E179="","",IF(E179="-","측정불가",IF(NOT(ISNUMBER(E179)),"확인필요",IF(E179&lt;설정!$C$17,"긴급(저혈당)",IF(E179&gt;=설정!$C$18,"긴급(고혈당)",IF(F179="공복",IF(E179&gt;=설정!$C$15,"주의","정상"),IF(F179="식후",IF(E179&gt;=설정!$C$16,"주의","정상"),"조건확인")))))))</f>
        <v/>
      </c>
      <c r="K179" s="25" t="str">
        <f aca="false">IF(OR(I179="긴급",LEFT(J179,2)="긴급"),"★ 즉시 선생님 호출",IF(OR(I179="주의",J179="주의"),"결과상담에서 확인",IF(J179="조건확인","혈당조건(공복/식후) 선택","")))</f>
        <v/>
      </c>
      <c r="L179" s="25" t="str">
        <f aca="false">IF($B179="","",IF(COUNTIF($B$5:$B$1004,$B179)&gt;1,"중복 입력",""))</f>
        <v/>
      </c>
    </row>
    <row r="180" customFormat="false" ht="1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5" t="str">
        <f aca="false">IF($B180="","",IFERROR(IF(INDEX(명단!$B$5:$B$404,MATCH($B180,명단!$A$5:$A$404,0))="","(이름 미입력)",INDEX(명단!$B$5:$B$404,MATCH($B180,명단!$A$5:$A$404,0))),"번호 없음"))</f>
        <v/>
      </c>
      <c r="I180" s="25" t="str">
        <f aca="false">IF(AND(C180="",D180=""),"",IF(OR(C180="-",D180="-"),"측정불가",IF(AND(ISNUMBER(C180),ISNUMBER(D180)),IF(OR(C180&gt;=설정!$C$11,D180&gt;=설정!$C$12),"긴급",IF(OR(C180&gt;=설정!$C$9,D180&gt;=설정!$C$10,C180&lt;설정!$C$13),"주의","정상")),"확인필요")))</f>
        <v/>
      </c>
      <c r="J180" s="25" t="str">
        <f aca="false">IF(E180="","",IF(E180="-","측정불가",IF(NOT(ISNUMBER(E180)),"확인필요",IF(E180&lt;설정!$C$17,"긴급(저혈당)",IF(E180&gt;=설정!$C$18,"긴급(고혈당)",IF(F180="공복",IF(E180&gt;=설정!$C$15,"주의","정상"),IF(F180="식후",IF(E180&gt;=설정!$C$16,"주의","정상"),"조건확인")))))))</f>
        <v/>
      </c>
      <c r="K180" s="25" t="str">
        <f aca="false">IF(OR(I180="긴급",LEFT(J180,2)="긴급"),"★ 즉시 선생님 호출",IF(OR(I180="주의",J180="주의"),"결과상담에서 확인",IF(J180="조건확인","혈당조건(공복/식후) 선택","")))</f>
        <v/>
      </c>
      <c r="L180" s="25" t="str">
        <f aca="false">IF($B180="","",IF(COUNTIF($B$5:$B$1004,$B180)&gt;1,"중복 입력",""))</f>
        <v/>
      </c>
    </row>
    <row r="181" customFormat="false" ht="1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5" t="str">
        <f aca="false">IF($B181="","",IFERROR(IF(INDEX(명단!$B$5:$B$404,MATCH($B181,명단!$A$5:$A$404,0))="","(이름 미입력)",INDEX(명단!$B$5:$B$404,MATCH($B181,명단!$A$5:$A$404,0))),"번호 없음"))</f>
        <v/>
      </c>
      <c r="I181" s="25" t="str">
        <f aca="false">IF(AND(C181="",D181=""),"",IF(OR(C181="-",D181="-"),"측정불가",IF(AND(ISNUMBER(C181),ISNUMBER(D181)),IF(OR(C181&gt;=설정!$C$11,D181&gt;=설정!$C$12),"긴급",IF(OR(C181&gt;=설정!$C$9,D181&gt;=설정!$C$10,C181&lt;설정!$C$13),"주의","정상")),"확인필요")))</f>
        <v/>
      </c>
      <c r="J181" s="25" t="str">
        <f aca="false">IF(E181="","",IF(E181="-","측정불가",IF(NOT(ISNUMBER(E181)),"확인필요",IF(E181&lt;설정!$C$17,"긴급(저혈당)",IF(E181&gt;=설정!$C$18,"긴급(고혈당)",IF(F181="공복",IF(E181&gt;=설정!$C$15,"주의","정상"),IF(F181="식후",IF(E181&gt;=설정!$C$16,"주의","정상"),"조건확인")))))))</f>
        <v/>
      </c>
      <c r="K181" s="25" t="str">
        <f aca="false">IF(OR(I181="긴급",LEFT(J181,2)="긴급"),"★ 즉시 선생님 호출",IF(OR(I181="주의",J181="주의"),"결과상담에서 확인",IF(J181="조건확인","혈당조건(공복/식후) 선택","")))</f>
        <v/>
      </c>
      <c r="L181" s="25" t="str">
        <f aca="false">IF($B181="","",IF(COUNTIF($B$5:$B$1004,$B181)&gt;1,"중복 입력",""))</f>
        <v/>
      </c>
    </row>
    <row r="182" customFormat="false" ht="1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5" t="str">
        <f aca="false">IF($B182="","",IFERROR(IF(INDEX(명단!$B$5:$B$404,MATCH($B182,명단!$A$5:$A$404,0))="","(이름 미입력)",INDEX(명단!$B$5:$B$404,MATCH($B182,명단!$A$5:$A$404,0))),"번호 없음"))</f>
        <v/>
      </c>
      <c r="I182" s="25" t="str">
        <f aca="false">IF(AND(C182="",D182=""),"",IF(OR(C182="-",D182="-"),"측정불가",IF(AND(ISNUMBER(C182),ISNUMBER(D182)),IF(OR(C182&gt;=설정!$C$11,D182&gt;=설정!$C$12),"긴급",IF(OR(C182&gt;=설정!$C$9,D182&gt;=설정!$C$10,C182&lt;설정!$C$13),"주의","정상")),"확인필요")))</f>
        <v/>
      </c>
      <c r="J182" s="25" t="str">
        <f aca="false">IF(E182="","",IF(E182="-","측정불가",IF(NOT(ISNUMBER(E182)),"확인필요",IF(E182&lt;설정!$C$17,"긴급(저혈당)",IF(E182&gt;=설정!$C$18,"긴급(고혈당)",IF(F182="공복",IF(E182&gt;=설정!$C$15,"주의","정상"),IF(F182="식후",IF(E182&gt;=설정!$C$16,"주의","정상"),"조건확인")))))))</f>
        <v/>
      </c>
      <c r="K182" s="25" t="str">
        <f aca="false">IF(OR(I182="긴급",LEFT(J182,2)="긴급"),"★ 즉시 선생님 호출",IF(OR(I182="주의",J182="주의"),"결과상담에서 확인",IF(J182="조건확인","혈당조건(공복/식후) 선택","")))</f>
        <v/>
      </c>
      <c r="L182" s="25" t="str">
        <f aca="false">IF($B182="","",IF(COUNTIF($B$5:$B$1004,$B182)&gt;1,"중복 입력",""))</f>
        <v/>
      </c>
    </row>
    <row r="183" customFormat="false" ht="1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5" t="str">
        <f aca="false">IF($B183="","",IFERROR(IF(INDEX(명단!$B$5:$B$404,MATCH($B183,명단!$A$5:$A$404,0))="","(이름 미입력)",INDEX(명단!$B$5:$B$404,MATCH($B183,명단!$A$5:$A$404,0))),"번호 없음"))</f>
        <v/>
      </c>
      <c r="I183" s="25" t="str">
        <f aca="false">IF(AND(C183="",D183=""),"",IF(OR(C183="-",D183="-"),"측정불가",IF(AND(ISNUMBER(C183),ISNUMBER(D183)),IF(OR(C183&gt;=설정!$C$11,D183&gt;=설정!$C$12),"긴급",IF(OR(C183&gt;=설정!$C$9,D183&gt;=설정!$C$10,C183&lt;설정!$C$13),"주의","정상")),"확인필요")))</f>
        <v/>
      </c>
      <c r="J183" s="25" t="str">
        <f aca="false">IF(E183="","",IF(E183="-","측정불가",IF(NOT(ISNUMBER(E183)),"확인필요",IF(E183&lt;설정!$C$17,"긴급(저혈당)",IF(E183&gt;=설정!$C$18,"긴급(고혈당)",IF(F183="공복",IF(E183&gt;=설정!$C$15,"주의","정상"),IF(F183="식후",IF(E183&gt;=설정!$C$16,"주의","정상"),"조건확인")))))))</f>
        <v/>
      </c>
      <c r="K183" s="25" t="str">
        <f aca="false">IF(OR(I183="긴급",LEFT(J183,2)="긴급"),"★ 즉시 선생님 호출",IF(OR(I183="주의",J183="주의"),"결과상담에서 확인",IF(J183="조건확인","혈당조건(공복/식후) 선택","")))</f>
        <v/>
      </c>
      <c r="L183" s="25" t="str">
        <f aca="false">IF($B183="","",IF(COUNTIF($B$5:$B$1004,$B183)&gt;1,"중복 입력",""))</f>
        <v/>
      </c>
    </row>
    <row r="184" customFormat="false" ht="1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5" t="str">
        <f aca="false">IF($B184="","",IFERROR(IF(INDEX(명단!$B$5:$B$404,MATCH($B184,명단!$A$5:$A$404,0))="","(이름 미입력)",INDEX(명단!$B$5:$B$404,MATCH($B184,명단!$A$5:$A$404,0))),"번호 없음"))</f>
        <v/>
      </c>
      <c r="I184" s="25" t="str">
        <f aca="false">IF(AND(C184="",D184=""),"",IF(OR(C184="-",D184="-"),"측정불가",IF(AND(ISNUMBER(C184),ISNUMBER(D184)),IF(OR(C184&gt;=설정!$C$11,D184&gt;=설정!$C$12),"긴급",IF(OR(C184&gt;=설정!$C$9,D184&gt;=설정!$C$10,C184&lt;설정!$C$13),"주의","정상")),"확인필요")))</f>
        <v/>
      </c>
      <c r="J184" s="25" t="str">
        <f aca="false">IF(E184="","",IF(E184="-","측정불가",IF(NOT(ISNUMBER(E184)),"확인필요",IF(E184&lt;설정!$C$17,"긴급(저혈당)",IF(E184&gt;=설정!$C$18,"긴급(고혈당)",IF(F184="공복",IF(E184&gt;=설정!$C$15,"주의","정상"),IF(F184="식후",IF(E184&gt;=설정!$C$16,"주의","정상"),"조건확인")))))))</f>
        <v/>
      </c>
      <c r="K184" s="25" t="str">
        <f aca="false">IF(OR(I184="긴급",LEFT(J184,2)="긴급"),"★ 즉시 선생님 호출",IF(OR(I184="주의",J184="주의"),"결과상담에서 확인",IF(J184="조건확인","혈당조건(공복/식후) 선택","")))</f>
        <v/>
      </c>
      <c r="L184" s="25" t="str">
        <f aca="false">IF($B184="","",IF(COUNTIF($B$5:$B$1004,$B184)&gt;1,"중복 입력",""))</f>
        <v/>
      </c>
    </row>
    <row r="185" customFormat="false" ht="1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5" t="str">
        <f aca="false">IF($B185="","",IFERROR(IF(INDEX(명단!$B$5:$B$404,MATCH($B185,명단!$A$5:$A$404,0))="","(이름 미입력)",INDEX(명단!$B$5:$B$404,MATCH($B185,명단!$A$5:$A$404,0))),"번호 없음"))</f>
        <v/>
      </c>
      <c r="I185" s="25" t="str">
        <f aca="false">IF(AND(C185="",D185=""),"",IF(OR(C185="-",D185="-"),"측정불가",IF(AND(ISNUMBER(C185),ISNUMBER(D185)),IF(OR(C185&gt;=설정!$C$11,D185&gt;=설정!$C$12),"긴급",IF(OR(C185&gt;=설정!$C$9,D185&gt;=설정!$C$10,C185&lt;설정!$C$13),"주의","정상")),"확인필요")))</f>
        <v/>
      </c>
      <c r="J185" s="25" t="str">
        <f aca="false">IF(E185="","",IF(E185="-","측정불가",IF(NOT(ISNUMBER(E185)),"확인필요",IF(E185&lt;설정!$C$17,"긴급(저혈당)",IF(E185&gt;=설정!$C$18,"긴급(고혈당)",IF(F185="공복",IF(E185&gt;=설정!$C$15,"주의","정상"),IF(F185="식후",IF(E185&gt;=설정!$C$16,"주의","정상"),"조건확인")))))))</f>
        <v/>
      </c>
      <c r="K185" s="25" t="str">
        <f aca="false">IF(OR(I185="긴급",LEFT(J185,2)="긴급"),"★ 즉시 선생님 호출",IF(OR(I185="주의",J185="주의"),"결과상담에서 확인",IF(J185="조건확인","혈당조건(공복/식후) 선택","")))</f>
        <v/>
      </c>
      <c r="L185" s="25" t="str">
        <f aca="false">IF($B185="","",IF(COUNTIF($B$5:$B$1004,$B185)&gt;1,"중복 입력",""))</f>
        <v/>
      </c>
    </row>
    <row r="186" customFormat="false" ht="1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5" t="str">
        <f aca="false">IF($B186="","",IFERROR(IF(INDEX(명단!$B$5:$B$404,MATCH($B186,명단!$A$5:$A$404,0))="","(이름 미입력)",INDEX(명단!$B$5:$B$404,MATCH($B186,명단!$A$5:$A$404,0))),"번호 없음"))</f>
        <v/>
      </c>
      <c r="I186" s="25" t="str">
        <f aca="false">IF(AND(C186="",D186=""),"",IF(OR(C186="-",D186="-"),"측정불가",IF(AND(ISNUMBER(C186),ISNUMBER(D186)),IF(OR(C186&gt;=설정!$C$11,D186&gt;=설정!$C$12),"긴급",IF(OR(C186&gt;=설정!$C$9,D186&gt;=설정!$C$10,C186&lt;설정!$C$13),"주의","정상")),"확인필요")))</f>
        <v/>
      </c>
      <c r="J186" s="25" t="str">
        <f aca="false">IF(E186="","",IF(E186="-","측정불가",IF(NOT(ISNUMBER(E186)),"확인필요",IF(E186&lt;설정!$C$17,"긴급(저혈당)",IF(E186&gt;=설정!$C$18,"긴급(고혈당)",IF(F186="공복",IF(E186&gt;=설정!$C$15,"주의","정상"),IF(F186="식후",IF(E186&gt;=설정!$C$16,"주의","정상"),"조건확인")))))))</f>
        <v/>
      </c>
      <c r="K186" s="25" t="str">
        <f aca="false">IF(OR(I186="긴급",LEFT(J186,2)="긴급"),"★ 즉시 선생님 호출",IF(OR(I186="주의",J186="주의"),"결과상담에서 확인",IF(J186="조건확인","혈당조건(공복/식후) 선택","")))</f>
        <v/>
      </c>
      <c r="L186" s="25" t="str">
        <f aca="false">IF($B186="","",IF(COUNTIF($B$5:$B$1004,$B186)&gt;1,"중복 입력",""))</f>
        <v/>
      </c>
    </row>
    <row r="187" customFormat="false" ht="1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5" t="str">
        <f aca="false">IF($B187="","",IFERROR(IF(INDEX(명단!$B$5:$B$404,MATCH($B187,명단!$A$5:$A$404,0))="","(이름 미입력)",INDEX(명단!$B$5:$B$404,MATCH($B187,명단!$A$5:$A$404,0))),"번호 없음"))</f>
        <v/>
      </c>
      <c r="I187" s="25" t="str">
        <f aca="false">IF(AND(C187="",D187=""),"",IF(OR(C187="-",D187="-"),"측정불가",IF(AND(ISNUMBER(C187),ISNUMBER(D187)),IF(OR(C187&gt;=설정!$C$11,D187&gt;=설정!$C$12),"긴급",IF(OR(C187&gt;=설정!$C$9,D187&gt;=설정!$C$10,C187&lt;설정!$C$13),"주의","정상")),"확인필요")))</f>
        <v/>
      </c>
      <c r="J187" s="25" t="str">
        <f aca="false">IF(E187="","",IF(E187="-","측정불가",IF(NOT(ISNUMBER(E187)),"확인필요",IF(E187&lt;설정!$C$17,"긴급(저혈당)",IF(E187&gt;=설정!$C$18,"긴급(고혈당)",IF(F187="공복",IF(E187&gt;=설정!$C$15,"주의","정상"),IF(F187="식후",IF(E187&gt;=설정!$C$16,"주의","정상"),"조건확인")))))))</f>
        <v/>
      </c>
      <c r="K187" s="25" t="str">
        <f aca="false">IF(OR(I187="긴급",LEFT(J187,2)="긴급"),"★ 즉시 선생님 호출",IF(OR(I187="주의",J187="주의"),"결과상담에서 확인",IF(J187="조건확인","혈당조건(공복/식후) 선택","")))</f>
        <v/>
      </c>
      <c r="L187" s="25" t="str">
        <f aca="false">IF($B187="","",IF(COUNTIF($B$5:$B$1004,$B187)&gt;1,"중복 입력",""))</f>
        <v/>
      </c>
    </row>
    <row r="188" customFormat="false" ht="1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5" t="str">
        <f aca="false">IF($B188="","",IFERROR(IF(INDEX(명단!$B$5:$B$404,MATCH($B188,명단!$A$5:$A$404,0))="","(이름 미입력)",INDEX(명단!$B$5:$B$404,MATCH($B188,명단!$A$5:$A$404,0))),"번호 없음"))</f>
        <v/>
      </c>
      <c r="I188" s="25" t="str">
        <f aca="false">IF(AND(C188="",D188=""),"",IF(OR(C188="-",D188="-"),"측정불가",IF(AND(ISNUMBER(C188),ISNUMBER(D188)),IF(OR(C188&gt;=설정!$C$11,D188&gt;=설정!$C$12),"긴급",IF(OR(C188&gt;=설정!$C$9,D188&gt;=설정!$C$10,C188&lt;설정!$C$13),"주의","정상")),"확인필요")))</f>
        <v/>
      </c>
      <c r="J188" s="25" t="str">
        <f aca="false">IF(E188="","",IF(E188="-","측정불가",IF(NOT(ISNUMBER(E188)),"확인필요",IF(E188&lt;설정!$C$17,"긴급(저혈당)",IF(E188&gt;=설정!$C$18,"긴급(고혈당)",IF(F188="공복",IF(E188&gt;=설정!$C$15,"주의","정상"),IF(F188="식후",IF(E188&gt;=설정!$C$16,"주의","정상"),"조건확인")))))))</f>
        <v/>
      </c>
      <c r="K188" s="25" t="str">
        <f aca="false">IF(OR(I188="긴급",LEFT(J188,2)="긴급"),"★ 즉시 선생님 호출",IF(OR(I188="주의",J188="주의"),"결과상담에서 확인",IF(J188="조건확인","혈당조건(공복/식후) 선택","")))</f>
        <v/>
      </c>
      <c r="L188" s="25" t="str">
        <f aca="false">IF($B188="","",IF(COUNTIF($B$5:$B$1004,$B188)&gt;1,"중복 입력",""))</f>
        <v/>
      </c>
    </row>
    <row r="189" customFormat="false" ht="1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5" t="str">
        <f aca="false">IF($B189="","",IFERROR(IF(INDEX(명단!$B$5:$B$404,MATCH($B189,명단!$A$5:$A$404,0))="","(이름 미입력)",INDEX(명단!$B$5:$B$404,MATCH($B189,명단!$A$5:$A$404,0))),"번호 없음"))</f>
        <v/>
      </c>
      <c r="I189" s="25" t="str">
        <f aca="false">IF(AND(C189="",D189=""),"",IF(OR(C189="-",D189="-"),"측정불가",IF(AND(ISNUMBER(C189),ISNUMBER(D189)),IF(OR(C189&gt;=설정!$C$11,D189&gt;=설정!$C$12),"긴급",IF(OR(C189&gt;=설정!$C$9,D189&gt;=설정!$C$10,C189&lt;설정!$C$13),"주의","정상")),"확인필요")))</f>
        <v/>
      </c>
      <c r="J189" s="25" t="str">
        <f aca="false">IF(E189="","",IF(E189="-","측정불가",IF(NOT(ISNUMBER(E189)),"확인필요",IF(E189&lt;설정!$C$17,"긴급(저혈당)",IF(E189&gt;=설정!$C$18,"긴급(고혈당)",IF(F189="공복",IF(E189&gt;=설정!$C$15,"주의","정상"),IF(F189="식후",IF(E189&gt;=설정!$C$16,"주의","정상"),"조건확인")))))))</f>
        <v/>
      </c>
      <c r="K189" s="25" t="str">
        <f aca="false">IF(OR(I189="긴급",LEFT(J189,2)="긴급"),"★ 즉시 선생님 호출",IF(OR(I189="주의",J189="주의"),"결과상담에서 확인",IF(J189="조건확인","혈당조건(공복/식후) 선택","")))</f>
        <v/>
      </c>
      <c r="L189" s="25" t="str">
        <f aca="false">IF($B189="","",IF(COUNTIF($B$5:$B$1004,$B189)&gt;1,"중복 입력",""))</f>
        <v/>
      </c>
    </row>
    <row r="190" customFormat="false" ht="1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5" t="str">
        <f aca="false">IF($B190="","",IFERROR(IF(INDEX(명단!$B$5:$B$404,MATCH($B190,명단!$A$5:$A$404,0))="","(이름 미입력)",INDEX(명단!$B$5:$B$404,MATCH($B190,명단!$A$5:$A$404,0))),"번호 없음"))</f>
        <v/>
      </c>
      <c r="I190" s="25" t="str">
        <f aca="false">IF(AND(C190="",D190=""),"",IF(OR(C190="-",D190="-"),"측정불가",IF(AND(ISNUMBER(C190),ISNUMBER(D190)),IF(OR(C190&gt;=설정!$C$11,D190&gt;=설정!$C$12),"긴급",IF(OR(C190&gt;=설정!$C$9,D190&gt;=설정!$C$10,C190&lt;설정!$C$13),"주의","정상")),"확인필요")))</f>
        <v/>
      </c>
      <c r="J190" s="25" t="str">
        <f aca="false">IF(E190="","",IF(E190="-","측정불가",IF(NOT(ISNUMBER(E190)),"확인필요",IF(E190&lt;설정!$C$17,"긴급(저혈당)",IF(E190&gt;=설정!$C$18,"긴급(고혈당)",IF(F190="공복",IF(E190&gt;=설정!$C$15,"주의","정상"),IF(F190="식후",IF(E190&gt;=설정!$C$16,"주의","정상"),"조건확인")))))))</f>
        <v/>
      </c>
      <c r="K190" s="25" t="str">
        <f aca="false">IF(OR(I190="긴급",LEFT(J190,2)="긴급"),"★ 즉시 선생님 호출",IF(OR(I190="주의",J190="주의"),"결과상담에서 확인",IF(J190="조건확인","혈당조건(공복/식후) 선택","")))</f>
        <v/>
      </c>
      <c r="L190" s="25" t="str">
        <f aca="false">IF($B190="","",IF(COUNTIF($B$5:$B$1004,$B190)&gt;1,"중복 입력",""))</f>
        <v/>
      </c>
    </row>
    <row r="191" customFormat="false" ht="1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5" t="str">
        <f aca="false">IF($B191="","",IFERROR(IF(INDEX(명단!$B$5:$B$404,MATCH($B191,명단!$A$5:$A$404,0))="","(이름 미입력)",INDEX(명단!$B$5:$B$404,MATCH($B191,명단!$A$5:$A$404,0))),"번호 없음"))</f>
        <v/>
      </c>
      <c r="I191" s="25" t="str">
        <f aca="false">IF(AND(C191="",D191=""),"",IF(OR(C191="-",D191="-"),"측정불가",IF(AND(ISNUMBER(C191),ISNUMBER(D191)),IF(OR(C191&gt;=설정!$C$11,D191&gt;=설정!$C$12),"긴급",IF(OR(C191&gt;=설정!$C$9,D191&gt;=설정!$C$10,C191&lt;설정!$C$13),"주의","정상")),"확인필요")))</f>
        <v/>
      </c>
      <c r="J191" s="25" t="str">
        <f aca="false">IF(E191="","",IF(E191="-","측정불가",IF(NOT(ISNUMBER(E191)),"확인필요",IF(E191&lt;설정!$C$17,"긴급(저혈당)",IF(E191&gt;=설정!$C$18,"긴급(고혈당)",IF(F191="공복",IF(E191&gt;=설정!$C$15,"주의","정상"),IF(F191="식후",IF(E191&gt;=설정!$C$16,"주의","정상"),"조건확인")))))))</f>
        <v/>
      </c>
      <c r="K191" s="25" t="str">
        <f aca="false">IF(OR(I191="긴급",LEFT(J191,2)="긴급"),"★ 즉시 선생님 호출",IF(OR(I191="주의",J191="주의"),"결과상담에서 확인",IF(J191="조건확인","혈당조건(공복/식후) 선택","")))</f>
        <v/>
      </c>
      <c r="L191" s="25" t="str">
        <f aca="false">IF($B191="","",IF(COUNTIF($B$5:$B$1004,$B191)&gt;1,"중복 입력",""))</f>
        <v/>
      </c>
    </row>
    <row r="192" customFormat="false" ht="1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5" t="str">
        <f aca="false">IF($B192="","",IFERROR(IF(INDEX(명단!$B$5:$B$404,MATCH($B192,명단!$A$5:$A$404,0))="","(이름 미입력)",INDEX(명단!$B$5:$B$404,MATCH($B192,명단!$A$5:$A$404,0))),"번호 없음"))</f>
        <v/>
      </c>
      <c r="I192" s="25" t="str">
        <f aca="false">IF(AND(C192="",D192=""),"",IF(OR(C192="-",D192="-"),"측정불가",IF(AND(ISNUMBER(C192),ISNUMBER(D192)),IF(OR(C192&gt;=설정!$C$11,D192&gt;=설정!$C$12),"긴급",IF(OR(C192&gt;=설정!$C$9,D192&gt;=설정!$C$10,C192&lt;설정!$C$13),"주의","정상")),"확인필요")))</f>
        <v/>
      </c>
      <c r="J192" s="25" t="str">
        <f aca="false">IF(E192="","",IF(E192="-","측정불가",IF(NOT(ISNUMBER(E192)),"확인필요",IF(E192&lt;설정!$C$17,"긴급(저혈당)",IF(E192&gt;=설정!$C$18,"긴급(고혈당)",IF(F192="공복",IF(E192&gt;=설정!$C$15,"주의","정상"),IF(F192="식후",IF(E192&gt;=설정!$C$16,"주의","정상"),"조건확인")))))))</f>
        <v/>
      </c>
      <c r="K192" s="25" t="str">
        <f aca="false">IF(OR(I192="긴급",LEFT(J192,2)="긴급"),"★ 즉시 선생님 호출",IF(OR(I192="주의",J192="주의"),"결과상담에서 확인",IF(J192="조건확인","혈당조건(공복/식후) 선택","")))</f>
        <v/>
      </c>
      <c r="L192" s="25" t="str">
        <f aca="false">IF($B192="","",IF(COUNTIF($B$5:$B$1004,$B192)&gt;1,"중복 입력",""))</f>
        <v/>
      </c>
    </row>
    <row r="193" customFormat="false" ht="1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5" t="str">
        <f aca="false">IF($B193="","",IFERROR(IF(INDEX(명단!$B$5:$B$404,MATCH($B193,명단!$A$5:$A$404,0))="","(이름 미입력)",INDEX(명단!$B$5:$B$404,MATCH($B193,명단!$A$5:$A$404,0))),"번호 없음"))</f>
        <v/>
      </c>
      <c r="I193" s="25" t="str">
        <f aca="false">IF(AND(C193="",D193=""),"",IF(OR(C193="-",D193="-"),"측정불가",IF(AND(ISNUMBER(C193),ISNUMBER(D193)),IF(OR(C193&gt;=설정!$C$11,D193&gt;=설정!$C$12),"긴급",IF(OR(C193&gt;=설정!$C$9,D193&gt;=설정!$C$10,C193&lt;설정!$C$13),"주의","정상")),"확인필요")))</f>
        <v/>
      </c>
      <c r="J193" s="25" t="str">
        <f aca="false">IF(E193="","",IF(E193="-","측정불가",IF(NOT(ISNUMBER(E193)),"확인필요",IF(E193&lt;설정!$C$17,"긴급(저혈당)",IF(E193&gt;=설정!$C$18,"긴급(고혈당)",IF(F193="공복",IF(E193&gt;=설정!$C$15,"주의","정상"),IF(F193="식후",IF(E193&gt;=설정!$C$16,"주의","정상"),"조건확인")))))))</f>
        <v/>
      </c>
      <c r="K193" s="25" t="str">
        <f aca="false">IF(OR(I193="긴급",LEFT(J193,2)="긴급"),"★ 즉시 선생님 호출",IF(OR(I193="주의",J193="주의"),"결과상담에서 확인",IF(J193="조건확인","혈당조건(공복/식후) 선택","")))</f>
        <v/>
      </c>
      <c r="L193" s="25" t="str">
        <f aca="false">IF($B193="","",IF(COUNTIF($B$5:$B$1004,$B193)&gt;1,"중복 입력",""))</f>
        <v/>
      </c>
    </row>
    <row r="194" customFormat="false" ht="1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5" t="str">
        <f aca="false">IF($B194="","",IFERROR(IF(INDEX(명단!$B$5:$B$404,MATCH($B194,명단!$A$5:$A$404,0))="","(이름 미입력)",INDEX(명단!$B$5:$B$404,MATCH($B194,명단!$A$5:$A$404,0))),"번호 없음"))</f>
        <v/>
      </c>
      <c r="I194" s="25" t="str">
        <f aca="false">IF(AND(C194="",D194=""),"",IF(OR(C194="-",D194="-"),"측정불가",IF(AND(ISNUMBER(C194),ISNUMBER(D194)),IF(OR(C194&gt;=설정!$C$11,D194&gt;=설정!$C$12),"긴급",IF(OR(C194&gt;=설정!$C$9,D194&gt;=설정!$C$10,C194&lt;설정!$C$13),"주의","정상")),"확인필요")))</f>
        <v/>
      </c>
      <c r="J194" s="25" t="str">
        <f aca="false">IF(E194="","",IF(E194="-","측정불가",IF(NOT(ISNUMBER(E194)),"확인필요",IF(E194&lt;설정!$C$17,"긴급(저혈당)",IF(E194&gt;=설정!$C$18,"긴급(고혈당)",IF(F194="공복",IF(E194&gt;=설정!$C$15,"주의","정상"),IF(F194="식후",IF(E194&gt;=설정!$C$16,"주의","정상"),"조건확인")))))))</f>
        <v/>
      </c>
      <c r="K194" s="25" t="str">
        <f aca="false">IF(OR(I194="긴급",LEFT(J194,2)="긴급"),"★ 즉시 선생님 호출",IF(OR(I194="주의",J194="주의"),"결과상담에서 확인",IF(J194="조건확인","혈당조건(공복/식후) 선택","")))</f>
        <v/>
      </c>
      <c r="L194" s="25" t="str">
        <f aca="false">IF($B194="","",IF(COUNTIF($B$5:$B$1004,$B194)&gt;1,"중복 입력",""))</f>
        <v/>
      </c>
    </row>
    <row r="195" customFormat="false" ht="1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5" t="str">
        <f aca="false">IF($B195="","",IFERROR(IF(INDEX(명단!$B$5:$B$404,MATCH($B195,명단!$A$5:$A$404,0))="","(이름 미입력)",INDEX(명단!$B$5:$B$404,MATCH($B195,명단!$A$5:$A$404,0))),"번호 없음"))</f>
        <v/>
      </c>
      <c r="I195" s="25" t="str">
        <f aca="false">IF(AND(C195="",D195=""),"",IF(OR(C195="-",D195="-"),"측정불가",IF(AND(ISNUMBER(C195),ISNUMBER(D195)),IF(OR(C195&gt;=설정!$C$11,D195&gt;=설정!$C$12),"긴급",IF(OR(C195&gt;=설정!$C$9,D195&gt;=설정!$C$10,C195&lt;설정!$C$13),"주의","정상")),"확인필요")))</f>
        <v/>
      </c>
      <c r="J195" s="25" t="str">
        <f aca="false">IF(E195="","",IF(E195="-","측정불가",IF(NOT(ISNUMBER(E195)),"확인필요",IF(E195&lt;설정!$C$17,"긴급(저혈당)",IF(E195&gt;=설정!$C$18,"긴급(고혈당)",IF(F195="공복",IF(E195&gt;=설정!$C$15,"주의","정상"),IF(F195="식후",IF(E195&gt;=설정!$C$16,"주의","정상"),"조건확인")))))))</f>
        <v/>
      </c>
      <c r="K195" s="25" t="str">
        <f aca="false">IF(OR(I195="긴급",LEFT(J195,2)="긴급"),"★ 즉시 선생님 호출",IF(OR(I195="주의",J195="주의"),"결과상담에서 확인",IF(J195="조건확인","혈당조건(공복/식후) 선택","")))</f>
        <v/>
      </c>
      <c r="L195" s="25" t="str">
        <f aca="false">IF($B195="","",IF(COUNTIF($B$5:$B$1004,$B195)&gt;1,"중복 입력",""))</f>
        <v/>
      </c>
    </row>
    <row r="196" customFormat="false" ht="1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5" t="str">
        <f aca="false">IF($B196="","",IFERROR(IF(INDEX(명단!$B$5:$B$404,MATCH($B196,명단!$A$5:$A$404,0))="","(이름 미입력)",INDEX(명단!$B$5:$B$404,MATCH($B196,명단!$A$5:$A$404,0))),"번호 없음"))</f>
        <v/>
      </c>
      <c r="I196" s="25" t="str">
        <f aca="false">IF(AND(C196="",D196=""),"",IF(OR(C196="-",D196="-"),"측정불가",IF(AND(ISNUMBER(C196),ISNUMBER(D196)),IF(OR(C196&gt;=설정!$C$11,D196&gt;=설정!$C$12),"긴급",IF(OR(C196&gt;=설정!$C$9,D196&gt;=설정!$C$10,C196&lt;설정!$C$13),"주의","정상")),"확인필요")))</f>
        <v/>
      </c>
      <c r="J196" s="25" t="str">
        <f aca="false">IF(E196="","",IF(E196="-","측정불가",IF(NOT(ISNUMBER(E196)),"확인필요",IF(E196&lt;설정!$C$17,"긴급(저혈당)",IF(E196&gt;=설정!$C$18,"긴급(고혈당)",IF(F196="공복",IF(E196&gt;=설정!$C$15,"주의","정상"),IF(F196="식후",IF(E196&gt;=설정!$C$16,"주의","정상"),"조건확인")))))))</f>
        <v/>
      </c>
      <c r="K196" s="25" t="str">
        <f aca="false">IF(OR(I196="긴급",LEFT(J196,2)="긴급"),"★ 즉시 선생님 호출",IF(OR(I196="주의",J196="주의"),"결과상담에서 확인",IF(J196="조건확인","혈당조건(공복/식후) 선택","")))</f>
        <v/>
      </c>
      <c r="L196" s="25" t="str">
        <f aca="false">IF($B196="","",IF(COUNTIF($B$5:$B$1004,$B196)&gt;1,"중복 입력",""))</f>
        <v/>
      </c>
    </row>
    <row r="197" customFormat="false" ht="1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5" t="str">
        <f aca="false">IF($B197="","",IFERROR(IF(INDEX(명단!$B$5:$B$404,MATCH($B197,명단!$A$5:$A$404,0))="","(이름 미입력)",INDEX(명단!$B$5:$B$404,MATCH($B197,명단!$A$5:$A$404,0))),"번호 없음"))</f>
        <v/>
      </c>
      <c r="I197" s="25" t="str">
        <f aca="false">IF(AND(C197="",D197=""),"",IF(OR(C197="-",D197="-"),"측정불가",IF(AND(ISNUMBER(C197),ISNUMBER(D197)),IF(OR(C197&gt;=설정!$C$11,D197&gt;=설정!$C$12),"긴급",IF(OR(C197&gt;=설정!$C$9,D197&gt;=설정!$C$10,C197&lt;설정!$C$13),"주의","정상")),"확인필요")))</f>
        <v/>
      </c>
      <c r="J197" s="25" t="str">
        <f aca="false">IF(E197="","",IF(E197="-","측정불가",IF(NOT(ISNUMBER(E197)),"확인필요",IF(E197&lt;설정!$C$17,"긴급(저혈당)",IF(E197&gt;=설정!$C$18,"긴급(고혈당)",IF(F197="공복",IF(E197&gt;=설정!$C$15,"주의","정상"),IF(F197="식후",IF(E197&gt;=설정!$C$16,"주의","정상"),"조건확인")))))))</f>
        <v/>
      </c>
      <c r="K197" s="25" t="str">
        <f aca="false">IF(OR(I197="긴급",LEFT(J197,2)="긴급"),"★ 즉시 선생님 호출",IF(OR(I197="주의",J197="주의"),"결과상담에서 확인",IF(J197="조건확인","혈당조건(공복/식후) 선택","")))</f>
        <v/>
      </c>
      <c r="L197" s="25" t="str">
        <f aca="false">IF($B197="","",IF(COUNTIF($B$5:$B$1004,$B197)&gt;1,"중복 입력",""))</f>
        <v/>
      </c>
    </row>
    <row r="198" customFormat="false" ht="1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5" t="str">
        <f aca="false">IF($B198="","",IFERROR(IF(INDEX(명단!$B$5:$B$404,MATCH($B198,명단!$A$5:$A$404,0))="","(이름 미입력)",INDEX(명단!$B$5:$B$404,MATCH($B198,명단!$A$5:$A$404,0))),"번호 없음"))</f>
        <v/>
      </c>
      <c r="I198" s="25" t="str">
        <f aca="false">IF(AND(C198="",D198=""),"",IF(OR(C198="-",D198="-"),"측정불가",IF(AND(ISNUMBER(C198),ISNUMBER(D198)),IF(OR(C198&gt;=설정!$C$11,D198&gt;=설정!$C$12),"긴급",IF(OR(C198&gt;=설정!$C$9,D198&gt;=설정!$C$10,C198&lt;설정!$C$13),"주의","정상")),"확인필요")))</f>
        <v/>
      </c>
      <c r="J198" s="25" t="str">
        <f aca="false">IF(E198="","",IF(E198="-","측정불가",IF(NOT(ISNUMBER(E198)),"확인필요",IF(E198&lt;설정!$C$17,"긴급(저혈당)",IF(E198&gt;=설정!$C$18,"긴급(고혈당)",IF(F198="공복",IF(E198&gt;=설정!$C$15,"주의","정상"),IF(F198="식후",IF(E198&gt;=설정!$C$16,"주의","정상"),"조건확인")))))))</f>
        <v/>
      </c>
      <c r="K198" s="25" t="str">
        <f aca="false">IF(OR(I198="긴급",LEFT(J198,2)="긴급"),"★ 즉시 선생님 호출",IF(OR(I198="주의",J198="주의"),"결과상담에서 확인",IF(J198="조건확인","혈당조건(공복/식후) 선택","")))</f>
        <v/>
      </c>
      <c r="L198" s="25" t="str">
        <f aca="false">IF($B198="","",IF(COUNTIF($B$5:$B$1004,$B198)&gt;1,"중복 입력",""))</f>
        <v/>
      </c>
    </row>
    <row r="199" customFormat="false" ht="1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5" t="str">
        <f aca="false">IF($B199="","",IFERROR(IF(INDEX(명단!$B$5:$B$404,MATCH($B199,명단!$A$5:$A$404,0))="","(이름 미입력)",INDEX(명단!$B$5:$B$404,MATCH($B199,명단!$A$5:$A$404,0))),"번호 없음"))</f>
        <v/>
      </c>
      <c r="I199" s="25" t="str">
        <f aca="false">IF(AND(C199="",D199=""),"",IF(OR(C199="-",D199="-"),"측정불가",IF(AND(ISNUMBER(C199),ISNUMBER(D199)),IF(OR(C199&gt;=설정!$C$11,D199&gt;=설정!$C$12),"긴급",IF(OR(C199&gt;=설정!$C$9,D199&gt;=설정!$C$10,C199&lt;설정!$C$13),"주의","정상")),"확인필요")))</f>
        <v/>
      </c>
      <c r="J199" s="25" t="str">
        <f aca="false">IF(E199="","",IF(E199="-","측정불가",IF(NOT(ISNUMBER(E199)),"확인필요",IF(E199&lt;설정!$C$17,"긴급(저혈당)",IF(E199&gt;=설정!$C$18,"긴급(고혈당)",IF(F199="공복",IF(E199&gt;=설정!$C$15,"주의","정상"),IF(F199="식후",IF(E199&gt;=설정!$C$16,"주의","정상"),"조건확인")))))))</f>
        <v/>
      </c>
      <c r="K199" s="25" t="str">
        <f aca="false">IF(OR(I199="긴급",LEFT(J199,2)="긴급"),"★ 즉시 선생님 호출",IF(OR(I199="주의",J199="주의"),"결과상담에서 확인",IF(J199="조건확인","혈당조건(공복/식후) 선택","")))</f>
        <v/>
      </c>
      <c r="L199" s="25" t="str">
        <f aca="false">IF($B199="","",IF(COUNTIF($B$5:$B$1004,$B199)&gt;1,"중복 입력",""))</f>
        <v/>
      </c>
    </row>
    <row r="200" customFormat="false" ht="1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5" t="str">
        <f aca="false">IF($B200="","",IFERROR(IF(INDEX(명단!$B$5:$B$404,MATCH($B200,명단!$A$5:$A$404,0))="","(이름 미입력)",INDEX(명단!$B$5:$B$404,MATCH($B200,명단!$A$5:$A$404,0))),"번호 없음"))</f>
        <v/>
      </c>
      <c r="I200" s="25" t="str">
        <f aca="false">IF(AND(C200="",D200=""),"",IF(OR(C200="-",D200="-"),"측정불가",IF(AND(ISNUMBER(C200),ISNUMBER(D200)),IF(OR(C200&gt;=설정!$C$11,D200&gt;=설정!$C$12),"긴급",IF(OR(C200&gt;=설정!$C$9,D200&gt;=설정!$C$10,C200&lt;설정!$C$13),"주의","정상")),"확인필요")))</f>
        <v/>
      </c>
      <c r="J200" s="25" t="str">
        <f aca="false">IF(E200="","",IF(E200="-","측정불가",IF(NOT(ISNUMBER(E200)),"확인필요",IF(E200&lt;설정!$C$17,"긴급(저혈당)",IF(E200&gt;=설정!$C$18,"긴급(고혈당)",IF(F200="공복",IF(E200&gt;=설정!$C$15,"주의","정상"),IF(F200="식후",IF(E200&gt;=설정!$C$16,"주의","정상"),"조건확인")))))))</f>
        <v/>
      </c>
      <c r="K200" s="25" t="str">
        <f aca="false">IF(OR(I200="긴급",LEFT(J200,2)="긴급"),"★ 즉시 선생님 호출",IF(OR(I200="주의",J200="주의"),"결과상담에서 확인",IF(J200="조건확인","혈당조건(공복/식후) 선택","")))</f>
        <v/>
      </c>
      <c r="L200" s="25" t="str">
        <f aca="false">IF($B200="","",IF(COUNTIF($B$5:$B$1004,$B200)&gt;1,"중복 입력",""))</f>
        <v/>
      </c>
    </row>
    <row r="201" customFormat="false" ht="1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5" t="str">
        <f aca="false">IF($B201="","",IFERROR(IF(INDEX(명단!$B$5:$B$404,MATCH($B201,명단!$A$5:$A$404,0))="","(이름 미입력)",INDEX(명단!$B$5:$B$404,MATCH($B201,명단!$A$5:$A$404,0))),"번호 없음"))</f>
        <v/>
      </c>
      <c r="I201" s="25" t="str">
        <f aca="false">IF(AND(C201="",D201=""),"",IF(OR(C201="-",D201="-"),"측정불가",IF(AND(ISNUMBER(C201),ISNUMBER(D201)),IF(OR(C201&gt;=설정!$C$11,D201&gt;=설정!$C$12),"긴급",IF(OR(C201&gt;=설정!$C$9,D201&gt;=설정!$C$10,C201&lt;설정!$C$13),"주의","정상")),"확인필요")))</f>
        <v/>
      </c>
      <c r="J201" s="25" t="str">
        <f aca="false">IF(E201="","",IF(E201="-","측정불가",IF(NOT(ISNUMBER(E201)),"확인필요",IF(E201&lt;설정!$C$17,"긴급(저혈당)",IF(E201&gt;=설정!$C$18,"긴급(고혈당)",IF(F201="공복",IF(E201&gt;=설정!$C$15,"주의","정상"),IF(F201="식후",IF(E201&gt;=설정!$C$16,"주의","정상"),"조건확인")))))))</f>
        <v/>
      </c>
      <c r="K201" s="25" t="str">
        <f aca="false">IF(OR(I201="긴급",LEFT(J201,2)="긴급"),"★ 즉시 선생님 호출",IF(OR(I201="주의",J201="주의"),"결과상담에서 확인",IF(J201="조건확인","혈당조건(공복/식후) 선택","")))</f>
        <v/>
      </c>
      <c r="L201" s="25" t="str">
        <f aca="false">IF($B201="","",IF(COUNTIF($B$5:$B$1004,$B201)&gt;1,"중복 입력",""))</f>
        <v/>
      </c>
    </row>
    <row r="202" customFormat="false" ht="1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5" t="str">
        <f aca="false">IF($B202="","",IFERROR(IF(INDEX(명단!$B$5:$B$404,MATCH($B202,명단!$A$5:$A$404,0))="","(이름 미입력)",INDEX(명단!$B$5:$B$404,MATCH($B202,명단!$A$5:$A$404,0))),"번호 없음"))</f>
        <v/>
      </c>
      <c r="I202" s="25" t="str">
        <f aca="false">IF(AND(C202="",D202=""),"",IF(OR(C202="-",D202="-"),"측정불가",IF(AND(ISNUMBER(C202),ISNUMBER(D202)),IF(OR(C202&gt;=설정!$C$11,D202&gt;=설정!$C$12),"긴급",IF(OR(C202&gt;=설정!$C$9,D202&gt;=설정!$C$10,C202&lt;설정!$C$13),"주의","정상")),"확인필요")))</f>
        <v/>
      </c>
      <c r="J202" s="25" t="str">
        <f aca="false">IF(E202="","",IF(E202="-","측정불가",IF(NOT(ISNUMBER(E202)),"확인필요",IF(E202&lt;설정!$C$17,"긴급(저혈당)",IF(E202&gt;=설정!$C$18,"긴급(고혈당)",IF(F202="공복",IF(E202&gt;=설정!$C$15,"주의","정상"),IF(F202="식후",IF(E202&gt;=설정!$C$16,"주의","정상"),"조건확인")))))))</f>
        <v/>
      </c>
      <c r="K202" s="25" t="str">
        <f aca="false">IF(OR(I202="긴급",LEFT(J202,2)="긴급"),"★ 즉시 선생님 호출",IF(OR(I202="주의",J202="주의"),"결과상담에서 확인",IF(J202="조건확인","혈당조건(공복/식후) 선택","")))</f>
        <v/>
      </c>
      <c r="L202" s="25" t="str">
        <f aca="false">IF($B202="","",IF(COUNTIF($B$5:$B$1004,$B202)&gt;1,"중복 입력",""))</f>
        <v/>
      </c>
    </row>
    <row r="203" customFormat="false" ht="1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5" t="str">
        <f aca="false">IF($B203="","",IFERROR(IF(INDEX(명단!$B$5:$B$404,MATCH($B203,명단!$A$5:$A$404,0))="","(이름 미입력)",INDEX(명단!$B$5:$B$404,MATCH($B203,명단!$A$5:$A$404,0))),"번호 없음"))</f>
        <v/>
      </c>
      <c r="I203" s="25" t="str">
        <f aca="false">IF(AND(C203="",D203=""),"",IF(OR(C203="-",D203="-"),"측정불가",IF(AND(ISNUMBER(C203),ISNUMBER(D203)),IF(OR(C203&gt;=설정!$C$11,D203&gt;=설정!$C$12),"긴급",IF(OR(C203&gt;=설정!$C$9,D203&gt;=설정!$C$10,C203&lt;설정!$C$13),"주의","정상")),"확인필요")))</f>
        <v/>
      </c>
      <c r="J203" s="25" t="str">
        <f aca="false">IF(E203="","",IF(E203="-","측정불가",IF(NOT(ISNUMBER(E203)),"확인필요",IF(E203&lt;설정!$C$17,"긴급(저혈당)",IF(E203&gt;=설정!$C$18,"긴급(고혈당)",IF(F203="공복",IF(E203&gt;=설정!$C$15,"주의","정상"),IF(F203="식후",IF(E203&gt;=설정!$C$16,"주의","정상"),"조건확인")))))))</f>
        <v/>
      </c>
      <c r="K203" s="25" t="str">
        <f aca="false">IF(OR(I203="긴급",LEFT(J203,2)="긴급"),"★ 즉시 선생님 호출",IF(OR(I203="주의",J203="주의"),"결과상담에서 확인",IF(J203="조건확인","혈당조건(공복/식후) 선택","")))</f>
        <v/>
      </c>
      <c r="L203" s="25" t="str">
        <f aca="false">IF($B203="","",IF(COUNTIF($B$5:$B$1004,$B203)&gt;1,"중복 입력",""))</f>
        <v/>
      </c>
    </row>
    <row r="204" customFormat="false" ht="1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5" t="str">
        <f aca="false">IF($B204="","",IFERROR(IF(INDEX(명단!$B$5:$B$404,MATCH($B204,명단!$A$5:$A$404,0))="","(이름 미입력)",INDEX(명단!$B$5:$B$404,MATCH($B204,명단!$A$5:$A$404,0))),"번호 없음"))</f>
        <v/>
      </c>
      <c r="I204" s="25" t="str">
        <f aca="false">IF(AND(C204="",D204=""),"",IF(OR(C204="-",D204="-"),"측정불가",IF(AND(ISNUMBER(C204),ISNUMBER(D204)),IF(OR(C204&gt;=설정!$C$11,D204&gt;=설정!$C$12),"긴급",IF(OR(C204&gt;=설정!$C$9,D204&gt;=설정!$C$10,C204&lt;설정!$C$13),"주의","정상")),"확인필요")))</f>
        <v/>
      </c>
      <c r="J204" s="25" t="str">
        <f aca="false">IF(E204="","",IF(E204="-","측정불가",IF(NOT(ISNUMBER(E204)),"확인필요",IF(E204&lt;설정!$C$17,"긴급(저혈당)",IF(E204&gt;=설정!$C$18,"긴급(고혈당)",IF(F204="공복",IF(E204&gt;=설정!$C$15,"주의","정상"),IF(F204="식후",IF(E204&gt;=설정!$C$16,"주의","정상"),"조건확인")))))))</f>
        <v/>
      </c>
      <c r="K204" s="25" t="str">
        <f aca="false">IF(OR(I204="긴급",LEFT(J204,2)="긴급"),"★ 즉시 선생님 호출",IF(OR(I204="주의",J204="주의"),"결과상담에서 확인",IF(J204="조건확인","혈당조건(공복/식후) 선택","")))</f>
        <v/>
      </c>
      <c r="L204" s="25" t="str">
        <f aca="false">IF($B204="","",IF(COUNTIF($B$5:$B$1004,$B204)&gt;1,"중복 입력",""))</f>
        <v/>
      </c>
    </row>
    <row r="205" customFormat="false" ht="1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5" t="str">
        <f aca="false">IF($B205="","",IFERROR(IF(INDEX(명단!$B$5:$B$404,MATCH($B205,명단!$A$5:$A$404,0))="","(이름 미입력)",INDEX(명단!$B$5:$B$404,MATCH($B205,명단!$A$5:$A$404,0))),"번호 없음"))</f>
        <v/>
      </c>
      <c r="I205" s="25" t="str">
        <f aca="false">IF(AND(C205="",D205=""),"",IF(OR(C205="-",D205="-"),"측정불가",IF(AND(ISNUMBER(C205),ISNUMBER(D205)),IF(OR(C205&gt;=설정!$C$11,D205&gt;=설정!$C$12),"긴급",IF(OR(C205&gt;=설정!$C$9,D205&gt;=설정!$C$10,C205&lt;설정!$C$13),"주의","정상")),"확인필요")))</f>
        <v/>
      </c>
      <c r="J205" s="25" t="str">
        <f aca="false">IF(E205="","",IF(E205="-","측정불가",IF(NOT(ISNUMBER(E205)),"확인필요",IF(E205&lt;설정!$C$17,"긴급(저혈당)",IF(E205&gt;=설정!$C$18,"긴급(고혈당)",IF(F205="공복",IF(E205&gt;=설정!$C$15,"주의","정상"),IF(F205="식후",IF(E205&gt;=설정!$C$16,"주의","정상"),"조건확인")))))))</f>
        <v/>
      </c>
      <c r="K205" s="25" t="str">
        <f aca="false">IF(OR(I205="긴급",LEFT(J205,2)="긴급"),"★ 즉시 선생님 호출",IF(OR(I205="주의",J205="주의"),"결과상담에서 확인",IF(J205="조건확인","혈당조건(공복/식후) 선택","")))</f>
        <v/>
      </c>
      <c r="L205" s="25" t="str">
        <f aca="false">IF($B205="","",IF(COUNTIF($B$5:$B$1004,$B205)&gt;1,"중복 입력",""))</f>
        <v/>
      </c>
    </row>
    <row r="206" customFormat="false" ht="1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5" t="str">
        <f aca="false">IF($B206="","",IFERROR(IF(INDEX(명단!$B$5:$B$404,MATCH($B206,명단!$A$5:$A$404,0))="","(이름 미입력)",INDEX(명단!$B$5:$B$404,MATCH($B206,명단!$A$5:$A$404,0))),"번호 없음"))</f>
        <v/>
      </c>
      <c r="I206" s="25" t="str">
        <f aca="false">IF(AND(C206="",D206=""),"",IF(OR(C206="-",D206="-"),"측정불가",IF(AND(ISNUMBER(C206),ISNUMBER(D206)),IF(OR(C206&gt;=설정!$C$11,D206&gt;=설정!$C$12),"긴급",IF(OR(C206&gt;=설정!$C$9,D206&gt;=설정!$C$10,C206&lt;설정!$C$13),"주의","정상")),"확인필요")))</f>
        <v/>
      </c>
      <c r="J206" s="25" t="str">
        <f aca="false">IF(E206="","",IF(E206="-","측정불가",IF(NOT(ISNUMBER(E206)),"확인필요",IF(E206&lt;설정!$C$17,"긴급(저혈당)",IF(E206&gt;=설정!$C$18,"긴급(고혈당)",IF(F206="공복",IF(E206&gt;=설정!$C$15,"주의","정상"),IF(F206="식후",IF(E206&gt;=설정!$C$16,"주의","정상"),"조건확인")))))))</f>
        <v/>
      </c>
      <c r="K206" s="25" t="str">
        <f aca="false">IF(OR(I206="긴급",LEFT(J206,2)="긴급"),"★ 즉시 선생님 호출",IF(OR(I206="주의",J206="주의"),"결과상담에서 확인",IF(J206="조건확인","혈당조건(공복/식후) 선택","")))</f>
        <v/>
      </c>
      <c r="L206" s="25" t="str">
        <f aca="false">IF($B206="","",IF(COUNTIF($B$5:$B$1004,$B206)&gt;1,"중복 입력",""))</f>
        <v/>
      </c>
    </row>
    <row r="207" customFormat="false" ht="1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5" t="str">
        <f aca="false">IF($B207="","",IFERROR(IF(INDEX(명단!$B$5:$B$404,MATCH($B207,명단!$A$5:$A$404,0))="","(이름 미입력)",INDEX(명단!$B$5:$B$404,MATCH($B207,명단!$A$5:$A$404,0))),"번호 없음"))</f>
        <v/>
      </c>
      <c r="I207" s="25" t="str">
        <f aca="false">IF(AND(C207="",D207=""),"",IF(OR(C207="-",D207="-"),"측정불가",IF(AND(ISNUMBER(C207),ISNUMBER(D207)),IF(OR(C207&gt;=설정!$C$11,D207&gt;=설정!$C$12),"긴급",IF(OR(C207&gt;=설정!$C$9,D207&gt;=설정!$C$10,C207&lt;설정!$C$13),"주의","정상")),"확인필요")))</f>
        <v/>
      </c>
      <c r="J207" s="25" t="str">
        <f aca="false">IF(E207="","",IF(E207="-","측정불가",IF(NOT(ISNUMBER(E207)),"확인필요",IF(E207&lt;설정!$C$17,"긴급(저혈당)",IF(E207&gt;=설정!$C$18,"긴급(고혈당)",IF(F207="공복",IF(E207&gt;=설정!$C$15,"주의","정상"),IF(F207="식후",IF(E207&gt;=설정!$C$16,"주의","정상"),"조건확인")))))))</f>
        <v/>
      </c>
      <c r="K207" s="25" t="str">
        <f aca="false">IF(OR(I207="긴급",LEFT(J207,2)="긴급"),"★ 즉시 선생님 호출",IF(OR(I207="주의",J207="주의"),"결과상담에서 확인",IF(J207="조건확인","혈당조건(공복/식후) 선택","")))</f>
        <v/>
      </c>
      <c r="L207" s="25" t="str">
        <f aca="false">IF($B207="","",IF(COUNTIF($B$5:$B$1004,$B207)&gt;1,"중복 입력",""))</f>
        <v/>
      </c>
    </row>
    <row r="208" customFormat="false" ht="1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5" t="str">
        <f aca="false">IF($B208="","",IFERROR(IF(INDEX(명단!$B$5:$B$404,MATCH($B208,명단!$A$5:$A$404,0))="","(이름 미입력)",INDEX(명단!$B$5:$B$404,MATCH($B208,명단!$A$5:$A$404,0))),"번호 없음"))</f>
        <v/>
      </c>
      <c r="I208" s="25" t="str">
        <f aca="false">IF(AND(C208="",D208=""),"",IF(OR(C208="-",D208="-"),"측정불가",IF(AND(ISNUMBER(C208),ISNUMBER(D208)),IF(OR(C208&gt;=설정!$C$11,D208&gt;=설정!$C$12),"긴급",IF(OR(C208&gt;=설정!$C$9,D208&gt;=설정!$C$10,C208&lt;설정!$C$13),"주의","정상")),"확인필요")))</f>
        <v/>
      </c>
      <c r="J208" s="25" t="str">
        <f aca="false">IF(E208="","",IF(E208="-","측정불가",IF(NOT(ISNUMBER(E208)),"확인필요",IF(E208&lt;설정!$C$17,"긴급(저혈당)",IF(E208&gt;=설정!$C$18,"긴급(고혈당)",IF(F208="공복",IF(E208&gt;=설정!$C$15,"주의","정상"),IF(F208="식후",IF(E208&gt;=설정!$C$16,"주의","정상"),"조건확인")))))))</f>
        <v/>
      </c>
      <c r="K208" s="25" t="str">
        <f aca="false">IF(OR(I208="긴급",LEFT(J208,2)="긴급"),"★ 즉시 선생님 호출",IF(OR(I208="주의",J208="주의"),"결과상담에서 확인",IF(J208="조건확인","혈당조건(공복/식후) 선택","")))</f>
        <v/>
      </c>
      <c r="L208" s="25" t="str">
        <f aca="false">IF($B208="","",IF(COUNTIF($B$5:$B$1004,$B208)&gt;1,"중복 입력",""))</f>
        <v/>
      </c>
    </row>
    <row r="209" customFormat="false" ht="1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5" t="str">
        <f aca="false">IF($B209="","",IFERROR(IF(INDEX(명단!$B$5:$B$404,MATCH($B209,명단!$A$5:$A$404,0))="","(이름 미입력)",INDEX(명단!$B$5:$B$404,MATCH($B209,명단!$A$5:$A$404,0))),"번호 없음"))</f>
        <v/>
      </c>
      <c r="I209" s="25" t="str">
        <f aca="false">IF(AND(C209="",D209=""),"",IF(OR(C209="-",D209="-"),"측정불가",IF(AND(ISNUMBER(C209),ISNUMBER(D209)),IF(OR(C209&gt;=설정!$C$11,D209&gt;=설정!$C$12),"긴급",IF(OR(C209&gt;=설정!$C$9,D209&gt;=설정!$C$10,C209&lt;설정!$C$13),"주의","정상")),"확인필요")))</f>
        <v/>
      </c>
      <c r="J209" s="25" t="str">
        <f aca="false">IF(E209="","",IF(E209="-","측정불가",IF(NOT(ISNUMBER(E209)),"확인필요",IF(E209&lt;설정!$C$17,"긴급(저혈당)",IF(E209&gt;=설정!$C$18,"긴급(고혈당)",IF(F209="공복",IF(E209&gt;=설정!$C$15,"주의","정상"),IF(F209="식후",IF(E209&gt;=설정!$C$16,"주의","정상"),"조건확인")))))))</f>
        <v/>
      </c>
      <c r="K209" s="25" t="str">
        <f aca="false">IF(OR(I209="긴급",LEFT(J209,2)="긴급"),"★ 즉시 선생님 호출",IF(OR(I209="주의",J209="주의"),"결과상담에서 확인",IF(J209="조건확인","혈당조건(공복/식후) 선택","")))</f>
        <v/>
      </c>
      <c r="L209" s="25" t="str">
        <f aca="false">IF($B209="","",IF(COUNTIF($B$5:$B$1004,$B209)&gt;1,"중복 입력",""))</f>
        <v/>
      </c>
    </row>
    <row r="210" customFormat="false" ht="1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5" t="str">
        <f aca="false">IF($B210="","",IFERROR(IF(INDEX(명단!$B$5:$B$404,MATCH($B210,명단!$A$5:$A$404,0))="","(이름 미입력)",INDEX(명단!$B$5:$B$404,MATCH($B210,명단!$A$5:$A$404,0))),"번호 없음"))</f>
        <v/>
      </c>
      <c r="I210" s="25" t="str">
        <f aca="false">IF(AND(C210="",D210=""),"",IF(OR(C210="-",D210="-"),"측정불가",IF(AND(ISNUMBER(C210),ISNUMBER(D210)),IF(OR(C210&gt;=설정!$C$11,D210&gt;=설정!$C$12),"긴급",IF(OR(C210&gt;=설정!$C$9,D210&gt;=설정!$C$10,C210&lt;설정!$C$13),"주의","정상")),"확인필요")))</f>
        <v/>
      </c>
      <c r="J210" s="25" t="str">
        <f aca="false">IF(E210="","",IF(E210="-","측정불가",IF(NOT(ISNUMBER(E210)),"확인필요",IF(E210&lt;설정!$C$17,"긴급(저혈당)",IF(E210&gt;=설정!$C$18,"긴급(고혈당)",IF(F210="공복",IF(E210&gt;=설정!$C$15,"주의","정상"),IF(F210="식후",IF(E210&gt;=설정!$C$16,"주의","정상"),"조건확인")))))))</f>
        <v/>
      </c>
      <c r="K210" s="25" t="str">
        <f aca="false">IF(OR(I210="긴급",LEFT(J210,2)="긴급"),"★ 즉시 선생님 호출",IF(OR(I210="주의",J210="주의"),"결과상담에서 확인",IF(J210="조건확인","혈당조건(공복/식후) 선택","")))</f>
        <v/>
      </c>
      <c r="L210" s="25" t="str">
        <f aca="false">IF($B210="","",IF(COUNTIF($B$5:$B$1004,$B210)&gt;1,"중복 입력",""))</f>
        <v/>
      </c>
    </row>
    <row r="211" customFormat="false" ht="1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5" t="str">
        <f aca="false">IF($B211="","",IFERROR(IF(INDEX(명단!$B$5:$B$404,MATCH($B211,명단!$A$5:$A$404,0))="","(이름 미입력)",INDEX(명단!$B$5:$B$404,MATCH($B211,명단!$A$5:$A$404,0))),"번호 없음"))</f>
        <v/>
      </c>
      <c r="I211" s="25" t="str">
        <f aca="false">IF(AND(C211="",D211=""),"",IF(OR(C211="-",D211="-"),"측정불가",IF(AND(ISNUMBER(C211),ISNUMBER(D211)),IF(OR(C211&gt;=설정!$C$11,D211&gt;=설정!$C$12),"긴급",IF(OR(C211&gt;=설정!$C$9,D211&gt;=설정!$C$10,C211&lt;설정!$C$13),"주의","정상")),"확인필요")))</f>
        <v/>
      </c>
      <c r="J211" s="25" t="str">
        <f aca="false">IF(E211="","",IF(E211="-","측정불가",IF(NOT(ISNUMBER(E211)),"확인필요",IF(E211&lt;설정!$C$17,"긴급(저혈당)",IF(E211&gt;=설정!$C$18,"긴급(고혈당)",IF(F211="공복",IF(E211&gt;=설정!$C$15,"주의","정상"),IF(F211="식후",IF(E211&gt;=설정!$C$16,"주의","정상"),"조건확인")))))))</f>
        <v/>
      </c>
      <c r="K211" s="25" t="str">
        <f aca="false">IF(OR(I211="긴급",LEFT(J211,2)="긴급"),"★ 즉시 선생님 호출",IF(OR(I211="주의",J211="주의"),"결과상담에서 확인",IF(J211="조건확인","혈당조건(공복/식후) 선택","")))</f>
        <v/>
      </c>
      <c r="L211" s="25" t="str">
        <f aca="false">IF($B211="","",IF(COUNTIF($B$5:$B$1004,$B211)&gt;1,"중복 입력",""))</f>
        <v/>
      </c>
    </row>
    <row r="212" customFormat="false" ht="1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5" t="str">
        <f aca="false">IF($B212="","",IFERROR(IF(INDEX(명단!$B$5:$B$404,MATCH($B212,명단!$A$5:$A$404,0))="","(이름 미입력)",INDEX(명단!$B$5:$B$404,MATCH($B212,명단!$A$5:$A$404,0))),"번호 없음"))</f>
        <v/>
      </c>
      <c r="I212" s="25" t="str">
        <f aca="false">IF(AND(C212="",D212=""),"",IF(OR(C212="-",D212="-"),"측정불가",IF(AND(ISNUMBER(C212),ISNUMBER(D212)),IF(OR(C212&gt;=설정!$C$11,D212&gt;=설정!$C$12),"긴급",IF(OR(C212&gt;=설정!$C$9,D212&gt;=설정!$C$10,C212&lt;설정!$C$13),"주의","정상")),"확인필요")))</f>
        <v/>
      </c>
      <c r="J212" s="25" t="str">
        <f aca="false">IF(E212="","",IF(E212="-","측정불가",IF(NOT(ISNUMBER(E212)),"확인필요",IF(E212&lt;설정!$C$17,"긴급(저혈당)",IF(E212&gt;=설정!$C$18,"긴급(고혈당)",IF(F212="공복",IF(E212&gt;=설정!$C$15,"주의","정상"),IF(F212="식후",IF(E212&gt;=설정!$C$16,"주의","정상"),"조건확인")))))))</f>
        <v/>
      </c>
      <c r="K212" s="25" t="str">
        <f aca="false">IF(OR(I212="긴급",LEFT(J212,2)="긴급"),"★ 즉시 선생님 호출",IF(OR(I212="주의",J212="주의"),"결과상담에서 확인",IF(J212="조건확인","혈당조건(공복/식후) 선택","")))</f>
        <v/>
      </c>
      <c r="L212" s="25" t="str">
        <f aca="false">IF($B212="","",IF(COUNTIF($B$5:$B$1004,$B212)&gt;1,"중복 입력",""))</f>
        <v/>
      </c>
    </row>
    <row r="213" customFormat="false" ht="1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5" t="str">
        <f aca="false">IF($B213="","",IFERROR(IF(INDEX(명단!$B$5:$B$404,MATCH($B213,명단!$A$5:$A$404,0))="","(이름 미입력)",INDEX(명단!$B$5:$B$404,MATCH($B213,명단!$A$5:$A$404,0))),"번호 없음"))</f>
        <v/>
      </c>
      <c r="I213" s="25" t="str">
        <f aca="false">IF(AND(C213="",D213=""),"",IF(OR(C213="-",D213="-"),"측정불가",IF(AND(ISNUMBER(C213),ISNUMBER(D213)),IF(OR(C213&gt;=설정!$C$11,D213&gt;=설정!$C$12),"긴급",IF(OR(C213&gt;=설정!$C$9,D213&gt;=설정!$C$10,C213&lt;설정!$C$13),"주의","정상")),"확인필요")))</f>
        <v/>
      </c>
      <c r="J213" s="25" t="str">
        <f aca="false">IF(E213="","",IF(E213="-","측정불가",IF(NOT(ISNUMBER(E213)),"확인필요",IF(E213&lt;설정!$C$17,"긴급(저혈당)",IF(E213&gt;=설정!$C$18,"긴급(고혈당)",IF(F213="공복",IF(E213&gt;=설정!$C$15,"주의","정상"),IF(F213="식후",IF(E213&gt;=설정!$C$16,"주의","정상"),"조건확인")))))))</f>
        <v/>
      </c>
      <c r="K213" s="25" t="str">
        <f aca="false">IF(OR(I213="긴급",LEFT(J213,2)="긴급"),"★ 즉시 선생님 호출",IF(OR(I213="주의",J213="주의"),"결과상담에서 확인",IF(J213="조건확인","혈당조건(공복/식후) 선택","")))</f>
        <v/>
      </c>
      <c r="L213" s="25" t="str">
        <f aca="false">IF($B213="","",IF(COUNTIF($B$5:$B$1004,$B213)&gt;1,"중복 입력",""))</f>
        <v/>
      </c>
    </row>
    <row r="214" customFormat="false" ht="1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5" t="str">
        <f aca="false">IF($B214="","",IFERROR(IF(INDEX(명단!$B$5:$B$404,MATCH($B214,명단!$A$5:$A$404,0))="","(이름 미입력)",INDEX(명단!$B$5:$B$404,MATCH($B214,명단!$A$5:$A$404,0))),"번호 없음"))</f>
        <v/>
      </c>
      <c r="I214" s="25" t="str">
        <f aca="false">IF(AND(C214="",D214=""),"",IF(OR(C214="-",D214="-"),"측정불가",IF(AND(ISNUMBER(C214),ISNUMBER(D214)),IF(OR(C214&gt;=설정!$C$11,D214&gt;=설정!$C$12),"긴급",IF(OR(C214&gt;=설정!$C$9,D214&gt;=설정!$C$10,C214&lt;설정!$C$13),"주의","정상")),"확인필요")))</f>
        <v/>
      </c>
      <c r="J214" s="25" t="str">
        <f aca="false">IF(E214="","",IF(E214="-","측정불가",IF(NOT(ISNUMBER(E214)),"확인필요",IF(E214&lt;설정!$C$17,"긴급(저혈당)",IF(E214&gt;=설정!$C$18,"긴급(고혈당)",IF(F214="공복",IF(E214&gt;=설정!$C$15,"주의","정상"),IF(F214="식후",IF(E214&gt;=설정!$C$16,"주의","정상"),"조건확인")))))))</f>
        <v/>
      </c>
      <c r="K214" s="25" t="str">
        <f aca="false">IF(OR(I214="긴급",LEFT(J214,2)="긴급"),"★ 즉시 선생님 호출",IF(OR(I214="주의",J214="주의"),"결과상담에서 확인",IF(J214="조건확인","혈당조건(공복/식후) 선택","")))</f>
        <v/>
      </c>
      <c r="L214" s="25" t="str">
        <f aca="false">IF($B214="","",IF(COUNTIF($B$5:$B$1004,$B214)&gt;1,"중복 입력",""))</f>
        <v/>
      </c>
    </row>
    <row r="215" customFormat="false" ht="1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5" t="str">
        <f aca="false">IF($B215="","",IFERROR(IF(INDEX(명단!$B$5:$B$404,MATCH($B215,명단!$A$5:$A$404,0))="","(이름 미입력)",INDEX(명단!$B$5:$B$404,MATCH($B215,명단!$A$5:$A$404,0))),"번호 없음"))</f>
        <v/>
      </c>
      <c r="I215" s="25" t="str">
        <f aca="false">IF(AND(C215="",D215=""),"",IF(OR(C215="-",D215="-"),"측정불가",IF(AND(ISNUMBER(C215),ISNUMBER(D215)),IF(OR(C215&gt;=설정!$C$11,D215&gt;=설정!$C$12),"긴급",IF(OR(C215&gt;=설정!$C$9,D215&gt;=설정!$C$10,C215&lt;설정!$C$13),"주의","정상")),"확인필요")))</f>
        <v/>
      </c>
      <c r="J215" s="25" t="str">
        <f aca="false">IF(E215="","",IF(E215="-","측정불가",IF(NOT(ISNUMBER(E215)),"확인필요",IF(E215&lt;설정!$C$17,"긴급(저혈당)",IF(E215&gt;=설정!$C$18,"긴급(고혈당)",IF(F215="공복",IF(E215&gt;=설정!$C$15,"주의","정상"),IF(F215="식후",IF(E215&gt;=설정!$C$16,"주의","정상"),"조건확인")))))))</f>
        <v/>
      </c>
      <c r="K215" s="25" t="str">
        <f aca="false">IF(OR(I215="긴급",LEFT(J215,2)="긴급"),"★ 즉시 선생님 호출",IF(OR(I215="주의",J215="주의"),"결과상담에서 확인",IF(J215="조건확인","혈당조건(공복/식후) 선택","")))</f>
        <v/>
      </c>
      <c r="L215" s="25" t="str">
        <f aca="false">IF($B215="","",IF(COUNTIF($B$5:$B$1004,$B215)&gt;1,"중복 입력",""))</f>
        <v/>
      </c>
    </row>
    <row r="216" customFormat="false" ht="1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5" t="str">
        <f aca="false">IF($B216="","",IFERROR(IF(INDEX(명단!$B$5:$B$404,MATCH($B216,명단!$A$5:$A$404,0))="","(이름 미입력)",INDEX(명단!$B$5:$B$404,MATCH($B216,명단!$A$5:$A$404,0))),"번호 없음"))</f>
        <v/>
      </c>
      <c r="I216" s="25" t="str">
        <f aca="false">IF(AND(C216="",D216=""),"",IF(OR(C216="-",D216="-"),"측정불가",IF(AND(ISNUMBER(C216),ISNUMBER(D216)),IF(OR(C216&gt;=설정!$C$11,D216&gt;=설정!$C$12),"긴급",IF(OR(C216&gt;=설정!$C$9,D216&gt;=설정!$C$10,C216&lt;설정!$C$13),"주의","정상")),"확인필요")))</f>
        <v/>
      </c>
      <c r="J216" s="25" t="str">
        <f aca="false">IF(E216="","",IF(E216="-","측정불가",IF(NOT(ISNUMBER(E216)),"확인필요",IF(E216&lt;설정!$C$17,"긴급(저혈당)",IF(E216&gt;=설정!$C$18,"긴급(고혈당)",IF(F216="공복",IF(E216&gt;=설정!$C$15,"주의","정상"),IF(F216="식후",IF(E216&gt;=설정!$C$16,"주의","정상"),"조건확인")))))))</f>
        <v/>
      </c>
      <c r="K216" s="25" t="str">
        <f aca="false">IF(OR(I216="긴급",LEFT(J216,2)="긴급"),"★ 즉시 선생님 호출",IF(OR(I216="주의",J216="주의"),"결과상담에서 확인",IF(J216="조건확인","혈당조건(공복/식후) 선택","")))</f>
        <v/>
      </c>
      <c r="L216" s="25" t="str">
        <f aca="false">IF($B216="","",IF(COUNTIF($B$5:$B$1004,$B216)&gt;1,"중복 입력",""))</f>
        <v/>
      </c>
    </row>
    <row r="217" customFormat="false" ht="1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5" t="str">
        <f aca="false">IF($B217="","",IFERROR(IF(INDEX(명단!$B$5:$B$404,MATCH($B217,명단!$A$5:$A$404,0))="","(이름 미입력)",INDEX(명단!$B$5:$B$404,MATCH($B217,명단!$A$5:$A$404,0))),"번호 없음"))</f>
        <v/>
      </c>
      <c r="I217" s="25" t="str">
        <f aca="false">IF(AND(C217="",D217=""),"",IF(OR(C217="-",D217="-"),"측정불가",IF(AND(ISNUMBER(C217),ISNUMBER(D217)),IF(OR(C217&gt;=설정!$C$11,D217&gt;=설정!$C$12),"긴급",IF(OR(C217&gt;=설정!$C$9,D217&gt;=설정!$C$10,C217&lt;설정!$C$13),"주의","정상")),"확인필요")))</f>
        <v/>
      </c>
      <c r="J217" s="25" t="str">
        <f aca="false">IF(E217="","",IF(E217="-","측정불가",IF(NOT(ISNUMBER(E217)),"확인필요",IF(E217&lt;설정!$C$17,"긴급(저혈당)",IF(E217&gt;=설정!$C$18,"긴급(고혈당)",IF(F217="공복",IF(E217&gt;=설정!$C$15,"주의","정상"),IF(F217="식후",IF(E217&gt;=설정!$C$16,"주의","정상"),"조건확인")))))))</f>
        <v/>
      </c>
      <c r="K217" s="25" t="str">
        <f aca="false">IF(OR(I217="긴급",LEFT(J217,2)="긴급"),"★ 즉시 선생님 호출",IF(OR(I217="주의",J217="주의"),"결과상담에서 확인",IF(J217="조건확인","혈당조건(공복/식후) 선택","")))</f>
        <v/>
      </c>
      <c r="L217" s="25" t="str">
        <f aca="false">IF($B217="","",IF(COUNTIF($B$5:$B$1004,$B217)&gt;1,"중복 입력",""))</f>
        <v/>
      </c>
    </row>
    <row r="218" customFormat="false" ht="1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5" t="str">
        <f aca="false">IF($B218="","",IFERROR(IF(INDEX(명단!$B$5:$B$404,MATCH($B218,명단!$A$5:$A$404,0))="","(이름 미입력)",INDEX(명단!$B$5:$B$404,MATCH($B218,명단!$A$5:$A$404,0))),"번호 없음"))</f>
        <v/>
      </c>
      <c r="I218" s="25" t="str">
        <f aca="false">IF(AND(C218="",D218=""),"",IF(OR(C218="-",D218="-"),"측정불가",IF(AND(ISNUMBER(C218),ISNUMBER(D218)),IF(OR(C218&gt;=설정!$C$11,D218&gt;=설정!$C$12),"긴급",IF(OR(C218&gt;=설정!$C$9,D218&gt;=설정!$C$10,C218&lt;설정!$C$13),"주의","정상")),"확인필요")))</f>
        <v/>
      </c>
      <c r="J218" s="25" t="str">
        <f aca="false">IF(E218="","",IF(E218="-","측정불가",IF(NOT(ISNUMBER(E218)),"확인필요",IF(E218&lt;설정!$C$17,"긴급(저혈당)",IF(E218&gt;=설정!$C$18,"긴급(고혈당)",IF(F218="공복",IF(E218&gt;=설정!$C$15,"주의","정상"),IF(F218="식후",IF(E218&gt;=설정!$C$16,"주의","정상"),"조건확인")))))))</f>
        <v/>
      </c>
      <c r="K218" s="25" t="str">
        <f aca="false">IF(OR(I218="긴급",LEFT(J218,2)="긴급"),"★ 즉시 선생님 호출",IF(OR(I218="주의",J218="주의"),"결과상담에서 확인",IF(J218="조건확인","혈당조건(공복/식후) 선택","")))</f>
        <v/>
      </c>
      <c r="L218" s="25" t="str">
        <f aca="false">IF($B218="","",IF(COUNTIF($B$5:$B$1004,$B218)&gt;1,"중복 입력",""))</f>
        <v/>
      </c>
    </row>
    <row r="219" customFormat="false" ht="1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5" t="str">
        <f aca="false">IF($B219="","",IFERROR(IF(INDEX(명단!$B$5:$B$404,MATCH($B219,명단!$A$5:$A$404,0))="","(이름 미입력)",INDEX(명단!$B$5:$B$404,MATCH($B219,명단!$A$5:$A$404,0))),"번호 없음"))</f>
        <v/>
      </c>
      <c r="I219" s="25" t="str">
        <f aca="false">IF(AND(C219="",D219=""),"",IF(OR(C219="-",D219="-"),"측정불가",IF(AND(ISNUMBER(C219),ISNUMBER(D219)),IF(OR(C219&gt;=설정!$C$11,D219&gt;=설정!$C$12),"긴급",IF(OR(C219&gt;=설정!$C$9,D219&gt;=설정!$C$10,C219&lt;설정!$C$13),"주의","정상")),"확인필요")))</f>
        <v/>
      </c>
      <c r="J219" s="25" t="str">
        <f aca="false">IF(E219="","",IF(E219="-","측정불가",IF(NOT(ISNUMBER(E219)),"확인필요",IF(E219&lt;설정!$C$17,"긴급(저혈당)",IF(E219&gt;=설정!$C$18,"긴급(고혈당)",IF(F219="공복",IF(E219&gt;=설정!$C$15,"주의","정상"),IF(F219="식후",IF(E219&gt;=설정!$C$16,"주의","정상"),"조건확인")))))))</f>
        <v/>
      </c>
      <c r="K219" s="25" t="str">
        <f aca="false">IF(OR(I219="긴급",LEFT(J219,2)="긴급"),"★ 즉시 선생님 호출",IF(OR(I219="주의",J219="주의"),"결과상담에서 확인",IF(J219="조건확인","혈당조건(공복/식후) 선택","")))</f>
        <v/>
      </c>
      <c r="L219" s="25" t="str">
        <f aca="false">IF($B219="","",IF(COUNTIF($B$5:$B$1004,$B219)&gt;1,"중복 입력",""))</f>
        <v/>
      </c>
    </row>
    <row r="220" customFormat="false" ht="1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5" t="str">
        <f aca="false">IF($B220="","",IFERROR(IF(INDEX(명단!$B$5:$B$404,MATCH($B220,명단!$A$5:$A$404,0))="","(이름 미입력)",INDEX(명단!$B$5:$B$404,MATCH($B220,명단!$A$5:$A$404,0))),"번호 없음"))</f>
        <v/>
      </c>
      <c r="I220" s="25" t="str">
        <f aca="false">IF(AND(C220="",D220=""),"",IF(OR(C220="-",D220="-"),"측정불가",IF(AND(ISNUMBER(C220),ISNUMBER(D220)),IF(OR(C220&gt;=설정!$C$11,D220&gt;=설정!$C$12),"긴급",IF(OR(C220&gt;=설정!$C$9,D220&gt;=설정!$C$10,C220&lt;설정!$C$13),"주의","정상")),"확인필요")))</f>
        <v/>
      </c>
      <c r="J220" s="25" t="str">
        <f aca="false">IF(E220="","",IF(E220="-","측정불가",IF(NOT(ISNUMBER(E220)),"확인필요",IF(E220&lt;설정!$C$17,"긴급(저혈당)",IF(E220&gt;=설정!$C$18,"긴급(고혈당)",IF(F220="공복",IF(E220&gt;=설정!$C$15,"주의","정상"),IF(F220="식후",IF(E220&gt;=설정!$C$16,"주의","정상"),"조건확인")))))))</f>
        <v/>
      </c>
      <c r="K220" s="25" t="str">
        <f aca="false">IF(OR(I220="긴급",LEFT(J220,2)="긴급"),"★ 즉시 선생님 호출",IF(OR(I220="주의",J220="주의"),"결과상담에서 확인",IF(J220="조건확인","혈당조건(공복/식후) 선택","")))</f>
        <v/>
      </c>
      <c r="L220" s="25" t="str">
        <f aca="false">IF($B220="","",IF(COUNTIF($B$5:$B$1004,$B220)&gt;1,"중복 입력",""))</f>
        <v/>
      </c>
    </row>
    <row r="221" customFormat="false" ht="1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5" t="str">
        <f aca="false">IF($B221="","",IFERROR(IF(INDEX(명단!$B$5:$B$404,MATCH($B221,명단!$A$5:$A$404,0))="","(이름 미입력)",INDEX(명단!$B$5:$B$404,MATCH($B221,명단!$A$5:$A$404,0))),"번호 없음"))</f>
        <v/>
      </c>
      <c r="I221" s="25" t="str">
        <f aca="false">IF(AND(C221="",D221=""),"",IF(OR(C221="-",D221="-"),"측정불가",IF(AND(ISNUMBER(C221),ISNUMBER(D221)),IF(OR(C221&gt;=설정!$C$11,D221&gt;=설정!$C$12),"긴급",IF(OR(C221&gt;=설정!$C$9,D221&gt;=설정!$C$10,C221&lt;설정!$C$13),"주의","정상")),"확인필요")))</f>
        <v/>
      </c>
      <c r="J221" s="25" t="str">
        <f aca="false">IF(E221="","",IF(E221="-","측정불가",IF(NOT(ISNUMBER(E221)),"확인필요",IF(E221&lt;설정!$C$17,"긴급(저혈당)",IF(E221&gt;=설정!$C$18,"긴급(고혈당)",IF(F221="공복",IF(E221&gt;=설정!$C$15,"주의","정상"),IF(F221="식후",IF(E221&gt;=설정!$C$16,"주의","정상"),"조건확인")))))))</f>
        <v/>
      </c>
      <c r="K221" s="25" t="str">
        <f aca="false">IF(OR(I221="긴급",LEFT(J221,2)="긴급"),"★ 즉시 선생님 호출",IF(OR(I221="주의",J221="주의"),"결과상담에서 확인",IF(J221="조건확인","혈당조건(공복/식후) 선택","")))</f>
        <v/>
      </c>
      <c r="L221" s="25" t="str">
        <f aca="false">IF($B221="","",IF(COUNTIF($B$5:$B$1004,$B221)&gt;1,"중복 입력",""))</f>
        <v/>
      </c>
    </row>
    <row r="222" customFormat="false" ht="1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5" t="str">
        <f aca="false">IF($B222="","",IFERROR(IF(INDEX(명단!$B$5:$B$404,MATCH($B222,명단!$A$5:$A$404,0))="","(이름 미입력)",INDEX(명단!$B$5:$B$404,MATCH($B222,명단!$A$5:$A$404,0))),"번호 없음"))</f>
        <v/>
      </c>
      <c r="I222" s="25" t="str">
        <f aca="false">IF(AND(C222="",D222=""),"",IF(OR(C222="-",D222="-"),"측정불가",IF(AND(ISNUMBER(C222),ISNUMBER(D222)),IF(OR(C222&gt;=설정!$C$11,D222&gt;=설정!$C$12),"긴급",IF(OR(C222&gt;=설정!$C$9,D222&gt;=설정!$C$10,C222&lt;설정!$C$13),"주의","정상")),"확인필요")))</f>
        <v/>
      </c>
      <c r="J222" s="25" t="str">
        <f aca="false">IF(E222="","",IF(E222="-","측정불가",IF(NOT(ISNUMBER(E222)),"확인필요",IF(E222&lt;설정!$C$17,"긴급(저혈당)",IF(E222&gt;=설정!$C$18,"긴급(고혈당)",IF(F222="공복",IF(E222&gt;=설정!$C$15,"주의","정상"),IF(F222="식후",IF(E222&gt;=설정!$C$16,"주의","정상"),"조건확인")))))))</f>
        <v/>
      </c>
      <c r="K222" s="25" t="str">
        <f aca="false">IF(OR(I222="긴급",LEFT(J222,2)="긴급"),"★ 즉시 선생님 호출",IF(OR(I222="주의",J222="주의"),"결과상담에서 확인",IF(J222="조건확인","혈당조건(공복/식후) 선택","")))</f>
        <v/>
      </c>
      <c r="L222" s="25" t="str">
        <f aca="false">IF($B222="","",IF(COUNTIF($B$5:$B$1004,$B222)&gt;1,"중복 입력",""))</f>
        <v/>
      </c>
    </row>
    <row r="223" customFormat="false" ht="1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5" t="str">
        <f aca="false">IF($B223="","",IFERROR(IF(INDEX(명단!$B$5:$B$404,MATCH($B223,명단!$A$5:$A$404,0))="","(이름 미입력)",INDEX(명단!$B$5:$B$404,MATCH($B223,명단!$A$5:$A$404,0))),"번호 없음"))</f>
        <v/>
      </c>
      <c r="I223" s="25" t="str">
        <f aca="false">IF(AND(C223="",D223=""),"",IF(OR(C223="-",D223="-"),"측정불가",IF(AND(ISNUMBER(C223),ISNUMBER(D223)),IF(OR(C223&gt;=설정!$C$11,D223&gt;=설정!$C$12),"긴급",IF(OR(C223&gt;=설정!$C$9,D223&gt;=설정!$C$10,C223&lt;설정!$C$13),"주의","정상")),"확인필요")))</f>
        <v/>
      </c>
      <c r="J223" s="25" t="str">
        <f aca="false">IF(E223="","",IF(E223="-","측정불가",IF(NOT(ISNUMBER(E223)),"확인필요",IF(E223&lt;설정!$C$17,"긴급(저혈당)",IF(E223&gt;=설정!$C$18,"긴급(고혈당)",IF(F223="공복",IF(E223&gt;=설정!$C$15,"주의","정상"),IF(F223="식후",IF(E223&gt;=설정!$C$16,"주의","정상"),"조건확인")))))))</f>
        <v/>
      </c>
      <c r="K223" s="25" t="str">
        <f aca="false">IF(OR(I223="긴급",LEFT(J223,2)="긴급"),"★ 즉시 선생님 호출",IF(OR(I223="주의",J223="주의"),"결과상담에서 확인",IF(J223="조건확인","혈당조건(공복/식후) 선택","")))</f>
        <v/>
      </c>
      <c r="L223" s="25" t="str">
        <f aca="false">IF($B223="","",IF(COUNTIF($B$5:$B$1004,$B223)&gt;1,"중복 입력",""))</f>
        <v/>
      </c>
    </row>
    <row r="224" customFormat="false" ht="1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5" t="str">
        <f aca="false">IF($B224="","",IFERROR(IF(INDEX(명단!$B$5:$B$404,MATCH($B224,명단!$A$5:$A$404,0))="","(이름 미입력)",INDEX(명단!$B$5:$B$404,MATCH($B224,명단!$A$5:$A$404,0))),"번호 없음"))</f>
        <v/>
      </c>
      <c r="I224" s="25" t="str">
        <f aca="false">IF(AND(C224="",D224=""),"",IF(OR(C224="-",D224="-"),"측정불가",IF(AND(ISNUMBER(C224),ISNUMBER(D224)),IF(OR(C224&gt;=설정!$C$11,D224&gt;=설정!$C$12),"긴급",IF(OR(C224&gt;=설정!$C$9,D224&gt;=설정!$C$10,C224&lt;설정!$C$13),"주의","정상")),"확인필요")))</f>
        <v/>
      </c>
      <c r="J224" s="25" t="str">
        <f aca="false">IF(E224="","",IF(E224="-","측정불가",IF(NOT(ISNUMBER(E224)),"확인필요",IF(E224&lt;설정!$C$17,"긴급(저혈당)",IF(E224&gt;=설정!$C$18,"긴급(고혈당)",IF(F224="공복",IF(E224&gt;=설정!$C$15,"주의","정상"),IF(F224="식후",IF(E224&gt;=설정!$C$16,"주의","정상"),"조건확인")))))))</f>
        <v/>
      </c>
      <c r="K224" s="25" t="str">
        <f aca="false">IF(OR(I224="긴급",LEFT(J224,2)="긴급"),"★ 즉시 선생님 호출",IF(OR(I224="주의",J224="주의"),"결과상담에서 확인",IF(J224="조건확인","혈당조건(공복/식후) 선택","")))</f>
        <v/>
      </c>
      <c r="L224" s="25" t="str">
        <f aca="false">IF($B224="","",IF(COUNTIF($B$5:$B$1004,$B224)&gt;1,"중복 입력",""))</f>
        <v/>
      </c>
    </row>
    <row r="225" customFormat="false" ht="1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5" t="str">
        <f aca="false">IF($B225="","",IFERROR(IF(INDEX(명단!$B$5:$B$404,MATCH($B225,명단!$A$5:$A$404,0))="","(이름 미입력)",INDEX(명단!$B$5:$B$404,MATCH($B225,명단!$A$5:$A$404,0))),"번호 없음"))</f>
        <v/>
      </c>
      <c r="I225" s="25" t="str">
        <f aca="false">IF(AND(C225="",D225=""),"",IF(OR(C225="-",D225="-"),"측정불가",IF(AND(ISNUMBER(C225),ISNUMBER(D225)),IF(OR(C225&gt;=설정!$C$11,D225&gt;=설정!$C$12),"긴급",IF(OR(C225&gt;=설정!$C$9,D225&gt;=설정!$C$10,C225&lt;설정!$C$13),"주의","정상")),"확인필요")))</f>
        <v/>
      </c>
      <c r="J225" s="25" t="str">
        <f aca="false">IF(E225="","",IF(E225="-","측정불가",IF(NOT(ISNUMBER(E225)),"확인필요",IF(E225&lt;설정!$C$17,"긴급(저혈당)",IF(E225&gt;=설정!$C$18,"긴급(고혈당)",IF(F225="공복",IF(E225&gt;=설정!$C$15,"주의","정상"),IF(F225="식후",IF(E225&gt;=설정!$C$16,"주의","정상"),"조건확인")))))))</f>
        <v/>
      </c>
      <c r="K225" s="25" t="str">
        <f aca="false">IF(OR(I225="긴급",LEFT(J225,2)="긴급"),"★ 즉시 선생님 호출",IF(OR(I225="주의",J225="주의"),"결과상담에서 확인",IF(J225="조건확인","혈당조건(공복/식후) 선택","")))</f>
        <v/>
      </c>
      <c r="L225" s="25" t="str">
        <f aca="false">IF($B225="","",IF(COUNTIF($B$5:$B$1004,$B225)&gt;1,"중복 입력",""))</f>
        <v/>
      </c>
    </row>
    <row r="226" customFormat="false" ht="1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5" t="str">
        <f aca="false">IF($B226="","",IFERROR(IF(INDEX(명단!$B$5:$B$404,MATCH($B226,명단!$A$5:$A$404,0))="","(이름 미입력)",INDEX(명단!$B$5:$B$404,MATCH($B226,명단!$A$5:$A$404,0))),"번호 없음"))</f>
        <v/>
      </c>
      <c r="I226" s="25" t="str">
        <f aca="false">IF(AND(C226="",D226=""),"",IF(OR(C226="-",D226="-"),"측정불가",IF(AND(ISNUMBER(C226),ISNUMBER(D226)),IF(OR(C226&gt;=설정!$C$11,D226&gt;=설정!$C$12),"긴급",IF(OR(C226&gt;=설정!$C$9,D226&gt;=설정!$C$10,C226&lt;설정!$C$13),"주의","정상")),"확인필요")))</f>
        <v/>
      </c>
      <c r="J226" s="25" t="str">
        <f aca="false">IF(E226="","",IF(E226="-","측정불가",IF(NOT(ISNUMBER(E226)),"확인필요",IF(E226&lt;설정!$C$17,"긴급(저혈당)",IF(E226&gt;=설정!$C$18,"긴급(고혈당)",IF(F226="공복",IF(E226&gt;=설정!$C$15,"주의","정상"),IF(F226="식후",IF(E226&gt;=설정!$C$16,"주의","정상"),"조건확인")))))))</f>
        <v/>
      </c>
      <c r="K226" s="25" t="str">
        <f aca="false">IF(OR(I226="긴급",LEFT(J226,2)="긴급"),"★ 즉시 선생님 호출",IF(OR(I226="주의",J226="주의"),"결과상담에서 확인",IF(J226="조건확인","혈당조건(공복/식후) 선택","")))</f>
        <v/>
      </c>
      <c r="L226" s="25" t="str">
        <f aca="false">IF($B226="","",IF(COUNTIF($B$5:$B$1004,$B226)&gt;1,"중복 입력",""))</f>
        <v/>
      </c>
    </row>
    <row r="227" customFormat="false" ht="1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5" t="str">
        <f aca="false">IF($B227="","",IFERROR(IF(INDEX(명단!$B$5:$B$404,MATCH($B227,명단!$A$5:$A$404,0))="","(이름 미입력)",INDEX(명단!$B$5:$B$404,MATCH($B227,명단!$A$5:$A$404,0))),"번호 없음"))</f>
        <v/>
      </c>
      <c r="I227" s="25" t="str">
        <f aca="false">IF(AND(C227="",D227=""),"",IF(OR(C227="-",D227="-"),"측정불가",IF(AND(ISNUMBER(C227),ISNUMBER(D227)),IF(OR(C227&gt;=설정!$C$11,D227&gt;=설정!$C$12),"긴급",IF(OR(C227&gt;=설정!$C$9,D227&gt;=설정!$C$10,C227&lt;설정!$C$13),"주의","정상")),"확인필요")))</f>
        <v/>
      </c>
      <c r="J227" s="25" t="str">
        <f aca="false">IF(E227="","",IF(E227="-","측정불가",IF(NOT(ISNUMBER(E227)),"확인필요",IF(E227&lt;설정!$C$17,"긴급(저혈당)",IF(E227&gt;=설정!$C$18,"긴급(고혈당)",IF(F227="공복",IF(E227&gt;=설정!$C$15,"주의","정상"),IF(F227="식후",IF(E227&gt;=설정!$C$16,"주의","정상"),"조건확인")))))))</f>
        <v/>
      </c>
      <c r="K227" s="25" t="str">
        <f aca="false">IF(OR(I227="긴급",LEFT(J227,2)="긴급"),"★ 즉시 선생님 호출",IF(OR(I227="주의",J227="주의"),"결과상담에서 확인",IF(J227="조건확인","혈당조건(공복/식후) 선택","")))</f>
        <v/>
      </c>
      <c r="L227" s="25" t="str">
        <f aca="false">IF($B227="","",IF(COUNTIF($B$5:$B$1004,$B227)&gt;1,"중복 입력",""))</f>
        <v/>
      </c>
    </row>
    <row r="228" customFormat="false" ht="1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5" t="str">
        <f aca="false">IF($B228="","",IFERROR(IF(INDEX(명단!$B$5:$B$404,MATCH($B228,명단!$A$5:$A$404,0))="","(이름 미입력)",INDEX(명단!$B$5:$B$404,MATCH($B228,명단!$A$5:$A$404,0))),"번호 없음"))</f>
        <v/>
      </c>
      <c r="I228" s="25" t="str">
        <f aca="false">IF(AND(C228="",D228=""),"",IF(OR(C228="-",D228="-"),"측정불가",IF(AND(ISNUMBER(C228),ISNUMBER(D228)),IF(OR(C228&gt;=설정!$C$11,D228&gt;=설정!$C$12),"긴급",IF(OR(C228&gt;=설정!$C$9,D228&gt;=설정!$C$10,C228&lt;설정!$C$13),"주의","정상")),"확인필요")))</f>
        <v/>
      </c>
      <c r="J228" s="25" t="str">
        <f aca="false">IF(E228="","",IF(E228="-","측정불가",IF(NOT(ISNUMBER(E228)),"확인필요",IF(E228&lt;설정!$C$17,"긴급(저혈당)",IF(E228&gt;=설정!$C$18,"긴급(고혈당)",IF(F228="공복",IF(E228&gt;=설정!$C$15,"주의","정상"),IF(F228="식후",IF(E228&gt;=설정!$C$16,"주의","정상"),"조건확인")))))))</f>
        <v/>
      </c>
      <c r="K228" s="25" t="str">
        <f aca="false">IF(OR(I228="긴급",LEFT(J228,2)="긴급"),"★ 즉시 선생님 호출",IF(OR(I228="주의",J228="주의"),"결과상담에서 확인",IF(J228="조건확인","혈당조건(공복/식후) 선택","")))</f>
        <v/>
      </c>
      <c r="L228" s="25" t="str">
        <f aca="false">IF($B228="","",IF(COUNTIF($B$5:$B$1004,$B228)&gt;1,"중복 입력",""))</f>
        <v/>
      </c>
    </row>
    <row r="229" customFormat="false" ht="1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5" t="str">
        <f aca="false">IF($B229="","",IFERROR(IF(INDEX(명단!$B$5:$B$404,MATCH($B229,명단!$A$5:$A$404,0))="","(이름 미입력)",INDEX(명단!$B$5:$B$404,MATCH($B229,명단!$A$5:$A$404,0))),"번호 없음"))</f>
        <v/>
      </c>
      <c r="I229" s="25" t="str">
        <f aca="false">IF(AND(C229="",D229=""),"",IF(OR(C229="-",D229="-"),"측정불가",IF(AND(ISNUMBER(C229),ISNUMBER(D229)),IF(OR(C229&gt;=설정!$C$11,D229&gt;=설정!$C$12),"긴급",IF(OR(C229&gt;=설정!$C$9,D229&gt;=설정!$C$10,C229&lt;설정!$C$13),"주의","정상")),"확인필요")))</f>
        <v/>
      </c>
      <c r="J229" s="25" t="str">
        <f aca="false">IF(E229="","",IF(E229="-","측정불가",IF(NOT(ISNUMBER(E229)),"확인필요",IF(E229&lt;설정!$C$17,"긴급(저혈당)",IF(E229&gt;=설정!$C$18,"긴급(고혈당)",IF(F229="공복",IF(E229&gt;=설정!$C$15,"주의","정상"),IF(F229="식후",IF(E229&gt;=설정!$C$16,"주의","정상"),"조건확인")))))))</f>
        <v/>
      </c>
      <c r="K229" s="25" t="str">
        <f aca="false">IF(OR(I229="긴급",LEFT(J229,2)="긴급"),"★ 즉시 선생님 호출",IF(OR(I229="주의",J229="주의"),"결과상담에서 확인",IF(J229="조건확인","혈당조건(공복/식후) 선택","")))</f>
        <v/>
      </c>
      <c r="L229" s="25" t="str">
        <f aca="false">IF($B229="","",IF(COUNTIF($B$5:$B$1004,$B229)&gt;1,"중복 입력",""))</f>
        <v/>
      </c>
    </row>
    <row r="230" customFormat="false" ht="1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5" t="str">
        <f aca="false">IF($B230="","",IFERROR(IF(INDEX(명단!$B$5:$B$404,MATCH($B230,명단!$A$5:$A$404,0))="","(이름 미입력)",INDEX(명단!$B$5:$B$404,MATCH($B230,명단!$A$5:$A$404,0))),"번호 없음"))</f>
        <v/>
      </c>
      <c r="I230" s="25" t="str">
        <f aca="false">IF(AND(C230="",D230=""),"",IF(OR(C230="-",D230="-"),"측정불가",IF(AND(ISNUMBER(C230),ISNUMBER(D230)),IF(OR(C230&gt;=설정!$C$11,D230&gt;=설정!$C$12),"긴급",IF(OR(C230&gt;=설정!$C$9,D230&gt;=설정!$C$10,C230&lt;설정!$C$13),"주의","정상")),"확인필요")))</f>
        <v/>
      </c>
      <c r="J230" s="25" t="str">
        <f aca="false">IF(E230="","",IF(E230="-","측정불가",IF(NOT(ISNUMBER(E230)),"확인필요",IF(E230&lt;설정!$C$17,"긴급(저혈당)",IF(E230&gt;=설정!$C$18,"긴급(고혈당)",IF(F230="공복",IF(E230&gt;=설정!$C$15,"주의","정상"),IF(F230="식후",IF(E230&gt;=설정!$C$16,"주의","정상"),"조건확인")))))))</f>
        <v/>
      </c>
      <c r="K230" s="25" t="str">
        <f aca="false">IF(OR(I230="긴급",LEFT(J230,2)="긴급"),"★ 즉시 선생님 호출",IF(OR(I230="주의",J230="주의"),"결과상담에서 확인",IF(J230="조건확인","혈당조건(공복/식후) 선택","")))</f>
        <v/>
      </c>
      <c r="L230" s="25" t="str">
        <f aca="false">IF($B230="","",IF(COUNTIF($B$5:$B$1004,$B230)&gt;1,"중복 입력",""))</f>
        <v/>
      </c>
    </row>
    <row r="231" customFormat="false" ht="1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5" t="str">
        <f aca="false">IF($B231="","",IFERROR(IF(INDEX(명단!$B$5:$B$404,MATCH($B231,명단!$A$5:$A$404,0))="","(이름 미입력)",INDEX(명단!$B$5:$B$404,MATCH($B231,명단!$A$5:$A$404,0))),"번호 없음"))</f>
        <v/>
      </c>
      <c r="I231" s="25" t="str">
        <f aca="false">IF(AND(C231="",D231=""),"",IF(OR(C231="-",D231="-"),"측정불가",IF(AND(ISNUMBER(C231),ISNUMBER(D231)),IF(OR(C231&gt;=설정!$C$11,D231&gt;=설정!$C$12),"긴급",IF(OR(C231&gt;=설정!$C$9,D231&gt;=설정!$C$10,C231&lt;설정!$C$13),"주의","정상")),"확인필요")))</f>
        <v/>
      </c>
      <c r="J231" s="25" t="str">
        <f aca="false">IF(E231="","",IF(E231="-","측정불가",IF(NOT(ISNUMBER(E231)),"확인필요",IF(E231&lt;설정!$C$17,"긴급(저혈당)",IF(E231&gt;=설정!$C$18,"긴급(고혈당)",IF(F231="공복",IF(E231&gt;=설정!$C$15,"주의","정상"),IF(F231="식후",IF(E231&gt;=설정!$C$16,"주의","정상"),"조건확인")))))))</f>
        <v/>
      </c>
      <c r="K231" s="25" t="str">
        <f aca="false">IF(OR(I231="긴급",LEFT(J231,2)="긴급"),"★ 즉시 선생님 호출",IF(OR(I231="주의",J231="주의"),"결과상담에서 확인",IF(J231="조건확인","혈당조건(공복/식후) 선택","")))</f>
        <v/>
      </c>
      <c r="L231" s="25" t="str">
        <f aca="false">IF($B231="","",IF(COUNTIF($B$5:$B$1004,$B231)&gt;1,"중복 입력",""))</f>
        <v/>
      </c>
    </row>
    <row r="232" customFormat="false" ht="1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5" t="str">
        <f aca="false">IF($B232="","",IFERROR(IF(INDEX(명단!$B$5:$B$404,MATCH($B232,명단!$A$5:$A$404,0))="","(이름 미입력)",INDEX(명단!$B$5:$B$404,MATCH($B232,명단!$A$5:$A$404,0))),"번호 없음"))</f>
        <v/>
      </c>
      <c r="I232" s="25" t="str">
        <f aca="false">IF(AND(C232="",D232=""),"",IF(OR(C232="-",D232="-"),"측정불가",IF(AND(ISNUMBER(C232),ISNUMBER(D232)),IF(OR(C232&gt;=설정!$C$11,D232&gt;=설정!$C$12),"긴급",IF(OR(C232&gt;=설정!$C$9,D232&gt;=설정!$C$10,C232&lt;설정!$C$13),"주의","정상")),"확인필요")))</f>
        <v/>
      </c>
      <c r="J232" s="25" t="str">
        <f aca="false">IF(E232="","",IF(E232="-","측정불가",IF(NOT(ISNUMBER(E232)),"확인필요",IF(E232&lt;설정!$C$17,"긴급(저혈당)",IF(E232&gt;=설정!$C$18,"긴급(고혈당)",IF(F232="공복",IF(E232&gt;=설정!$C$15,"주의","정상"),IF(F232="식후",IF(E232&gt;=설정!$C$16,"주의","정상"),"조건확인")))))))</f>
        <v/>
      </c>
      <c r="K232" s="25" t="str">
        <f aca="false">IF(OR(I232="긴급",LEFT(J232,2)="긴급"),"★ 즉시 선생님 호출",IF(OR(I232="주의",J232="주의"),"결과상담에서 확인",IF(J232="조건확인","혈당조건(공복/식후) 선택","")))</f>
        <v/>
      </c>
      <c r="L232" s="25" t="str">
        <f aca="false">IF($B232="","",IF(COUNTIF($B$5:$B$1004,$B232)&gt;1,"중복 입력",""))</f>
        <v/>
      </c>
    </row>
    <row r="233" customFormat="false" ht="1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5" t="str">
        <f aca="false">IF($B233="","",IFERROR(IF(INDEX(명단!$B$5:$B$404,MATCH($B233,명단!$A$5:$A$404,0))="","(이름 미입력)",INDEX(명단!$B$5:$B$404,MATCH($B233,명단!$A$5:$A$404,0))),"번호 없음"))</f>
        <v/>
      </c>
      <c r="I233" s="25" t="str">
        <f aca="false">IF(AND(C233="",D233=""),"",IF(OR(C233="-",D233="-"),"측정불가",IF(AND(ISNUMBER(C233),ISNUMBER(D233)),IF(OR(C233&gt;=설정!$C$11,D233&gt;=설정!$C$12),"긴급",IF(OR(C233&gt;=설정!$C$9,D233&gt;=설정!$C$10,C233&lt;설정!$C$13),"주의","정상")),"확인필요")))</f>
        <v/>
      </c>
      <c r="J233" s="25" t="str">
        <f aca="false">IF(E233="","",IF(E233="-","측정불가",IF(NOT(ISNUMBER(E233)),"확인필요",IF(E233&lt;설정!$C$17,"긴급(저혈당)",IF(E233&gt;=설정!$C$18,"긴급(고혈당)",IF(F233="공복",IF(E233&gt;=설정!$C$15,"주의","정상"),IF(F233="식후",IF(E233&gt;=설정!$C$16,"주의","정상"),"조건확인")))))))</f>
        <v/>
      </c>
      <c r="K233" s="25" t="str">
        <f aca="false">IF(OR(I233="긴급",LEFT(J233,2)="긴급"),"★ 즉시 선생님 호출",IF(OR(I233="주의",J233="주의"),"결과상담에서 확인",IF(J233="조건확인","혈당조건(공복/식후) 선택","")))</f>
        <v/>
      </c>
      <c r="L233" s="25" t="str">
        <f aca="false">IF($B233="","",IF(COUNTIF($B$5:$B$1004,$B233)&gt;1,"중복 입력",""))</f>
        <v/>
      </c>
    </row>
    <row r="234" customFormat="false" ht="1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5" t="str">
        <f aca="false">IF($B234="","",IFERROR(IF(INDEX(명단!$B$5:$B$404,MATCH($B234,명단!$A$5:$A$404,0))="","(이름 미입력)",INDEX(명단!$B$5:$B$404,MATCH($B234,명단!$A$5:$A$404,0))),"번호 없음"))</f>
        <v/>
      </c>
      <c r="I234" s="25" t="str">
        <f aca="false">IF(AND(C234="",D234=""),"",IF(OR(C234="-",D234="-"),"측정불가",IF(AND(ISNUMBER(C234),ISNUMBER(D234)),IF(OR(C234&gt;=설정!$C$11,D234&gt;=설정!$C$12),"긴급",IF(OR(C234&gt;=설정!$C$9,D234&gt;=설정!$C$10,C234&lt;설정!$C$13),"주의","정상")),"확인필요")))</f>
        <v/>
      </c>
      <c r="J234" s="25" t="str">
        <f aca="false">IF(E234="","",IF(E234="-","측정불가",IF(NOT(ISNUMBER(E234)),"확인필요",IF(E234&lt;설정!$C$17,"긴급(저혈당)",IF(E234&gt;=설정!$C$18,"긴급(고혈당)",IF(F234="공복",IF(E234&gt;=설정!$C$15,"주의","정상"),IF(F234="식후",IF(E234&gt;=설정!$C$16,"주의","정상"),"조건확인")))))))</f>
        <v/>
      </c>
      <c r="K234" s="25" t="str">
        <f aca="false">IF(OR(I234="긴급",LEFT(J234,2)="긴급"),"★ 즉시 선생님 호출",IF(OR(I234="주의",J234="주의"),"결과상담에서 확인",IF(J234="조건확인","혈당조건(공복/식후) 선택","")))</f>
        <v/>
      </c>
      <c r="L234" s="25" t="str">
        <f aca="false">IF($B234="","",IF(COUNTIF($B$5:$B$1004,$B234)&gt;1,"중복 입력",""))</f>
        <v/>
      </c>
    </row>
    <row r="235" customFormat="false" ht="1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5" t="str">
        <f aca="false">IF($B235="","",IFERROR(IF(INDEX(명단!$B$5:$B$404,MATCH($B235,명단!$A$5:$A$404,0))="","(이름 미입력)",INDEX(명단!$B$5:$B$404,MATCH($B235,명단!$A$5:$A$404,0))),"번호 없음"))</f>
        <v/>
      </c>
      <c r="I235" s="25" t="str">
        <f aca="false">IF(AND(C235="",D235=""),"",IF(OR(C235="-",D235="-"),"측정불가",IF(AND(ISNUMBER(C235),ISNUMBER(D235)),IF(OR(C235&gt;=설정!$C$11,D235&gt;=설정!$C$12),"긴급",IF(OR(C235&gt;=설정!$C$9,D235&gt;=설정!$C$10,C235&lt;설정!$C$13),"주의","정상")),"확인필요")))</f>
        <v/>
      </c>
      <c r="J235" s="25" t="str">
        <f aca="false">IF(E235="","",IF(E235="-","측정불가",IF(NOT(ISNUMBER(E235)),"확인필요",IF(E235&lt;설정!$C$17,"긴급(저혈당)",IF(E235&gt;=설정!$C$18,"긴급(고혈당)",IF(F235="공복",IF(E235&gt;=설정!$C$15,"주의","정상"),IF(F235="식후",IF(E235&gt;=설정!$C$16,"주의","정상"),"조건확인")))))))</f>
        <v/>
      </c>
      <c r="K235" s="25" t="str">
        <f aca="false">IF(OR(I235="긴급",LEFT(J235,2)="긴급"),"★ 즉시 선생님 호출",IF(OR(I235="주의",J235="주의"),"결과상담에서 확인",IF(J235="조건확인","혈당조건(공복/식후) 선택","")))</f>
        <v/>
      </c>
      <c r="L235" s="25" t="str">
        <f aca="false">IF($B235="","",IF(COUNTIF($B$5:$B$1004,$B235)&gt;1,"중복 입력",""))</f>
        <v/>
      </c>
    </row>
    <row r="236" customFormat="false" ht="1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5" t="str">
        <f aca="false">IF($B236="","",IFERROR(IF(INDEX(명단!$B$5:$B$404,MATCH($B236,명단!$A$5:$A$404,0))="","(이름 미입력)",INDEX(명단!$B$5:$B$404,MATCH($B236,명단!$A$5:$A$404,0))),"번호 없음"))</f>
        <v/>
      </c>
      <c r="I236" s="25" t="str">
        <f aca="false">IF(AND(C236="",D236=""),"",IF(OR(C236="-",D236="-"),"측정불가",IF(AND(ISNUMBER(C236),ISNUMBER(D236)),IF(OR(C236&gt;=설정!$C$11,D236&gt;=설정!$C$12),"긴급",IF(OR(C236&gt;=설정!$C$9,D236&gt;=설정!$C$10,C236&lt;설정!$C$13),"주의","정상")),"확인필요")))</f>
        <v/>
      </c>
      <c r="J236" s="25" t="str">
        <f aca="false">IF(E236="","",IF(E236="-","측정불가",IF(NOT(ISNUMBER(E236)),"확인필요",IF(E236&lt;설정!$C$17,"긴급(저혈당)",IF(E236&gt;=설정!$C$18,"긴급(고혈당)",IF(F236="공복",IF(E236&gt;=설정!$C$15,"주의","정상"),IF(F236="식후",IF(E236&gt;=설정!$C$16,"주의","정상"),"조건확인")))))))</f>
        <v/>
      </c>
      <c r="K236" s="25" t="str">
        <f aca="false">IF(OR(I236="긴급",LEFT(J236,2)="긴급"),"★ 즉시 선생님 호출",IF(OR(I236="주의",J236="주의"),"결과상담에서 확인",IF(J236="조건확인","혈당조건(공복/식후) 선택","")))</f>
        <v/>
      </c>
      <c r="L236" s="25" t="str">
        <f aca="false">IF($B236="","",IF(COUNTIF($B$5:$B$1004,$B236)&gt;1,"중복 입력",""))</f>
        <v/>
      </c>
    </row>
    <row r="237" customFormat="false" ht="1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5" t="str">
        <f aca="false">IF($B237="","",IFERROR(IF(INDEX(명단!$B$5:$B$404,MATCH($B237,명단!$A$5:$A$404,0))="","(이름 미입력)",INDEX(명단!$B$5:$B$404,MATCH($B237,명단!$A$5:$A$404,0))),"번호 없음"))</f>
        <v/>
      </c>
      <c r="I237" s="25" t="str">
        <f aca="false">IF(AND(C237="",D237=""),"",IF(OR(C237="-",D237="-"),"측정불가",IF(AND(ISNUMBER(C237),ISNUMBER(D237)),IF(OR(C237&gt;=설정!$C$11,D237&gt;=설정!$C$12),"긴급",IF(OR(C237&gt;=설정!$C$9,D237&gt;=설정!$C$10,C237&lt;설정!$C$13),"주의","정상")),"확인필요")))</f>
        <v/>
      </c>
      <c r="J237" s="25" t="str">
        <f aca="false">IF(E237="","",IF(E237="-","측정불가",IF(NOT(ISNUMBER(E237)),"확인필요",IF(E237&lt;설정!$C$17,"긴급(저혈당)",IF(E237&gt;=설정!$C$18,"긴급(고혈당)",IF(F237="공복",IF(E237&gt;=설정!$C$15,"주의","정상"),IF(F237="식후",IF(E237&gt;=설정!$C$16,"주의","정상"),"조건확인")))))))</f>
        <v/>
      </c>
      <c r="K237" s="25" t="str">
        <f aca="false">IF(OR(I237="긴급",LEFT(J237,2)="긴급"),"★ 즉시 선생님 호출",IF(OR(I237="주의",J237="주의"),"결과상담에서 확인",IF(J237="조건확인","혈당조건(공복/식후) 선택","")))</f>
        <v/>
      </c>
      <c r="L237" s="25" t="str">
        <f aca="false">IF($B237="","",IF(COUNTIF($B$5:$B$1004,$B237)&gt;1,"중복 입력",""))</f>
        <v/>
      </c>
    </row>
    <row r="238" customFormat="false" ht="1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5" t="str">
        <f aca="false">IF($B238="","",IFERROR(IF(INDEX(명단!$B$5:$B$404,MATCH($B238,명단!$A$5:$A$404,0))="","(이름 미입력)",INDEX(명단!$B$5:$B$404,MATCH($B238,명단!$A$5:$A$404,0))),"번호 없음"))</f>
        <v/>
      </c>
      <c r="I238" s="25" t="str">
        <f aca="false">IF(AND(C238="",D238=""),"",IF(OR(C238="-",D238="-"),"측정불가",IF(AND(ISNUMBER(C238),ISNUMBER(D238)),IF(OR(C238&gt;=설정!$C$11,D238&gt;=설정!$C$12),"긴급",IF(OR(C238&gt;=설정!$C$9,D238&gt;=설정!$C$10,C238&lt;설정!$C$13),"주의","정상")),"확인필요")))</f>
        <v/>
      </c>
      <c r="J238" s="25" t="str">
        <f aca="false">IF(E238="","",IF(E238="-","측정불가",IF(NOT(ISNUMBER(E238)),"확인필요",IF(E238&lt;설정!$C$17,"긴급(저혈당)",IF(E238&gt;=설정!$C$18,"긴급(고혈당)",IF(F238="공복",IF(E238&gt;=설정!$C$15,"주의","정상"),IF(F238="식후",IF(E238&gt;=설정!$C$16,"주의","정상"),"조건확인")))))))</f>
        <v/>
      </c>
      <c r="K238" s="25" t="str">
        <f aca="false">IF(OR(I238="긴급",LEFT(J238,2)="긴급"),"★ 즉시 선생님 호출",IF(OR(I238="주의",J238="주의"),"결과상담에서 확인",IF(J238="조건확인","혈당조건(공복/식후) 선택","")))</f>
        <v/>
      </c>
      <c r="L238" s="25" t="str">
        <f aca="false">IF($B238="","",IF(COUNTIF($B$5:$B$1004,$B238)&gt;1,"중복 입력",""))</f>
        <v/>
      </c>
    </row>
    <row r="239" customFormat="false" ht="1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5" t="str">
        <f aca="false">IF($B239="","",IFERROR(IF(INDEX(명단!$B$5:$B$404,MATCH($B239,명단!$A$5:$A$404,0))="","(이름 미입력)",INDEX(명단!$B$5:$B$404,MATCH($B239,명단!$A$5:$A$404,0))),"번호 없음"))</f>
        <v/>
      </c>
      <c r="I239" s="25" t="str">
        <f aca="false">IF(AND(C239="",D239=""),"",IF(OR(C239="-",D239="-"),"측정불가",IF(AND(ISNUMBER(C239),ISNUMBER(D239)),IF(OR(C239&gt;=설정!$C$11,D239&gt;=설정!$C$12),"긴급",IF(OR(C239&gt;=설정!$C$9,D239&gt;=설정!$C$10,C239&lt;설정!$C$13),"주의","정상")),"확인필요")))</f>
        <v/>
      </c>
      <c r="J239" s="25" t="str">
        <f aca="false">IF(E239="","",IF(E239="-","측정불가",IF(NOT(ISNUMBER(E239)),"확인필요",IF(E239&lt;설정!$C$17,"긴급(저혈당)",IF(E239&gt;=설정!$C$18,"긴급(고혈당)",IF(F239="공복",IF(E239&gt;=설정!$C$15,"주의","정상"),IF(F239="식후",IF(E239&gt;=설정!$C$16,"주의","정상"),"조건확인")))))))</f>
        <v/>
      </c>
      <c r="K239" s="25" t="str">
        <f aca="false">IF(OR(I239="긴급",LEFT(J239,2)="긴급"),"★ 즉시 선생님 호출",IF(OR(I239="주의",J239="주의"),"결과상담에서 확인",IF(J239="조건확인","혈당조건(공복/식후) 선택","")))</f>
        <v/>
      </c>
      <c r="L239" s="25" t="str">
        <f aca="false">IF($B239="","",IF(COUNTIF($B$5:$B$1004,$B239)&gt;1,"중복 입력",""))</f>
        <v/>
      </c>
    </row>
    <row r="240" customFormat="false" ht="1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5" t="str">
        <f aca="false">IF($B240="","",IFERROR(IF(INDEX(명단!$B$5:$B$404,MATCH($B240,명단!$A$5:$A$404,0))="","(이름 미입력)",INDEX(명단!$B$5:$B$404,MATCH($B240,명단!$A$5:$A$404,0))),"번호 없음"))</f>
        <v/>
      </c>
      <c r="I240" s="25" t="str">
        <f aca="false">IF(AND(C240="",D240=""),"",IF(OR(C240="-",D240="-"),"측정불가",IF(AND(ISNUMBER(C240),ISNUMBER(D240)),IF(OR(C240&gt;=설정!$C$11,D240&gt;=설정!$C$12),"긴급",IF(OR(C240&gt;=설정!$C$9,D240&gt;=설정!$C$10,C240&lt;설정!$C$13),"주의","정상")),"확인필요")))</f>
        <v/>
      </c>
      <c r="J240" s="25" t="str">
        <f aca="false">IF(E240="","",IF(E240="-","측정불가",IF(NOT(ISNUMBER(E240)),"확인필요",IF(E240&lt;설정!$C$17,"긴급(저혈당)",IF(E240&gt;=설정!$C$18,"긴급(고혈당)",IF(F240="공복",IF(E240&gt;=설정!$C$15,"주의","정상"),IF(F240="식후",IF(E240&gt;=설정!$C$16,"주의","정상"),"조건확인")))))))</f>
        <v/>
      </c>
      <c r="K240" s="25" t="str">
        <f aca="false">IF(OR(I240="긴급",LEFT(J240,2)="긴급"),"★ 즉시 선생님 호출",IF(OR(I240="주의",J240="주의"),"결과상담에서 확인",IF(J240="조건확인","혈당조건(공복/식후) 선택","")))</f>
        <v/>
      </c>
      <c r="L240" s="25" t="str">
        <f aca="false">IF($B240="","",IF(COUNTIF($B$5:$B$1004,$B240)&gt;1,"중복 입력",""))</f>
        <v/>
      </c>
    </row>
    <row r="241" customFormat="false" ht="1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5" t="str">
        <f aca="false">IF($B241="","",IFERROR(IF(INDEX(명단!$B$5:$B$404,MATCH($B241,명단!$A$5:$A$404,0))="","(이름 미입력)",INDEX(명단!$B$5:$B$404,MATCH($B241,명단!$A$5:$A$404,0))),"번호 없음"))</f>
        <v/>
      </c>
      <c r="I241" s="25" t="str">
        <f aca="false">IF(AND(C241="",D241=""),"",IF(OR(C241="-",D241="-"),"측정불가",IF(AND(ISNUMBER(C241),ISNUMBER(D241)),IF(OR(C241&gt;=설정!$C$11,D241&gt;=설정!$C$12),"긴급",IF(OR(C241&gt;=설정!$C$9,D241&gt;=설정!$C$10,C241&lt;설정!$C$13),"주의","정상")),"확인필요")))</f>
        <v/>
      </c>
      <c r="J241" s="25" t="str">
        <f aca="false">IF(E241="","",IF(E241="-","측정불가",IF(NOT(ISNUMBER(E241)),"확인필요",IF(E241&lt;설정!$C$17,"긴급(저혈당)",IF(E241&gt;=설정!$C$18,"긴급(고혈당)",IF(F241="공복",IF(E241&gt;=설정!$C$15,"주의","정상"),IF(F241="식후",IF(E241&gt;=설정!$C$16,"주의","정상"),"조건확인")))))))</f>
        <v/>
      </c>
      <c r="K241" s="25" t="str">
        <f aca="false">IF(OR(I241="긴급",LEFT(J241,2)="긴급"),"★ 즉시 선생님 호출",IF(OR(I241="주의",J241="주의"),"결과상담에서 확인",IF(J241="조건확인","혈당조건(공복/식후) 선택","")))</f>
        <v/>
      </c>
      <c r="L241" s="25" t="str">
        <f aca="false">IF($B241="","",IF(COUNTIF($B$5:$B$1004,$B241)&gt;1,"중복 입력",""))</f>
        <v/>
      </c>
    </row>
    <row r="242" customFormat="false" ht="1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5" t="str">
        <f aca="false">IF($B242="","",IFERROR(IF(INDEX(명단!$B$5:$B$404,MATCH($B242,명단!$A$5:$A$404,0))="","(이름 미입력)",INDEX(명단!$B$5:$B$404,MATCH($B242,명단!$A$5:$A$404,0))),"번호 없음"))</f>
        <v/>
      </c>
      <c r="I242" s="25" t="str">
        <f aca="false">IF(AND(C242="",D242=""),"",IF(OR(C242="-",D242="-"),"측정불가",IF(AND(ISNUMBER(C242),ISNUMBER(D242)),IF(OR(C242&gt;=설정!$C$11,D242&gt;=설정!$C$12),"긴급",IF(OR(C242&gt;=설정!$C$9,D242&gt;=설정!$C$10,C242&lt;설정!$C$13),"주의","정상")),"확인필요")))</f>
        <v/>
      </c>
      <c r="J242" s="25" t="str">
        <f aca="false">IF(E242="","",IF(E242="-","측정불가",IF(NOT(ISNUMBER(E242)),"확인필요",IF(E242&lt;설정!$C$17,"긴급(저혈당)",IF(E242&gt;=설정!$C$18,"긴급(고혈당)",IF(F242="공복",IF(E242&gt;=설정!$C$15,"주의","정상"),IF(F242="식후",IF(E242&gt;=설정!$C$16,"주의","정상"),"조건확인")))))))</f>
        <v/>
      </c>
      <c r="K242" s="25" t="str">
        <f aca="false">IF(OR(I242="긴급",LEFT(J242,2)="긴급"),"★ 즉시 선생님 호출",IF(OR(I242="주의",J242="주의"),"결과상담에서 확인",IF(J242="조건확인","혈당조건(공복/식후) 선택","")))</f>
        <v/>
      </c>
      <c r="L242" s="25" t="str">
        <f aca="false">IF($B242="","",IF(COUNTIF($B$5:$B$1004,$B242)&gt;1,"중복 입력",""))</f>
        <v/>
      </c>
    </row>
    <row r="243" customFormat="false" ht="1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5" t="str">
        <f aca="false">IF($B243="","",IFERROR(IF(INDEX(명단!$B$5:$B$404,MATCH($B243,명단!$A$5:$A$404,0))="","(이름 미입력)",INDEX(명단!$B$5:$B$404,MATCH($B243,명단!$A$5:$A$404,0))),"번호 없음"))</f>
        <v/>
      </c>
      <c r="I243" s="25" t="str">
        <f aca="false">IF(AND(C243="",D243=""),"",IF(OR(C243="-",D243="-"),"측정불가",IF(AND(ISNUMBER(C243),ISNUMBER(D243)),IF(OR(C243&gt;=설정!$C$11,D243&gt;=설정!$C$12),"긴급",IF(OR(C243&gt;=설정!$C$9,D243&gt;=설정!$C$10,C243&lt;설정!$C$13),"주의","정상")),"확인필요")))</f>
        <v/>
      </c>
      <c r="J243" s="25" t="str">
        <f aca="false">IF(E243="","",IF(E243="-","측정불가",IF(NOT(ISNUMBER(E243)),"확인필요",IF(E243&lt;설정!$C$17,"긴급(저혈당)",IF(E243&gt;=설정!$C$18,"긴급(고혈당)",IF(F243="공복",IF(E243&gt;=설정!$C$15,"주의","정상"),IF(F243="식후",IF(E243&gt;=설정!$C$16,"주의","정상"),"조건확인")))))))</f>
        <v/>
      </c>
      <c r="K243" s="25" t="str">
        <f aca="false">IF(OR(I243="긴급",LEFT(J243,2)="긴급"),"★ 즉시 선생님 호출",IF(OR(I243="주의",J243="주의"),"결과상담에서 확인",IF(J243="조건확인","혈당조건(공복/식후) 선택","")))</f>
        <v/>
      </c>
      <c r="L243" s="25" t="str">
        <f aca="false">IF($B243="","",IF(COUNTIF($B$5:$B$1004,$B243)&gt;1,"중복 입력",""))</f>
        <v/>
      </c>
    </row>
    <row r="244" customFormat="false" ht="1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5" t="str">
        <f aca="false">IF($B244="","",IFERROR(IF(INDEX(명단!$B$5:$B$404,MATCH($B244,명단!$A$5:$A$404,0))="","(이름 미입력)",INDEX(명단!$B$5:$B$404,MATCH($B244,명단!$A$5:$A$404,0))),"번호 없음"))</f>
        <v/>
      </c>
      <c r="I244" s="25" t="str">
        <f aca="false">IF(AND(C244="",D244=""),"",IF(OR(C244="-",D244="-"),"측정불가",IF(AND(ISNUMBER(C244),ISNUMBER(D244)),IF(OR(C244&gt;=설정!$C$11,D244&gt;=설정!$C$12),"긴급",IF(OR(C244&gt;=설정!$C$9,D244&gt;=설정!$C$10,C244&lt;설정!$C$13),"주의","정상")),"확인필요")))</f>
        <v/>
      </c>
      <c r="J244" s="25" t="str">
        <f aca="false">IF(E244="","",IF(E244="-","측정불가",IF(NOT(ISNUMBER(E244)),"확인필요",IF(E244&lt;설정!$C$17,"긴급(저혈당)",IF(E244&gt;=설정!$C$18,"긴급(고혈당)",IF(F244="공복",IF(E244&gt;=설정!$C$15,"주의","정상"),IF(F244="식후",IF(E244&gt;=설정!$C$16,"주의","정상"),"조건확인")))))))</f>
        <v/>
      </c>
      <c r="K244" s="25" t="str">
        <f aca="false">IF(OR(I244="긴급",LEFT(J244,2)="긴급"),"★ 즉시 선생님 호출",IF(OR(I244="주의",J244="주의"),"결과상담에서 확인",IF(J244="조건확인","혈당조건(공복/식후) 선택","")))</f>
        <v/>
      </c>
      <c r="L244" s="25" t="str">
        <f aca="false">IF($B244="","",IF(COUNTIF($B$5:$B$1004,$B244)&gt;1,"중복 입력",""))</f>
        <v/>
      </c>
    </row>
    <row r="245" customFormat="false" ht="1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5" t="str">
        <f aca="false">IF($B245="","",IFERROR(IF(INDEX(명단!$B$5:$B$404,MATCH($B245,명단!$A$5:$A$404,0))="","(이름 미입력)",INDEX(명단!$B$5:$B$404,MATCH($B245,명단!$A$5:$A$404,0))),"번호 없음"))</f>
        <v/>
      </c>
      <c r="I245" s="25" t="str">
        <f aca="false">IF(AND(C245="",D245=""),"",IF(OR(C245="-",D245="-"),"측정불가",IF(AND(ISNUMBER(C245),ISNUMBER(D245)),IF(OR(C245&gt;=설정!$C$11,D245&gt;=설정!$C$12),"긴급",IF(OR(C245&gt;=설정!$C$9,D245&gt;=설정!$C$10,C245&lt;설정!$C$13),"주의","정상")),"확인필요")))</f>
        <v/>
      </c>
      <c r="J245" s="25" t="str">
        <f aca="false">IF(E245="","",IF(E245="-","측정불가",IF(NOT(ISNUMBER(E245)),"확인필요",IF(E245&lt;설정!$C$17,"긴급(저혈당)",IF(E245&gt;=설정!$C$18,"긴급(고혈당)",IF(F245="공복",IF(E245&gt;=설정!$C$15,"주의","정상"),IF(F245="식후",IF(E245&gt;=설정!$C$16,"주의","정상"),"조건확인")))))))</f>
        <v/>
      </c>
      <c r="K245" s="25" t="str">
        <f aca="false">IF(OR(I245="긴급",LEFT(J245,2)="긴급"),"★ 즉시 선생님 호출",IF(OR(I245="주의",J245="주의"),"결과상담에서 확인",IF(J245="조건확인","혈당조건(공복/식후) 선택","")))</f>
        <v/>
      </c>
      <c r="L245" s="25" t="str">
        <f aca="false">IF($B245="","",IF(COUNTIF($B$5:$B$1004,$B245)&gt;1,"중복 입력",""))</f>
        <v/>
      </c>
    </row>
    <row r="246" customFormat="false" ht="1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5" t="str">
        <f aca="false">IF($B246="","",IFERROR(IF(INDEX(명단!$B$5:$B$404,MATCH($B246,명단!$A$5:$A$404,0))="","(이름 미입력)",INDEX(명단!$B$5:$B$404,MATCH($B246,명단!$A$5:$A$404,0))),"번호 없음"))</f>
        <v/>
      </c>
      <c r="I246" s="25" t="str">
        <f aca="false">IF(AND(C246="",D246=""),"",IF(OR(C246="-",D246="-"),"측정불가",IF(AND(ISNUMBER(C246),ISNUMBER(D246)),IF(OR(C246&gt;=설정!$C$11,D246&gt;=설정!$C$12),"긴급",IF(OR(C246&gt;=설정!$C$9,D246&gt;=설정!$C$10,C246&lt;설정!$C$13),"주의","정상")),"확인필요")))</f>
        <v/>
      </c>
      <c r="J246" s="25" t="str">
        <f aca="false">IF(E246="","",IF(E246="-","측정불가",IF(NOT(ISNUMBER(E246)),"확인필요",IF(E246&lt;설정!$C$17,"긴급(저혈당)",IF(E246&gt;=설정!$C$18,"긴급(고혈당)",IF(F246="공복",IF(E246&gt;=설정!$C$15,"주의","정상"),IF(F246="식후",IF(E246&gt;=설정!$C$16,"주의","정상"),"조건확인")))))))</f>
        <v/>
      </c>
      <c r="K246" s="25" t="str">
        <f aca="false">IF(OR(I246="긴급",LEFT(J246,2)="긴급"),"★ 즉시 선생님 호출",IF(OR(I246="주의",J246="주의"),"결과상담에서 확인",IF(J246="조건확인","혈당조건(공복/식후) 선택","")))</f>
        <v/>
      </c>
      <c r="L246" s="25" t="str">
        <f aca="false">IF($B246="","",IF(COUNTIF($B$5:$B$1004,$B246)&gt;1,"중복 입력",""))</f>
        <v/>
      </c>
    </row>
    <row r="247" customFormat="false" ht="1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5" t="str">
        <f aca="false">IF($B247="","",IFERROR(IF(INDEX(명단!$B$5:$B$404,MATCH($B247,명단!$A$5:$A$404,0))="","(이름 미입력)",INDEX(명단!$B$5:$B$404,MATCH($B247,명단!$A$5:$A$404,0))),"번호 없음"))</f>
        <v/>
      </c>
      <c r="I247" s="25" t="str">
        <f aca="false">IF(AND(C247="",D247=""),"",IF(OR(C247="-",D247="-"),"측정불가",IF(AND(ISNUMBER(C247),ISNUMBER(D247)),IF(OR(C247&gt;=설정!$C$11,D247&gt;=설정!$C$12),"긴급",IF(OR(C247&gt;=설정!$C$9,D247&gt;=설정!$C$10,C247&lt;설정!$C$13),"주의","정상")),"확인필요")))</f>
        <v/>
      </c>
      <c r="J247" s="25" t="str">
        <f aca="false">IF(E247="","",IF(E247="-","측정불가",IF(NOT(ISNUMBER(E247)),"확인필요",IF(E247&lt;설정!$C$17,"긴급(저혈당)",IF(E247&gt;=설정!$C$18,"긴급(고혈당)",IF(F247="공복",IF(E247&gt;=설정!$C$15,"주의","정상"),IF(F247="식후",IF(E247&gt;=설정!$C$16,"주의","정상"),"조건확인")))))))</f>
        <v/>
      </c>
      <c r="K247" s="25" t="str">
        <f aca="false">IF(OR(I247="긴급",LEFT(J247,2)="긴급"),"★ 즉시 선생님 호출",IF(OR(I247="주의",J247="주의"),"결과상담에서 확인",IF(J247="조건확인","혈당조건(공복/식후) 선택","")))</f>
        <v/>
      </c>
      <c r="L247" s="25" t="str">
        <f aca="false">IF($B247="","",IF(COUNTIF($B$5:$B$1004,$B247)&gt;1,"중복 입력",""))</f>
        <v/>
      </c>
    </row>
    <row r="248" customFormat="false" ht="1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5" t="str">
        <f aca="false">IF($B248="","",IFERROR(IF(INDEX(명단!$B$5:$B$404,MATCH($B248,명단!$A$5:$A$404,0))="","(이름 미입력)",INDEX(명단!$B$5:$B$404,MATCH($B248,명단!$A$5:$A$404,0))),"번호 없음"))</f>
        <v/>
      </c>
      <c r="I248" s="25" t="str">
        <f aca="false">IF(AND(C248="",D248=""),"",IF(OR(C248="-",D248="-"),"측정불가",IF(AND(ISNUMBER(C248),ISNUMBER(D248)),IF(OR(C248&gt;=설정!$C$11,D248&gt;=설정!$C$12),"긴급",IF(OR(C248&gt;=설정!$C$9,D248&gt;=설정!$C$10,C248&lt;설정!$C$13),"주의","정상")),"확인필요")))</f>
        <v/>
      </c>
      <c r="J248" s="25" t="str">
        <f aca="false">IF(E248="","",IF(E248="-","측정불가",IF(NOT(ISNUMBER(E248)),"확인필요",IF(E248&lt;설정!$C$17,"긴급(저혈당)",IF(E248&gt;=설정!$C$18,"긴급(고혈당)",IF(F248="공복",IF(E248&gt;=설정!$C$15,"주의","정상"),IF(F248="식후",IF(E248&gt;=설정!$C$16,"주의","정상"),"조건확인")))))))</f>
        <v/>
      </c>
      <c r="K248" s="25" t="str">
        <f aca="false">IF(OR(I248="긴급",LEFT(J248,2)="긴급"),"★ 즉시 선생님 호출",IF(OR(I248="주의",J248="주의"),"결과상담에서 확인",IF(J248="조건확인","혈당조건(공복/식후) 선택","")))</f>
        <v/>
      </c>
      <c r="L248" s="25" t="str">
        <f aca="false">IF($B248="","",IF(COUNTIF($B$5:$B$1004,$B248)&gt;1,"중복 입력",""))</f>
        <v/>
      </c>
    </row>
    <row r="249" customFormat="false" ht="1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5" t="str">
        <f aca="false">IF($B249="","",IFERROR(IF(INDEX(명단!$B$5:$B$404,MATCH($B249,명단!$A$5:$A$404,0))="","(이름 미입력)",INDEX(명단!$B$5:$B$404,MATCH($B249,명단!$A$5:$A$404,0))),"번호 없음"))</f>
        <v/>
      </c>
      <c r="I249" s="25" t="str">
        <f aca="false">IF(AND(C249="",D249=""),"",IF(OR(C249="-",D249="-"),"측정불가",IF(AND(ISNUMBER(C249),ISNUMBER(D249)),IF(OR(C249&gt;=설정!$C$11,D249&gt;=설정!$C$12),"긴급",IF(OR(C249&gt;=설정!$C$9,D249&gt;=설정!$C$10,C249&lt;설정!$C$13),"주의","정상")),"확인필요")))</f>
        <v/>
      </c>
      <c r="J249" s="25" t="str">
        <f aca="false">IF(E249="","",IF(E249="-","측정불가",IF(NOT(ISNUMBER(E249)),"확인필요",IF(E249&lt;설정!$C$17,"긴급(저혈당)",IF(E249&gt;=설정!$C$18,"긴급(고혈당)",IF(F249="공복",IF(E249&gt;=설정!$C$15,"주의","정상"),IF(F249="식후",IF(E249&gt;=설정!$C$16,"주의","정상"),"조건확인")))))))</f>
        <v/>
      </c>
      <c r="K249" s="25" t="str">
        <f aca="false">IF(OR(I249="긴급",LEFT(J249,2)="긴급"),"★ 즉시 선생님 호출",IF(OR(I249="주의",J249="주의"),"결과상담에서 확인",IF(J249="조건확인","혈당조건(공복/식후) 선택","")))</f>
        <v/>
      </c>
      <c r="L249" s="25" t="str">
        <f aca="false">IF($B249="","",IF(COUNTIF($B$5:$B$1004,$B249)&gt;1,"중복 입력",""))</f>
        <v/>
      </c>
    </row>
    <row r="250" customFormat="false" ht="1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5" t="str">
        <f aca="false">IF($B250="","",IFERROR(IF(INDEX(명단!$B$5:$B$404,MATCH($B250,명단!$A$5:$A$404,0))="","(이름 미입력)",INDEX(명단!$B$5:$B$404,MATCH($B250,명단!$A$5:$A$404,0))),"번호 없음"))</f>
        <v/>
      </c>
      <c r="I250" s="25" t="str">
        <f aca="false">IF(AND(C250="",D250=""),"",IF(OR(C250="-",D250="-"),"측정불가",IF(AND(ISNUMBER(C250),ISNUMBER(D250)),IF(OR(C250&gt;=설정!$C$11,D250&gt;=설정!$C$12),"긴급",IF(OR(C250&gt;=설정!$C$9,D250&gt;=설정!$C$10,C250&lt;설정!$C$13),"주의","정상")),"확인필요")))</f>
        <v/>
      </c>
      <c r="J250" s="25" t="str">
        <f aca="false">IF(E250="","",IF(E250="-","측정불가",IF(NOT(ISNUMBER(E250)),"확인필요",IF(E250&lt;설정!$C$17,"긴급(저혈당)",IF(E250&gt;=설정!$C$18,"긴급(고혈당)",IF(F250="공복",IF(E250&gt;=설정!$C$15,"주의","정상"),IF(F250="식후",IF(E250&gt;=설정!$C$16,"주의","정상"),"조건확인")))))))</f>
        <v/>
      </c>
      <c r="K250" s="25" t="str">
        <f aca="false">IF(OR(I250="긴급",LEFT(J250,2)="긴급"),"★ 즉시 선생님 호출",IF(OR(I250="주의",J250="주의"),"결과상담에서 확인",IF(J250="조건확인","혈당조건(공복/식후) 선택","")))</f>
        <v/>
      </c>
      <c r="L250" s="25" t="str">
        <f aca="false">IF($B250="","",IF(COUNTIF($B$5:$B$1004,$B250)&gt;1,"중복 입력",""))</f>
        <v/>
      </c>
    </row>
    <row r="251" customFormat="false" ht="1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5" t="str">
        <f aca="false">IF($B251="","",IFERROR(IF(INDEX(명단!$B$5:$B$404,MATCH($B251,명단!$A$5:$A$404,0))="","(이름 미입력)",INDEX(명단!$B$5:$B$404,MATCH($B251,명단!$A$5:$A$404,0))),"번호 없음"))</f>
        <v/>
      </c>
      <c r="I251" s="25" t="str">
        <f aca="false">IF(AND(C251="",D251=""),"",IF(OR(C251="-",D251="-"),"측정불가",IF(AND(ISNUMBER(C251),ISNUMBER(D251)),IF(OR(C251&gt;=설정!$C$11,D251&gt;=설정!$C$12),"긴급",IF(OR(C251&gt;=설정!$C$9,D251&gt;=설정!$C$10,C251&lt;설정!$C$13),"주의","정상")),"확인필요")))</f>
        <v/>
      </c>
      <c r="J251" s="25" t="str">
        <f aca="false">IF(E251="","",IF(E251="-","측정불가",IF(NOT(ISNUMBER(E251)),"확인필요",IF(E251&lt;설정!$C$17,"긴급(저혈당)",IF(E251&gt;=설정!$C$18,"긴급(고혈당)",IF(F251="공복",IF(E251&gt;=설정!$C$15,"주의","정상"),IF(F251="식후",IF(E251&gt;=설정!$C$16,"주의","정상"),"조건확인")))))))</f>
        <v/>
      </c>
      <c r="K251" s="25" t="str">
        <f aca="false">IF(OR(I251="긴급",LEFT(J251,2)="긴급"),"★ 즉시 선생님 호출",IF(OR(I251="주의",J251="주의"),"결과상담에서 확인",IF(J251="조건확인","혈당조건(공복/식후) 선택","")))</f>
        <v/>
      </c>
      <c r="L251" s="25" t="str">
        <f aca="false">IF($B251="","",IF(COUNTIF($B$5:$B$1004,$B251)&gt;1,"중복 입력",""))</f>
        <v/>
      </c>
    </row>
    <row r="252" customFormat="false" ht="1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5" t="str">
        <f aca="false">IF($B252="","",IFERROR(IF(INDEX(명단!$B$5:$B$404,MATCH($B252,명단!$A$5:$A$404,0))="","(이름 미입력)",INDEX(명단!$B$5:$B$404,MATCH($B252,명단!$A$5:$A$404,0))),"번호 없음"))</f>
        <v/>
      </c>
      <c r="I252" s="25" t="str">
        <f aca="false">IF(AND(C252="",D252=""),"",IF(OR(C252="-",D252="-"),"측정불가",IF(AND(ISNUMBER(C252),ISNUMBER(D252)),IF(OR(C252&gt;=설정!$C$11,D252&gt;=설정!$C$12),"긴급",IF(OR(C252&gt;=설정!$C$9,D252&gt;=설정!$C$10,C252&lt;설정!$C$13),"주의","정상")),"확인필요")))</f>
        <v/>
      </c>
      <c r="J252" s="25" t="str">
        <f aca="false">IF(E252="","",IF(E252="-","측정불가",IF(NOT(ISNUMBER(E252)),"확인필요",IF(E252&lt;설정!$C$17,"긴급(저혈당)",IF(E252&gt;=설정!$C$18,"긴급(고혈당)",IF(F252="공복",IF(E252&gt;=설정!$C$15,"주의","정상"),IF(F252="식후",IF(E252&gt;=설정!$C$16,"주의","정상"),"조건확인")))))))</f>
        <v/>
      </c>
      <c r="K252" s="25" t="str">
        <f aca="false">IF(OR(I252="긴급",LEFT(J252,2)="긴급"),"★ 즉시 선생님 호출",IF(OR(I252="주의",J252="주의"),"결과상담에서 확인",IF(J252="조건확인","혈당조건(공복/식후) 선택","")))</f>
        <v/>
      </c>
      <c r="L252" s="25" t="str">
        <f aca="false">IF($B252="","",IF(COUNTIF($B$5:$B$1004,$B252)&gt;1,"중복 입력",""))</f>
        <v/>
      </c>
    </row>
    <row r="253" customFormat="false" ht="1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5" t="str">
        <f aca="false">IF($B253="","",IFERROR(IF(INDEX(명단!$B$5:$B$404,MATCH($B253,명단!$A$5:$A$404,0))="","(이름 미입력)",INDEX(명단!$B$5:$B$404,MATCH($B253,명단!$A$5:$A$404,0))),"번호 없음"))</f>
        <v/>
      </c>
      <c r="I253" s="25" t="str">
        <f aca="false">IF(AND(C253="",D253=""),"",IF(OR(C253="-",D253="-"),"측정불가",IF(AND(ISNUMBER(C253),ISNUMBER(D253)),IF(OR(C253&gt;=설정!$C$11,D253&gt;=설정!$C$12),"긴급",IF(OR(C253&gt;=설정!$C$9,D253&gt;=설정!$C$10,C253&lt;설정!$C$13),"주의","정상")),"확인필요")))</f>
        <v/>
      </c>
      <c r="J253" s="25" t="str">
        <f aca="false">IF(E253="","",IF(E253="-","측정불가",IF(NOT(ISNUMBER(E253)),"확인필요",IF(E253&lt;설정!$C$17,"긴급(저혈당)",IF(E253&gt;=설정!$C$18,"긴급(고혈당)",IF(F253="공복",IF(E253&gt;=설정!$C$15,"주의","정상"),IF(F253="식후",IF(E253&gt;=설정!$C$16,"주의","정상"),"조건확인")))))))</f>
        <v/>
      </c>
      <c r="K253" s="25" t="str">
        <f aca="false">IF(OR(I253="긴급",LEFT(J253,2)="긴급"),"★ 즉시 선생님 호출",IF(OR(I253="주의",J253="주의"),"결과상담에서 확인",IF(J253="조건확인","혈당조건(공복/식후) 선택","")))</f>
        <v/>
      </c>
      <c r="L253" s="25" t="str">
        <f aca="false">IF($B253="","",IF(COUNTIF($B$5:$B$1004,$B253)&gt;1,"중복 입력",""))</f>
        <v/>
      </c>
    </row>
    <row r="254" customFormat="false" ht="1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5" t="str">
        <f aca="false">IF($B254="","",IFERROR(IF(INDEX(명단!$B$5:$B$404,MATCH($B254,명단!$A$5:$A$404,0))="","(이름 미입력)",INDEX(명단!$B$5:$B$404,MATCH($B254,명단!$A$5:$A$404,0))),"번호 없음"))</f>
        <v/>
      </c>
      <c r="I254" s="25" t="str">
        <f aca="false">IF(AND(C254="",D254=""),"",IF(OR(C254="-",D254="-"),"측정불가",IF(AND(ISNUMBER(C254),ISNUMBER(D254)),IF(OR(C254&gt;=설정!$C$11,D254&gt;=설정!$C$12),"긴급",IF(OR(C254&gt;=설정!$C$9,D254&gt;=설정!$C$10,C254&lt;설정!$C$13),"주의","정상")),"확인필요")))</f>
        <v/>
      </c>
      <c r="J254" s="25" t="str">
        <f aca="false">IF(E254="","",IF(E254="-","측정불가",IF(NOT(ISNUMBER(E254)),"확인필요",IF(E254&lt;설정!$C$17,"긴급(저혈당)",IF(E254&gt;=설정!$C$18,"긴급(고혈당)",IF(F254="공복",IF(E254&gt;=설정!$C$15,"주의","정상"),IF(F254="식후",IF(E254&gt;=설정!$C$16,"주의","정상"),"조건확인")))))))</f>
        <v/>
      </c>
      <c r="K254" s="25" t="str">
        <f aca="false">IF(OR(I254="긴급",LEFT(J254,2)="긴급"),"★ 즉시 선생님 호출",IF(OR(I254="주의",J254="주의"),"결과상담에서 확인",IF(J254="조건확인","혈당조건(공복/식후) 선택","")))</f>
        <v/>
      </c>
      <c r="L254" s="25" t="str">
        <f aca="false">IF($B254="","",IF(COUNTIF($B$5:$B$1004,$B254)&gt;1,"중복 입력",""))</f>
        <v/>
      </c>
    </row>
    <row r="255" customFormat="false" ht="1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5" t="str">
        <f aca="false">IF($B255="","",IFERROR(IF(INDEX(명단!$B$5:$B$404,MATCH($B255,명단!$A$5:$A$404,0))="","(이름 미입력)",INDEX(명단!$B$5:$B$404,MATCH($B255,명단!$A$5:$A$404,0))),"번호 없음"))</f>
        <v/>
      </c>
      <c r="I255" s="25" t="str">
        <f aca="false">IF(AND(C255="",D255=""),"",IF(OR(C255="-",D255="-"),"측정불가",IF(AND(ISNUMBER(C255),ISNUMBER(D255)),IF(OR(C255&gt;=설정!$C$11,D255&gt;=설정!$C$12),"긴급",IF(OR(C255&gt;=설정!$C$9,D255&gt;=설정!$C$10,C255&lt;설정!$C$13),"주의","정상")),"확인필요")))</f>
        <v/>
      </c>
      <c r="J255" s="25" t="str">
        <f aca="false">IF(E255="","",IF(E255="-","측정불가",IF(NOT(ISNUMBER(E255)),"확인필요",IF(E255&lt;설정!$C$17,"긴급(저혈당)",IF(E255&gt;=설정!$C$18,"긴급(고혈당)",IF(F255="공복",IF(E255&gt;=설정!$C$15,"주의","정상"),IF(F255="식후",IF(E255&gt;=설정!$C$16,"주의","정상"),"조건확인")))))))</f>
        <v/>
      </c>
      <c r="K255" s="25" t="str">
        <f aca="false">IF(OR(I255="긴급",LEFT(J255,2)="긴급"),"★ 즉시 선생님 호출",IF(OR(I255="주의",J255="주의"),"결과상담에서 확인",IF(J255="조건확인","혈당조건(공복/식후) 선택","")))</f>
        <v/>
      </c>
      <c r="L255" s="25" t="str">
        <f aca="false">IF($B255="","",IF(COUNTIF($B$5:$B$1004,$B255)&gt;1,"중복 입력",""))</f>
        <v/>
      </c>
    </row>
    <row r="256" customFormat="false" ht="1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5" t="str">
        <f aca="false">IF($B256="","",IFERROR(IF(INDEX(명단!$B$5:$B$404,MATCH($B256,명단!$A$5:$A$404,0))="","(이름 미입력)",INDEX(명단!$B$5:$B$404,MATCH($B256,명단!$A$5:$A$404,0))),"번호 없음"))</f>
        <v/>
      </c>
      <c r="I256" s="25" t="str">
        <f aca="false">IF(AND(C256="",D256=""),"",IF(OR(C256="-",D256="-"),"측정불가",IF(AND(ISNUMBER(C256),ISNUMBER(D256)),IF(OR(C256&gt;=설정!$C$11,D256&gt;=설정!$C$12),"긴급",IF(OR(C256&gt;=설정!$C$9,D256&gt;=설정!$C$10,C256&lt;설정!$C$13),"주의","정상")),"확인필요")))</f>
        <v/>
      </c>
      <c r="J256" s="25" t="str">
        <f aca="false">IF(E256="","",IF(E256="-","측정불가",IF(NOT(ISNUMBER(E256)),"확인필요",IF(E256&lt;설정!$C$17,"긴급(저혈당)",IF(E256&gt;=설정!$C$18,"긴급(고혈당)",IF(F256="공복",IF(E256&gt;=설정!$C$15,"주의","정상"),IF(F256="식후",IF(E256&gt;=설정!$C$16,"주의","정상"),"조건확인")))))))</f>
        <v/>
      </c>
      <c r="K256" s="25" t="str">
        <f aca="false">IF(OR(I256="긴급",LEFT(J256,2)="긴급"),"★ 즉시 선생님 호출",IF(OR(I256="주의",J256="주의"),"결과상담에서 확인",IF(J256="조건확인","혈당조건(공복/식후) 선택","")))</f>
        <v/>
      </c>
      <c r="L256" s="25" t="str">
        <f aca="false">IF($B256="","",IF(COUNTIF($B$5:$B$1004,$B256)&gt;1,"중복 입력",""))</f>
        <v/>
      </c>
    </row>
    <row r="257" customFormat="false" ht="1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5" t="str">
        <f aca="false">IF($B257="","",IFERROR(IF(INDEX(명단!$B$5:$B$404,MATCH($B257,명단!$A$5:$A$404,0))="","(이름 미입력)",INDEX(명단!$B$5:$B$404,MATCH($B257,명단!$A$5:$A$404,0))),"번호 없음"))</f>
        <v/>
      </c>
      <c r="I257" s="25" t="str">
        <f aca="false">IF(AND(C257="",D257=""),"",IF(OR(C257="-",D257="-"),"측정불가",IF(AND(ISNUMBER(C257),ISNUMBER(D257)),IF(OR(C257&gt;=설정!$C$11,D257&gt;=설정!$C$12),"긴급",IF(OR(C257&gt;=설정!$C$9,D257&gt;=설정!$C$10,C257&lt;설정!$C$13),"주의","정상")),"확인필요")))</f>
        <v/>
      </c>
      <c r="J257" s="25" t="str">
        <f aca="false">IF(E257="","",IF(E257="-","측정불가",IF(NOT(ISNUMBER(E257)),"확인필요",IF(E257&lt;설정!$C$17,"긴급(저혈당)",IF(E257&gt;=설정!$C$18,"긴급(고혈당)",IF(F257="공복",IF(E257&gt;=설정!$C$15,"주의","정상"),IF(F257="식후",IF(E257&gt;=설정!$C$16,"주의","정상"),"조건확인")))))))</f>
        <v/>
      </c>
      <c r="K257" s="25" t="str">
        <f aca="false">IF(OR(I257="긴급",LEFT(J257,2)="긴급"),"★ 즉시 선생님 호출",IF(OR(I257="주의",J257="주의"),"결과상담에서 확인",IF(J257="조건확인","혈당조건(공복/식후) 선택","")))</f>
        <v/>
      </c>
      <c r="L257" s="25" t="str">
        <f aca="false">IF($B257="","",IF(COUNTIF($B$5:$B$1004,$B257)&gt;1,"중복 입력",""))</f>
        <v/>
      </c>
    </row>
    <row r="258" customFormat="false" ht="1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5" t="str">
        <f aca="false">IF($B258="","",IFERROR(IF(INDEX(명단!$B$5:$B$404,MATCH($B258,명단!$A$5:$A$404,0))="","(이름 미입력)",INDEX(명단!$B$5:$B$404,MATCH($B258,명단!$A$5:$A$404,0))),"번호 없음"))</f>
        <v/>
      </c>
      <c r="I258" s="25" t="str">
        <f aca="false">IF(AND(C258="",D258=""),"",IF(OR(C258="-",D258="-"),"측정불가",IF(AND(ISNUMBER(C258),ISNUMBER(D258)),IF(OR(C258&gt;=설정!$C$11,D258&gt;=설정!$C$12),"긴급",IF(OR(C258&gt;=설정!$C$9,D258&gt;=설정!$C$10,C258&lt;설정!$C$13),"주의","정상")),"확인필요")))</f>
        <v/>
      </c>
      <c r="J258" s="25" t="str">
        <f aca="false">IF(E258="","",IF(E258="-","측정불가",IF(NOT(ISNUMBER(E258)),"확인필요",IF(E258&lt;설정!$C$17,"긴급(저혈당)",IF(E258&gt;=설정!$C$18,"긴급(고혈당)",IF(F258="공복",IF(E258&gt;=설정!$C$15,"주의","정상"),IF(F258="식후",IF(E258&gt;=설정!$C$16,"주의","정상"),"조건확인")))))))</f>
        <v/>
      </c>
      <c r="K258" s="25" t="str">
        <f aca="false">IF(OR(I258="긴급",LEFT(J258,2)="긴급"),"★ 즉시 선생님 호출",IF(OR(I258="주의",J258="주의"),"결과상담에서 확인",IF(J258="조건확인","혈당조건(공복/식후) 선택","")))</f>
        <v/>
      </c>
      <c r="L258" s="25" t="str">
        <f aca="false">IF($B258="","",IF(COUNTIF($B$5:$B$1004,$B258)&gt;1,"중복 입력",""))</f>
        <v/>
      </c>
    </row>
    <row r="259" customFormat="false" ht="1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5" t="str">
        <f aca="false">IF($B259="","",IFERROR(IF(INDEX(명단!$B$5:$B$404,MATCH($B259,명단!$A$5:$A$404,0))="","(이름 미입력)",INDEX(명단!$B$5:$B$404,MATCH($B259,명단!$A$5:$A$404,0))),"번호 없음"))</f>
        <v/>
      </c>
      <c r="I259" s="25" t="str">
        <f aca="false">IF(AND(C259="",D259=""),"",IF(OR(C259="-",D259="-"),"측정불가",IF(AND(ISNUMBER(C259),ISNUMBER(D259)),IF(OR(C259&gt;=설정!$C$11,D259&gt;=설정!$C$12),"긴급",IF(OR(C259&gt;=설정!$C$9,D259&gt;=설정!$C$10,C259&lt;설정!$C$13),"주의","정상")),"확인필요")))</f>
        <v/>
      </c>
      <c r="J259" s="25" t="str">
        <f aca="false">IF(E259="","",IF(E259="-","측정불가",IF(NOT(ISNUMBER(E259)),"확인필요",IF(E259&lt;설정!$C$17,"긴급(저혈당)",IF(E259&gt;=설정!$C$18,"긴급(고혈당)",IF(F259="공복",IF(E259&gt;=설정!$C$15,"주의","정상"),IF(F259="식후",IF(E259&gt;=설정!$C$16,"주의","정상"),"조건확인")))))))</f>
        <v/>
      </c>
      <c r="K259" s="25" t="str">
        <f aca="false">IF(OR(I259="긴급",LEFT(J259,2)="긴급"),"★ 즉시 선생님 호출",IF(OR(I259="주의",J259="주의"),"결과상담에서 확인",IF(J259="조건확인","혈당조건(공복/식후) 선택","")))</f>
        <v/>
      </c>
      <c r="L259" s="25" t="str">
        <f aca="false">IF($B259="","",IF(COUNTIF($B$5:$B$1004,$B259)&gt;1,"중복 입력",""))</f>
        <v/>
      </c>
    </row>
    <row r="260" customFormat="false" ht="1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5" t="str">
        <f aca="false">IF($B260="","",IFERROR(IF(INDEX(명단!$B$5:$B$404,MATCH($B260,명단!$A$5:$A$404,0))="","(이름 미입력)",INDEX(명단!$B$5:$B$404,MATCH($B260,명단!$A$5:$A$404,0))),"번호 없음"))</f>
        <v/>
      </c>
      <c r="I260" s="25" t="str">
        <f aca="false">IF(AND(C260="",D260=""),"",IF(OR(C260="-",D260="-"),"측정불가",IF(AND(ISNUMBER(C260),ISNUMBER(D260)),IF(OR(C260&gt;=설정!$C$11,D260&gt;=설정!$C$12),"긴급",IF(OR(C260&gt;=설정!$C$9,D260&gt;=설정!$C$10,C260&lt;설정!$C$13),"주의","정상")),"확인필요")))</f>
        <v/>
      </c>
      <c r="J260" s="25" t="str">
        <f aca="false">IF(E260="","",IF(E260="-","측정불가",IF(NOT(ISNUMBER(E260)),"확인필요",IF(E260&lt;설정!$C$17,"긴급(저혈당)",IF(E260&gt;=설정!$C$18,"긴급(고혈당)",IF(F260="공복",IF(E260&gt;=설정!$C$15,"주의","정상"),IF(F260="식후",IF(E260&gt;=설정!$C$16,"주의","정상"),"조건확인")))))))</f>
        <v/>
      </c>
      <c r="K260" s="25" t="str">
        <f aca="false">IF(OR(I260="긴급",LEFT(J260,2)="긴급"),"★ 즉시 선생님 호출",IF(OR(I260="주의",J260="주의"),"결과상담에서 확인",IF(J260="조건확인","혈당조건(공복/식후) 선택","")))</f>
        <v/>
      </c>
      <c r="L260" s="25" t="str">
        <f aca="false">IF($B260="","",IF(COUNTIF($B$5:$B$1004,$B260)&gt;1,"중복 입력",""))</f>
        <v/>
      </c>
    </row>
    <row r="261" customFormat="false" ht="1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5" t="str">
        <f aca="false">IF($B261="","",IFERROR(IF(INDEX(명단!$B$5:$B$404,MATCH($B261,명단!$A$5:$A$404,0))="","(이름 미입력)",INDEX(명단!$B$5:$B$404,MATCH($B261,명단!$A$5:$A$404,0))),"번호 없음"))</f>
        <v/>
      </c>
      <c r="I261" s="25" t="str">
        <f aca="false">IF(AND(C261="",D261=""),"",IF(OR(C261="-",D261="-"),"측정불가",IF(AND(ISNUMBER(C261),ISNUMBER(D261)),IF(OR(C261&gt;=설정!$C$11,D261&gt;=설정!$C$12),"긴급",IF(OR(C261&gt;=설정!$C$9,D261&gt;=설정!$C$10,C261&lt;설정!$C$13),"주의","정상")),"확인필요")))</f>
        <v/>
      </c>
      <c r="J261" s="25" t="str">
        <f aca="false">IF(E261="","",IF(E261="-","측정불가",IF(NOT(ISNUMBER(E261)),"확인필요",IF(E261&lt;설정!$C$17,"긴급(저혈당)",IF(E261&gt;=설정!$C$18,"긴급(고혈당)",IF(F261="공복",IF(E261&gt;=설정!$C$15,"주의","정상"),IF(F261="식후",IF(E261&gt;=설정!$C$16,"주의","정상"),"조건확인")))))))</f>
        <v/>
      </c>
      <c r="K261" s="25" t="str">
        <f aca="false">IF(OR(I261="긴급",LEFT(J261,2)="긴급"),"★ 즉시 선생님 호출",IF(OR(I261="주의",J261="주의"),"결과상담에서 확인",IF(J261="조건확인","혈당조건(공복/식후) 선택","")))</f>
        <v/>
      </c>
      <c r="L261" s="25" t="str">
        <f aca="false">IF($B261="","",IF(COUNTIF($B$5:$B$1004,$B261)&gt;1,"중복 입력",""))</f>
        <v/>
      </c>
    </row>
    <row r="262" customFormat="false" ht="1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5" t="str">
        <f aca="false">IF($B262="","",IFERROR(IF(INDEX(명단!$B$5:$B$404,MATCH($B262,명단!$A$5:$A$404,0))="","(이름 미입력)",INDEX(명단!$B$5:$B$404,MATCH($B262,명단!$A$5:$A$404,0))),"번호 없음"))</f>
        <v/>
      </c>
      <c r="I262" s="25" t="str">
        <f aca="false">IF(AND(C262="",D262=""),"",IF(OR(C262="-",D262="-"),"측정불가",IF(AND(ISNUMBER(C262),ISNUMBER(D262)),IF(OR(C262&gt;=설정!$C$11,D262&gt;=설정!$C$12),"긴급",IF(OR(C262&gt;=설정!$C$9,D262&gt;=설정!$C$10,C262&lt;설정!$C$13),"주의","정상")),"확인필요")))</f>
        <v/>
      </c>
      <c r="J262" s="25" t="str">
        <f aca="false">IF(E262="","",IF(E262="-","측정불가",IF(NOT(ISNUMBER(E262)),"확인필요",IF(E262&lt;설정!$C$17,"긴급(저혈당)",IF(E262&gt;=설정!$C$18,"긴급(고혈당)",IF(F262="공복",IF(E262&gt;=설정!$C$15,"주의","정상"),IF(F262="식후",IF(E262&gt;=설정!$C$16,"주의","정상"),"조건확인")))))))</f>
        <v/>
      </c>
      <c r="K262" s="25" t="str">
        <f aca="false">IF(OR(I262="긴급",LEFT(J262,2)="긴급"),"★ 즉시 선생님 호출",IF(OR(I262="주의",J262="주의"),"결과상담에서 확인",IF(J262="조건확인","혈당조건(공복/식후) 선택","")))</f>
        <v/>
      </c>
      <c r="L262" s="25" t="str">
        <f aca="false">IF($B262="","",IF(COUNTIF($B$5:$B$1004,$B262)&gt;1,"중복 입력",""))</f>
        <v/>
      </c>
    </row>
    <row r="263" customFormat="false" ht="1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5" t="str">
        <f aca="false">IF($B263="","",IFERROR(IF(INDEX(명단!$B$5:$B$404,MATCH($B263,명단!$A$5:$A$404,0))="","(이름 미입력)",INDEX(명단!$B$5:$B$404,MATCH($B263,명단!$A$5:$A$404,0))),"번호 없음"))</f>
        <v/>
      </c>
      <c r="I263" s="25" t="str">
        <f aca="false">IF(AND(C263="",D263=""),"",IF(OR(C263="-",D263="-"),"측정불가",IF(AND(ISNUMBER(C263),ISNUMBER(D263)),IF(OR(C263&gt;=설정!$C$11,D263&gt;=설정!$C$12),"긴급",IF(OR(C263&gt;=설정!$C$9,D263&gt;=설정!$C$10,C263&lt;설정!$C$13),"주의","정상")),"확인필요")))</f>
        <v/>
      </c>
      <c r="J263" s="25" t="str">
        <f aca="false">IF(E263="","",IF(E263="-","측정불가",IF(NOT(ISNUMBER(E263)),"확인필요",IF(E263&lt;설정!$C$17,"긴급(저혈당)",IF(E263&gt;=설정!$C$18,"긴급(고혈당)",IF(F263="공복",IF(E263&gt;=설정!$C$15,"주의","정상"),IF(F263="식후",IF(E263&gt;=설정!$C$16,"주의","정상"),"조건확인")))))))</f>
        <v/>
      </c>
      <c r="K263" s="25" t="str">
        <f aca="false">IF(OR(I263="긴급",LEFT(J263,2)="긴급"),"★ 즉시 선생님 호출",IF(OR(I263="주의",J263="주의"),"결과상담에서 확인",IF(J263="조건확인","혈당조건(공복/식후) 선택","")))</f>
        <v/>
      </c>
      <c r="L263" s="25" t="str">
        <f aca="false">IF($B263="","",IF(COUNTIF($B$5:$B$1004,$B263)&gt;1,"중복 입력",""))</f>
        <v/>
      </c>
    </row>
    <row r="264" customFormat="false" ht="1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5" t="str">
        <f aca="false">IF($B264="","",IFERROR(IF(INDEX(명단!$B$5:$B$404,MATCH($B264,명단!$A$5:$A$404,0))="","(이름 미입력)",INDEX(명단!$B$5:$B$404,MATCH($B264,명단!$A$5:$A$404,0))),"번호 없음"))</f>
        <v/>
      </c>
      <c r="I264" s="25" t="str">
        <f aca="false">IF(AND(C264="",D264=""),"",IF(OR(C264="-",D264="-"),"측정불가",IF(AND(ISNUMBER(C264),ISNUMBER(D264)),IF(OR(C264&gt;=설정!$C$11,D264&gt;=설정!$C$12),"긴급",IF(OR(C264&gt;=설정!$C$9,D264&gt;=설정!$C$10,C264&lt;설정!$C$13),"주의","정상")),"확인필요")))</f>
        <v/>
      </c>
      <c r="J264" s="25" t="str">
        <f aca="false">IF(E264="","",IF(E264="-","측정불가",IF(NOT(ISNUMBER(E264)),"확인필요",IF(E264&lt;설정!$C$17,"긴급(저혈당)",IF(E264&gt;=설정!$C$18,"긴급(고혈당)",IF(F264="공복",IF(E264&gt;=설정!$C$15,"주의","정상"),IF(F264="식후",IF(E264&gt;=설정!$C$16,"주의","정상"),"조건확인")))))))</f>
        <v/>
      </c>
      <c r="K264" s="25" t="str">
        <f aca="false">IF(OR(I264="긴급",LEFT(J264,2)="긴급"),"★ 즉시 선생님 호출",IF(OR(I264="주의",J264="주의"),"결과상담에서 확인",IF(J264="조건확인","혈당조건(공복/식후) 선택","")))</f>
        <v/>
      </c>
      <c r="L264" s="25" t="str">
        <f aca="false">IF($B264="","",IF(COUNTIF($B$5:$B$1004,$B264)&gt;1,"중복 입력",""))</f>
        <v/>
      </c>
    </row>
    <row r="265" customFormat="false" ht="1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5" t="str">
        <f aca="false">IF($B265="","",IFERROR(IF(INDEX(명단!$B$5:$B$404,MATCH($B265,명단!$A$5:$A$404,0))="","(이름 미입력)",INDEX(명단!$B$5:$B$404,MATCH($B265,명단!$A$5:$A$404,0))),"번호 없음"))</f>
        <v/>
      </c>
      <c r="I265" s="25" t="str">
        <f aca="false">IF(AND(C265="",D265=""),"",IF(OR(C265="-",D265="-"),"측정불가",IF(AND(ISNUMBER(C265),ISNUMBER(D265)),IF(OR(C265&gt;=설정!$C$11,D265&gt;=설정!$C$12),"긴급",IF(OR(C265&gt;=설정!$C$9,D265&gt;=설정!$C$10,C265&lt;설정!$C$13),"주의","정상")),"확인필요")))</f>
        <v/>
      </c>
      <c r="J265" s="25" t="str">
        <f aca="false">IF(E265="","",IF(E265="-","측정불가",IF(NOT(ISNUMBER(E265)),"확인필요",IF(E265&lt;설정!$C$17,"긴급(저혈당)",IF(E265&gt;=설정!$C$18,"긴급(고혈당)",IF(F265="공복",IF(E265&gt;=설정!$C$15,"주의","정상"),IF(F265="식후",IF(E265&gt;=설정!$C$16,"주의","정상"),"조건확인")))))))</f>
        <v/>
      </c>
      <c r="K265" s="25" t="str">
        <f aca="false">IF(OR(I265="긴급",LEFT(J265,2)="긴급"),"★ 즉시 선생님 호출",IF(OR(I265="주의",J265="주의"),"결과상담에서 확인",IF(J265="조건확인","혈당조건(공복/식후) 선택","")))</f>
        <v/>
      </c>
      <c r="L265" s="25" t="str">
        <f aca="false">IF($B265="","",IF(COUNTIF($B$5:$B$1004,$B265)&gt;1,"중복 입력",""))</f>
        <v/>
      </c>
    </row>
    <row r="266" customFormat="false" ht="1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5" t="str">
        <f aca="false">IF($B266="","",IFERROR(IF(INDEX(명단!$B$5:$B$404,MATCH($B266,명단!$A$5:$A$404,0))="","(이름 미입력)",INDEX(명단!$B$5:$B$404,MATCH($B266,명단!$A$5:$A$404,0))),"번호 없음"))</f>
        <v/>
      </c>
      <c r="I266" s="25" t="str">
        <f aca="false">IF(AND(C266="",D266=""),"",IF(OR(C266="-",D266="-"),"측정불가",IF(AND(ISNUMBER(C266),ISNUMBER(D266)),IF(OR(C266&gt;=설정!$C$11,D266&gt;=설정!$C$12),"긴급",IF(OR(C266&gt;=설정!$C$9,D266&gt;=설정!$C$10,C266&lt;설정!$C$13),"주의","정상")),"확인필요")))</f>
        <v/>
      </c>
      <c r="J266" s="25" t="str">
        <f aca="false">IF(E266="","",IF(E266="-","측정불가",IF(NOT(ISNUMBER(E266)),"확인필요",IF(E266&lt;설정!$C$17,"긴급(저혈당)",IF(E266&gt;=설정!$C$18,"긴급(고혈당)",IF(F266="공복",IF(E266&gt;=설정!$C$15,"주의","정상"),IF(F266="식후",IF(E266&gt;=설정!$C$16,"주의","정상"),"조건확인")))))))</f>
        <v/>
      </c>
      <c r="K266" s="25" t="str">
        <f aca="false">IF(OR(I266="긴급",LEFT(J266,2)="긴급"),"★ 즉시 선생님 호출",IF(OR(I266="주의",J266="주의"),"결과상담에서 확인",IF(J266="조건확인","혈당조건(공복/식후) 선택","")))</f>
        <v/>
      </c>
      <c r="L266" s="25" t="str">
        <f aca="false">IF($B266="","",IF(COUNTIF($B$5:$B$1004,$B266)&gt;1,"중복 입력",""))</f>
        <v/>
      </c>
    </row>
    <row r="267" customFormat="false" ht="1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5" t="str">
        <f aca="false">IF($B267="","",IFERROR(IF(INDEX(명단!$B$5:$B$404,MATCH($B267,명단!$A$5:$A$404,0))="","(이름 미입력)",INDEX(명단!$B$5:$B$404,MATCH($B267,명단!$A$5:$A$404,0))),"번호 없음"))</f>
        <v/>
      </c>
      <c r="I267" s="25" t="str">
        <f aca="false">IF(AND(C267="",D267=""),"",IF(OR(C267="-",D267="-"),"측정불가",IF(AND(ISNUMBER(C267),ISNUMBER(D267)),IF(OR(C267&gt;=설정!$C$11,D267&gt;=설정!$C$12),"긴급",IF(OR(C267&gt;=설정!$C$9,D267&gt;=설정!$C$10,C267&lt;설정!$C$13),"주의","정상")),"확인필요")))</f>
        <v/>
      </c>
      <c r="J267" s="25" t="str">
        <f aca="false">IF(E267="","",IF(E267="-","측정불가",IF(NOT(ISNUMBER(E267)),"확인필요",IF(E267&lt;설정!$C$17,"긴급(저혈당)",IF(E267&gt;=설정!$C$18,"긴급(고혈당)",IF(F267="공복",IF(E267&gt;=설정!$C$15,"주의","정상"),IF(F267="식후",IF(E267&gt;=설정!$C$16,"주의","정상"),"조건확인")))))))</f>
        <v/>
      </c>
      <c r="K267" s="25" t="str">
        <f aca="false">IF(OR(I267="긴급",LEFT(J267,2)="긴급"),"★ 즉시 선생님 호출",IF(OR(I267="주의",J267="주의"),"결과상담에서 확인",IF(J267="조건확인","혈당조건(공복/식후) 선택","")))</f>
        <v/>
      </c>
      <c r="L267" s="25" t="str">
        <f aca="false">IF($B267="","",IF(COUNTIF($B$5:$B$1004,$B267)&gt;1,"중복 입력",""))</f>
        <v/>
      </c>
    </row>
    <row r="268" customFormat="false" ht="1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5" t="str">
        <f aca="false">IF($B268="","",IFERROR(IF(INDEX(명단!$B$5:$B$404,MATCH($B268,명단!$A$5:$A$404,0))="","(이름 미입력)",INDEX(명단!$B$5:$B$404,MATCH($B268,명단!$A$5:$A$404,0))),"번호 없음"))</f>
        <v/>
      </c>
      <c r="I268" s="25" t="str">
        <f aca="false">IF(AND(C268="",D268=""),"",IF(OR(C268="-",D268="-"),"측정불가",IF(AND(ISNUMBER(C268),ISNUMBER(D268)),IF(OR(C268&gt;=설정!$C$11,D268&gt;=설정!$C$12),"긴급",IF(OR(C268&gt;=설정!$C$9,D268&gt;=설정!$C$10,C268&lt;설정!$C$13),"주의","정상")),"확인필요")))</f>
        <v/>
      </c>
      <c r="J268" s="25" t="str">
        <f aca="false">IF(E268="","",IF(E268="-","측정불가",IF(NOT(ISNUMBER(E268)),"확인필요",IF(E268&lt;설정!$C$17,"긴급(저혈당)",IF(E268&gt;=설정!$C$18,"긴급(고혈당)",IF(F268="공복",IF(E268&gt;=설정!$C$15,"주의","정상"),IF(F268="식후",IF(E268&gt;=설정!$C$16,"주의","정상"),"조건확인")))))))</f>
        <v/>
      </c>
      <c r="K268" s="25" t="str">
        <f aca="false">IF(OR(I268="긴급",LEFT(J268,2)="긴급"),"★ 즉시 선생님 호출",IF(OR(I268="주의",J268="주의"),"결과상담에서 확인",IF(J268="조건확인","혈당조건(공복/식후) 선택","")))</f>
        <v/>
      </c>
      <c r="L268" s="25" t="str">
        <f aca="false">IF($B268="","",IF(COUNTIF($B$5:$B$1004,$B268)&gt;1,"중복 입력",""))</f>
        <v/>
      </c>
    </row>
    <row r="269" customFormat="false" ht="1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5" t="str">
        <f aca="false">IF($B269="","",IFERROR(IF(INDEX(명단!$B$5:$B$404,MATCH($B269,명단!$A$5:$A$404,0))="","(이름 미입력)",INDEX(명단!$B$5:$B$404,MATCH($B269,명단!$A$5:$A$404,0))),"번호 없음"))</f>
        <v/>
      </c>
      <c r="I269" s="25" t="str">
        <f aca="false">IF(AND(C269="",D269=""),"",IF(OR(C269="-",D269="-"),"측정불가",IF(AND(ISNUMBER(C269),ISNUMBER(D269)),IF(OR(C269&gt;=설정!$C$11,D269&gt;=설정!$C$12),"긴급",IF(OR(C269&gt;=설정!$C$9,D269&gt;=설정!$C$10,C269&lt;설정!$C$13),"주의","정상")),"확인필요")))</f>
        <v/>
      </c>
      <c r="J269" s="25" t="str">
        <f aca="false">IF(E269="","",IF(E269="-","측정불가",IF(NOT(ISNUMBER(E269)),"확인필요",IF(E269&lt;설정!$C$17,"긴급(저혈당)",IF(E269&gt;=설정!$C$18,"긴급(고혈당)",IF(F269="공복",IF(E269&gt;=설정!$C$15,"주의","정상"),IF(F269="식후",IF(E269&gt;=설정!$C$16,"주의","정상"),"조건확인")))))))</f>
        <v/>
      </c>
      <c r="K269" s="25" t="str">
        <f aca="false">IF(OR(I269="긴급",LEFT(J269,2)="긴급"),"★ 즉시 선생님 호출",IF(OR(I269="주의",J269="주의"),"결과상담에서 확인",IF(J269="조건확인","혈당조건(공복/식후) 선택","")))</f>
        <v/>
      </c>
      <c r="L269" s="25" t="str">
        <f aca="false">IF($B269="","",IF(COUNTIF($B$5:$B$1004,$B269)&gt;1,"중복 입력",""))</f>
        <v/>
      </c>
    </row>
    <row r="270" customFormat="false" ht="1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5" t="str">
        <f aca="false">IF($B270="","",IFERROR(IF(INDEX(명단!$B$5:$B$404,MATCH($B270,명단!$A$5:$A$404,0))="","(이름 미입력)",INDEX(명단!$B$5:$B$404,MATCH($B270,명단!$A$5:$A$404,0))),"번호 없음"))</f>
        <v/>
      </c>
      <c r="I270" s="25" t="str">
        <f aca="false">IF(AND(C270="",D270=""),"",IF(OR(C270="-",D270="-"),"측정불가",IF(AND(ISNUMBER(C270),ISNUMBER(D270)),IF(OR(C270&gt;=설정!$C$11,D270&gt;=설정!$C$12),"긴급",IF(OR(C270&gt;=설정!$C$9,D270&gt;=설정!$C$10,C270&lt;설정!$C$13),"주의","정상")),"확인필요")))</f>
        <v/>
      </c>
      <c r="J270" s="25" t="str">
        <f aca="false">IF(E270="","",IF(E270="-","측정불가",IF(NOT(ISNUMBER(E270)),"확인필요",IF(E270&lt;설정!$C$17,"긴급(저혈당)",IF(E270&gt;=설정!$C$18,"긴급(고혈당)",IF(F270="공복",IF(E270&gt;=설정!$C$15,"주의","정상"),IF(F270="식후",IF(E270&gt;=설정!$C$16,"주의","정상"),"조건확인")))))))</f>
        <v/>
      </c>
      <c r="K270" s="25" t="str">
        <f aca="false">IF(OR(I270="긴급",LEFT(J270,2)="긴급"),"★ 즉시 선생님 호출",IF(OR(I270="주의",J270="주의"),"결과상담에서 확인",IF(J270="조건확인","혈당조건(공복/식후) 선택","")))</f>
        <v/>
      </c>
      <c r="L270" s="25" t="str">
        <f aca="false">IF($B270="","",IF(COUNTIF($B$5:$B$1004,$B270)&gt;1,"중복 입력",""))</f>
        <v/>
      </c>
    </row>
    <row r="271" customFormat="false" ht="1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5" t="str">
        <f aca="false">IF($B271="","",IFERROR(IF(INDEX(명단!$B$5:$B$404,MATCH($B271,명단!$A$5:$A$404,0))="","(이름 미입력)",INDEX(명단!$B$5:$B$404,MATCH($B271,명단!$A$5:$A$404,0))),"번호 없음"))</f>
        <v/>
      </c>
      <c r="I271" s="25" t="str">
        <f aca="false">IF(AND(C271="",D271=""),"",IF(OR(C271="-",D271="-"),"측정불가",IF(AND(ISNUMBER(C271),ISNUMBER(D271)),IF(OR(C271&gt;=설정!$C$11,D271&gt;=설정!$C$12),"긴급",IF(OR(C271&gt;=설정!$C$9,D271&gt;=설정!$C$10,C271&lt;설정!$C$13),"주의","정상")),"확인필요")))</f>
        <v/>
      </c>
      <c r="J271" s="25" t="str">
        <f aca="false">IF(E271="","",IF(E271="-","측정불가",IF(NOT(ISNUMBER(E271)),"확인필요",IF(E271&lt;설정!$C$17,"긴급(저혈당)",IF(E271&gt;=설정!$C$18,"긴급(고혈당)",IF(F271="공복",IF(E271&gt;=설정!$C$15,"주의","정상"),IF(F271="식후",IF(E271&gt;=설정!$C$16,"주의","정상"),"조건확인")))))))</f>
        <v/>
      </c>
      <c r="K271" s="25" t="str">
        <f aca="false">IF(OR(I271="긴급",LEFT(J271,2)="긴급"),"★ 즉시 선생님 호출",IF(OR(I271="주의",J271="주의"),"결과상담에서 확인",IF(J271="조건확인","혈당조건(공복/식후) 선택","")))</f>
        <v/>
      </c>
      <c r="L271" s="25" t="str">
        <f aca="false">IF($B271="","",IF(COUNTIF($B$5:$B$1004,$B271)&gt;1,"중복 입력",""))</f>
        <v/>
      </c>
    </row>
    <row r="272" customFormat="false" ht="1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5" t="str">
        <f aca="false">IF($B272="","",IFERROR(IF(INDEX(명단!$B$5:$B$404,MATCH($B272,명단!$A$5:$A$404,0))="","(이름 미입력)",INDEX(명단!$B$5:$B$404,MATCH($B272,명단!$A$5:$A$404,0))),"번호 없음"))</f>
        <v/>
      </c>
      <c r="I272" s="25" t="str">
        <f aca="false">IF(AND(C272="",D272=""),"",IF(OR(C272="-",D272="-"),"측정불가",IF(AND(ISNUMBER(C272),ISNUMBER(D272)),IF(OR(C272&gt;=설정!$C$11,D272&gt;=설정!$C$12),"긴급",IF(OR(C272&gt;=설정!$C$9,D272&gt;=설정!$C$10,C272&lt;설정!$C$13),"주의","정상")),"확인필요")))</f>
        <v/>
      </c>
      <c r="J272" s="25" t="str">
        <f aca="false">IF(E272="","",IF(E272="-","측정불가",IF(NOT(ISNUMBER(E272)),"확인필요",IF(E272&lt;설정!$C$17,"긴급(저혈당)",IF(E272&gt;=설정!$C$18,"긴급(고혈당)",IF(F272="공복",IF(E272&gt;=설정!$C$15,"주의","정상"),IF(F272="식후",IF(E272&gt;=설정!$C$16,"주의","정상"),"조건확인")))))))</f>
        <v/>
      </c>
      <c r="K272" s="25" t="str">
        <f aca="false">IF(OR(I272="긴급",LEFT(J272,2)="긴급"),"★ 즉시 선생님 호출",IF(OR(I272="주의",J272="주의"),"결과상담에서 확인",IF(J272="조건확인","혈당조건(공복/식후) 선택","")))</f>
        <v/>
      </c>
      <c r="L272" s="25" t="str">
        <f aca="false">IF($B272="","",IF(COUNTIF($B$5:$B$1004,$B272)&gt;1,"중복 입력",""))</f>
        <v/>
      </c>
    </row>
    <row r="273" customFormat="false" ht="1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5" t="str">
        <f aca="false">IF($B273="","",IFERROR(IF(INDEX(명단!$B$5:$B$404,MATCH($B273,명단!$A$5:$A$404,0))="","(이름 미입력)",INDEX(명단!$B$5:$B$404,MATCH($B273,명단!$A$5:$A$404,0))),"번호 없음"))</f>
        <v/>
      </c>
      <c r="I273" s="25" t="str">
        <f aca="false">IF(AND(C273="",D273=""),"",IF(OR(C273="-",D273="-"),"측정불가",IF(AND(ISNUMBER(C273),ISNUMBER(D273)),IF(OR(C273&gt;=설정!$C$11,D273&gt;=설정!$C$12),"긴급",IF(OR(C273&gt;=설정!$C$9,D273&gt;=설정!$C$10,C273&lt;설정!$C$13),"주의","정상")),"확인필요")))</f>
        <v/>
      </c>
      <c r="J273" s="25" t="str">
        <f aca="false">IF(E273="","",IF(E273="-","측정불가",IF(NOT(ISNUMBER(E273)),"확인필요",IF(E273&lt;설정!$C$17,"긴급(저혈당)",IF(E273&gt;=설정!$C$18,"긴급(고혈당)",IF(F273="공복",IF(E273&gt;=설정!$C$15,"주의","정상"),IF(F273="식후",IF(E273&gt;=설정!$C$16,"주의","정상"),"조건확인")))))))</f>
        <v/>
      </c>
      <c r="K273" s="25" t="str">
        <f aca="false">IF(OR(I273="긴급",LEFT(J273,2)="긴급"),"★ 즉시 선생님 호출",IF(OR(I273="주의",J273="주의"),"결과상담에서 확인",IF(J273="조건확인","혈당조건(공복/식후) 선택","")))</f>
        <v/>
      </c>
      <c r="L273" s="25" t="str">
        <f aca="false">IF($B273="","",IF(COUNTIF($B$5:$B$1004,$B273)&gt;1,"중복 입력",""))</f>
        <v/>
      </c>
    </row>
    <row r="274" customFormat="false" ht="1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5" t="str">
        <f aca="false">IF($B274="","",IFERROR(IF(INDEX(명단!$B$5:$B$404,MATCH($B274,명단!$A$5:$A$404,0))="","(이름 미입력)",INDEX(명단!$B$5:$B$404,MATCH($B274,명단!$A$5:$A$404,0))),"번호 없음"))</f>
        <v/>
      </c>
      <c r="I274" s="25" t="str">
        <f aca="false">IF(AND(C274="",D274=""),"",IF(OR(C274="-",D274="-"),"측정불가",IF(AND(ISNUMBER(C274),ISNUMBER(D274)),IF(OR(C274&gt;=설정!$C$11,D274&gt;=설정!$C$12),"긴급",IF(OR(C274&gt;=설정!$C$9,D274&gt;=설정!$C$10,C274&lt;설정!$C$13),"주의","정상")),"확인필요")))</f>
        <v/>
      </c>
      <c r="J274" s="25" t="str">
        <f aca="false">IF(E274="","",IF(E274="-","측정불가",IF(NOT(ISNUMBER(E274)),"확인필요",IF(E274&lt;설정!$C$17,"긴급(저혈당)",IF(E274&gt;=설정!$C$18,"긴급(고혈당)",IF(F274="공복",IF(E274&gt;=설정!$C$15,"주의","정상"),IF(F274="식후",IF(E274&gt;=설정!$C$16,"주의","정상"),"조건확인")))))))</f>
        <v/>
      </c>
      <c r="K274" s="25" t="str">
        <f aca="false">IF(OR(I274="긴급",LEFT(J274,2)="긴급"),"★ 즉시 선생님 호출",IF(OR(I274="주의",J274="주의"),"결과상담에서 확인",IF(J274="조건확인","혈당조건(공복/식후) 선택","")))</f>
        <v/>
      </c>
      <c r="L274" s="25" t="str">
        <f aca="false">IF($B274="","",IF(COUNTIF($B$5:$B$1004,$B274)&gt;1,"중복 입력",""))</f>
        <v/>
      </c>
    </row>
    <row r="275" customFormat="false" ht="1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5" t="str">
        <f aca="false">IF($B275="","",IFERROR(IF(INDEX(명단!$B$5:$B$404,MATCH($B275,명단!$A$5:$A$404,0))="","(이름 미입력)",INDEX(명단!$B$5:$B$404,MATCH($B275,명단!$A$5:$A$404,0))),"번호 없음"))</f>
        <v/>
      </c>
      <c r="I275" s="25" t="str">
        <f aca="false">IF(AND(C275="",D275=""),"",IF(OR(C275="-",D275="-"),"측정불가",IF(AND(ISNUMBER(C275),ISNUMBER(D275)),IF(OR(C275&gt;=설정!$C$11,D275&gt;=설정!$C$12),"긴급",IF(OR(C275&gt;=설정!$C$9,D275&gt;=설정!$C$10,C275&lt;설정!$C$13),"주의","정상")),"확인필요")))</f>
        <v/>
      </c>
      <c r="J275" s="25" t="str">
        <f aca="false">IF(E275="","",IF(E275="-","측정불가",IF(NOT(ISNUMBER(E275)),"확인필요",IF(E275&lt;설정!$C$17,"긴급(저혈당)",IF(E275&gt;=설정!$C$18,"긴급(고혈당)",IF(F275="공복",IF(E275&gt;=설정!$C$15,"주의","정상"),IF(F275="식후",IF(E275&gt;=설정!$C$16,"주의","정상"),"조건확인")))))))</f>
        <v/>
      </c>
      <c r="K275" s="25" t="str">
        <f aca="false">IF(OR(I275="긴급",LEFT(J275,2)="긴급"),"★ 즉시 선생님 호출",IF(OR(I275="주의",J275="주의"),"결과상담에서 확인",IF(J275="조건확인","혈당조건(공복/식후) 선택","")))</f>
        <v/>
      </c>
      <c r="L275" s="25" t="str">
        <f aca="false">IF($B275="","",IF(COUNTIF($B$5:$B$1004,$B275)&gt;1,"중복 입력",""))</f>
        <v/>
      </c>
    </row>
    <row r="276" customFormat="false" ht="1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5" t="str">
        <f aca="false">IF($B276="","",IFERROR(IF(INDEX(명단!$B$5:$B$404,MATCH($B276,명단!$A$5:$A$404,0))="","(이름 미입력)",INDEX(명단!$B$5:$B$404,MATCH($B276,명단!$A$5:$A$404,0))),"번호 없음"))</f>
        <v/>
      </c>
      <c r="I276" s="25" t="str">
        <f aca="false">IF(AND(C276="",D276=""),"",IF(OR(C276="-",D276="-"),"측정불가",IF(AND(ISNUMBER(C276),ISNUMBER(D276)),IF(OR(C276&gt;=설정!$C$11,D276&gt;=설정!$C$12),"긴급",IF(OR(C276&gt;=설정!$C$9,D276&gt;=설정!$C$10,C276&lt;설정!$C$13),"주의","정상")),"확인필요")))</f>
        <v/>
      </c>
      <c r="J276" s="25" t="str">
        <f aca="false">IF(E276="","",IF(E276="-","측정불가",IF(NOT(ISNUMBER(E276)),"확인필요",IF(E276&lt;설정!$C$17,"긴급(저혈당)",IF(E276&gt;=설정!$C$18,"긴급(고혈당)",IF(F276="공복",IF(E276&gt;=설정!$C$15,"주의","정상"),IF(F276="식후",IF(E276&gt;=설정!$C$16,"주의","정상"),"조건확인")))))))</f>
        <v/>
      </c>
      <c r="K276" s="25" t="str">
        <f aca="false">IF(OR(I276="긴급",LEFT(J276,2)="긴급"),"★ 즉시 선생님 호출",IF(OR(I276="주의",J276="주의"),"결과상담에서 확인",IF(J276="조건확인","혈당조건(공복/식후) 선택","")))</f>
        <v/>
      </c>
      <c r="L276" s="25" t="str">
        <f aca="false">IF($B276="","",IF(COUNTIF($B$5:$B$1004,$B276)&gt;1,"중복 입력",""))</f>
        <v/>
      </c>
    </row>
    <row r="277" customFormat="false" ht="1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5" t="str">
        <f aca="false">IF($B277="","",IFERROR(IF(INDEX(명단!$B$5:$B$404,MATCH($B277,명단!$A$5:$A$404,0))="","(이름 미입력)",INDEX(명단!$B$5:$B$404,MATCH($B277,명단!$A$5:$A$404,0))),"번호 없음"))</f>
        <v/>
      </c>
      <c r="I277" s="25" t="str">
        <f aca="false">IF(AND(C277="",D277=""),"",IF(OR(C277="-",D277="-"),"측정불가",IF(AND(ISNUMBER(C277),ISNUMBER(D277)),IF(OR(C277&gt;=설정!$C$11,D277&gt;=설정!$C$12),"긴급",IF(OR(C277&gt;=설정!$C$9,D277&gt;=설정!$C$10,C277&lt;설정!$C$13),"주의","정상")),"확인필요")))</f>
        <v/>
      </c>
      <c r="J277" s="25" t="str">
        <f aca="false">IF(E277="","",IF(E277="-","측정불가",IF(NOT(ISNUMBER(E277)),"확인필요",IF(E277&lt;설정!$C$17,"긴급(저혈당)",IF(E277&gt;=설정!$C$18,"긴급(고혈당)",IF(F277="공복",IF(E277&gt;=설정!$C$15,"주의","정상"),IF(F277="식후",IF(E277&gt;=설정!$C$16,"주의","정상"),"조건확인")))))))</f>
        <v/>
      </c>
      <c r="K277" s="25" t="str">
        <f aca="false">IF(OR(I277="긴급",LEFT(J277,2)="긴급"),"★ 즉시 선생님 호출",IF(OR(I277="주의",J277="주의"),"결과상담에서 확인",IF(J277="조건확인","혈당조건(공복/식후) 선택","")))</f>
        <v/>
      </c>
      <c r="L277" s="25" t="str">
        <f aca="false">IF($B277="","",IF(COUNTIF($B$5:$B$1004,$B277)&gt;1,"중복 입력",""))</f>
        <v/>
      </c>
    </row>
    <row r="278" customFormat="false" ht="1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5" t="str">
        <f aca="false">IF($B278="","",IFERROR(IF(INDEX(명단!$B$5:$B$404,MATCH($B278,명단!$A$5:$A$404,0))="","(이름 미입력)",INDEX(명단!$B$5:$B$404,MATCH($B278,명단!$A$5:$A$404,0))),"번호 없음"))</f>
        <v/>
      </c>
      <c r="I278" s="25" t="str">
        <f aca="false">IF(AND(C278="",D278=""),"",IF(OR(C278="-",D278="-"),"측정불가",IF(AND(ISNUMBER(C278),ISNUMBER(D278)),IF(OR(C278&gt;=설정!$C$11,D278&gt;=설정!$C$12),"긴급",IF(OR(C278&gt;=설정!$C$9,D278&gt;=설정!$C$10,C278&lt;설정!$C$13),"주의","정상")),"확인필요")))</f>
        <v/>
      </c>
      <c r="J278" s="25" t="str">
        <f aca="false">IF(E278="","",IF(E278="-","측정불가",IF(NOT(ISNUMBER(E278)),"확인필요",IF(E278&lt;설정!$C$17,"긴급(저혈당)",IF(E278&gt;=설정!$C$18,"긴급(고혈당)",IF(F278="공복",IF(E278&gt;=설정!$C$15,"주의","정상"),IF(F278="식후",IF(E278&gt;=설정!$C$16,"주의","정상"),"조건확인")))))))</f>
        <v/>
      </c>
      <c r="K278" s="25" t="str">
        <f aca="false">IF(OR(I278="긴급",LEFT(J278,2)="긴급"),"★ 즉시 선생님 호출",IF(OR(I278="주의",J278="주의"),"결과상담에서 확인",IF(J278="조건확인","혈당조건(공복/식후) 선택","")))</f>
        <v/>
      </c>
      <c r="L278" s="25" t="str">
        <f aca="false">IF($B278="","",IF(COUNTIF($B$5:$B$1004,$B278)&gt;1,"중복 입력",""))</f>
        <v/>
      </c>
    </row>
    <row r="279" customFormat="false" ht="1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5" t="str">
        <f aca="false">IF($B279="","",IFERROR(IF(INDEX(명단!$B$5:$B$404,MATCH($B279,명단!$A$5:$A$404,0))="","(이름 미입력)",INDEX(명단!$B$5:$B$404,MATCH($B279,명단!$A$5:$A$404,0))),"번호 없음"))</f>
        <v/>
      </c>
      <c r="I279" s="25" t="str">
        <f aca="false">IF(AND(C279="",D279=""),"",IF(OR(C279="-",D279="-"),"측정불가",IF(AND(ISNUMBER(C279),ISNUMBER(D279)),IF(OR(C279&gt;=설정!$C$11,D279&gt;=설정!$C$12),"긴급",IF(OR(C279&gt;=설정!$C$9,D279&gt;=설정!$C$10,C279&lt;설정!$C$13),"주의","정상")),"확인필요")))</f>
        <v/>
      </c>
      <c r="J279" s="25" t="str">
        <f aca="false">IF(E279="","",IF(E279="-","측정불가",IF(NOT(ISNUMBER(E279)),"확인필요",IF(E279&lt;설정!$C$17,"긴급(저혈당)",IF(E279&gt;=설정!$C$18,"긴급(고혈당)",IF(F279="공복",IF(E279&gt;=설정!$C$15,"주의","정상"),IF(F279="식후",IF(E279&gt;=설정!$C$16,"주의","정상"),"조건확인")))))))</f>
        <v/>
      </c>
      <c r="K279" s="25" t="str">
        <f aca="false">IF(OR(I279="긴급",LEFT(J279,2)="긴급"),"★ 즉시 선생님 호출",IF(OR(I279="주의",J279="주의"),"결과상담에서 확인",IF(J279="조건확인","혈당조건(공복/식후) 선택","")))</f>
        <v/>
      </c>
      <c r="L279" s="25" t="str">
        <f aca="false">IF($B279="","",IF(COUNTIF($B$5:$B$1004,$B279)&gt;1,"중복 입력",""))</f>
        <v/>
      </c>
    </row>
    <row r="280" customFormat="false" ht="1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5" t="str">
        <f aca="false">IF($B280="","",IFERROR(IF(INDEX(명단!$B$5:$B$404,MATCH($B280,명단!$A$5:$A$404,0))="","(이름 미입력)",INDEX(명단!$B$5:$B$404,MATCH($B280,명단!$A$5:$A$404,0))),"번호 없음"))</f>
        <v/>
      </c>
      <c r="I280" s="25" t="str">
        <f aca="false">IF(AND(C280="",D280=""),"",IF(OR(C280="-",D280="-"),"측정불가",IF(AND(ISNUMBER(C280),ISNUMBER(D280)),IF(OR(C280&gt;=설정!$C$11,D280&gt;=설정!$C$12),"긴급",IF(OR(C280&gt;=설정!$C$9,D280&gt;=설정!$C$10,C280&lt;설정!$C$13),"주의","정상")),"확인필요")))</f>
        <v/>
      </c>
      <c r="J280" s="25" t="str">
        <f aca="false">IF(E280="","",IF(E280="-","측정불가",IF(NOT(ISNUMBER(E280)),"확인필요",IF(E280&lt;설정!$C$17,"긴급(저혈당)",IF(E280&gt;=설정!$C$18,"긴급(고혈당)",IF(F280="공복",IF(E280&gt;=설정!$C$15,"주의","정상"),IF(F280="식후",IF(E280&gt;=설정!$C$16,"주의","정상"),"조건확인")))))))</f>
        <v/>
      </c>
      <c r="K280" s="25" t="str">
        <f aca="false">IF(OR(I280="긴급",LEFT(J280,2)="긴급"),"★ 즉시 선생님 호출",IF(OR(I280="주의",J280="주의"),"결과상담에서 확인",IF(J280="조건확인","혈당조건(공복/식후) 선택","")))</f>
        <v/>
      </c>
      <c r="L280" s="25" t="str">
        <f aca="false">IF($B280="","",IF(COUNTIF($B$5:$B$1004,$B280)&gt;1,"중복 입력",""))</f>
        <v/>
      </c>
    </row>
    <row r="281" customFormat="false" ht="1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5" t="str">
        <f aca="false">IF($B281="","",IFERROR(IF(INDEX(명단!$B$5:$B$404,MATCH($B281,명단!$A$5:$A$404,0))="","(이름 미입력)",INDEX(명단!$B$5:$B$404,MATCH($B281,명단!$A$5:$A$404,0))),"번호 없음"))</f>
        <v/>
      </c>
      <c r="I281" s="25" t="str">
        <f aca="false">IF(AND(C281="",D281=""),"",IF(OR(C281="-",D281="-"),"측정불가",IF(AND(ISNUMBER(C281),ISNUMBER(D281)),IF(OR(C281&gt;=설정!$C$11,D281&gt;=설정!$C$12),"긴급",IF(OR(C281&gt;=설정!$C$9,D281&gt;=설정!$C$10,C281&lt;설정!$C$13),"주의","정상")),"확인필요")))</f>
        <v/>
      </c>
      <c r="J281" s="25" t="str">
        <f aca="false">IF(E281="","",IF(E281="-","측정불가",IF(NOT(ISNUMBER(E281)),"확인필요",IF(E281&lt;설정!$C$17,"긴급(저혈당)",IF(E281&gt;=설정!$C$18,"긴급(고혈당)",IF(F281="공복",IF(E281&gt;=설정!$C$15,"주의","정상"),IF(F281="식후",IF(E281&gt;=설정!$C$16,"주의","정상"),"조건확인")))))))</f>
        <v/>
      </c>
      <c r="K281" s="25" t="str">
        <f aca="false">IF(OR(I281="긴급",LEFT(J281,2)="긴급"),"★ 즉시 선생님 호출",IF(OR(I281="주의",J281="주의"),"결과상담에서 확인",IF(J281="조건확인","혈당조건(공복/식후) 선택","")))</f>
        <v/>
      </c>
      <c r="L281" s="25" t="str">
        <f aca="false">IF($B281="","",IF(COUNTIF($B$5:$B$1004,$B281)&gt;1,"중복 입력",""))</f>
        <v/>
      </c>
    </row>
    <row r="282" customFormat="false" ht="1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5" t="str">
        <f aca="false">IF($B282="","",IFERROR(IF(INDEX(명단!$B$5:$B$404,MATCH($B282,명단!$A$5:$A$404,0))="","(이름 미입력)",INDEX(명단!$B$5:$B$404,MATCH($B282,명단!$A$5:$A$404,0))),"번호 없음"))</f>
        <v/>
      </c>
      <c r="I282" s="25" t="str">
        <f aca="false">IF(AND(C282="",D282=""),"",IF(OR(C282="-",D282="-"),"측정불가",IF(AND(ISNUMBER(C282),ISNUMBER(D282)),IF(OR(C282&gt;=설정!$C$11,D282&gt;=설정!$C$12),"긴급",IF(OR(C282&gt;=설정!$C$9,D282&gt;=설정!$C$10,C282&lt;설정!$C$13),"주의","정상")),"확인필요")))</f>
        <v/>
      </c>
      <c r="J282" s="25" t="str">
        <f aca="false">IF(E282="","",IF(E282="-","측정불가",IF(NOT(ISNUMBER(E282)),"확인필요",IF(E282&lt;설정!$C$17,"긴급(저혈당)",IF(E282&gt;=설정!$C$18,"긴급(고혈당)",IF(F282="공복",IF(E282&gt;=설정!$C$15,"주의","정상"),IF(F282="식후",IF(E282&gt;=설정!$C$16,"주의","정상"),"조건확인")))))))</f>
        <v/>
      </c>
      <c r="K282" s="25" t="str">
        <f aca="false">IF(OR(I282="긴급",LEFT(J282,2)="긴급"),"★ 즉시 선생님 호출",IF(OR(I282="주의",J282="주의"),"결과상담에서 확인",IF(J282="조건확인","혈당조건(공복/식후) 선택","")))</f>
        <v/>
      </c>
      <c r="L282" s="25" t="str">
        <f aca="false">IF($B282="","",IF(COUNTIF($B$5:$B$1004,$B282)&gt;1,"중복 입력",""))</f>
        <v/>
      </c>
    </row>
    <row r="283" customFormat="false" ht="1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5" t="str">
        <f aca="false">IF($B283="","",IFERROR(IF(INDEX(명단!$B$5:$B$404,MATCH($B283,명단!$A$5:$A$404,0))="","(이름 미입력)",INDEX(명단!$B$5:$B$404,MATCH($B283,명단!$A$5:$A$404,0))),"번호 없음"))</f>
        <v/>
      </c>
      <c r="I283" s="25" t="str">
        <f aca="false">IF(AND(C283="",D283=""),"",IF(OR(C283="-",D283="-"),"측정불가",IF(AND(ISNUMBER(C283),ISNUMBER(D283)),IF(OR(C283&gt;=설정!$C$11,D283&gt;=설정!$C$12),"긴급",IF(OR(C283&gt;=설정!$C$9,D283&gt;=설정!$C$10,C283&lt;설정!$C$13),"주의","정상")),"확인필요")))</f>
        <v/>
      </c>
      <c r="J283" s="25" t="str">
        <f aca="false">IF(E283="","",IF(E283="-","측정불가",IF(NOT(ISNUMBER(E283)),"확인필요",IF(E283&lt;설정!$C$17,"긴급(저혈당)",IF(E283&gt;=설정!$C$18,"긴급(고혈당)",IF(F283="공복",IF(E283&gt;=설정!$C$15,"주의","정상"),IF(F283="식후",IF(E283&gt;=설정!$C$16,"주의","정상"),"조건확인")))))))</f>
        <v/>
      </c>
      <c r="K283" s="25" t="str">
        <f aca="false">IF(OR(I283="긴급",LEFT(J283,2)="긴급"),"★ 즉시 선생님 호출",IF(OR(I283="주의",J283="주의"),"결과상담에서 확인",IF(J283="조건확인","혈당조건(공복/식후) 선택","")))</f>
        <v/>
      </c>
      <c r="L283" s="25" t="str">
        <f aca="false">IF($B283="","",IF(COUNTIF($B$5:$B$1004,$B283)&gt;1,"중복 입력",""))</f>
        <v/>
      </c>
    </row>
    <row r="284" customFormat="false" ht="1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5" t="str">
        <f aca="false">IF($B284="","",IFERROR(IF(INDEX(명단!$B$5:$B$404,MATCH($B284,명단!$A$5:$A$404,0))="","(이름 미입력)",INDEX(명단!$B$5:$B$404,MATCH($B284,명단!$A$5:$A$404,0))),"번호 없음"))</f>
        <v/>
      </c>
      <c r="I284" s="25" t="str">
        <f aca="false">IF(AND(C284="",D284=""),"",IF(OR(C284="-",D284="-"),"측정불가",IF(AND(ISNUMBER(C284),ISNUMBER(D284)),IF(OR(C284&gt;=설정!$C$11,D284&gt;=설정!$C$12),"긴급",IF(OR(C284&gt;=설정!$C$9,D284&gt;=설정!$C$10,C284&lt;설정!$C$13),"주의","정상")),"확인필요")))</f>
        <v/>
      </c>
      <c r="J284" s="25" t="str">
        <f aca="false">IF(E284="","",IF(E284="-","측정불가",IF(NOT(ISNUMBER(E284)),"확인필요",IF(E284&lt;설정!$C$17,"긴급(저혈당)",IF(E284&gt;=설정!$C$18,"긴급(고혈당)",IF(F284="공복",IF(E284&gt;=설정!$C$15,"주의","정상"),IF(F284="식후",IF(E284&gt;=설정!$C$16,"주의","정상"),"조건확인")))))))</f>
        <v/>
      </c>
      <c r="K284" s="25" t="str">
        <f aca="false">IF(OR(I284="긴급",LEFT(J284,2)="긴급"),"★ 즉시 선생님 호출",IF(OR(I284="주의",J284="주의"),"결과상담에서 확인",IF(J284="조건확인","혈당조건(공복/식후) 선택","")))</f>
        <v/>
      </c>
      <c r="L284" s="25" t="str">
        <f aca="false">IF($B284="","",IF(COUNTIF($B$5:$B$1004,$B284)&gt;1,"중복 입력",""))</f>
        <v/>
      </c>
    </row>
    <row r="285" customFormat="false" ht="1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5" t="str">
        <f aca="false">IF($B285="","",IFERROR(IF(INDEX(명단!$B$5:$B$404,MATCH($B285,명단!$A$5:$A$404,0))="","(이름 미입력)",INDEX(명단!$B$5:$B$404,MATCH($B285,명단!$A$5:$A$404,0))),"번호 없음"))</f>
        <v/>
      </c>
      <c r="I285" s="25" t="str">
        <f aca="false">IF(AND(C285="",D285=""),"",IF(OR(C285="-",D285="-"),"측정불가",IF(AND(ISNUMBER(C285),ISNUMBER(D285)),IF(OR(C285&gt;=설정!$C$11,D285&gt;=설정!$C$12),"긴급",IF(OR(C285&gt;=설정!$C$9,D285&gt;=설정!$C$10,C285&lt;설정!$C$13),"주의","정상")),"확인필요")))</f>
        <v/>
      </c>
      <c r="J285" s="25" t="str">
        <f aca="false">IF(E285="","",IF(E285="-","측정불가",IF(NOT(ISNUMBER(E285)),"확인필요",IF(E285&lt;설정!$C$17,"긴급(저혈당)",IF(E285&gt;=설정!$C$18,"긴급(고혈당)",IF(F285="공복",IF(E285&gt;=설정!$C$15,"주의","정상"),IF(F285="식후",IF(E285&gt;=설정!$C$16,"주의","정상"),"조건확인")))))))</f>
        <v/>
      </c>
      <c r="K285" s="25" t="str">
        <f aca="false">IF(OR(I285="긴급",LEFT(J285,2)="긴급"),"★ 즉시 선생님 호출",IF(OR(I285="주의",J285="주의"),"결과상담에서 확인",IF(J285="조건확인","혈당조건(공복/식후) 선택","")))</f>
        <v/>
      </c>
      <c r="L285" s="25" t="str">
        <f aca="false">IF($B285="","",IF(COUNTIF($B$5:$B$1004,$B285)&gt;1,"중복 입력",""))</f>
        <v/>
      </c>
    </row>
    <row r="286" customFormat="false" ht="1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5" t="str">
        <f aca="false">IF($B286="","",IFERROR(IF(INDEX(명단!$B$5:$B$404,MATCH($B286,명단!$A$5:$A$404,0))="","(이름 미입력)",INDEX(명단!$B$5:$B$404,MATCH($B286,명단!$A$5:$A$404,0))),"번호 없음"))</f>
        <v/>
      </c>
      <c r="I286" s="25" t="str">
        <f aca="false">IF(AND(C286="",D286=""),"",IF(OR(C286="-",D286="-"),"측정불가",IF(AND(ISNUMBER(C286),ISNUMBER(D286)),IF(OR(C286&gt;=설정!$C$11,D286&gt;=설정!$C$12),"긴급",IF(OR(C286&gt;=설정!$C$9,D286&gt;=설정!$C$10,C286&lt;설정!$C$13),"주의","정상")),"확인필요")))</f>
        <v/>
      </c>
      <c r="J286" s="25" t="str">
        <f aca="false">IF(E286="","",IF(E286="-","측정불가",IF(NOT(ISNUMBER(E286)),"확인필요",IF(E286&lt;설정!$C$17,"긴급(저혈당)",IF(E286&gt;=설정!$C$18,"긴급(고혈당)",IF(F286="공복",IF(E286&gt;=설정!$C$15,"주의","정상"),IF(F286="식후",IF(E286&gt;=설정!$C$16,"주의","정상"),"조건확인")))))))</f>
        <v/>
      </c>
      <c r="K286" s="25" t="str">
        <f aca="false">IF(OR(I286="긴급",LEFT(J286,2)="긴급"),"★ 즉시 선생님 호출",IF(OR(I286="주의",J286="주의"),"결과상담에서 확인",IF(J286="조건확인","혈당조건(공복/식후) 선택","")))</f>
        <v/>
      </c>
      <c r="L286" s="25" t="str">
        <f aca="false">IF($B286="","",IF(COUNTIF($B$5:$B$1004,$B286)&gt;1,"중복 입력",""))</f>
        <v/>
      </c>
    </row>
    <row r="287" customFormat="false" ht="1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5" t="str">
        <f aca="false">IF($B287="","",IFERROR(IF(INDEX(명단!$B$5:$B$404,MATCH($B287,명단!$A$5:$A$404,0))="","(이름 미입력)",INDEX(명단!$B$5:$B$404,MATCH($B287,명단!$A$5:$A$404,0))),"번호 없음"))</f>
        <v/>
      </c>
      <c r="I287" s="25" t="str">
        <f aca="false">IF(AND(C287="",D287=""),"",IF(OR(C287="-",D287="-"),"측정불가",IF(AND(ISNUMBER(C287),ISNUMBER(D287)),IF(OR(C287&gt;=설정!$C$11,D287&gt;=설정!$C$12),"긴급",IF(OR(C287&gt;=설정!$C$9,D287&gt;=설정!$C$10,C287&lt;설정!$C$13),"주의","정상")),"확인필요")))</f>
        <v/>
      </c>
      <c r="J287" s="25" t="str">
        <f aca="false">IF(E287="","",IF(E287="-","측정불가",IF(NOT(ISNUMBER(E287)),"확인필요",IF(E287&lt;설정!$C$17,"긴급(저혈당)",IF(E287&gt;=설정!$C$18,"긴급(고혈당)",IF(F287="공복",IF(E287&gt;=설정!$C$15,"주의","정상"),IF(F287="식후",IF(E287&gt;=설정!$C$16,"주의","정상"),"조건확인")))))))</f>
        <v/>
      </c>
      <c r="K287" s="25" t="str">
        <f aca="false">IF(OR(I287="긴급",LEFT(J287,2)="긴급"),"★ 즉시 선생님 호출",IF(OR(I287="주의",J287="주의"),"결과상담에서 확인",IF(J287="조건확인","혈당조건(공복/식후) 선택","")))</f>
        <v/>
      </c>
      <c r="L287" s="25" t="str">
        <f aca="false">IF($B287="","",IF(COUNTIF($B$5:$B$1004,$B287)&gt;1,"중복 입력",""))</f>
        <v/>
      </c>
    </row>
    <row r="288" customFormat="false" ht="1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5" t="str">
        <f aca="false">IF($B288="","",IFERROR(IF(INDEX(명단!$B$5:$B$404,MATCH($B288,명단!$A$5:$A$404,0))="","(이름 미입력)",INDEX(명단!$B$5:$B$404,MATCH($B288,명단!$A$5:$A$404,0))),"번호 없음"))</f>
        <v/>
      </c>
      <c r="I288" s="25" t="str">
        <f aca="false">IF(AND(C288="",D288=""),"",IF(OR(C288="-",D288="-"),"측정불가",IF(AND(ISNUMBER(C288),ISNUMBER(D288)),IF(OR(C288&gt;=설정!$C$11,D288&gt;=설정!$C$12),"긴급",IF(OR(C288&gt;=설정!$C$9,D288&gt;=설정!$C$10,C288&lt;설정!$C$13),"주의","정상")),"확인필요")))</f>
        <v/>
      </c>
      <c r="J288" s="25" t="str">
        <f aca="false">IF(E288="","",IF(E288="-","측정불가",IF(NOT(ISNUMBER(E288)),"확인필요",IF(E288&lt;설정!$C$17,"긴급(저혈당)",IF(E288&gt;=설정!$C$18,"긴급(고혈당)",IF(F288="공복",IF(E288&gt;=설정!$C$15,"주의","정상"),IF(F288="식후",IF(E288&gt;=설정!$C$16,"주의","정상"),"조건확인")))))))</f>
        <v/>
      </c>
      <c r="K288" s="25" t="str">
        <f aca="false">IF(OR(I288="긴급",LEFT(J288,2)="긴급"),"★ 즉시 선생님 호출",IF(OR(I288="주의",J288="주의"),"결과상담에서 확인",IF(J288="조건확인","혈당조건(공복/식후) 선택","")))</f>
        <v/>
      </c>
      <c r="L288" s="25" t="str">
        <f aca="false">IF($B288="","",IF(COUNTIF($B$5:$B$1004,$B288)&gt;1,"중복 입력",""))</f>
        <v/>
      </c>
    </row>
    <row r="289" customFormat="false" ht="1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5" t="str">
        <f aca="false">IF($B289="","",IFERROR(IF(INDEX(명단!$B$5:$B$404,MATCH($B289,명단!$A$5:$A$404,0))="","(이름 미입력)",INDEX(명단!$B$5:$B$404,MATCH($B289,명단!$A$5:$A$404,0))),"번호 없음"))</f>
        <v/>
      </c>
      <c r="I289" s="25" t="str">
        <f aca="false">IF(AND(C289="",D289=""),"",IF(OR(C289="-",D289="-"),"측정불가",IF(AND(ISNUMBER(C289),ISNUMBER(D289)),IF(OR(C289&gt;=설정!$C$11,D289&gt;=설정!$C$12),"긴급",IF(OR(C289&gt;=설정!$C$9,D289&gt;=설정!$C$10,C289&lt;설정!$C$13),"주의","정상")),"확인필요")))</f>
        <v/>
      </c>
      <c r="J289" s="25" t="str">
        <f aca="false">IF(E289="","",IF(E289="-","측정불가",IF(NOT(ISNUMBER(E289)),"확인필요",IF(E289&lt;설정!$C$17,"긴급(저혈당)",IF(E289&gt;=설정!$C$18,"긴급(고혈당)",IF(F289="공복",IF(E289&gt;=설정!$C$15,"주의","정상"),IF(F289="식후",IF(E289&gt;=설정!$C$16,"주의","정상"),"조건확인")))))))</f>
        <v/>
      </c>
      <c r="K289" s="25" t="str">
        <f aca="false">IF(OR(I289="긴급",LEFT(J289,2)="긴급"),"★ 즉시 선생님 호출",IF(OR(I289="주의",J289="주의"),"결과상담에서 확인",IF(J289="조건확인","혈당조건(공복/식후) 선택","")))</f>
        <v/>
      </c>
      <c r="L289" s="25" t="str">
        <f aca="false">IF($B289="","",IF(COUNTIF($B$5:$B$1004,$B289)&gt;1,"중복 입력",""))</f>
        <v/>
      </c>
    </row>
    <row r="290" customFormat="false" ht="1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5" t="str">
        <f aca="false">IF($B290="","",IFERROR(IF(INDEX(명단!$B$5:$B$404,MATCH($B290,명단!$A$5:$A$404,0))="","(이름 미입력)",INDEX(명단!$B$5:$B$404,MATCH($B290,명단!$A$5:$A$404,0))),"번호 없음"))</f>
        <v/>
      </c>
      <c r="I290" s="25" t="str">
        <f aca="false">IF(AND(C290="",D290=""),"",IF(OR(C290="-",D290="-"),"측정불가",IF(AND(ISNUMBER(C290),ISNUMBER(D290)),IF(OR(C290&gt;=설정!$C$11,D290&gt;=설정!$C$12),"긴급",IF(OR(C290&gt;=설정!$C$9,D290&gt;=설정!$C$10,C290&lt;설정!$C$13),"주의","정상")),"확인필요")))</f>
        <v/>
      </c>
      <c r="J290" s="25" t="str">
        <f aca="false">IF(E290="","",IF(E290="-","측정불가",IF(NOT(ISNUMBER(E290)),"확인필요",IF(E290&lt;설정!$C$17,"긴급(저혈당)",IF(E290&gt;=설정!$C$18,"긴급(고혈당)",IF(F290="공복",IF(E290&gt;=설정!$C$15,"주의","정상"),IF(F290="식후",IF(E290&gt;=설정!$C$16,"주의","정상"),"조건확인")))))))</f>
        <v/>
      </c>
      <c r="K290" s="25" t="str">
        <f aca="false">IF(OR(I290="긴급",LEFT(J290,2)="긴급"),"★ 즉시 선생님 호출",IF(OR(I290="주의",J290="주의"),"결과상담에서 확인",IF(J290="조건확인","혈당조건(공복/식후) 선택","")))</f>
        <v/>
      </c>
      <c r="L290" s="25" t="str">
        <f aca="false">IF($B290="","",IF(COUNTIF($B$5:$B$1004,$B290)&gt;1,"중복 입력",""))</f>
        <v/>
      </c>
    </row>
    <row r="291" customFormat="false" ht="1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5" t="str">
        <f aca="false">IF($B291="","",IFERROR(IF(INDEX(명단!$B$5:$B$404,MATCH($B291,명단!$A$5:$A$404,0))="","(이름 미입력)",INDEX(명단!$B$5:$B$404,MATCH($B291,명단!$A$5:$A$404,0))),"번호 없음"))</f>
        <v/>
      </c>
      <c r="I291" s="25" t="str">
        <f aca="false">IF(AND(C291="",D291=""),"",IF(OR(C291="-",D291="-"),"측정불가",IF(AND(ISNUMBER(C291),ISNUMBER(D291)),IF(OR(C291&gt;=설정!$C$11,D291&gt;=설정!$C$12),"긴급",IF(OR(C291&gt;=설정!$C$9,D291&gt;=설정!$C$10,C291&lt;설정!$C$13),"주의","정상")),"확인필요")))</f>
        <v/>
      </c>
      <c r="J291" s="25" t="str">
        <f aca="false">IF(E291="","",IF(E291="-","측정불가",IF(NOT(ISNUMBER(E291)),"확인필요",IF(E291&lt;설정!$C$17,"긴급(저혈당)",IF(E291&gt;=설정!$C$18,"긴급(고혈당)",IF(F291="공복",IF(E291&gt;=설정!$C$15,"주의","정상"),IF(F291="식후",IF(E291&gt;=설정!$C$16,"주의","정상"),"조건확인")))))))</f>
        <v/>
      </c>
      <c r="K291" s="25" t="str">
        <f aca="false">IF(OR(I291="긴급",LEFT(J291,2)="긴급"),"★ 즉시 선생님 호출",IF(OR(I291="주의",J291="주의"),"결과상담에서 확인",IF(J291="조건확인","혈당조건(공복/식후) 선택","")))</f>
        <v/>
      </c>
      <c r="L291" s="25" t="str">
        <f aca="false">IF($B291="","",IF(COUNTIF($B$5:$B$1004,$B291)&gt;1,"중복 입력",""))</f>
        <v/>
      </c>
    </row>
    <row r="292" customFormat="false" ht="1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5" t="str">
        <f aca="false">IF($B292="","",IFERROR(IF(INDEX(명단!$B$5:$B$404,MATCH($B292,명단!$A$5:$A$404,0))="","(이름 미입력)",INDEX(명단!$B$5:$B$404,MATCH($B292,명단!$A$5:$A$404,0))),"번호 없음"))</f>
        <v/>
      </c>
      <c r="I292" s="25" t="str">
        <f aca="false">IF(AND(C292="",D292=""),"",IF(OR(C292="-",D292="-"),"측정불가",IF(AND(ISNUMBER(C292),ISNUMBER(D292)),IF(OR(C292&gt;=설정!$C$11,D292&gt;=설정!$C$12),"긴급",IF(OR(C292&gt;=설정!$C$9,D292&gt;=설정!$C$10,C292&lt;설정!$C$13),"주의","정상")),"확인필요")))</f>
        <v/>
      </c>
      <c r="J292" s="25" t="str">
        <f aca="false">IF(E292="","",IF(E292="-","측정불가",IF(NOT(ISNUMBER(E292)),"확인필요",IF(E292&lt;설정!$C$17,"긴급(저혈당)",IF(E292&gt;=설정!$C$18,"긴급(고혈당)",IF(F292="공복",IF(E292&gt;=설정!$C$15,"주의","정상"),IF(F292="식후",IF(E292&gt;=설정!$C$16,"주의","정상"),"조건확인")))))))</f>
        <v/>
      </c>
      <c r="K292" s="25" t="str">
        <f aca="false">IF(OR(I292="긴급",LEFT(J292,2)="긴급"),"★ 즉시 선생님 호출",IF(OR(I292="주의",J292="주의"),"결과상담에서 확인",IF(J292="조건확인","혈당조건(공복/식후) 선택","")))</f>
        <v/>
      </c>
      <c r="L292" s="25" t="str">
        <f aca="false">IF($B292="","",IF(COUNTIF($B$5:$B$1004,$B292)&gt;1,"중복 입력",""))</f>
        <v/>
      </c>
    </row>
    <row r="293" customFormat="false" ht="1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5" t="str">
        <f aca="false">IF($B293="","",IFERROR(IF(INDEX(명단!$B$5:$B$404,MATCH($B293,명단!$A$5:$A$404,0))="","(이름 미입력)",INDEX(명단!$B$5:$B$404,MATCH($B293,명단!$A$5:$A$404,0))),"번호 없음"))</f>
        <v/>
      </c>
      <c r="I293" s="25" t="str">
        <f aca="false">IF(AND(C293="",D293=""),"",IF(OR(C293="-",D293="-"),"측정불가",IF(AND(ISNUMBER(C293),ISNUMBER(D293)),IF(OR(C293&gt;=설정!$C$11,D293&gt;=설정!$C$12),"긴급",IF(OR(C293&gt;=설정!$C$9,D293&gt;=설정!$C$10,C293&lt;설정!$C$13),"주의","정상")),"확인필요")))</f>
        <v/>
      </c>
      <c r="J293" s="25" t="str">
        <f aca="false">IF(E293="","",IF(E293="-","측정불가",IF(NOT(ISNUMBER(E293)),"확인필요",IF(E293&lt;설정!$C$17,"긴급(저혈당)",IF(E293&gt;=설정!$C$18,"긴급(고혈당)",IF(F293="공복",IF(E293&gt;=설정!$C$15,"주의","정상"),IF(F293="식후",IF(E293&gt;=설정!$C$16,"주의","정상"),"조건확인")))))))</f>
        <v/>
      </c>
      <c r="K293" s="25" t="str">
        <f aca="false">IF(OR(I293="긴급",LEFT(J293,2)="긴급"),"★ 즉시 선생님 호출",IF(OR(I293="주의",J293="주의"),"결과상담에서 확인",IF(J293="조건확인","혈당조건(공복/식후) 선택","")))</f>
        <v/>
      </c>
      <c r="L293" s="25" t="str">
        <f aca="false">IF($B293="","",IF(COUNTIF($B$5:$B$1004,$B293)&gt;1,"중복 입력",""))</f>
        <v/>
      </c>
    </row>
    <row r="294" customFormat="false" ht="1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5" t="str">
        <f aca="false">IF($B294="","",IFERROR(IF(INDEX(명단!$B$5:$B$404,MATCH($B294,명단!$A$5:$A$404,0))="","(이름 미입력)",INDEX(명단!$B$5:$B$404,MATCH($B294,명단!$A$5:$A$404,0))),"번호 없음"))</f>
        <v/>
      </c>
      <c r="I294" s="25" t="str">
        <f aca="false">IF(AND(C294="",D294=""),"",IF(OR(C294="-",D294="-"),"측정불가",IF(AND(ISNUMBER(C294),ISNUMBER(D294)),IF(OR(C294&gt;=설정!$C$11,D294&gt;=설정!$C$12),"긴급",IF(OR(C294&gt;=설정!$C$9,D294&gt;=설정!$C$10,C294&lt;설정!$C$13),"주의","정상")),"확인필요")))</f>
        <v/>
      </c>
      <c r="J294" s="25" t="str">
        <f aca="false">IF(E294="","",IF(E294="-","측정불가",IF(NOT(ISNUMBER(E294)),"확인필요",IF(E294&lt;설정!$C$17,"긴급(저혈당)",IF(E294&gt;=설정!$C$18,"긴급(고혈당)",IF(F294="공복",IF(E294&gt;=설정!$C$15,"주의","정상"),IF(F294="식후",IF(E294&gt;=설정!$C$16,"주의","정상"),"조건확인")))))))</f>
        <v/>
      </c>
      <c r="K294" s="25" t="str">
        <f aca="false">IF(OR(I294="긴급",LEFT(J294,2)="긴급"),"★ 즉시 선생님 호출",IF(OR(I294="주의",J294="주의"),"결과상담에서 확인",IF(J294="조건확인","혈당조건(공복/식후) 선택","")))</f>
        <v/>
      </c>
      <c r="L294" s="25" t="str">
        <f aca="false">IF($B294="","",IF(COUNTIF($B$5:$B$1004,$B294)&gt;1,"중복 입력",""))</f>
        <v/>
      </c>
    </row>
    <row r="295" customFormat="false" ht="1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5" t="str">
        <f aca="false">IF($B295="","",IFERROR(IF(INDEX(명단!$B$5:$B$404,MATCH($B295,명단!$A$5:$A$404,0))="","(이름 미입력)",INDEX(명단!$B$5:$B$404,MATCH($B295,명단!$A$5:$A$404,0))),"번호 없음"))</f>
        <v/>
      </c>
      <c r="I295" s="25" t="str">
        <f aca="false">IF(AND(C295="",D295=""),"",IF(OR(C295="-",D295="-"),"측정불가",IF(AND(ISNUMBER(C295),ISNUMBER(D295)),IF(OR(C295&gt;=설정!$C$11,D295&gt;=설정!$C$12),"긴급",IF(OR(C295&gt;=설정!$C$9,D295&gt;=설정!$C$10,C295&lt;설정!$C$13),"주의","정상")),"확인필요")))</f>
        <v/>
      </c>
      <c r="J295" s="25" t="str">
        <f aca="false">IF(E295="","",IF(E295="-","측정불가",IF(NOT(ISNUMBER(E295)),"확인필요",IF(E295&lt;설정!$C$17,"긴급(저혈당)",IF(E295&gt;=설정!$C$18,"긴급(고혈당)",IF(F295="공복",IF(E295&gt;=설정!$C$15,"주의","정상"),IF(F295="식후",IF(E295&gt;=설정!$C$16,"주의","정상"),"조건확인")))))))</f>
        <v/>
      </c>
      <c r="K295" s="25" t="str">
        <f aca="false">IF(OR(I295="긴급",LEFT(J295,2)="긴급"),"★ 즉시 선생님 호출",IF(OR(I295="주의",J295="주의"),"결과상담에서 확인",IF(J295="조건확인","혈당조건(공복/식후) 선택","")))</f>
        <v/>
      </c>
      <c r="L295" s="25" t="str">
        <f aca="false">IF($B295="","",IF(COUNTIF($B$5:$B$1004,$B295)&gt;1,"중복 입력",""))</f>
        <v/>
      </c>
    </row>
    <row r="296" customFormat="false" ht="1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5" t="str">
        <f aca="false">IF($B296="","",IFERROR(IF(INDEX(명단!$B$5:$B$404,MATCH($B296,명단!$A$5:$A$404,0))="","(이름 미입력)",INDEX(명단!$B$5:$B$404,MATCH($B296,명단!$A$5:$A$404,0))),"번호 없음"))</f>
        <v/>
      </c>
      <c r="I296" s="25" t="str">
        <f aca="false">IF(AND(C296="",D296=""),"",IF(OR(C296="-",D296="-"),"측정불가",IF(AND(ISNUMBER(C296),ISNUMBER(D296)),IF(OR(C296&gt;=설정!$C$11,D296&gt;=설정!$C$12),"긴급",IF(OR(C296&gt;=설정!$C$9,D296&gt;=설정!$C$10,C296&lt;설정!$C$13),"주의","정상")),"확인필요")))</f>
        <v/>
      </c>
      <c r="J296" s="25" t="str">
        <f aca="false">IF(E296="","",IF(E296="-","측정불가",IF(NOT(ISNUMBER(E296)),"확인필요",IF(E296&lt;설정!$C$17,"긴급(저혈당)",IF(E296&gt;=설정!$C$18,"긴급(고혈당)",IF(F296="공복",IF(E296&gt;=설정!$C$15,"주의","정상"),IF(F296="식후",IF(E296&gt;=설정!$C$16,"주의","정상"),"조건확인")))))))</f>
        <v/>
      </c>
      <c r="K296" s="25" t="str">
        <f aca="false">IF(OR(I296="긴급",LEFT(J296,2)="긴급"),"★ 즉시 선생님 호출",IF(OR(I296="주의",J296="주의"),"결과상담에서 확인",IF(J296="조건확인","혈당조건(공복/식후) 선택","")))</f>
        <v/>
      </c>
      <c r="L296" s="25" t="str">
        <f aca="false">IF($B296="","",IF(COUNTIF($B$5:$B$1004,$B296)&gt;1,"중복 입력",""))</f>
        <v/>
      </c>
    </row>
    <row r="297" customFormat="false" ht="1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5" t="str">
        <f aca="false">IF($B297="","",IFERROR(IF(INDEX(명단!$B$5:$B$404,MATCH($B297,명단!$A$5:$A$404,0))="","(이름 미입력)",INDEX(명단!$B$5:$B$404,MATCH($B297,명단!$A$5:$A$404,0))),"번호 없음"))</f>
        <v/>
      </c>
      <c r="I297" s="25" t="str">
        <f aca="false">IF(AND(C297="",D297=""),"",IF(OR(C297="-",D297="-"),"측정불가",IF(AND(ISNUMBER(C297),ISNUMBER(D297)),IF(OR(C297&gt;=설정!$C$11,D297&gt;=설정!$C$12),"긴급",IF(OR(C297&gt;=설정!$C$9,D297&gt;=설정!$C$10,C297&lt;설정!$C$13),"주의","정상")),"확인필요")))</f>
        <v/>
      </c>
      <c r="J297" s="25" t="str">
        <f aca="false">IF(E297="","",IF(E297="-","측정불가",IF(NOT(ISNUMBER(E297)),"확인필요",IF(E297&lt;설정!$C$17,"긴급(저혈당)",IF(E297&gt;=설정!$C$18,"긴급(고혈당)",IF(F297="공복",IF(E297&gt;=설정!$C$15,"주의","정상"),IF(F297="식후",IF(E297&gt;=설정!$C$16,"주의","정상"),"조건확인")))))))</f>
        <v/>
      </c>
      <c r="K297" s="25" t="str">
        <f aca="false">IF(OR(I297="긴급",LEFT(J297,2)="긴급"),"★ 즉시 선생님 호출",IF(OR(I297="주의",J297="주의"),"결과상담에서 확인",IF(J297="조건확인","혈당조건(공복/식후) 선택","")))</f>
        <v/>
      </c>
      <c r="L297" s="25" t="str">
        <f aca="false">IF($B297="","",IF(COUNTIF($B$5:$B$1004,$B297)&gt;1,"중복 입력",""))</f>
        <v/>
      </c>
    </row>
    <row r="298" customFormat="false" ht="1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5" t="str">
        <f aca="false">IF($B298="","",IFERROR(IF(INDEX(명단!$B$5:$B$404,MATCH($B298,명단!$A$5:$A$404,0))="","(이름 미입력)",INDEX(명단!$B$5:$B$404,MATCH($B298,명단!$A$5:$A$404,0))),"번호 없음"))</f>
        <v/>
      </c>
      <c r="I298" s="25" t="str">
        <f aca="false">IF(AND(C298="",D298=""),"",IF(OR(C298="-",D298="-"),"측정불가",IF(AND(ISNUMBER(C298),ISNUMBER(D298)),IF(OR(C298&gt;=설정!$C$11,D298&gt;=설정!$C$12),"긴급",IF(OR(C298&gt;=설정!$C$9,D298&gt;=설정!$C$10,C298&lt;설정!$C$13),"주의","정상")),"확인필요")))</f>
        <v/>
      </c>
      <c r="J298" s="25" t="str">
        <f aca="false">IF(E298="","",IF(E298="-","측정불가",IF(NOT(ISNUMBER(E298)),"확인필요",IF(E298&lt;설정!$C$17,"긴급(저혈당)",IF(E298&gt;=설정!$C$18,"긴급(고혈당)",IF(F298="공복",IF(E298&gt;=설정!$C$15,"주의","정상"),IF(F298="식후",IF(E298&gt;=설정!$C$16,"주의","정상"),"조건확인")))))))</f>
        <v/>
      </c>
      <c r="K298" s="25" t="str">
        <f aca="false">IF(OR(I298="긴급",LEFT(J298,2)="긴급"),"★ 즉시 선생님 호출",IF(OR(I298="주의",J298="주의"),"결과상담에서 확인",IF(J298="조건확인","혈당조건(공복/식후) 선택","")))</f>
        <v/>
      </c>
      <c r="L298" s="25" t="str">
        <f aca="false">IF($B298="","",IF(COUNTIF($B$5:$B$1004,$B298)&gt;1,"중복 입력",""))</f>
        <v/>
      </c>
    </row>
    <row r="299" customFormat="false" ht="1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5" t="str">
        <f aca="false">IF($B299="","",IFERROR(IF(INDEX(명단!$B$5:$B$404,MATCH($B299,명단!$A$5:$A$404,0))="","(이름 미입력)",INDEX(명단!$B$5:$B$404,MATCH($B299,명단!$A$5:$A$404,0))),"번호 없음"))</f>
        <v/>
      </c>
      <c r="I299" s="25" t="str">
        <f aca="false">IF(AND(C299="",D299=""),"",IF(OR(C299="-",D299="-"),"측정불가",IF(AND(ISNUMBER(C299),ISNUMBER(D299)),IF(OR(C299&gt;=설정!$C$11,D299&gt;=설정!$C$12),"긴급",IF(OR(C299&gt;=설정!$C$9,D299&gt;=설정!$C$10,C299&lt;설정!$C$13),"주의","정상")),"확인필요")))</f>
        <v/>
      </c>
      <c r="J299" s="25" t="str">
        <f aca="false">IF(E299="","",IF(E299="-","측정불가",IF(NOT(ISNUMBER(E299)),"확인필요",IF(E299&lt;설정!$C$17,"긴급(저혈당)",IF(E299&gt;=설정!$C$18,"긴급(고혈당)",IF(F299="공복",IF(E299&gt;=설정!$C$15,"주의","정상"),IF(F299="식후",IF(E299&gt;=설정!$C$16,"주의","정상"),"조건확인")))))))</f>
        <v/>
      </c>
      <c r="K299" s="25" t="str">
        <f aca="false">IF(OR(I299="긴급",LEFT(J299,2)="긴급"),"★ 즉시 선생님 호출",IF(OR(I299="주의",J299="주의"),"결과상담에서 확인",IF(J299="조건확인","혈당조건(공복/식후) 선택","")))</f>
        <v/>
      </c>
      <c r="L299" s="25" t="str">
        <f aca="false">IF($B299="","",IF(COUNTIF($B$5:$B$1004,$B299)&gt;1,"중복 입력",""))</f>
        <v/>
      </c>
    </row>
    <row r="300" customFormat="false" ht="1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5" t="str">
        <f aca="false">IF($B300="","",IFERROR(IF(INDEX(명단!$B$5:$B$404,MATCH($B300,명단!$A$5:$A$404,0))="","(이름 미입력)",INDEX(명단!$B$5:$B$404,MATCH($B300,명단!$A$5:$A$404,0))),"번호 없음"))</f>
        <v/>
      </c>
      <c r="I300" s="25" t="str">
        <f aca="false">IF(AND(C300="",D300=""),"",IF(OR(C300="-",D300="-"),"측정불가",IF(AND(ISNUMBER(C300),ISNUMBER(D300)),IF(OR(C300&gt;=설정!$C$11,D300&gt;=설정!$C$12),"긴급",IF(OR(C300&gt;=설정!$C$9,D300&gt;=설정!$C$10,C300&lt;설정!$C$13),"주의","정상")),"확인필요")))</f>
        <v/>
      </c>
      <c r="J300" s="25" t="str">
        <f aca="false">IF(E300="","",IF(E300="-","측정불가",IF(NOT(ISNUMBER(E300)),"확인필요",IF(E300&lt;설정!$C$17,"긴급(저혈당)",IF(E300&gt;=설정!$C$18,"긴급(고혈당)",IF(F300="공복",IF(E300&gt;=설정!$C$15,"주의","정상"),IF(F300="식후",IF(E300&gt;=설정!$C$16,"주의","정상"),"조건확인")))))))</f>
        <v/>
      </c>
      <c r="K300" s="25" t="str">
        <f aca="false">IF(OR(I300="긴급",LEFT(J300,2)="긴급"),"★ 즉시 선생님 호출",IF(OR(I300="주의",J300="주의"),"결과상담에서 확인",IF(J300="조건확인","혈당조건(공복/식후) 선택","")))</f>
        <v/>
      </c>
      <c r="L300" s="25" t="str">
        <f aca="false">IF($B300="","",IF(COUNTIF($B$5:$B$1004,$B300)&gt;1,"중복 입력",""))</f>
        <v/>
      </c>
    </row>
    <row r="301" customFormat="false" ht="1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5" t="str">
        <f aca="false">IF($B301="","",IFERROR(IF(INDEX(명단!$B$5:$B$404,MATCH($B301,명단!$A$5:$A$404,0))="","(이름 미입력)",INDEX(명단!$B$5:$B$404,MATCH($B301,명단!$A$5:$A$404,0))),"번호 없음"))</f>
        <v/>
      </c>
      <c r="I301" s="25" t="str">
        <f aca="false">IF(AND(C301="",D301=""),"",IF(OR(C301="-",D301="-"),"측정불가",IF(AND(ISNUMBER(C301),ISNUMBER(D301)),IF(OR(C301&gt;=설정!$C$11,D301&gt;=설정!$C$12),"긴급",IF(OR(C301&gt;=설정!$C$9,D301&gt;=설정!$C$10,C301&lt;설정!$C$13),"주의","정상")),"확인필요")))</f>
        <v/>
      </c>
      <c r="J301" s="25" t="str">
        <f aca="false">IF(E301="","",IF(E301="-","측정불가",IF(NOT(ISNUMBER(E301)),"확인필요",IF(E301&lt;설정!$C$17,"긴급(저혈당)",IF(E301&gt;=설정!$C$18,"긴급(고혈당)",IF(F301="공복",IF(E301&gt;=설정!$C$15,"주의","정상"),IF(F301="식후",IF(E301&gt;=설정!$C$16,"주의","정상"),"조건확인")))))))</f>
        <v/>
      </c>
      <c r="K301" s="25" t="str">
        <f aca="false">IF(OR(I301="긴급",LEFT(J301,2)="긴급"),"★ 즉시 선생님 호출",IF(OR(I301="주의",J301="주의"),"결과상담에서 확인",IF(J301="조건확인","혈당조건(공복/식후) 선택","")))</f>
        <v/>
      </c>
      <c r="L301" s="25" t="str">
        <f aca="false">IF($B301="","",IF(COUNTIF($B$5:$B$1004,$B301)&gt;1,"중복 입력",""))</f>
        <v/>
      </c>
    </row>
    <row r="302" customFormat="false" ht="1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5" t="str">
        <f aca="false">IF($B302="","",IFERROR(IF(INDEX(명단!$B$5:$B$404,MATCH($B302,명단!$A$5:$A$404,0))="","(이름 미입력)",INDEX(명단!$B$5:$B$404,MATCH($B302,명단!$A$5:$A$404,0))),"번호 없음"))</f>
        <v/>
      </c>
      <c r="I302" s="25" t="str">
        <f aca="false">IF(AND(C302="",D302=""),"",IF(OR(C302="-",D302="-"),"측정불가",IF(AND(ISNUMBER(C302),ISNUMBER(D302)),IF(OR(C302&gt;=설정!$C$11,D302&gt;=설정!$C$12),"긴급",IF(OR(C302&gt;=설정!$C$9,D302&gt;=설정!$C$10,C302&lt;설정!$C$13),"주의","정상")),"확인필요")))</f>
        <v/>
      </c>
      <c r="J302" s="25" t="str">
        <f aca="false">IF(E302="","",IF(E302="-","측정불가",IF(NOT(ISNUMBER(E302)),"확인필요",IF(E302&lt;설정!$C$17,"긴급(저혈당)",IF(E302&gt;=설정!$C$18,"긴급(고혈당)",IF(F302="공복",IF(E302&gt;=설정!$C$15,"주의","정상"),IF(F302="식후",IF(E302&gt;=설정!$C$16,"주의","정상"),"조건확인")))))))</f>
        <v/>
      </c>
      <c r="K302" s="25" t="str">
        <f aca="false">IF(OR(I302="긴급",LEFT(J302,2)="긴급"),"★ 즉시 선생님 호출",IF(OR(I302="주의",J302="주의"),"결과상담에서 확인",IF(J302="조건확인","혈당조건(공복/식후) 선택","")))</f>
        <v/>
      </c>
      <c r="L302" s="25" t="str">
        <f aca="false">IF($B302="","",IF(COUNTIF($B$5:$B$1004,$B302)&gt;1,"중복 입력",""))</f>
        <v/>
      </c>
    </row>
    <row r="303" customFormat="false" ht="1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5" t="str">
        <f aca="false">IF($B303="","",IFERROR(IF(INDEX(명단!$B$5:$B$404,MATCH($B303,명단!$A$5:$A$404,0))="","(이름 미입력)",INDEX(명단!$B$5:$B$404,MATCH($B303,명단!$A$5:$A$404,0))),"번호 없음"))</f>
        <v/>
      </c>
      <c r="I303" s="25" t="str">
        <f aca="false">IF(AND(C303="",D303=""),"",IF(OR(C303="-",D303="-"),"측정불가",IF(AND(ISNUMBER(C303),ISNUMBER(D303)),IF(OR(C303&gt;=설정!$C$11,D303&gt;=설정!$C$12),"긴급",IF(OR(C303&gt;=설정!$C$9,D303&gt;=설정!$C$10,C303&lt;설정!$C$13),"주의","정상")),"확인필요")))</f>
        <v/>
      </c>
      <c r="J303" s="25" t="str">
        <f aca="false">IF(E303="","",IF(E303="-","측정불가",IF(NOT(ISNUMBER(E303)),"확인필요",IF(E303&lt;설정!$C$17,"긴급(저혈당)",IF(E303&gt;=설정!$C$18,"긴급(고혈당)",IF(F303="공복",IF(E303&gt;=설정!$C$15,"주의","정상"),IF(F303="식후",IF(E303&gt;=설정!$C$16,"주의","정상"),"조건확인")))))))</f>
        <v/>
      </c>
      <c r="K303" s="25" t="str">
        <f aca="false">IF(OR(I303="긴급",LEFT(J303,2)="긴급"),"★ 즉시 선생님 호출",IF(OR(I303="주의",J303="주의"),"결과상담에서 확인",IF(J303="조건확인","혈당조건(공복/식후) 선택","")))</f>
        <v/>
      </c>
      <c r="L303" s="25" t="str">
        <f aca="false">IF($B303="","",IF(COUNTIF($B$5:$B$1004,$B303)&gt;1,"중복 입력",""))</f>
        <v/>
      </c>
    </row>
    <row r="304" customFormat="false" ht="1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5" t="str">
        <f aca="false">IF($B304="","",IFERROR(IF(INDEX(명단!$B$5:$B$404,MATCH($B304,명단!$A$5:$A$404,0))="","(이름 미입력)",INDEX(명단!$B$5:$B$404,MATCH($B304,명단!$A$5:$A$404,0))),"번호 없음"))</f>
        <v/>
      </c>
      <c r="I304" s="25" t="str">
        <f aca="false">IF(AND(C304="",D304=""),"",IF(OR(C304="-",D304="-"),"측정불가",IF(AND(ISNUMBER(C304),ISNUMBER(D304)),IF(OR(C304&gt;=설정!$C$11,D304&gt;=설정!$C$12),"긴급",IF(OR(C304&gt;=설정!$C$9,D304&gt;=설정!$C$10,C304&lt;설정!$C$13),"주의","정상")),"확인필요")))</f>
        <v/>
      </c>
      <c r="J304" s="25" t="str">
        <f aca="false">IF(E304="","",IF(E304="-","측정불가",IF(NOT(ISNUMBER(E304)),"확인필요",IF(E304&lt;설정!$C$17,"긴급(저혈당)",IF(E304&gt;=설정!$C$18,"긴급(고혈당)",IF(F304="공복",IF(E304&gt;=설정!$C$15,"주의","정상"),IF(F304="식후",IF(E304&gt;=설정!$C$16,"주의","정상"),"조건확인")))))))</f>
        <v/>
      </c>
      <c r="K304" s="25" t="str">
        <f aca="false">IF(OR(I304="긴급",LEFT(J304,2)="긴급"),"★ 즉시 선생님 호출",IF(OR(I304="주의",J304="주의"),"결과상담에서 확인",IF(J304="조건확인","혈당조건(공복/식후) 선택","")))</f>
        <v/>
      </c>
      <c r="L304" s="25" t="str">
        <f aca="false">IF($B304="","",IF(COUNTIF($B$5:$B$1004,$B304)&gt;1,"중복 입력",""))</f>
        <v/>
      </c>
    </row>
    <row r="305" customFormat="false" ht="1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5" t="str">
        <f aca="false">IF($B305="","",IFERROR(IF(INDEX(명단!$B$5:$B$404,MATCH($B305,명단!$A$5:$A$404,0))="","(이름 미입력)",INDEX(명단!$B$5:$B$404,MATCH($B305,명단!$A$5:$A$404,0))),"번호 없음"))</f>
        <v/>
      </c>
      <c r="I305" s="25" t="str">
        <f aca="false">IF(AND(C305="",D305=""),"",IF(OR(C305="-",D305="-"),"측정불가",IF(AND(ISNUMBER(C305),ISNUMBER(D305)),IF(OR(C305&gt;=설정!$C$11,D305&gt;=설정!$C$12),"긴급",IF(OR(C305&gt;=설정!$C$9,D305&gt;=설정!$C$10,C305&lt;설정!$C$13),"주의","정상")),"확인필요")))</f>
        <v/>
      </c>
      <c r="J305" s="25" t="str">
        <f aca="false">IF(E305="","",IF(E305="-","측정불가",IF(NOT(ISNUMBER(E305)),"확인필요",IF(E305&lt;설정!$C$17,"긴급(저혈당)",IF(E305&gt;=설정!$C$18,"긴급(고혈당)",IF(F305="공복",IF(E305&gt;=설정!$C$15,"주의","정상"),IF(F305="식후",IF(E305&gt;=설정!$C$16,"주의","정상"),"조건확인")))))))</f>
        <v/>
      </c>
      <c r="K305" s="25" t="str">
        <f aca="false">IF(OR(I305="긴급",LEFT(J305,2)="긴급"),"★ 즉시 선생님 호출",IF(OR(I305="주의",J305="주의"),"결과상담에서 확인",IF(J305="조건확인","혈당조건(공복/식후) 선택","")))</f>
        <v/>
      </c>
      <c r="L305" s="25" t="str">
        <f aca="false">IF($B305="","",IF(COUNTIF($B$5:$B$1004,$B305)&gt;1,"중복 입력",""))</f>
        <v/>
      </c>
    </row>
    <row r="306" customFormat="false" ht="1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5" t="str">
        <f aca="false">IF($B306="","",IFERROR(IF(INDEX(명단!$B$5:$B$404,MATCH($B306,명단!$A$5:$A$404,0))="","(이름 미입력)",INDEX(명단!$B$5:$B$404,MATCH($B306,명단!$A$5:$A$404,0))),"번호 없음"))</f>
        <v/>
      </c>
      <c r="I306" s="25" t="str">
        <f aca="false">IF(AND(C306="",D306=""),"",IF(OR(C306="-",D306="-"),"측정불가",IF(AND(ISNUMBER(C306),ISNUMBER(D306)),IF(OR(C306&gt;=설정!$C$11,D306&gt;=설정!$C$12),"긴급",IF(OR(C306&gt;=설정!$C$9,D306&gt;=설정!$C$10,C306&lt;설정!$C$13),"주의","정상")),"확인필요")))</f>
        <v/>
      </c>
      <c r="J306" s="25" t="str">
        <f aca="false">IF(E306="","",IF(E306="-","측정불가",IF(NOT(ISNUMBER(E306)),"확인필요",IF(E306&lt;설정!$C$17,"긴급(저혈당)",IF(E306&gt;=설정!$C$18,"긴급(고혈당)",IF(F306="공복",IF(E306&gt;=설정!$C$15,"주의","정상"),IF(F306="식후",IF(E306&gt;=설정!$C$16,"주의","정상"),"조건확인")))))))</f>
        <v/>
      </c>
      <c r="K306" s="25" t="str">
        <f aca="false">IF(OR(I306="긴급",LEFT(J306,2)="긴급"),"★ 즉시 선생님 호출",IF(OR(I306="주의",J306="주의"),"결과상담에서 확인",IF(J306="조건확인","혈당조건(공복/식후) 선택","")))</f>
        <v/>
      </c>
      <c r="L306" s="25" t="str">
        <f aca="false">IF($B306="","",IF(COUNTIF($B$5:$B$1004,$B306)&gt;1,"중복 입력",""))</f>
        <v/>
      </c>
    </row>
    <row r="307" customFormat="false" ht="1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5" t="str">
        <f aca="false">IF($B307="","",IFERROR(IF(INDEX(명단!$B$5:$B$404,MATCH($B307,명단!$A$5:$A$404,0))="","(이름 미입력)",INDEX(명단!$B$5:$B$404,MATCH($B307,명단!$A$5:$A$404,0))),"번호 없음"))</f>
        <v/>
      </c>
      <c r="I307" s="25" t="str">
        <f aca="false">IF(AND(C307="",D307=""),"",IF(OR(C307="-",D307="-"),"측정불가",IF(AND(ISNUMBER(C307),ISNUMBER(D307)),IF(OR(C307&gt;=설정!$C$11,D307&gt;=설정!$C$12),"긴급",IF(OR(C307&gt;=설정!$C$9,D307&gt;=설정!$C$10,C307&lt;설정!$C$13),"주의","정상")),"확인필요")))</f>
        <v/>
      </c>
      <c r="J307" s="25" t="str">
        <f aca="false">IF(E307="","",IF(E307="-","측정불가",IF(NOT(ISNUMBER(E307)),"확인필요",IF(E307&lt;설정!$C$17,"긴급(저혈당)",IF(E307&gt;=설정!$C$18,"긴급(고혈당)",IF(F307="공복",IF(E307&gt;=설정!$C$15,"주의","정상"),IF(F307="식후",IF(E307&gt;=설정!$C$16,"주의","정상"),"조건확인")))))))</f>
        <v/>
      </c>
      <c r="K307" s="25" t="str">
        <f aca="false">IF(OR(I307="긴급",LEFT(J307,2)="긴급"),"★ 즉시 선생님 호출",IF(OR(I307="주의",J307="주의"),"결과상담에서 확인",IF(J307="조건확인","혈당조건(공복/식후) 선택","")))</f>
        <v/>
      </c>
      <c r="L307" s="25" t="str">
        <f aca="false">IF($B307="","",IF(COUNTIF($B$5:$B$1004,$B307)&gt;1,"중복 입력",""))</f>
        <v/>
      </c>
    </row>
    <row r="308" customFormat="false" ht="1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5" t="str">
        <f aca="false">IF($B308="","",IFERROR(IF(INDEX(명단!$B$5:$B$404,MATCH($B308,명단!$A$5:$A$404,0))="","(이름 미입력)",INDEX(명단!$B$5:$B$404,MATCH($B308,명단!$A$5:$A$404,0))),"번호 없음"))</f>
        <v/>
      </c>
      <c r="I308" s="25" t="str">
        <f aca="false">IF(AND(C308="",D308=""),"",IF(OR(C308="-",D308="-"),"측정불가",IF(AND(ISNUMBER(C308),ISNUMBER(D308)),IF(OR(C308&gt;=설정!$C$11,D308&gt;=설정!$C$12),"긴급",IF(OR(C308&gt;=설정!$C$9,D308&gt;=설정!$C$10,C308&lt;설정!$C$13),"주의","정상")),"확인필요")))</f>
        <v/>
      </c>
      <c r="J308" s="25" t="str">
        <f aca="false">IF(E308="","",IF(E308="-","측정불가",IF(NOT(ISNUMBER(E308)),"확인필요",IF(E308&lt;설정!$C$17,"긴급(저혈당)",IF(E308&gt;=설정!$C$18,"긴급(고혈당)",IF(F308="공복",IF(E308&gt;=설정!$C$15,"주의","정상"),IF(F308="식후",IF(E308&gt;=설정!$C$16,"주의","정상"),"조건확인")))))))</f>
        <v/>
      </c>
      <c r="K308" s="25" t="str">
        <f aca="false">IF(OR(I308="긴급",LEFT(J308,2)="긴급"),"★ 즉시 선생님 호출",IF(OR(I308="주의",J308="주의"),"결과상담에서 확인",IF(J308="조건확인","혈당조건(공복/식후) 선택","")))</f>
        <v/>
      </c>
      <c r="L308" s="25" t="str">
        <f aca="false">IF($B308="","",IF(COUNTIF($B$5:$B$1004,$B308)&gt;1,"중복 입력",""))</f>
        <v/>
      </c>
    </row>
    <row r="309" customFormat="false" ht="1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5" t="str">
        <f aca="false">IF($B309="","",IFERROR(IF(INDEX(명단!$B$5:$B$404,MATCH($B309,명단!$A$5:$A$404,0))="","(이름 미입력)",INDEX(명단!$B$5:$B$404,MATCH($B309,명단!$A$5:$A$404,0))),"번호 없음"))</f>
        <v/>
      </c>
      <c r="I309" s="25" t="str">
        <f aca="false">IF(AND(C309="",D309=""),"",IF(OR(C309="-",D309="-"),"측정불가",IF(AND(ISNUMBER(C309),ISNUMBER(D309)),IF(OR(C309&gt;=설정!$C$11,D309&gt;=설정!$C$12),"긴급",IF(OR(C309&gt;=설정!$C$9,D309&gt;=설정!$C$10,C309&lt;설정!$C$13),"주의","정상")),"확인필요")))</f>
        <v/>
      </c>
      <c r="J309" s="25" t="str">
        <f aca="false">IF(E309="","",IF(E309="-","측정불가",IF(NOT(ISNUMBER(E309)),"확인필요",IF(E309&lt;설정!$C$17,"긴급(저혈당)",IF(E309&gt;=설정!$C$18,"긴급(고혈당)",IF(F309="공복",IF(E309&gt;=설정!$C$15,"주의","정상"),IF(F309="식후",IF(E309&gt;=설정!$C$16,"주의","정상"),"조건확인")))))))</f>
        <v/>
      </c>
      <c r="K309" s="25" t="str">
        <f aca="false">IF(OR(I309="긴급",LEFT(J309,2)="긴급"),"★ 즉시 선생님 호출",IF(OR(I309="주의",J309="주의"),"결과상담에서 확인",IF(J309="조건확인","혈당조건(공복/식후) 선택","")))</f>
        <v/>
      </c>
      <c r="L309" s="25" t="str">
        <f aca="false">IF($B309="","",IF(COUNTIF($B$5:$B$1004,$B309)&gt;1,"중복 입력",""))</f>
        <v/>
      </c>
    </row>
    <row r="310" customFormat="false" ht="1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5" t="str">
        <f aca="false">IF($B310="","",IFERROR(IF(INDEX(명단!$B$5:$B$404,MATCH($B310,명단!$A$5:$A$404,0))="","(이름 미입력)",INDEX(명단!$B$5:$B$404,MATCH($B310,명단!$A$5:$A$404,0))),"번호 없음"))</f>
        <v/>
      </c>
      <c r="I310" s="25" t="str">
        <f aca="false">IF(AND(C310="",D310=""),"",IF(OR(C310="-",D310="-"),"측정불가",IF(AND(ISNUMBER(C310),ISNUMBER(D310)),IF(OR(C310&gt;=설정!$C$11,D310&gt;=설정!$C$12),"긴급",IF(OR(C310&gt;=설정!$C$9,D310&gt;=설정!$C$10,C310&lt;설정!$C$13),"주의","정상")),"확인필요")))</f>
        <v/>
      </c>
      <c r="J310" s="25" t="str">
        <f aca="false">IF(E310="","",IF(E310="-","측정불가",IF(NOT(ISNUMBER(E310)),"확인필요",IF(E310&lt;설정!$C$17,"긴급(저혈당)",IF(E310&gt;=설정!$C$18,"긴급(고혈당)",IF(F310="공복",IF(E310&gt;=설정!$C$15,"주의","정상"),IF(F310="식후",IF(E310&gt;=설정!$C$16,"주의","정상"),"조건확인")))))))</f>
        <v/>
      </c>
      <c r="K310" s="25" t="str">
        <f aca="false">IF(OR(I310="긴급",LEFT(J310,2)="긴급"),"★ 즉시 선생님 호출",IF(OR(I310="주의",J310="주의"),"결과상담에서 확인",IF(J310="조건확인","혈당조건(공복/식후) 선택","")))</f>
        <v/>
      </c>
      <c r="L310" s="25" t="str">
        <f aca="false">IF($B310="","",IF(COUNTIF($B$5:$B$1004,$B310)&gt;1,"중복 입력",""))</f>
        <v/>
      </c>
    </row>
    <row r="311" customFormat="false" ht="1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5" t="str">
        <f aca="false">IF($B311="","",IFERROR(IF(INDEX(명단!$B$5:$B$404,MATCH($B311,명단!$A$5:$A$404,0))="","(이름 미입력)",INDEX(명단!$B$5:$B$404,MATCH($B311,명단!$A$5:$A$404,0))),"번호 없음"))</f>
        <v/>
      </c>
      <c r="I311" s="25" t="str">
        <f aca="false">IF(AND(C311="",D311=""),"",IF(OR(C311="-",D311="-"),"측정불가",IF(AND(ISNUMBER(C311),ISNUMBER(D311)),IF(OR(C311&gt;=설정!$C$11,D311&gt;=설정!$C$12),"긴급",IF(OR(C311&gt;=설정!$C$9,D311&gt;=설정!$C$10,C311&lt;설정!$C$13),"주의","정상")),"확인필요")))</f>
        <v/>
      </c>
      <c r="J311" s="25" t="str">
        <f aca="false">IF(E311="","",IF(E311="-","측정불가",IF(NOT(ISNUMBER(E311)),"확인필요",IF(E311&lt;설정!$C$17,"긴급(저혈당)",IF(E311&gt;=설정!$C$18,"긴급(고혈당)",IF(F311="공복",IF(E311&gt;=설정!$C$15,"주의","정상"),IF(F311="식후",IF(E311&gt;=설정!$C$16,"주의","정상"),"조건확인")))))))</f>
        <v/>
      </c>
      <c r="K311" s="25" t="str">
        <f aca="false">IF(OR(I311="긴급",LEFT(J311,2)="긴급"),"★ 즉시 선생님 호출",IF(OR(I311="주의",J311="주의"),"결과상담에서 확인",IF(J311="조건확인","혈당조건(공복/식후) 선택","")))</f>
        <v/>
      </c>
      <c r="L311" s="25" t="str">
        <f aca="false">IF($B311="","",IF(COUNTIF($B$5:$B$1004,$B311)&gt;1,"중복 입력",""))</f>
        <v/>
      </c>
    </row>
    <row r="312" customFormat="false" ht="1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5" t="str">
        <f aca="false">IF($B312="","",IFERROR(IF(INDEX(명단!$B$5:$B$404,MATCH($B312,명단!$A$5:$A$404,0))="","(이름 미입력)",INDEX(명단!$B$5:$B$404,MATCH($B312,명단!$A$5:$A$404,0))),"번호 없음"))</f>
        <v/>
      </c>
      <c r="I312" s="25" t="str">
        <f aca="false">IF(AND(C312="",D312=""),"",IF(OR(C312="-",D312="-"),"측정불가",IF(AND(ISNUMBER(C312),ISNUMBER(D312)),IF(OR(C312&gt;=설정!$C$11,D312&gt;=설정!$C$12),"긴급",IF(OR(C312&gt;=설정!$C$9,D312&gt;=설정!$C$10,C312&lt;설정!$C$13),"주의","정상")),"확인필요")))</f>
        <v/>
      </c>
      <c r="J312" s="25" t="str">
        <f aca="false">IF(E312="","",IF(E312="-","측정불가",IF(NOT(ISNUMBER(E312)),"확인필요",IF(E312&lt;설정!$C$17,"긴급(저혈당)",IF(E312&gt;=설정!$C$18,"긴급(고혈당)",IF(F312="공복",IF(E312&gt;=설정!$C$15,"주의","정상"),IF(F312="식후",IF(E312&gt;=설정!$C$16,"주의","정상"),"조건확인")))))))</f>
        <v/>
      </c>
      <c r="K312" s="25" t="str">
        <f aca="false">IF(OR(I312="긴급",LEFT(J312,2)="긴급"),"★ 즉시 선생님 호출",IF(OR(I312="주의",J312="주의"),"결과상담에서 확인",IF(J312="조건확인","혈당조건(공복/식후) 선택","")))</f>
        <v/>
      </c>
      <c r="L312" s="25" t="str">
        <f aca="false">IF($B312="","",IF(COUNTIF($B$5:$B$1004,$B312)&gt;1,"중복 입력",""))</f>
        <v/>
      </c>
    </row>
    <row r="313" customFormat="false" ht="1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5" t="str">
        <f aca="false">IF($B313="","",IFERROR(IF(INDEX(명단!$B$5:$B$404,MATCH($B313,명단!$A$5:$A$404,0))="","(이름 미입력)",INDEX(명단!$B$5:$B$404,MATCH($B313,명단!$A$5:$A$404,0))),"번호 없음"))</f>
        <v/>
      </c>
      <c r="I313" s="25" t="str">
        <f aca="false">IF(AND(C313="",D313=""),"",IF(OR(C313="-",D313="-"),"측정불가",IF(AND(ISNUMBER(C313),ISNUMBER(D313)),IF(OR(C313&gt;=설정!$C$11,D313&gt;=설정!$C$12),"긴급",IF(OR(C313&gt;=설정!$C$9,D313&gt;=설정!$C$10,C313&lt;설정!$C$13),"주의","정상")),"확인필요")))</f>
        <v/>
      </c>
      <c r="J313" s="25" t="str">
        <f aca="false">IF(E313="","",IF(E313="-","측정불가",IF(NOT(ISNUMBER(E313)),"확인필요",IF(E313&lt;설정!$C$17,"긴급(저혈당)",IF(E313&gt;=설정!$C$18,"긴급(고혈당)",IF(F313="공복",IF(E313&gt;=설정!$C$15,"주의","정상"),IF(F313="식후",IF(E313&gt;=설정!$C$16,"주의","정상"),"조건확인")))))))</f>
        <v/>
      </c>
      <c r="K313" s="25" t="str">
        <f aca="false">IF(OR(I313="긴급",LEFT(J313,2)="긴급"),"★ 즉시 선생님 호출",IF(OR(I313="주의",J313="주의"),"결과상담에서 확인",IF(J313="조건확인","혈당조건(공복/식후) 선택","")))</f>
        <v/>
      </c>
      <c r="L313" s="25" t="str">
        <f aca="false">IF($B313="","",IF(COUNTIF($B$5:$B$1004,$B313)&gt;1,"중복 입력",""))</f>
        <v/>
      </c>
    </row>
    <row r="314" customFormat="false" ht="1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5" t="str">
        <f aca="false">IF($B314="","",IFERROR(IF(INDEX(명단!$B$5:$B$404,MATCH($B314,명단!$A$5:$A$404,0))="","(이름 미입력)",INDEX(명단!$B$5:$B$404,MATCH($B314,명단!$A$5:$A$404,0))),"번호 없음"))</f>
        <v/>
      </c>
      <c r="I314" s="25" t="str">
        <f aca="false">IF(AND(C314="",D314=""),"",IF(OR(C314="-",D314="-"),"측정불가",IF(AND(ISNUMBER(C314),ISNUMBER(D314)),IF(OR(C314&gt;=설정!$C$11,D314&gt;=설정!$C$12),"긴급",IF(OR(C314&gt;=설정!$C$9,D314&gt;=설정!$C$10,C314&lt;설정!$C$13),"주의","정상")),"확인필요")))</f>
        <v/>
      </c>
      <c r="J314" s="25" t="str">
        <f aca="false">IF(E314="","",IF(E314="-","측정불가",IF(NOT(ISNUMBER(E314)),"확인필요",IF(E314&lt;설정!$C$17,"긴급(저혈당)",IF(E314&gt;=설정!$C$18,"긴급(고혈당)",IF(F314="공복",IF(E314&gt;=설정!$C$15,"주의","정상"),IF(F314="식후",IF(E314&gt;=설정!$C$16,"주의","정상"),"조건확인")))))))</f>
        <v/>
      </c>
      <c r="K314" s="25" t="str">
        <f aca="false">IF(OR(I314="긴급",LEFT(J314,2)="긴급"),"★ 즉시 선생님 호출",IF(OR(I314="주의",J314="주의"),"결과상담에서 확인",IF(J314="조건확인","혈당조건(공복/식후) 선택","")))</f>
        <v/>
      </c>
      <c r="L314" s="25" t="str">
        <f aca="false">IF($B314="","",IF(COUNTIF($B$5:$B$1004,$B314)&gt;1,"중복 입력",""))</f>
        <v/>
      </c>
    </row>
    <row r="315" customFormat="false" ht="1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5" t="str">
        <f aca="false">IF($B315="","",IFERROR(IF(INDEX(명단!$B$5:$B$404,MATCH($B315,명단!$A$5:$A$404,0))="","(이름 미입력)",INDEX(명단!$B$5:$B$404,MATCH($B315,명단!$A$5:$A$404,0))),"번호 없음"))</f>
        <v/>
      </c>
      <c r="I315" s="25" t="str">
        <f aca="false">IF(AND(C315="",D315=""),"",IF(OR(C315="-",D315="-"),"측정불가",IF(AND(ISNUMBER(C315),ISNUMBER(D315)),IF(OR(C315&gt;=설정!$C$11,D315&gt;=설정!$C$12),"긴급",IF(OR(C315&gt;=설정!$C$9,D315&gt;=설정!$C$10,C315&lt;설정!$C$13),"주의","정상")),"확인필요")))</f>
        <v/>
      </c>
      <c r="J315" s="25" t="str">
        <f aca="false">IF(E315="","",IF(E315="-","측정불가",IF(NOT(ISNUMBER(E315)),"확인필요",IF(E315&lt;설정!$C$17,"긴급(저혈당)",IF(E315&gt;=설정!$C$18,"긴급(고혈당)",IF(F315="공복",IF(E315&gt;=설정!$C$15,"주의","정상"),IF(F315="식후",IF(E315&gt;=설정!$C$16,"주의","정상"),"조건확인")))))))</f>
        <v/>
      </c>
      <c r="K315" s="25" t="str">
        <f aca="false">IF(OR(I315="긴급",LEFT(J315,2)="긴급"),"★ 즉시 선생님 호출",IF(OR(I315="주의",J315="주의"),"결과상담에서 확인",IF(J315="조건확인","혈당조건(공복/식후) 선택","")))</f>
        <v/>
      </c>
      <c r="L315" s="25" t="str">
        <f aca="false">IF($B315="","",IF(COUNTIF($B$5:$B$1004,$B315)&gt;1,"중복 입력",""))</f>
        <v/>
      </c>
    </row>
    <row r="316" customFormat="false" ht="1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5" t="str">
        <f aca="false">IF($B316="","",IFERROR(IF(INDEX(명단!$B$5:$B$404,MATCH($B316,명단!$A$5:$A$404,0))="","(이름 미입력)",INDEX(명단!$B$5:$B$404,MATCH($B316,명단!$A$5:$A$404,0))),"번호 없음"))</f>
        <v/>
      </c>
      <c r="I316" s="25" t="str">
        <f aca="false">IF(AND(C316="",D316=""),"",IF(OR(C316="-",D316="-"),"측정불가",IF(AND(ISNUMBER(C316),ISNUMBER(D316)),IF(OR(C316&gt;=설정!$C$11,D316&gt;=설정!$C$12),"긴급",IF(OR(C316&gt;=설정!$C$9,D316&gt;=설정!$C$10,C316&lt;설정!$C$13),"주의","정상")),"확인필요")))</f>
        <v/>
      </c>
      <c r="J316" s="25" t="str">
        <f aca="false">IF(E316="","",IF(E316="-","측정불가",IF(NOT(ISNUMBER(E316)),"확인필요",IF(E316&lt;설정!$C$17,"긴급(저혈당)",IF(E316&gt;=설정!$C$18,"긴급(고혈당)",IF(F316="공복",IF(E316&gt;=설정!$C$15,"주의","정상"),IF(F316="식후",IF(E316&gt;=설정!$C$16,"주의","정상"),"조건확인")))))))</f>
        <v/>
      </c>
      <c r="K316" s="25" t="str">
        <f aca="false">IF(OR(I316="긴급",LEFT(J316,2)="긴급"),"★ 즉시 선생님 호출",IF(OR(I316="주의",J316="주의"),"결과상담에서 확인",IF(J316="조건확인","혈당조건(공복/식후) 선택","")))</f>
        <v/>
      </c>
      <c r="L316" s="25" t="str">
        <f aca="false">IF($B316="","",IF(COUNTIF($B$5:$B$1004,$B316)&gt;1,"중복 입력",""))</f>
        <v/>
      </c>
    </row>
    <row r="317" customFormat="false" ht="1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5" t="str">
        <f aca="false">IF($B317="","",IFERROR(IF(INDEX(명단!$B$5:$B$404,MATCH($B317,명단!$A$5:$A$404,0))="","(이름 미입력)",INDEX(명단!$B$5:$B$404,MATCH($B317,명단!$A$5:$A$404,0))),"번호 없음"))</f>
        <v/>
      </c>
      <c r="I317" s="25" t="str">
        <f aca="false">IF(AND(C317="",D317=""),"",IF(OR(C317="-",D317="-"),"측정불가",IF(AND(ISNUMBER(C317),ISNUMBER(D317)),IF(OR(C317&gt;=설정!$C$11,D317&gt;=설정!$C$12),"긴급",IF(OR(C317&gt;=설정!$C$9,D317&gt;=설정!$C$10,C317&lt;설정!$C$13),"주의","정상")),"확인필요")))</f>
        <v/>
      </c>
      <c r="J317" s="25" t="str">
        <f aca="false">IF(E317="","",IF(E317="-","측정불가",IF(NOT(ISNUMBER(E317)),"확인필요",IF(E317&lt;설정!$C$17,"긴급(저혈당)",IF(E317&gt;=설정!$C$18,"긴급(고혈당)",IF(F317="공복",IF(E317&gt;=설정!$C$15,"주의","정상"),IF(F317="식후",IF(E317&gt;=설정!$C$16,"주의","정상"),"조건확인")))))))</f>
        <v/>
      </c>
      <c r="K317" s="25" t="str">
        <f aca="false">IF(OR(I317="긴급",LEFT(J317,2)="긴급"),"★ 즉시 선생님 호출",IF(OR(I317="주의",J317="주의"),"결과상담에서 확인",IF(J317="조건확인","혈당조건(공복/식후) 선택","")))</f>
        <v/>
      </c>
      <c r="L317" s="25" t="str">
        <f aca="false">IF($B317="","",IF(COUNTIF($B$5:$B$1004,$B317)&gt;1,"중복 입력",""))</f>
        <v/>
      </c>
    </row>
    <row r="318" customFormat="false" ht="1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5" t="str">
        <f aca="false">IF($B318="","",IFERROR(IF(INDEX(명단!$B$5:$B$404,MATCH($B318,명단!$A$5:$A$404,0))="","(이름 미입력)",INDEX(명단!$B$5:$B$404,MATCH($B318,명단!$A$5:$A$404,0))),"번호 없음"))</f>
        <v/>
      </c>
      <c r="I318" s="25" t="str">
        <f aca="false">IF(AND(C318="",D318=""),"",IF(OR(C318="-",D318="-"),"측정불가",IF(AND(ISNUMBER(C318),ISNUMBER(D318)),IF(OR(C318&gt;=설정!$C$11,D318&gt;=설정!$C$12),"긴급",IF(OR(C318&gt;=설정!$C$9,D318&gt;=설정!$C$10,C318&lt;설정!$C$13),"주의","정상")),"확인필요")))</f>
        <v/>
      </c>
      <c r="J318" s="25" t="str">
        <f aca="false">IF(E318="","",IF(E318="-","측정불가",IF(NOT(ISNUMBER(E318)),"확인필요",IF(E318&lt;설정!$C$17,"긴급(저혈당)",IF(E318&gt;=설정!$C$18,"긴급(고혈당)",IF(F318="공복",IF(E318&gt;=설정!$C$15,"주의","정상"),IF(F318="식후",IF(E318&gt;=설정!$C$16,"주의","정상"),"조건확인")))))))</f>
        <v/>
      </c>
      <c r="K318" s="25" t="str">
        <f aca="false">IF(OR(I318="긴급",LEFT(J318,2)="긴급"),"★ 즉시 선생님 호출",IF(OR(I318="주의",J318="주의"),"결과상담에서 확인",IF(J318="조건확인","혈당조건(공복/식후) 선택","")))</f>
        <v/>
      </c>
      <c r="L318" s="25" t="str">
        <f aca="false">IF($B318="","",IF(COUNTIF($B$5:$B$1004,$B318)&gt;1,"중복 입력",""))</f>
        <v/>
      </c>
    </row>
    <row r="319" customFormat="false" ht="1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5" t="str">
        <f aca="false">IF($B319="","",IFERROR(IF(INDEX(명단!$B$5:$B$404,MATCH($B319,명단!$A$5:$A$404,0))="","(이름 미입력)",INDEX(명단!$B$5:$B$404,MATCH($B319,명단!$A$5:$A$404,0))),"번호 없음"))</f>
        <v/>
      </c>
      <c r="I319" s="25" t="str">
        <f aca="false">IF(AND(C319="",D319=""),"",IF(OR(C319="-",D319="-"),"측정불가",IF(AND(ISNUMBER(C319),ISNUMBER(D319)),IF(OR(C319&gt;=설정!$C$11,D319&gt;=설정!$C$12),"긴급",IF(OR(C319&gt;=설정!$C$9,D319&gt;=설정!$C$10,C319&lt;설정!$C$13),"주의","정상")),"확인필요")))</f>
        <v/>
      </c>
      <c r="J319" s="25" t="str">
        <f aca="false">IF(E319="","",IF(E319="-","측정불가",IF(NOT(ISNUMBER(E319)),"확인필요",IF(E319&lt;설정!$C$17,"긴급(저혈당)",IF(E319&gt;=설정!$C$18,"긴급(고혈당)",IF(F319="공복",IF(E319&gt;=설정!$C$15,"주의","정상"),IF(F319="식후",IF(E319&gt;=설정!$C$16,"주의","정상"),"조건확인")))))))</f>
        <v/>
      </c>
      <c r="K319" s="25" t="str">
        <f aca="false">IF(OR(I319="긴급",LEFT(J319,2)="긴급"),"★ 즉시 선생님 호출",IF(OR(I319="주의",J319="주의"),"결과상담에서 확인",IF(J319="조건확인","혈당조건(공복/식후) 선택","")))</f>
        <v/>
      </c>
      <c r="L319" s="25" t="str">
        <f aca="false">IF($B319="","",IF(COUNTIF($B$5:$B$1004,$B319)&gt;1,"중복 입력",""))</f>
        <v/>
      </c>
    </row>
    <row r="320" customFormat="false" ht="1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5" t="str">
        <f aca="false">IF($B320="","",IFERROR(IF(INDEX(명단!$B$5:$B$404,MATCH($B320,명단!$A$5:$A$404,0))="","(이름 미입력)",INDEX(명단!$B$5:$B$404,MATCH($B320,명단!$A$5:$A$404,0))),"번호 없음"))</f>
        <v/>
      </c>
      <c r="I320" s="25" t="str">
        <f aca="false">IF(AND(C320="",D320=""),"",IF(OR(C320="-",D320="-"),"측정불가",IF(AND(ISNUMBER(C320),ISNUMBER(D320)),IF(OR(C320&gt;=설정!$C$11,D320&gt;=설정!$C$12),"긴급",IF(OR(C320&gt;=설정!$C$9,D320&gt;=설정!$C$10,C320&lt;설정!$C$13),"주의","정상")),"확인필요")))</f>
        <v/>
      </c>
      <c r="J320" s="25" t="str">
        <f aca="false">IF(E320="","",IF(E320="-","측정불가",IF(NOT(ISNUMBER(E320)),"확인필요",IF(E320&lt;설정!$C$17,"긴급(저혈당)",IF(E320&gt;=설정!$C$18,"긴급(고혈당)",IF(F320="공복",IF(E320&gt;=설정!$C$15,"주의","정상"),IF(F320="식후",IF(E320&gt;=설정!$C$16,"주의","정상"),"조건확인")))))))</f>
        <v/>
      </c>
      <c r="K320" s="25" t="str">
        <f aca="false">IF(OR(I320="긴급",LEFT(J320,2)="긴급"),"★ 즉시 선생님 호출",IF(OR(I320="주의",J320="주의"),"결과상담에서 확인",IF(J320="조건확인","혈당조건(공복/식후) 선택","")))</f>
        <v/>
      </c>
      <c r="L320" s="25" t="str">
        <f aca="false">IF($B320="","",IF(COUNTIF($B$5:$B$1004,$B320)&gt;1,"중복 입력",""))</f>
        <v/>
      </c>
    </row>
    <row r="321" customFormat="false" ht="1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5" t="str">
        <f aca="false">IF($B321="","",IFERROR(IF(INDEX(명단!$B$5:$B$404,MATCH($B321,명단!$A$5:$A$404,0))="","(이름 미입력)",INDEX(명단!$B$5:$B$404,MATCH($B321,명단!$A$5:$A$404,0))),"번호 없음"))</f>
        <v/>
      </c>
      <c r="I321" s="25" t="str">
        <f aca="false">IF(AND(C321="",D321=""),"",IF(OR(C321="-",D321="-"),"측정불가",IF(AND(ISNUMBER(C321),ISNUMBER(D321)),IF(OR(C321&gt;=설정!$C$11,D321&gt;=설정!$C$12),"긴급",IF(OR(C321&gt;=설정!$C$9,D321&gt;=설정!$C$10,C321&lt;설정!$C$13),"주의","정상")),"확인필요")))</f>
        <v/>
      </c>
      <c r="J321" s="25" t="str">
        <f aca="false">IF(E321="","",IF(E321="-","측정불가",IF(NOT(ISNUMBER(E321)),"확인필요",IF(E321&lt;설정!$C$17,"긴급(저혈당)",IF(E321&gt;=설정!$C$18,"긴급(고혈당)",IF(F321="공복",IF(E321&gt;=설정!$C$15,"주의","정상"),IF(F321="식후",IF(E321&gt;=설정!$C$16,"주의","정상"),"조건확인")))))))</f>
        <v/>
      </c>
      <c r="K321" s="25" t="str">
        <f aca="false">IF(OR(I321="긴급",LEFT(J321,2)="긴급"),"★ 즉시 선생님 호출",IF(OR(I321="주의",J321="주의"),"결과상담에서 확인",IF(J321="조건확인","혈당조건(공복/식후) 선택","")))</f>
        <v/>
      </c>
      <c r="L321" s="25" t="str">
        <f aca="false">IF($B321="","",IF(COUNTIF($B$5:$B$1004,$B321)&gt;1,"중복 입력",""))</f>
        <v/>
      </c>
    </row>
    <row r="322" customFormat="false" ht="1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5" t="str">
        <f aca="false">IF($B322="","",IFERROR(IF(INDEX(명단!$B$5:$B$404,MATCH($B322,명단!$A$5:$A$404,0))="","(이름 미입력)",INDEX(명단!$B$5:$B$404,MATCH($B322,명단!$A$5:$A$404,0))),"번호 없음"))</f>
        <v/>
      </c>
      <c r="I322" s="25" t="str">
        <f aca="false">IF(AND(C322="",D322=""),"",IF(OR(C322="-",D322="-"),"측정불가",IF(AND(ISNUMBER(C322),ISNUMBER(D322)),IF(OR(C322&gt;=설정!$C$11,D322&gt;=설정!$C$12),"긴급",IF(OR(C322&gt;=설정!$C$9,D322&gt;=설정!$C$10,C322&lt;설정!$C$13),"주의","정상")),"확인필요")))</f>
        <v/>
      </c>
      <c r="J322" s="25" t="str">
        <f aca="false">IF(E322="","",IF(E322="-","측정불가",IF(NOT(ISNUMBER(E322)),"확인필요",IF(E322&lt;설정!$C$17,"긴급(저혈당)",IF(E322&gt;=설정!$C$18,"긴급(고혈당)",IF(F322="공복",IF(E322&gt;=설정!$C$15,"주의","정상"),IF(F322="식후",IF(E322&gt;=설정!$C$16,"주의","정상"),"조건확인")))))))</f>
        <v/>
      </c>
      <c r="K322" s="25" t="str">
        <f aca="false">IF(OR(I322="긴급",LEFT(J322,2)="긴급"),"★ 즉시 선생님 호출",IF(OR(I322="주의",J322="주의"),"결과상담에서 확인",IF(J322="조건확인","혈당조건(공복/식후) 선택","")))</f>
        <v/>
      </c>
      <c r="L322" s="25" t="str">
        <f aca="false">IF($B322="","",IF(COUNTIF($B$5:$B$1004,$B322)&gt;1,"중복 입력",""))</f>
        <v/>
      </c>
    </row>
    <row r="323" customFormat="false" ht="1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5" t="str">
        <f aca="false">IF($B323="","",IFERROR(IF(INDEX(명단!$B$5:$B$404,MATCH($B323,명단!$A$5:$A$404,0))="","(이름 미입력)",INDEX(명단!$B$5:$B$404,MATCH($B323,명단!$A$5:$A$404,0))),"번호 없음"))</f>
        <v/>
      </c>
      <c r="I323" s="25" t="str">
        <f aca="false">IF(AND(C323="",D323=""),"",IF(OR(C323="-",D323="-"),"측정불가",IF(AND(ISNUMBER(C323),ISNUMBER(D323)),IF(OR(C323&gt;=설정!$C$11,D323&gt;=설정!$C$12),"긴급",IF(OR(C323&gt;=설정!$C$9,D323&gt;=설정!$C$10,C323&lt;설정!$C$13),"주의","정상")),"확인필요")))</f>
        <v/>
      </c>
      <c r="J323" s="25" t="str">
        <f aca="false">IF(E323="","",IF(E323="-","측정불가",IF(NOT(ISNUMBER(E323)),"확인필요",IF(E323&lt;설정!$C$17,"긴급(저혈당)",IF(E323&gt;=설정!$C$18,"긴급(고혈당)",IF(F323="공복",IF(E323&gt;=설정!$C$15,"주의","정상"),IF(F323="식후",IF(E323&gt;=설정!$C$16,"주의","정상"),"조건확인")))))))</f>
        <v/>
      </c>
      <c r="K323" s="25" t="str">
        <f aca="false">IF(OR(I323="긴급",LEFT(J323,2)="긴급"),"★ 즉시 선생님 호출",IF(OR(I323="주의",J323="주의"),"결과상담에서 확인",IF(J323="조건확인","혈당조건(공복/식후) 선택","")))</f>
        <v/>
      </c>
      <c r="L323" s="25" t="str">
        <f aca="false">IF($B323="","",IF(COUNTIF($B$5:$B$1004,$B323)&gt;1,"중복 입력",""))</f>
        <v/>
      </c>
    </row>
    <row r="324" customFormat="false" ht="1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5" t="str">
        <f aca="false">IF($B324="","",IFERROR(IF(INDEX(명단!$B$5:$B$404,MATCH($B324,명단!$A$5:$A$404,0))="","(이름 미입력)",INDEX(명단!$B$5:$B$404,MATCH($B324,명단!$A$5:$A$404,0))),"번호 없음"))</f>
        <v/>
      </c>
      <c r="I324" s="25" t="str">
        <f aca="false">IF(AND(C324="",D324=""),"",IF(OR(C324="-",D324="-"),"측정불가",IF(AND(ISNUMBER(C324),ISNUMBER(D324)),IF(OR(C324&gt;=설정!$C$11,D324&gt;=설정!$C$12),"긴급",IF(OR(C324&gt;=설정!$C$9,D324&gt;=설정!$C$10,C324&lt;설정!$C$13),"주의","정상")),"확인필요")))</f>
        <v/>
      </c>
      <c r="J324" s="25" t="str">
        <f aca="false">IF(E324="","",IF(E324="-","측정불가",IF(NOT(ISNUMBER(E324)),"확인필요",IF(E324&lt;설정!$C$17,"긴급(저혈당)",IF(E324&gt;=설정!$C$18,"긴급(고혈당)",IF(F324="공복",IF(E324&gt;=설정!$C$15,"주의","정상"),IF(F324="식후",IF(E324&gt;=설정!$C$16,"주의","정상"),"조건확인")))))))</f>
        <v/>
      </c>
      <c r="K324" s="25" t="str">
        <f aca="false">IF(OR(I324="긴급",LEFT(J324,2)="긴급"),"★ 즉시 선생님 호출",IF(OR(I324="주의",J324="주의"),"결과상담에서 확인",IF(J324="조건확인","혈당조건(공복/식후) 선택","")))</f>
        <v/>
      </c>
      <c r="L324" s="25" t="str">
        <f aca="false">IF($B324="","",IF(COUNTIF($B$5:$B$1004,$B324)&gt;1,"중복 입력",""))</f>
        <v/>
      </c>
    </row>
    <row r="325" customFormat="false" ht="1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5" t="str">
        <f aca="false">IF($B325="","",IFERROR(IF(INDEX(명단!$B$5:$B$404,MATCH($B325,명단!$A$5:$A$404,0))="","(이름 미입력)",INDEX(명단!$B$5:$B$404,MATCH($B325,명단!$A$5:$A$404,0))),"번호 없음"))</f>
        <v/>
      </c>
      <c r="I325" s="25" t="str">
        <f aca="false">IF(AND(C325="",D325=""),"",IF(OR(C325="-",D325="-"),"측정불가",IF(AND(ISNUMBER(C325),ISNUMBER(D325)),IF(OR(C325&gt;=설정!$C$11,D325&gt;=설정!$C$12),"긴급",IF(OR(C325&gt;=설정!$C$9,D325&gt;=설정!$C$10,C325&lt;설정!$C$13),"주의","정상")),"확인필요")))</f>
        <v/>
      </c>
      <c r="J325" s="25" t="str">
        <f aca="false">IF(E325="","",IF(E325="-","측정불가",IF(NOT(ISNUMBER(E325)),"확인필요",IF(E325&lt;설정!$C$17,"긴급(저혈당)",IF(E325&gt;=설정!$C$18,"긴급(고혈당)",IF(F325="공복",IF(E325&gt;=설정!$C$15,"주의","정상"),IF(F325="식후",IF(E325&gt;=설정!$C$16,"주의","정상"),"조건확인")))))))</f>
        <v/>
      </c>
      <c r="K325" s="25" t="str">
        <f aca="false">IF(OR(I325="긴급",LEFT(J325,2)="긴급"),"★ 즉시 선생님 호출",IF(OR(I325="주의",J325="주의"),"결과상담에서 확인",IF(J325="조건확인","혈당조건(공복/식후) 선택","")))</f>
        <v/>
      </c>
      <c r="L325" s="25" t="str">
        <f aca="false">IF($B325="","",IF(COUNTIF($B$5:$B$1004,$B325)&gt;1,"중복 입력",""))</f>
        <v/>
      </c>
    </row>
    <row r="326" customFormat="false" ht="1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5" t="str">
        <f aca="false">IF($B326="","",IFERROR(IF(INDEX(명단!$B$5:$B$404,MATCH($B326,명단!$A$5:$A$404,0))="","(이름 미입력)",INDEX(명단!$B$5:$B$404,MATCH($B326,명단!$A$5:$A$404,0))),"번호 없음"))</f>
        <v/>
      </c>
      <c r="I326" s="25" t="str">
        <f aca="false">IF(AND(C326="",D326=""),"",IF(OR(C326="-",D326="-"),"측정불가",IF(AND(ISNUMBER(C326),ISNUMBER(D326)),IF(OR(C326&gt;=설정!$C$11,D326&gt;=설정!$C$12),"긴급",IF(OR(C326&gt;=설정!$C$9,D326&gt;=설정!$C$10,C326&lt;설정!$C$13),"주의","정상")),"확인필요")))</f>
        <v/>
      </c>
      <c r="J326" s="25" t="str">
        <f aca="false">IF(E326="","",IF(E326="-","측정불가",IF(NOT(ISNUMBER(E326)),"확인필요",IF(E326&lt;설정!$C$17,"긴급(저혈당)",IF(E326&gt;=설정!$C$18,"긴급(고혈당)",IF(F326="공복",IF(E326&gt;=설정!$C$15,"주의","정상"),IF(F326="식후",IF(E326&gt;=설정!$C$16,"주의","정상"),"조건확인")))))))</f>
        <v/>
      </c>
      <c r="K326" s="25" t="str">
        <f aca="false">IF(OR(I326="긴급",LEFT(J326,2)="긴급"),"★ 즉시 선생님 호출",IF(OR(I326="주의",J326="주의"),"결과상담에서 확인",IF(J326="조건확인","혈당조건(공복/식후) 선택","")))</f>
        <v/>
      </c>
      <c r="L326" s="25" t="str">
        <f aca="false">IF($B326="","",IF(COUNTIF($B$5:$B$1004,$B326)&gt;1,"중복 입력",""))</f>
        <v/>
      </c>
    </row>
    <row r="327" customFormat="false" ht="1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5" t="str">
        <f aca="false">IF($B327="","",IFERROR(IF(INDEX(명단!$B$5:$B$404,MATCH($B327,명단!$A$5:$A$404,0))="","(이름 미입력)",INDEX(명단!$B$5:$B$404,MATCH($B327,명단!$A$5:$A$404,0))),"번호 없음"))</f>
        <v/>
      </c>
      <c r="I327" s="25" t="str">
        <f aca="false">IF(AND(C327="",D327=""),"",IF(OR(C327="-",D327="-"),"측정불가",IF(AND(ISNUMBER(C327),ISNUMBER(D327)),IF(OR(C327&gt;=설정!$C$11,D327&gt;=설정!$C$12),"긴급",IF(OR(C327&gt;=설정!$C$9,D327&gt;=설정!$C$10,C327&lt;설정!$C$13),"주의","정상")),"확인필요")))</f>
        <v/>
      </c>
      <c r="J327" s="25" t="str">
        <f aca="false">IF(E327="","",IF(E327="-","측정불가",IF(NOT(ISNUMBER(E327)),"확인필요",IF(E327&lt;설정!$C$17,"긴급(저혈당)",IF(E327&gt;=설정!$C$18,"긴급(고혈당)",IF(F327="공복",IF(E327&gt;=설정!$C$15,"주의","정상"),IF(F327="식후",IF(E327&gt;=설정!$C$16,"주의","정상"),"조건확인")))))))</f>
        <v/>
      </c>
      <c r="K327" s="25" t="str">
        <f aca="false">IF(OR(I327="긴급",LEFT(J327,2)="긴급"),"★ 즉시 선생님 호출",IF(OR(I327="주의",J327="주의"),"결과상담에서 확인",IF(J327="조건확인","혈당조건(공복/식후) 선택","")))</f>
        <v/>
      </c>
      <c r="L327" s="25" t="str">
        <f aca="false">IF($B327="","",IF(COUNTIF($B$5:$B$1004,$B327)&gt;1,"중복 입력",""))</f>
        <v/>
      </c>
    </row>
    <row r="328" customFormat="false" ht="1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5" t="str">
        <f aca="false">IF($B328="","",IFERROR(IF(INDEX(명단!$B$5:$B$404,MATCH($B328,명단!$A$5:$A$404,0))="","(이름 미입력)",INDEX(명단!$B$5:$B$404,MATCH($B328,명단!$A$5:$A$404,0))),"번호 없음"))</f>
        <v/>
      </c>
      <c r="I328" s="25" t="str">
        <f aca="false">IF(AND(C328="",D328=""),"",IF(OR(C328="-",D328="-"),"측정불가",IF(AND(ISNUMBER(C328),ISNUMBER(D328)),IF(OR(C328&gt;=설정!$C$11,D328&gt;=설정!$C$12),"긴급",IF(OR(C328&gt;=설정!$C$9,D328&gt;=설정!$C$10,C328&lt;설정!$C$13),"주의","정상")),"확인필요")))</f>
        <v/>
      </c>
      <c r="J328" s="25" t="str">
        <f aca="false">IF(E328="","",IF(E328="-","측정불가",IF(NOT(ISNUMBER(E328)),"확인필요",IF(E328&lt;설정!$C$17,"긴급(저혈당)",IF(E328&gt;=설정!$C$18,"긴급(고혈당)",IF(F328="공복",IF(E328&gt;=설정!$C$15,"주의","정상"),IF(F328="식후",IF(E328&gt;=설정!$C$16,"주의","정상"),"조건확인")))))))</f>
        <v/>
      </c>
      <c r="K328" s="25" t="str">
        <f aca="false">IF(OR(I328="긴급",LEFT(J328,2)="긴급"),"★ 즉시 선생님 호출",IF(OR(I328="주의",J328="주의"),"결과상담에서 확인",IF(J328="조건확인","혈당조건(공복/식후) 선택","")))</f>
        <v/>
      </c>
      <c r="L328" s="25" t="str">
        <f aca="false">IF($B328="","",IF(COUNTIF($B$5:$B$1004,$B328)&gt;1,"중복 입력",""))</f>
        <v/>
      </c>
    </row>
    <row r="329" customFormat="false" ht="1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5" t="str">
        <f aca="false">IF($B329="","",IFERROR(IF(INDEX(명단!$B$5:$B$404,MATCH($B329,명단!$A$5:$A$404,0))="","(이름 미입력)",INDEX(명단!$B$5:$B$404,MATCH($B329,명단!$A$5:$A$404,0))),"번호 없음"))</f>
        <v/>
      </c>
      <c r="I329" s="25" t="str">
        <f aca="false">IF(AND(C329="",D329=""),"",IF(OR(C329="-",D329="-"),"측정불가",IF(AND(ISNUMBER(C329),ISNUMBER(D329)),IF(OR(C329&gt;=설정!$C$11,D329&gt;=설정!$C$12),"긴급",IF(OR(C329&gt;=설정!$C$9,D329&gt;=설정!$C$10,C329&lt;설정!$C$13),"주의","정상")),"확인필요")))</f>
        <v/>
      </c>
      <c r="J329" s="25" t="str">
        <f aca="false">IF(E329="","",IF(E329="-","측정불가",IF(NOT(ISNUMBER(E329)),"확인필요",IF(E329&lt;설정!$C$17,"긴급(저혈당)",IF(E329&gt;=설정!$C$18,"긴급(고혈당)",IF(F329="공복",IF(E329&gt;=설정!$C$15,"주의","정상"),IF(F329="식후",IF(E329&gt;=설정!$C$16,"주의","정상"),"조건확인")))))))</f>
        <v/>
      </c>
      <c r="K329" s="25" t="str">
        <f aca="false">IF(OR(I329="긴급",LEFT(J329,2)="긴급"),"★ 즉시 선생님 호출",IF(OR(I329="주의",J329="주의"),"결과상담에서 확인",IF(J329="조건확인","혈당조건(공복/식후) 선택","")))</f>
        <v/>
      </c>
      <c r="L329" s="25" t="str">
        <f aca="false">IF($B329="","",IF(COUNTIF($B$5:$B$1004,$B329)&gt;1,"중복 입력",""))</f>
        <v/>
      </c>
    </row>
    <row r="330" customFormat="false" ht="1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5" t="str">
        <f aca="false">IF($B330="","",IFERROR(IF(INDEX(명단!$B$5:$B$404,MATCH($B330,명단!$A$5:$A$404,0))="","(이름 미입력)",INDEX(명단!$B$5:$B$404,MATCH($B330,명단!$A$5:$A$404,0))),"번호 없음"))</f>
        <v/>
      </c>
      <c r="I330" s="25" t="str">
        <f aca="false">IF(AND(C330="",D330=""),"",IF(OR(C330="-",D330="-"),"측정불가",IF(AND(ISNUMBER(C330),ISNUMBER(D330)),IF(OR(C330&gt;=설정!$C$11,D330&gt;=설정!$C$12),"긴급",IF(OR(C330&gt;=설정!$C$9,D330&gt;=설정!$C$10,C330&lt;설정!$C$13),"주의","정상")),"확인필요")))</f>
        <v/>
      </c>
      <c r="J330" s="25" t="str">
        <f aca="false">IF(E330="","",IF(E330="-","측정불가",IF(NOT(ISNUMBER(E330)),"확인필요",IF(E330&lt;설정!$C$17,"긴급(저혈당)",IF(E330&gt;=설정!$C$18,"긴급(고혈당)",IF(F330="공복",IF(E330&gt;=설정!$C$15,"주의","정상"),IF(F330="식후",IF(E330&gt;=설정!$C$16,"주의","정상"),"조건확인")))))))</f>
        <v/>
      </c>
      <c r="K330" s="25" t="str">
        <f aca="false">IF(OR(I330="긴급",LEFT(J330,2)="긴급"),"★ 즉시 선생님 호출",IF(OR(I330="주의",J330="주의"),"결과상담에서 확인",IF(J330="조건확인","혈당조건(공복/식후) 선택","")))</f>
        <v/>
      </c>
      <c r="L330" s="25" t="str">
        <f aca="false">IF($B330="","",IF(COUNTIF($B$5:$B$1004,$B330)&gt;1,"중복 입력",""))</f>
        <v/>
      </c>
    </row>
    <row r="331" customFormat="false" ht="1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5" t="str">
        <f aca="false">IF($B331="","",IFERROR(IF(INDEX(명단!$B$5:$B$404,MATCH($B331,명단!$A$5:$A$404,0))="","(이름 미입력)",INDEX(명단!$B$5:$B$404,MATCH($B331,명단!$A$5:$A$404,0))),"번호 없음"))</f>
        <v/>
      </c>
      <c r="I331" s="25" t="str">
        <f aca="false">IF(AND(C331="",D331=""),"",IF(OR(C331="-",D331="-"),"측정불가",IF(AND(ISNUMBER(C331),ISNUMBER(D331)),IF(OR(C331&gt;=설정!$C$11,D331&gt;=설정!$C$12),"긴급",IF(OR(C331&gt;=설정!$C$9,D331&gt;=설정!$C$10,C331&lt;설정!$C$13),"주의","정상")),"확인필요")))</f>
        <v/>
      </c>
      <c r="J331" s="25" t="str">
        <f aca="false">IF(E331="","",IF(E331="-","측정불가",IF(NOT(ISNUMBER(E331)),"확인필요",IF(E331&lt;설정!$C$17,"긴급(저혈당)",IF(E331&gt;=설정!$C$18,"긴급(고혈당)",IF(F331="공복",IF(E331&gt;=설정!$C$15,"주의","정상"),IF(F331="식후",IF(E331&gt;=설정!$C$16,"주의","정상"),"조건확인")))))))</f>
        <v/>
      </c>
      <c r="K331" s="25" t="str">
        <f aca="false">IF(OR(I331="긴급",LEFT(J331,2)="긴급"),"★ 즉시 선생님 호출",IF(OR(I331="주의",J331="주의"),"결과상담에서 확인",IF(J331="조건확인","혈당조건(공복/식후) 선택","")))</f>
        <v/>
      </c>
      <c r="L331" s="25" t="str">
        <f aca="false">IF($B331="","",IF(COUNTIF($B$5:$B$1004,$B331)&gt;1,"중복 입력",""))</f>
        <v/>
      </c>
    </row>
    <row r="332" customFormat="false" ht="1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5" t="str">
        <f aca="false">IF($B332="","",IFERROR(IF(INDEX(명단!$B$5:$B$404,MATCH($B332,명단!$A$5:$A$404,0))="","(이름 미입력)",INDEX(명단!$B$5:$B$404,MATCH($B332,명단!$A$5:$A$404,0))),"번호 없음"))</f>
        <v/>
      </c>
      <c r="I332" s="25" t="str">
        <f aca="false">IF(AND(C332="",D332=""),"",IF(OR(C332="-",D332="-"),"측정불가",IF(AND(ISNUMBER(C332),ISNUMBER(D332)),IF(OR(C332&gt;=설정!$C$11,D332&gt;=설정!$C$12),"긴급",IF(OR(C332&gt;=설정!$C$9,D332&gt;=설정!$C$10,C332&lt;설정!$C$13),"주의","정상")),"확인필요")))</f>
        <v/>
      </c>
      <c r="J332" s="25" t="str">
        <f aca="false">IF(E332="","",IF(E332="-","측정불가",IF(NOT(ISNUMBER(E332)),"확인필요",IF(E332&lt;설정!$C$17,"긴급(저혈당)",IF(E332&gt;=설정!$C$18,"긴급(고혈당)",IF(F332="공복",IF(E332&gt;=설정!$C$15,"주의","정상"),IF(F332="식후",IF(E332&gt;=설정!$C$16,"주의","정상"),"조건확인")))))))</f>
        <v/>
      </c>
      <c r="K332" s="25" t="str">
        <f aca="false">IF(OR(I332="긴급",LEFT(J332,2)="긴급"),"★ 즉시 선생님 호출",IF(OR(I332="주의",J332="주의"),"결과상담에서 확인",IF(J332="조건확인","혈당조건(공복/식후) 선택","")))</f>
        <v/>
      </c>
      <c r="L332" s="25" t="str">
        <f aca="false">IF($B332="","",IF(COUNTIF($B$5:$B$1004,$B332)&gt;1,"중복 입력",""))</f>
        <v/>
      </c>
    </row>
    <row r="333" customFormat="false" ht="1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5" t="str">
        <f aca="false">IF($B333="","",IFERROR(IF(INDEX(명단!$B$5:$B$404,MATCH($B333,명단!$A$5:$A$404,0))="","(이름 미입력)",INDEX(명단!$B$5:$B$404,MATCH($B333,명단!$A$5:$A$404,0))),"번호 없음"))</f>
        <v/>
      </c>
      <c r="I333" s="25" t="str">
        <f aca="false">IF(AND(C333="",D333=""),"",IF(OR(C333="-",D333="-"),"측정불가",IF(AND(ISNUMBER(C333),ISNUMBER(D333)),IF(OR(C333&gt;=설정!$C$11,D333&gt;=설정!$C$12),"긴급",IF(OR(C333&gt;=설정!$C$9,D333&gt;=설정!$C$10,C333&lt;설정!$C$13),"주의","정상")),"확인필요")))</f>
        <v/>
      </c>
      <c r="J333" s="25" t="str">
        <f aca="false">IF(E333="","",IF(E333="-","측정불가",IF(NOT(ISNUMBER(E333)),"확인필요",IF(E333&lt;설정!$C$17,"긴급(저혈당)",IF(E333&gt;=설정!$C$18,"긴급(고혈당)",IF(F333="공복",IF(E333&gt;=설정!$C$15,"주의","정상"),IF(F333="식후",IF(E333&gt;=설정!$C$16,"주의","정상"),"조건확인")))))))</f>
        <v/>
      </c>
      <c r="K333" s="25" t="str">
        <f aca="false">IF(OR(I333="긴급",LEFT(J333,2)="긴급"),"★ 즉시 선생님 호출",IF(OR(I333="주의",J333="주의"),"결과상담에서 확인",IF(J333="조건확인","혈당조건(공복/식후) 선택","")))</f>
        <v/>
      </c>
      <c r="L333" s="25" t="str">
        <f aca="false">IF($B333="","",IF(COUNTIF($B$5:$B$1004,$B333)&gt;1,"중복 입력",""))</f>
        <v/>
      </c>
    </row>
    <row r="334" customFormat="false" ht="1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5" t="str">
        <f aca="false">IF($B334="","",IFERROR(IF(INDEX(명단!$B$5:$B$404,MATCH($B334,명단!$A$5:$A$404,0))="","(이름 미입력)",INDEX(명단!$B$5:$B$404,MATCH($B334,명단!$A$5:$A$404,0))),"번호 없음"))</f>
        <v/>
      </c>
      <c r="I334" s="25" t="str">
        <f aca="false">IF(AND(C334="",D334=""),"",IF(OR(C334="-",D334="-"),"측정불가",IF(AND(ISNUMBER(C334),ISNUMBER(D334)),IF(OR(C334&gt;=설정!$C$11,D334&gt;=설정!$C$12),"긴급",IF(OR(C334&gt;=설정!$C$9,D334&gt;=설정!$C$10,C334&lt;설정!$C$13),"주의","정상")),"확인필요")))</f>
        <v/>
      </c>
      <c r="J334" s="25" t="str">
        <f aca="false">IF(E334="","",IF(E334="-","측정불가",IF(NOT(ISNUMBER(E334)),"확인필요",IF(E334&lt;설정!$C$17,"긴급(저혈당)",IF(E334&gt;=설정!$C$18,"긴급(고혈당)",IF(F334="공복",IF(E334&gt;=설정!$C$15,"주의","정상"),IF(F334="식후",IF(E334&gt;=설정!$C$16,"주의","정상"),"조건확인")))))))</f>
        <v/>
      </c>
      <c r="K334" s="25" t="str">
        <f aca="false">IF(OR(I334="긴급",LEFT(J334,2)="긴급"),"★ 즉시 선생님 호출",IF(OR(I334="주의",J334="주의"),"결과상담에서 확인",IF(J334="조건확인","혈당조건(공복/식후) 선택","")))</f>
        <v/>
      </c>
      <c r="L334" s="25" t="str">
        <f aca="false">IF($B334="","",IF(COUNTIF($B$5:$B$1004,$B334)&gt;1,"중복 입력",""))</f>
        <v/>
      </c>
    </row>
    <row r="335" customFormat="false" ht="1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5" t="str">
        <f aca="false">IF($B335="","",IFERROR(IF(INDEX(명단!$B$5:$B$404,MATCH($B335,명단!$A$5:$A$404,0))="","(이름 미입력)",INDEX(명단!$B$5:$B$404,MATCH($B335,명단!$A$5:$A$404,0))),"번호 없음"))</f>
        <v/>
      </c>
      <c r="I335" s="25" t="str">
        <f aca="false">IF(AND(C335="",D335=""),"",IF(OR(C335="-",D335="-"),"측정불가",IF(AND(ISNUMBER(C335),ISNUMBER(D335)),IF(OR(C335&gt;=설정!$C$11,D335&gt;=설정!$C$12),"긴급",IF(OR(C335&gt;=설정!$C$9,D335&gt;=설정!$C$10,C335&lt;설정!$C$13),"주의","정상")),"확인필요")))</f>
        <v/>
      </c>
      <c r="J335" s="25" t="str">
        <f aca="false">IF(E335="","",IF(E335="-","측정불가",IF(NOT(ISNUMBER(E335)),"확인필요",IF(E335&lt;설정!$C$17,"긴급(저혈당)",IF(E335&gt;=설정!$C$18,"긴급(고혈당)",IF(F335="공복",IF(E335&gt;=설정!$C$15,"주의","정상"),IF(F335="식후",IF(E335&gt;=설정!$C$16,"주의","정상"),"조건확인")))))))</f>
        <v/>
      </c>
      <c r="K335" s="25" t="str">
        <f aca="false">IF(OR(I335="긴급",LEFT(J335,2)="긴급"),"★ 즉시 선생님 호출",IF(OR(I335="주의",J335="주의"),"결과상담에서 확인",IF(J335="조건확인","혈당조건(공복/식후) 선택","")))</f>
        <v/>
      </c>
      <c r="L335" s="25" t="str">
        <f aca="false">IF($B335="","",IF(COUNTIF($B$5:$B$1004,$B335)&gt;1,"중복 입력",""))</f>
        <v/>
      </c>
    </row>
    <row r="336" customFormat="false" ht="1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5" t="str">
        <f aca="false">IF($B336="","",IFERROR(IF(INDEX(명단!$B$5:$B$404,MATCH($B336,명단!$A$5:$A$404,0))="","(이름 미입력)",INDEX(명단!$B$5:$B$404,MATCH($B336,명단!$A$5:$A$404,0))),"번호 없음"))</f>
        <v/>
      </c>
      <c r="I336" s="25" t="str">
        <f aca="false">IF(AND(C336="",D336=""),"",IF(OR(C336="-",D336="-"),"측정불가",IF(AND(ISNUMBER(C336),ISNUMBER(D336)),IF(OR(C336&gt;=설정!$C$11,D336&gt;=설정!$C$12),"긴급",IF(OR(C336&gt;=설정!$C$9,D336&gt;=설정!$C$10,C336&lt;설정!$C$13),"주의","정상")),"확인필요")))</f>
        <v/>
      </c>
      <c r="J336" s="25" t="str">
        <f aca="false">IF(E336="","",IF(E336="-","측정불가",IF(NOT(ISNUMBER(E336)),"확인필요",IF(E336&lt;설정!$C$17,"긴급(저혈당)",IF(E336&gt;=설정!$C$18,"긴급(고혈당)",IF(F336="공복",IF(E336&gt;=설정!$C$15,"주의","정상"),IF(F336="식후",IF(E336&gt;=설정!$C$16,"주의","정상"),"조건확인")))))))</f>
        <v/>
      </c>
      <c r="K336" s="25" t="str">
        <f aca="false">IF(OR(I336="긴급",LEFT(J336,2)="긴급"),"★ 즉시 선생님 호출",IF(OR(I336="주의",J336="주의"),"결과상담에서 확인",IF(J336="조건확인","혈당조건(공복/식후) 선택","")))</f>
        <v/>
      </c>
      <c r="L336" s="25" t="str">
        <f aca="false">IF($B336="","",IF(COUNTIF($B$5:$B$1004,$B336)&gt;1,"중복 입력",""))</f>
        <v/>
      </c>
    </row>
    <row r="337" customFormat="false" ht="1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5" t="str">
        <f aca="false">IF($B337="","",IFERROR(IF(INDEX(명단!$B$5:$B$404,MATCH($B337,명단!$A$5:$A$404,0))="","(이름 미입력)",INDEX(명단!$B$5:$B$404,MATCH($B337,명단!$A$5:$A$404,0))),"번호 없음"))</f>
        <v/>
      </c>
      <c r="I337" s="25" t="str">
        <f aca="false">IF(AND(C337="",D337=""),"",IF(OR(C337="-",D337="-"),"측정불가",IF(AND(ISNUMBER(C337),ISNUMBER(D337)),IF(OR(C337&gt;=설정!$C$11,D337&gt;=설정!$C$12),"긴급",IF(OR(C337&gt;=설정!$C$9,D337&gt;=설정!$C$10,C337&lt;설정!$C$13),"주의","정상")),"확인필요")))</f>
        <v/>
      </c>
      <c r="J337" s="25" t="str">
        <f aca="false">IF(E337="","",IF(E337="-","측정불가",IF(NOT(ISNUMBER(E337)),"확인필요",IF(E337&lt;설정!$C$17,"긴급(저혈당)",IF(E337&gt;=설정!$C$18,"긴급(고혈당)",IF(F337="공복",IF(E337&gt;=설정!$C$15,"주의","정상"),IF(F337="식후",IF(E337&gt;=설정!$C$16,"주의","정상"),"조건확인")))))))</f>
        <v/>
      </c>
      <c r="K337" s="25" t="str">
        <f aca="false">IF(OR(I337="긴급",LEFT(J337,2)="긴급"),"★ 즉시 선생님 호출",IF(OR(I337="주의",J337="주의"),"결과상담에서 확인",IF(J337="조건확인","혈당조건(공복/식후) 선택","")))</f>
        <v/>
      </c>
      <c r="L337" s="25" t="str">
        <f aca="false">IF($B337="","",IF(COUNTIF($B$5:$B$1004,$B337)&gt;1,"중복 입력",""))</f>
        <v/>
      </c>
    </row>
    <row r="338" customFormat="false" ht="1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5" t="str">
        <f aca="false">IF($B338="","",IFERROR(IF(INDEX(명단!$B$5:$B$404,MATCH($B338,명단!$A$5:$A$404,0))="","(이름 미입력)",INDEX(명단!$B$5:$B$404,MATCH($B338,명단!$A$5:$A$404,0))),"번호 없음"))</f>
        <v/>
      </c>
      <c r="I338" s="25" t="str">
        <f aca="false">IF(AND(C338="",D338=""),"",IF(OR(C338="-",D338="-"),"측정불가",IF(AND(ISNUMBER(C338),ISNUMBER(D338)),IF(OR(C338&gt;=설정!$C$11,D338&gt;=설정!$C$12),"긴급",IF(OR(C338&gt;=설정!$C$9,D338&gt;=설정!$C$10,C338&lt;설정!$C$13),"주의","정상")),"확인필요")))</f>
        <v/>
      </c>
      <c r="J338" s="25" t="str">
        <f aca="false">IF(E338="","",IF(E338="-","측정불가",IF(NOT(ISNUMBER(E338)),"확인필요",IF(E338&lt;설정!$C$17,"긴급(저혈당)",IF(E338&gt;=설정!$C$18,"긴급(고혈당)",IF(F338="공복",IF(E338&gt;=설정!$C$15,"주의","정상"),IF(F338="식후",IF(E338&gt;=설정!$C$16,"주의","정상"),"조건확인")))))))</f>
        <v/>
      </c>
      <c r="K338" s="25" t="str">
        <f aca="false">IF(OR(I338="긴급",LEFT(J338,2)="긴급"),"★ 즉시 선생님 호출",IF(OR(I338="주의",J338="주의"),"결과상담에서 확인",IF(J338="조건확인","혈당조건(공복/식후) 선택","")))</f>
        <v/>
      </c>
      <c r="L338" s="25" t="str">
        <f aca="false">IF($B338="","",IF(COUNTIF($B$5:$B$1004,$B338)&gt;1,"중복 입력",""))</f>
        <v/>
      </c>
    </row>
    <row r="339" customFormat="false" ht="1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5" t="str">
        <f aca="false">IF($B339="","",IFERROR(IF(INDEX(명단!$B$5:$B$404,MATCH($B339,명단!$A$5:$A$404,0))="","(이름 미입력)",INDEX(명단!$B$5:$B$404,MATCH($B339,명단!$A$5:$A$404,0))),"번호 없음"))</f>
        <v/>
      </c>
      <c r="I339" s="25" t="str">
        <f aca="false">IF(AND(C339="",D339=""),"",IF(OR(C339="-",D339="-"),"측정불가",IF(AND(ISNUMBER(C339),ISNUMBER(D339)),IF(OR(C339&gt;=설정!$C$11,D339&gt;=설정!$C$12),"긴급",IF(OR(C339&gt;=설정!$C$9,D339&gt;=설정!$C$10,C339&lt;설정!$C$13),"주의","정상")),"확인필요")))</f>
        <v/>
      </c>
      <c r="J339" s="25" t="str">
        <f aca="false">IF(E339="","",IF(E339="-","측정불가",IF(NOT(ISNUMBER(E339)),"확인필요",IF(E339&lt;설정!$C$17,"긴급(저혈당)",IF(E339&gt;=설정!$C$18,"긴급(고혈당)",IF(F339="공복",IF(E339&gt;=설정!$C$15,"주의","정상"),IF(F339="식후",IF(E339&gt;=설정!$C$16,"주의","정상"),"조건확인")))))))</f>
        <v/>
      </c>
      <c r="K339" s="25" t="str">
        <f aca="false">IF(OR(I339="긴급",LEFT(J339,2)="긴급"),"★ 즉시 선생님 호출",IF(OR(I339="주의",J339="주의"),"결과상담에서 확인",IF(J339="조건확인","혈당조건(공복/식후) 선택","")))</f>
        <v/>
      </c>
      <c r="L339" s="25" t="str">
        <f aca="false">IF($B339="","",IF(COUNTIF($B$5:$B$1004,$B339)&gt;1,"중복 입력",""))</f>
        <v/>
      </c>
    </row>
    <row r="340" customFormat="false" ht="1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5" t="str">
        <f aca="false">IF($B340="","",IFERROR(IF(INDEX(명단!$B$5:$B$404,MATCH($B340,명단!$A$5:$A$404,0))="","(이름 미입력)",INDEX(명단!$B$5:$B$404,MATCH($B340,명단!$A$5:$A$404,0))),"번호 없음"))</f>
        <v/>
      </c>
      <c r="I340" s="25" t="str">
        <f aca="false">IF(AND(C340="",D340=""),"",IF(OR(C340="-",D340="-"),"측정불가",IF(AND(ISNUMBER(C340),ISNUMBER(D340)),IF(OR(C340&gt;=설정!$C$11,D340&gt;=설정!$C$12),"긴급",IF(OR(C340&gt;=설정!$C$9,D340&gt;=설정!$C$10,C340&lt;설정!$C$13),"주의","정상")),"확인필요")))</f>
        <v/>
      </c>
      <c r="J340" s="25" t="str">
        <f aca="false">IF(E340="","",IF(E340="-","측정불가",IF(NOT(ISNUMBER(E340)),"확인필요",IF(E340&lt;설정!$C$17,"긴급(저혈당)",IF(E340&gt;=설정!$C$18,"긴급(고혈당)",IF(F340="공복",IF(E340&gt;=설정!$C$15,"주의","정상"),IF(F340="식후",IF(E340&gt;=설정!$C$16,"주의","정상"),"조건확인")))))))</f>
        <v/>
      </c>
      <c r="K340" s="25" t="str">
        <f aca="false">IF(OR(I340="긴급",LEFT(J340,2)="긴급"),"★ 즉시 선생님 호출",IF(OR(I340="주의",J340="주의"),"결과상담에서 확인",IF(J340="조건확인","혈당조건(공복/식후) 선택","")))</f>
        <v/>
      </c>
      <c r="L340" s="25" t="str">
        <f aca="false">IF($B340="","",IF(COUNTIF($B$5:$B$1004,$B340)&gt;1,"중복 입력",""))</f>
        <v/>
      </c>
    </row>
    <row r="341" customFormat="false" ht="1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5" t="str">
        <f aca="false">IF($B341="","",IFERROR(IF(INDEX(명단!$B$5:$B$404,MATCH($B341,명단!$A$5:$A$404,0))="","(이름 미입력)",INDEX(명단!$B$5:$B$404,MATCH($B341,명단!$A$5:$A$404,0))),"번호 없음"))</f>
        <v/>
      </c>
      <c r="I341" s="25" t="str">
        <f aca="false">IF(AND(C341="",D341=""),"",IF(OR(C341="-",D341="-"),"측정불가",IF(AND(ISNUMBER(C341),ISNUMBER(D341)),IF(OR(C341&gt;=설정!$C$11,D341&gt;=설정!$C$12),"긴급",IF(OR(C341&gt;=설정!$C$9,D341&gt;=설정!$C$10,C341&lt;설정!$C$13),"주의","정상")),"확인필요")))</f>
        <v/>
      </c>
      <c r="J341" s="25" t="str">
        <f aca="false">IF(E341="","",IF(E341="-","측정불가",IF(NOT(ISNUMBER(E341)),"확인필요",IF(E341&lt;설정!$C$17,"긴급(저혈당)",IF(E341&gt;=설정!$C$18,"긴급(고혈당)",IF(F341="공복",IF(E341&gt;=설정!$C$15,"주의","정상"),IF(F341="식후",IF(E341&gt;=설정!$C$16,"주의","정상"),"조건확인")))))))</f>
        <v/>
      </c>
      <c r="K341" s="25" t="str">
        <f aca="false">IF(OR(I341="긴급",LEFT(J341,2)="긴급"),"★ 즉시 선생님 호출",IF(OR(I341="주의",J341="주의"),"결과상담에서 확인",IF(J341="조건확인","혈당조건(공복/식후) 선택","")))</f>
        <v/>
      </c>
      <c r="L341" s="25" t="str">
        <f aca="false">IF($B341="","",IF(COUNTIF($B$5:$B$1004,$B341)&gt;1,"중복 입력",""))</f>
        <v/>
      </c>
    </row>
    <row r="342" customFormat="false" ht="1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5" t="str">
        <f aca="false">IF($B342="","",IFERROR(IF(INDEX(명단!$B$5:$B$404,MATCH($B342,명단!$A$5:$A$404,0))="","(이름 미입력)",INDEX(명단!$B$5:$B$404,MATCH($B342,명단!$A$5:$A$404,0))),"번호 없음"))</f>
        <v/>
      </c>
      <c r="I342" s="25" t="str">
        <f aca="false">IF(AND(C342="",D342=""),"",IF(OR(C342="-",D342="-"),"측정불가",IF(AND(ISNUMBER(C342),ISNUMBER(D342)),IF(OR(C342&gt;=설정!$C$11,D342&gt;=설정!$C$12),"긴급",IF(OR(C342&gt;=설정!$C$9,D342&gt;=설정!$C$10,C342&lt;설정!$C$13),"주의","정상")),"확인필요")))</f>
        <v/>
      </c>
      <c r="J342" s="25" t="str">
        <f aca="false">IF(E342="","",IF(E342="-","측정불가",IF(NOT(ISNUMBER(E342)),"확인필요",IF(E342&lt;설정!$C$17,"긴급(저혈당)",IF(E342&gt;=설정!$C$18,"긴급(고혈당)",IF(F342="공복",IF(E342&gt;=설정!$C$15,"주의","정상"),IF(F342="식후",IF(E342&gt;=설정!$C$16,"주의","정상"),"조건확인")))))))</f>
        <v/>
      </c>
      <c r="K342" s="25" t="str">
        <f aca="false">IF(OR(I342="긴급",LEFT(J342,2)="긴급"),"★ 즉시 선생님 호출",IF(OR(I342="주의",J342="주의"),"결과상담에서 확인",IF(J342="조건확인","혈당조건(공복/식후) 선택","")))</f>
        <v/>
      </c>
      <c r="L342" s="25" t="str">
        <f aca="false">IF($B342="","",IF(COUNTIF($B$5:$B$1004,$B342)&gt;1,"중복 입력",""))</f>
        <v/>
      </c>
    </row>
    <row r="343" customFormat="false" ht="1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5" t="str">
        <f aca="false">IF($B343="","",IFERROR(IF(INDEX(명단!$B$5:$B$404,MATCH($B343,명단!$A$5:$A$404,0))="","(이름 미입력)",INDEX(명단!$B$5:$B$404,MATCH($B343,명단!$A$5:$A$404,0))),"번호 없음"))</f>
        <v/>
      </c>
      <c r="I343" s="25" t="str">
        <f aca="false">IF(AND(C343="",D343=""),"",IF(OR(C343="-",D343="-"),"측정불가",IF(AND(ISNUMBER(C343),ISNUMBER(D343)),IF(OR(C343&gt;=설정!$C$11,D343&gt;=설정!$C$12),"긴급",IF(OR(C343&gt;=설정!$C$9,D343&gt;=설정!$C$10,C343&lt;설정!$C$13),"주의","정상")),"확인필요")))</f>
        <v/>
      </c>
      <c r="J343" s="25" t="str">
        <f aca="false">IF(E343="","",IF(E343="-","측정불가",IF(NOT(ISNUMBER(E343)),"확인필요",IF(E343&lt;설정!$C$17,"긴급(저혈당)",IF(E343&gt;=설정!$C$18,"긴급(고혈당)",IF(F343="공복",IF(E343&gt;=설정!$C$15,"주의","정상"),IF(F343="식후",IF(E343&gt;=설정!$C$16,"주의","정상"),"조건확인")))))))</f>
        <v/>
      </c>
      <c r="K343" s="25" t="str">
        <f aca="false">IF(OR(I343="긴급",LEFT(J343,2)="긴급"),"★ 즉시 선생님 호출",IF(OR(I343="주의",J343="주의"),"결과상담에서 확인",IF(J343="조건확인","혈당조건(공복/식후) 선택","")))</f>
        <v/>
      </c>
      <c r="L343" s="25" t="str">
        <f aca="false">IF($B343="","",IF(COUNTIF($B$5:$B$1004,$B343)&gt;1,"중복 입력",""))</f>
        <v/>
      </c>
    </row>
    <row r="344" customFormat="false" ht="1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5" t="str">
        <f aca="false">IF($B344="","",IFERROR(IF(INDEX(명단!$B$5:$B$404,MATCH($B344,명단!$A$5:$A$404,0))="","(이름 미입력)",INDEX(명단!$B$5:$B$404,MATCH($B344,명단!$A$5:$A$404,0))),"번호 없음"))</f>
        <v/>
      </c>
      <c r="I344" s="25" t="str">
        <f aca="false">IF(AND(C344="",D344=""),"",IF(OR(C344="-",D344="-"),"측정불가",IF(AND(ISNUMBER(C344),ISNUMBER(D344)),IF(OR(C344&gt;=설정!$C$11,D344&gt;=설정!$C$12),"긴급",IF(OR(C344&gt;=설정!$C$9,D344&gt;=설정!$C$10,C344&lt;설정!$C$13),"주의","정상")),"확인필요")))</f>
        <v/>
      </c>
      <c r="J344" s="25" t="str">
        <f aca="false">IF(E344="","",IF(E344="-","측정불가",IF(NOT(ISNUMBER(E344)),"확인필요",IF(E344&lt;설정!$C$17,"긴급(저혈당)",IF(E344&gt;=설정!$C$18,"긴급(고혈당)",IF(F344="공복",IF(E344&gt;=설정!$C$15,"주의","정상"),IF(F344="식후",IF(E344&gt;=설정!$C$16,"주의","정상"),"조건확인")))))))</f>
        <v/>
      </c>
      <c r="K344" s="25" t="str">
        <f aca="false">IF(OR(I344="긴급",LEFT(J344,2)="긴급"),"★ 즉시 선생님 호출",IF(OR(I344="주의",J344="주의"),"결과상담에서 확인",IF(J344="조건확인","혈당조건(공복/식후) 선택","")))</f>
        <v/>
      </c>
      <c r="L344" s="25" t="str">
        <f aca="false">IF($B344="","",IF(COUNTIF($B$5:$B$1004,$B344)&gt;1,"중복 입력",""))</f>
        <v/>
      </c>
    </row>
    <row r="345" customFormat="false" ht="1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5" t="str">
        <f aca="false">IF($B345="","",IFERROR(IF(INDEX(명단!$B$5:$B$404,MATCH($B345,명단!$A$5:$A$404,0))="","(이름 미입력)",INDEX(명단!$B$5:$B$404,MATCH($B345,명단!$A$5:$A$404,0))),"번호 없음"))</f>
        <v/>
      </c>
      <c r="I345" s="25" t="str">
        <f aca="false">IF(AND(C345="",D345=""),"",IF(OR(C345="-",D345="-"),"측정불가",IF(AND(ISNUMBER(C345),ISNUMBER(D345)),IF(OR(C345&gt;=설정!$C$11,D345&gt;=설정!$C$12),"긴급",IF(OR(C345&gt;=설정!$C$9,D345&gt;=설정!$C$10,C345&lt;설정!$C$13),"주의","정상")),"확인필요")))</f>
        <v/>
      </c>
      <c r="J345" s="25" t="str">
        <f aca="false">IF(E345="","",IF(E345="-","측정불가",IF(NOT(ISNUMBER(E345)),"확인필요",IF(E345&lt;설정!$C$17,"긴급(저혈당)",IF(E345&gt;=설정!$C$18,"긴급(고혈당)",IF(F345="공복",IF(E345&gt;=설정!$C$15,"주의","정상"),IF(F345="식후",IF(E345&gt;=설정!$C$16,"주의","정상"),"조건확인")))))))</f>
        <v/>
      </c>
      <c r="K345" s="25" t="str">
        <f aca="false">IF(OR(I345="긴급",LEFT(J345,2)="긴급"),"★ 즉시 선생님 호출",IF(OR(I345="주의",J345="주의"),"결과상담에서 확인",IF(J345="조건확인","혈당조건(공복/식후) 선택","")))</f>
        <v/>
      </c>
      <c r="L345" s="25" t="str">
        <f aca="false">IF($B345="","",IF(COUNTIF($B$5:$B$1004,$B345)&gt;1,"중복 입력",""))</f>
        <v/>
      </c>
    </row>
    <row r="346" customFormat="false" ht="1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5" t="str">
        <f aca="false">IF($B346="","",IFERROR(IF(INDEX(명단!$B$5:$B$404,MATCH($B346,명단!$A$5:$A$404,0))="","(이름 미입력)",INDEX(명단!$B$5:$B$404,MATCH($B346,명단!$A$5:$A$404,0))),"번호 없음"))</f>
        <v/>
      </c>
      <c r="I346" s="25" t="str">
        <f aca="false">IF(AND(C346="",D346=""),"",IF(OR(C346="-",D346="-"),"측정불가",IF(AND(ISNUMBER(C346),ISNUMBER(D346)),IF(OR(C346&gt;=설정!$C$11,D346&gt;=설정!$C$12),"긴급",IF(OR(C346&gt;=설정!$C$9,D346&gt;=설정!$C$10,C346&lt;설정!$C$13),"주의","정상")),"확인필요")))</f>
        <v/>
      </c>
      <c r="J346" s="25" t="str">
        <f aca="false">IF(E346="","",IF(E346="-","측정불가",IF(NOT(ISNUMBER(E346)),"확인필요",IF(E346&lt;설정!$C$17,"긴급(저혈당)",IF(E346&gt;=설정!$C$18,"긴급(고혈당)",IF(F346="공복",IF(E346&gt;=설정!$C$15,"주의","정상"),IF(F346="식후",IF(E346&gt;=설정!$C$16,"주의","정상"),"조건확인")))))))</f>
        <v/>
      </c>
      <c r="K346" s="25" t="str">
        <f aca="false">IF(OR(I346="긴급",LEFT(J346,2)="긴급"),"★ 즉시 선생님 호출",IF(OR(I346="주의",J346="주의"),"결과상담에서 확인",IF(J346="조건확인","혈당조건(공복/식후) 선택","")))</f>
        <v/>
      </c>
      <c r="L346" s="25" t="str">
        <f aca="false">IF($B346="","",IF(COUNTIF($B$5:$B$1004,$B346)&gt;1,"중복 입력",""))</f>
        <v/>
      </c>
    </row>
    <row r="347" customFormat="false" ht="1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5" t="str">
        <f aca="false">IF($B347="","",IFERROR(IF(INDEX(명단!$B$5:$B$404,MATCH($B347,명단!$A$5:$A$404,0))="","(이름 미입력)",INDEX(명단!$B$5:$B$404,MATCH($B347,명단!$A$5:$A$404,0))),"번호 없음"))</f>
        <v/>
      </c>
      <c r="I347" s="25" t="str">
        <f aca="false">IF(AND(C347="",D347=""),"",IF(OR(C347="-",D347="-"),"측정불가",IF(AND(ISNUMBER(C347),ISNUMBER(D347)),IF(OR(C347&gt;=설정!$C$11,D347&gt;=설정!$C$12),"긴급",IF(OR(C347&gt;=설정!$C$9,D347&gt;=설정!$C$10,C347&lt;설정!$C$13),"주의","정상")),"확인필요")))</f>
        <v/>
      </c>
      <c r="J347" s="25" t="str">
        <f aca="false">IF(E347="","",IF(E347="-","측정불가",IF(NOT(ISNUMBER(E347)),"확인필요",IF(E347&lt;설정!$C$17,"긴급(저혈당)",IF(E347&gt;=설정!$C$18,"긴급(고혈당)",IF(F347="공복",IF(E347&gt;=설정!$C$15,"주의","정상"),IF(F347="식후",IF(E347&gt;=설정!$C$16,"주의","정상"),"조건확인")))))))</f>
        <v/>
      </c>
      <c r="K347" s="25" t="str">
        <f aca="false">IF(OR(I347="긴급",LEFT(J347,2)="긴급"),"★ 즉시 선생님 호출",IF(OR(I347="주의",J347="주의"),"결과상담에서 확인",IF(J347="조건확인","혈당조건(공복/식후) 선택","")))</f>
        <v/>
      </c>
      <c r="L347" s="25" t="str">
        <f aca="false">IF($B347="","",IF(COUNTIF($B$5:$B$1004,$B347)&gt;1,"중복 입력",""))</f>
        <v/>
      </c>
    </row>
    <row r="348" customFormat="false" ht="1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5" t="str">
        <f aca="false">IF($B348="","",IFERROR(IF(INDEX(명단!$B$5:$B$404,MATCH($B348,명단!$A$5:$A$404,0))="","(이름 미입력)",INDEX(명단!$B$5:$B$404,MATCH($B348,명단!$A$5:$A$404,0))),"번호 없음"))</f>
        <v/>
      </c>
      <c r="I348" s="25" t="str">
        <f aca="false">IF(AND(C348="",D348=""),"",IF(OR(C348="-",D348="-"),"측정불가",IF(AND(ISNUMBER(C348),ISNUMBER(D348)),IF(OR(C348&gt;=설정!$C$11,D348&gt;=설정!$C$12),"긴급",IF(OR(C348&gt;=설정!$C$9,D348&gt;=설정!$C$10,C348&lt;설정!$C$13),"주의","정상")),"확인필요")))</f>
        <v/>
      </c>
      <c r="J348" s="25" t="str">
        <f aca="false">IF(E348="","",IF(E348="-","측정불가",IF(NOT(ISNUMBER(E348)),"확인필요",IF(E348&lt;설정!$C$17,"긴급(저혈당)",IF(E348&gt;=설정!$C$18,"긴급(고혈당)",IF(F348="공복",IF(E348&gt;=설정!$C$15,"주의","정상"),IF(F348="식후",IF(E348&gt;=설정!$C$16,"주의","정상"),"조건확인")))))))</f>
        <v/>
      </c>
      <c r="K348" s="25" t="str">
        <f aca="false">IF(OR(I348="긴급",LEFT(J348,2)="긴급"),"★ 즉시 선생님 호출",IF(OR(I348="주의",J348="주의"),"결과상담에서 확인",IF(J348="조건확인","혈당조건(공복/식후) 선택","")))</f>
        <v/>
      </c>
      <c r="L348" s="25" t="str">
        <f aca="false">IF($B348="","",IF(COUNTIF($B$5:$B$1004,$B348)&gt;1,"중복 입력",""))</f>
        <v/>
      </c>
    </row>
    <row r="349" customFormat="false" ht="1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5" t="str">
        <f aca="false">IF($B349="","",IFERROR(IF(INDEX(명단!$B$5:$B$404,MATCH($B349,명단!$A$5:$A$404,0))="","(이름 미입력)",INDEX(명단!$B$5:$B$404,MATCH($B349,명단!$A$5:$A$404,0))),"번호 없음"))</f>
        <v/>
      </c>
      <c r="I349" s="25" t="str">
        <f aca="false">IF(AND(C349="",D349=""),"",IF(OR(C349="-",D349="-"),"측정불가",IF(AND(ISNUMBER(C349),ISNUMBER(D349)),IF(OR(C349&gt;=설정!$C$11,D349&gt;=설정!$C$12),"긴급",IF(OR(C349&gt;=설정!$C$9,D349&gt;=설정!$C$10,C349&lt;설정!$C$13),"주의","정상")),"확인필요")))</f>
        <v/>
      </c>
      <c r="J349" s="25" t="str">
        <f aca="false">IF(E349="","",IF(E349="-","측정불가",IF(NOT(ISNUMBER(E349)),"확인필요",IF(E349&lt;설정!$C$17,"긴급(저혈당)",IF(E349&gt;=설정!$C$18,"긴급(고혈당)",IF(F349="공복",IF(E349&gt;=설정!$C$15,"주의","정상"),IF(F349="식후",IF(E349&gt;=설정!$C$16,"주의","정상"),"조건확인")))))))</f>
        <v/>
      </c>
      <c r="K349" s="25" t="str">
        <f aca="false">IF(OR(I349="긴급",LEFT(J349,2)="긴급"),"★ 즉시 선생님 호출",IF(OR(I349="주의",J349="주의"),"결과상담에서 확인",IF(J349="조건확인","혈당조건(공복/식후) 선택","")))</f>
        <v/>
      </c>
      <c r="L349" s="25" t="str">
        <f aca="false">IF($B349="","",IF(COUNTIF($B$5:$B$1004,$B349)&gt;1,"중복 입력",""))</f>
        <v/>
      </c>
    </row>
    <row r="350" customFormat="false" ht="1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5" t="str">
        <f aca="false">IF($B350="","",IFERROR(IF(INDEX(명단!$B$5:$B$404,MATCH($B350,명단!$A$5:$A$404,0))="","(이름 미입력)",INDEX(명단!$B$5:$B$404,MATCH($B350,명단!$A$5:$A$404,0))),"번호 없음"))</f>
        <v/>
      </c>
      <c r="I350" s="25" t="str">
        <f aca="false">IF(AND(C350="",D350=""),"",IF(OR(C350="-",D350="-"),"측정불가",IF(AND(ISNUMBER(C350),ISNUMBER(D350)),IF(OR(C350&gt;=설정!$C$11,D350&gt;=설정!$C$12),"긴급",IF(OR(C350&gt;=설정!$C$9,D350&gt;=설정!$C$10,C350&lt;설정!$C$13),"주의","정상")),"확인필요")))</f>
        <v/>
      </c>
      <c r="J350" s="25" t="str">
        <f aca="false">IF(E350="","",IF(E350="-","측정불가",IF(NOT(ISNUMBER(E350)),"확인필요",IF(E350&lt;설정!$C$17,"긴급(저혈당)",IF(E350&gt;=설정!$C$18,"긴급(고혈당)",IF(F350="공복",IF(E350&gt;=설정!$C$15,"주의","정상"),IF(F350="식후",IF(E350&gt;=설정!$C$16,"주의","정상"),"조건확인")))))))</f>
        <v/>
      </c>
      <c r="K350" s="25" t="str">
        <f aca="false">IF(OR(I350="긴급",LEFT(J350,2)="긴급"),"★ 즉시 선생님 호출",IF(OR(I350="주의",J350="주의"),"결과상담에서 확인",IF(J350="조건확인","혈당조건(공복/식후) 선택","")))</f>
        <v/>
      </c>
      <c r="L350" s="25" t="str">
        <f aca="false">IF($B350="","",IF(COUNTIF($B$5:$B$1004,$B350)&gt;1,"중복 입력",""))</f>
        <v/>
      </c>
    </row>
    <row r="351" customFormat="false" ht="1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5" t="str">
        <f aca="false">IF($B351="","",IFERROR(IF(INDEX(명단!$B$5:$B$404,MATCH($B351,명단!$A$5:$A$404,0))="","(이름 미입력)",INDEX(명단!$B$5:$B$404,MATCH($B351,명단!$A$5:$A$404,0))),"번호 없음"))</f>
        <v/>
      </c>
      <c r="I351" s="25" t="str">
        <f aca="false">IF(AND(C351="",D351=""),"",IF(OR(C351="-",D351="-"),"측정불가",IF(AND(ISNUMBER(C351),ISNUMBER(D351)),IF(OR(C351&gt;=설정!$C$11,D351&gt;=설정!$C$12),"긴급",IF(OR(C351&gt;=설정!$C$9,D351&gt;=설정!$C$10,C351&lt;설정!$C$13),"주의","정상")),"확인필요")))</f>
        <v/>
      </c>
      <c r="J351" s="25" t="str">
        <f aca="false">IF(E351="","",IF(E351="-","측정불가",IF(NOT(ISNUMBER(E351)),"확인필요",IF(E351&lt;설정!$C$17,"긴급(저혈당)",IF(E351&gt;=설정!$C$18,"긴급(고혈당)",IF(F351="공복",IF(E351&gt;=설정!$C$15,"주의","정상"),IF(F351="식후",IF(E351&gt;=설정!$C$16,"주의","정상"),"조건확인")))))))</f>
        <v/>
      </c>
      <c r="K351" s="25" t="str">
        <f aca="false">IF(OR(I351="긴급",LEFT(J351,2)="긴급"),"★ 즉시 선생님 호출",IF(OR(I351="주의",J351="주의"),"결과상담에서 확인",IF(J351="조건확인","혈당조건(공복/식후) 선택","")))</f>
        <v/>
      </c>
      <c r="L351" s="25" t="str">
        <f aca="false">IF($B351="","",IF(COUNTIF($B$5:$B$1004,$B351)&gt;1,"중복 입력",""))</f>
        <v/>
      </c>
    </row>
    <row r="352" customFormat="false" ht="1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5" t="str">
        <f aca="false">IF($B352="","",IFERROR(IF(INDEX(명단!$B$5:$B$404,MATCH($B352,명단!$A$5:$A$404,0))="","(이름 미입력)",INDEX(명단!$B$5:$B$404,MATCH($B352,명단!$A$5:$A$404,0))),"번호 없음"))</f>
        <v/>
      </c>
      <c r="I352" s="25" t="str">
        <f aca="false">IF(AND(C352="",D352=""),"",IF(OR(C352="-",D352="-"),"측정불가",IF(AND(ISNUMBER(C352),ISNUMBER(D352)),IF(OR(C352&gt;=설정!$C$11,D352&gt;=설정!$C$12),"긴급",IF(OR(C352&gt;=설정!$C$9,D352&gt;=설정!$C$10,C352&lt;설정!$C$13),"주의","정상")),"확인필요")))</f>
        <v/>
      </c>
      <c r="J352" s="25" t="str">
        <f aca="false">IF(E352="","",IF(E352="-","측정불가",IF(NOT(ISNUMBER(E352)),"확인필요",IF(E352&lt;설정!$C$17,"긴급(저혈당)",IF(E352&gt;=설정!$C$18,"긴급(고혈당)",IF(F352="공복",IF(E352&gt;=설정!$C$15,"주의","정상"),IF(F352="식후",IF(E352&gt;=설정!$C$16,"주의","정상"),"조건확인")))))))</f>
        <v/>
      </c>
      <c r="K352" s="25" t="str">
        <f aca="false">IF(OR(I352="긴급",LEFT(J352,2)="긴급"),"★ 즉시 선생님 호출",IF(OR(I352="주의",J352="주의"),"결과상담에서 확인",IF(J352="조건확인","혈당조건(공복/식후) 선택","")))</f>
        <v/>
      </c>
      <c r="L352" s="25" t="str">
        <f aca="false">IF($B352="","",IF(COUNTIF($B$5:$B$1004,$B352)&gt;1,"중복 입력",""))</f>
        <v/>
      </c>
    </row>
    <row r="353" customFormat="false" ht="1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5" t="str">
        <f aca="false">IF($B353="","",IFERROR(IF(INDEX(명단!$B$5:$B$404,MATCH($B353,명단!$A$5:$A$404,0))="","(이름 미입력)",INDEX(명단!$B$5:$B$404,MATCH($B353,명단!$A$5:$A$404,0))),"번호 없음"))</f>
        <v/>
      </c>
      <c r="I353" s="25" t="str">
        <f aca="false">IF(AND(C353="",D353=""),"",IF(OR(C353="-",D353="-"),"측정불가",IF(AND(ISNUMBER(C353),ISNUMBER(D353)),IF(OR(C353&gt;=설정!$C$11,D353&gt;=설정!$C$12),"긴급",IF(OR(C353&gt;=설정!$C$9,D353&gt;=설정!$C$10,C353&lt;설정!$C$13),"주의","정상")),"확인필요")))</f>
        <v/>
      </c>
      <c r="J353" s="25" t="str">
        <f aca="false">IF(E353="","",IF(E353="-","측정불가",IF(NOT(ISNUMBER(E353)),"확인필요",IF(E353&lt;설정!$C$17,"긴급(저혈당)",IF(E353&gt;=설정!$C$18,"긴급(고혈당)",IF(F353="공복",IF(E353&gt;=설정!$C$15,"주의","정상"),IF(F353="식후",IF(E353&gt;=설정!$C$16,"주의","정상"),"조건확인")))))))</f>
        <v/>
      </c>
      <c r="K353" s="25" t="str">
        <f aca="false">IF(OR(I353="긴급",LEFT(J353,2)="긴급"),"★ 즉시 선생님 호출",IF(OR(I353="주의",J353="주의"),"결과상담에서 확인",IF(J353="조건확인","혈당조건(공복/식후) 선택","")))</f>
        <v/>
      </c>
      <c r="L353" s="25" t="str">
        <f aca="false">IF($B353="","",IF(COUNTIF($B$5:$B$1004,$B353)&gt;1,"중복 입력",""))</f>
        <v/>
      </c>
    </row>
    <row r="354" customFormat="false" ht="1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5" t="str">
        <f aca="false">IF($B354="","",IFERROR(IF(INDEX(명단!$B$5:$B$404,MATCH($B354,명단!$A$5:$A$404,0))="","(이름 미입력)",INDEX(명단!$B$5:$B$404,MATCH($B354,명단!$A$5:$A$404,0))),"번호 없음"))</f>
        <v/>
      </c>
      <c r="I354" s="25" t="str">
        <f aca="false">IF(AND(C354="",D354=""),"",IF(OR(C354="-",D354="-"),"측정불가",IF(AND(ISNUMBER(C354),ISNUMBER(D354)),IF(OR(C354&gt;=설정!$C$11,D354&gt;=설정!$C$12),"긴급",IF(OR(C354&gt;=설정!$C$9,D354&gt;=설정!$C$10,C354&lt;설정!$C$13),"주의","정상")),"확인필요")))</f>
        <v/>
      </c>
      <c r="J354" s="25" t="str">
        <f aca="false">IF(E354="","",IF(E354="-","측정불가",IF(NOT(ISNUMBER(E354)),"확인필요",IF(E354&lt;설정!$C$17,"긴급(저혈당)",IF(E354&gt;=설정!$C$18,"긴급(고혈당)",IF(F354="공복",IF(E354&gt;=설정!$C$15,"주의","정상"),IF(F354="식후",IF(E354&gt;=설정!$C$16,"주의","정상"),"조건확인")))))))</f>
        <v/>
      </c>
      <c r="K354" s="25" t="str">
        <f aca="false">IF(OR(I354="긴급",LEFT(J354,2)="긴급"),"★ 즉시 선생님 호출",IF(OR(I354="주의",J354="주의"),"결과상담에서 확인",IF(J354="조건확인","혈당조건(공복/식후) 선택","")))</f>
        <v/>
      </c>
      <c r="L354" s="25" t="str">
        <f aca="false">IF($B354="","",IF(COUNTIF($B$5:$B$1004,$B354)&gt;1,"중복 입력",""))</f>
        <v/>
      </c>
    </row>
    <row r="355" customFormat="false" ht="1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5" t="str">
        <f aca="false">IF($B355="","",IFERROR(IF(INDEX(명단!$B$5:$B$404,MATCH($B355,명단!$A$5:$A$404,0))="","(이름 미입력)",INDEX(명단!$B$5:$B$404,MATCH($B355,명단!$A$5:$A$404,0))),"번호 없음"))</f>
        <v/>
      </c>
      <c r="I355" s="25" t="str">
        <f aca="false">IF(AND(C355="",D355=""),"",IF(OR(C355="-",D355="-"),"측정불가",IF(AND(ISNUMBER(C355),ISNUMBER(D355)),IF(OR(C355&gt;=설정!$C$11,D355&gt;=설정!$C$12),"긴급",IF(OR(C355&gt;=설정!$C$9,D355&gt;=설정!$C$10,C355&lt;설정!$C$13),"주의","정상")),"확인필요")))</f>
        <v/>
      </c>
      <c r="J355" s="25" t="str">
        <f aca="false">IF(E355="","",IF(E355="-","측정불가",IF(NOT(ISNUMBER(E355)),"확인필요",IF(E355&lt;설정!$C$17,"긴급(저혈당)",IF(E355&gt;=설정!$C$18,"긴급(고혈당)",IF(F355="공복",IF(E355&gt;=설정!$C$15,"주의","정상"),IF(F355="식후",IF(E355&gt;=설정!$C$16,"주의","정상"),"조건확인")))))))</f>
        <v/>
      </c>
      <c r="K355" s="25" t="str">
        <f aca="false">IF(OR(I355="긴급",LEFT(J355,2)="긴급"),"★ 즉시 선생님 호출",IF(OR(I355="주의",J355="주의"),"결과상담에서 확인",IF(J355="조건확인","혈당조건(공복/식후) 선택","")))</f>
        <v/>
      </c>
      <c r="L355" s="25" t="str">
        <f aca="false">IF($B355="","",IF(COUNTIF($B$5:$B$1004,$B355)&gt;1,"중복 입력",""))</f>
        <v/>
      </c>
    </row>
    <row r="356" customFormat="false" ht="1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5" t="str">
        <f aca="false">IF($B356="","",IFERROR(IF(INDEX(명단!$B$5:$B$404,MATCH($B356,명단!$A$5:$A$404,0))="","(이름 미입력)",INDEX(명단!$B$5:$B$404,MATCH($B356,명단!$A$5:$A$404,0))),"번호 없음"))</f>
        <v/>
      </c>
      <c r="I356" s="25" t="str">
        <f aca="false">IF(AND(C356="",D356=""),"",IF(OR(C356="-",D356="-"),"측정불가",IF(AND(ISNUMBER(C356),ISNUMBER(D356)),IF(OR(C356&gt;=설정!$C$11,D356&gt;=설정!$C$12),"긴급",IF(OR(C356&gt;=설정!$C$9,D356&gt;=설정!$C$10,C356&lt;설정!$C$13),"주의","정상")),"확인필요")))</f>
        <v/>
      </c>
      <c r="J356" s="25" t="str">
        <f aca="false">IF(E356="","",IF(E356="-","측정불가",IF(NOT(ISNUMBER(E356)),"확인필요",IF(E356&lt;설정!$C$17,"긴급(저혈당)",IF(E356&gt;=설정!$C$18,"긴급(고혈당)",IF(F356="공복",IF(E356&gt;=설정!$C$15,"주의","정상"),IF(F356="식후",IF(E356&gt;=설정!$C$16,"주의","정상"),"조건확인")))))))</f>
        <v/>
      </c>
      <c r="K356" s="25" t="str">
        <f aca="false">IF(OR(I356="긴급",LEFT(J356,2)="긴급"),"★ 즉시 선생님 호출",IF(OR(I356="주의",J356="주의"),"결과상담에서 확인",IF(J356="조건확인","혈당조건(공복/식후) 선택","")))</f>
        <v/>
      </c>
      <c r="L356" s="25" t="str">
        <f aca="false">IF($B356="","",IF(COUNTIF($B$5:$B$1004,$B356)&gt;1,"중복 입력",""))</f>
        <v/>
      </c>
    </row>
    <row r="357" customFormat="false" ht="1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5" t="str">
        <f aca="false">IF($B357="","",IFERROR(IF(INDEX(명단!$B$5:$B$404,MATCH($B357,명단!$A$5:$A$404,0))="","(이름 미입력)",INDEX(명단!$B$5:$B$404,MATCH($B357,명단!$A$5:$A$404,0))),"번호 없음"))</f>
        <v/>
      </c>
      <c r="I357" s="25" t="str">
        <f aca="false">IF(AND(C357="",D357=""),"",IF(OR(C357="-",D357="-"),"측정불가",IF(AND(ISNUMBER(C357),ISNUMBER(D357)),IF(OR(C357&gt;=설정!$C$11,D357&gt;=설정!$C$12),"긴급",IF(OR(C357&gt;=설정!$C$9,D357&gt;=설정!$C$10,C357&lt;설정!$C$13),"주의","정상")),"확인필요")))</f>
        <v/>
      </c>
      <c r="J357" s="25" t="str">
        <f aca="false">IF(E357="","",IF(E357="-","측정불가",IF(NOT(ISNUMBER(E357)),"확인필요",IF(E357&lt;설정!$C$17,"긴급(저혈당)",IF(E357&gt;=설정!$C$18,"긴급(고혈당)",IF(F357="공복",IF(E357&gt;=설정!$C$15,"주의","정상"),IF(F357="식후",IF(E357&gt;=설정!$C$16,"주의","정상"),"조건확인")))))))</f>
        <v/>
      </c>
      <c r="K357" s="25" t="str">
        <f aca="false">IF(OR(I357="긴급",LEFT(J357,2)="긴급"),"★ 즉시 선생님 호출",IF(OR(I357="주의",J357="주의"),"결과상담에서 확인",IF(J357="조건확인","혈당조건(공복/식후) 선택","")))</f>
        <v/>
      </c>
      <c r="L357" s="25" t="str">
        <f aca="false">IF($B357="","",IF(COUNTIF($B$5:$B$1004,$B357)&gt;1,"중복 입력",""))</f>
        <v/>
      </c>
    </row>
    <row r="358" customFormat="false" ht="1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5" t="str">
        <f aca="false">IF($B358="","",IFERROR(IF(INDEX(명단!$B$5:$B$404,MATCH($B358,명단!$A$5:$A$404,0))="","(이름 미입력)",INDEX(명단!$B$5:$B$404,MATCH($B358,명단!$A$5:$A$404,0))),"번호 없음"))</f>
        <v/>
      </c>
      <c r="I358" s="25" t="str">
        <f aca="false">IF(AND(C358="",D358=""),"",IF(OR(C358="-",D358="-"),"측정불가",IF(AND(ISNUMBER(C358),ISNUMBER(D358)),IF(OR(C358&gt;=설정!$C$11,D358&gt;=설정!$C$12),"긴급",IF(OR(C358&gt;=설정!$C$9,D358&gt;=설정!$C$10,C358&lt;설정!$C$13),"주의","정상")),"확인필요")))</f>
        <v/>
      </c>
      <c r="J358" s="25" t="str">
        <f aca="false">IF(E358="","",IF(E358="-","측정불가",IF(NOT(ISNUMBER(E358)),"확인필요",IF(E358&lt;설정!$C$17,"긴급(저혈당)",IF(E358&gt;=설정!$C$18,"긴급(고혈당)",IF(F358="공복",IF(E358&gt;=설정!$C$15,"주의","정상"),IF(F358="식후",IF(E358&gt;=설정!$C$16,"주의","정상"),"조건확인")))))))</f>
        <v/>
      </c>
      <c r="K358" s="25" t="str">
        <f aca="false">IF(OR(I358="긴급",LEFT(J358,2)="긴급"),"★ 즉시 선생님 호출",IF(OR(I358="주의",J358="주의"),"결과상담에서 확인",IF(J358="조건확인","혈당조건(공복/식후) 선택","")))</f>
        <v/>
      </c>
      <c r="L358" s="25" t="str">
        <f aca="false">IF($B358="","",IF(COUNTIF($B$5:$B$1004,$B358)&gt;1,"중복 입력",""))</f>
        <v/>
      </c>
    </row>
    <row r="359" customFormat="false" ht="1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5" t="str">
        <f aca="false">IF($B359="","",IFERROR(IF(INDEX(명단!$B$5:$B$404,MATCH($B359,명단!$A$5:$A$404,0))="","(이름 미입력)",INDEX(명단!$B$5:$B$404,MATCH($B359,명단!$A$5:$A$404,0))),"번호 없음"))</f>
        <v/>
      </c>
      <c r="I359" s="25" t="str">
        <f aca="false">IF(AND(C359="",D359=""),"",IF(OR(C359="-",D359="-"),"측정불가",IF(AND(ISNUMBER(C359),ISNUMBER(D359)),IF(OR(C359&gt;=설정!$C$11,D359&gt;=설정!$C$12),"긴급",IF(OR(C359&gt;=설정!$C$9,D359&gt;=설정!$C$10,C359&lt;설정!$C$13),"주의","정상")),"확인필요")))</f>
        <v/>
      </c>
      <c r="J359" s="25" t="str">
        <f aca="false">IF(E359="","",IF(E359="-","측정불가",IF(NOT(ISNUMBER(E359)),"확인필요",IF(E359&lt;설정!$C$17,"긴급(저혈당)",IF(E359&gt;=설정!$C$18,"긴급(고혈당)",IF(F359="공복",IF(E359&gt;=설정!$C$15,"주의","정상"),IF(F359="식후",IF(E359&gt;=설정!$C$16,"주의","정상"),"조건확인")))))))</f>
        <v/>
      </c>
      <c r="K359" s="25" t="str">
        <f aca="false">IF(OR(I359="긴급",LEFT(J359,2)="긴급"),"★ 즉시 선생님 호출",IF(OR(I359="주의",J359="주의"),"결과상담에서 확인",IF(J359="조건확인","혈당조건(공복/식후) 선택","")))</f>
        <v/>
      </c>
      <c r="L359" s="25" t="str">
        <f aca="false">IF($B359="","",IF(COUNTIF($B$5:$B$1004,$B359)&gt;1,"중복 입력",""))</f>
        <v/>
      </c>
    </row>
    <row r="360" customFormat="false" ht="1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5" t="str">
        <f aca="false">IF($B360="","",IFERROR(IF(INDEX(명단!$B$5:$B$404,MATCH($B360,명단!$A$5:$A$404,0))="","(이름 미입력)",INDEX(명단!$B$5:$B$404,MATCH($B360,명단!$A$5:$A$404,0))),"번호 없음"))</f>
        <v/>
      </c>
      <c r="I360" s="25" t="str">
        <f aca="false">IF(AND(C360="",D360=""),"",IF(OR(C360="-",D360="-"),"측정불가",IF(AND(ISNUMBER(C360),ISNUMBER(D360)),IF(OR(C360&gt;=설정!$C$11,D360&gt;=설정!$C$12),"긴급",IF(OR(C360&gt;=설정!$C$9,D360&gt;=설정!$C$10,C360&lt;설정!$C$13),"주의","정상")),"확인필요")))</f>
        <v/>
      </c>
      <c r="J360" s="25" t="str">
        <f aca="false">IF(E360="","",IF(E360="-","측정불가",IF(NOT(ISNUMBER(E360)),"확인필요",IF(E360&lt;설정!$C$17,"긴급(저혈당)",IF(E360&gt;=설정!$C$18,"긴급(고혈당)",IF(F360="공복",IF(E360&gt;=설정!$C$15,"주의","정상"),IF(F360="식후",IF(E360&gt;=설정!$C$16,"주의","정상"),"조건확인")))))))</f>
        <v/>
      </c>
      <c r="K360" s="25" t="str">
        <f aca="false">IF(OR(I360="긴급",LEFT(J360,2)="긴급"),"★ 즉시 선생님 호출",IF(OR(I360="주의",J360="주의"),"결과상담에서 확인",IF(J360="조건확인","혈당조건(공복/식후) 선택","")))</f>
        <v/>
      </c>
      <c r="L360" s="25" t="str">
        <f aca="false">IF($B360="","",IF(COUNTIF($B$5:$B$1004,$B360)&gt;1,"중복 입력",""))</f>
        <v/>
      </c>
    </row>
    <row r="361" customFormat="false" ht="1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5" t="str">
        <f aca="false">IF($B361="","",IFERROR(IF(INDEX(명단!$B$5:$B$404,MATCH($B361,명단!$A$5:$A$404,0))="","(이름 미입력)",INDEX(명단!$B$5:$B$404,MATCH($B361,명단!$A$5:$A$404,0))),"번호 없음"))</f>
        <v/>
      </c>
      <c r="I361" s="25" t="str">
        <f aca="false">IF(AND(C361="",D361=""),"",IF(OR(C361="-",D361="-"),"측정불가",IF(AND(ISNUMBER(C361),ISNUMBER(D361)),IF(OR(C361&gt;=설정!$C$11,D361&gt;=설정!$C$12),"긴급",IF(OR(C361&gt;=설정!$C$9,D361&gt;=설정!$C$10,C361&lt;설정!$C$13),"주의","정상")),"확인필요")))</f>
        <v/>
      </c>
      <c r="J361" s="25" t="str">
        <f aca="false">IF(E361="","",IF(E361="-","측정불가",IF(NOT(ISNUMBER(E361)),"확인필요",IF(E361&lt;설정!$C$17,"긴급(저혈당)",IF(E361&gt;=설정!$C$18,"긴급(고혈당)",IF(F361="공복",IF(E361&gt;=설정!$C$15,"주의","정상"),IF(F361="식후",IF(E361&gt;=설정!$C$16,"주의","정상"),"조건확인")))))))</f>
        <v/>
      </c>
      <c r="K361" s="25" t="str">
        <f aca="false">IF(OR(I361="긴급",LEFT(J361,2)="긴급"),"★ 즉시 선생님 호출",IF(OR(I361="주의",J361="주의"),"결과상담에서 확인",IF(J361="조건확인","혈당조건(공복/식후) 선택","")))</f>
        <v/>
      </c>
      <c r="L361" s="25" t="str">
        <f aca="false">IF($B361="","",IF(COUNTIF($B$5:$B$1004,$B361)&gt;1,"중복 입력",""))</f>
        <v/>
      </c>
    </row>
    <row r="362" customFormat="false" ht="1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5" t="str">
        <f aca="false">IF($B362="","",IFERROR(IF(INDEX(명단!$B$5:$B$404,MATCH($B362,명단!$A$5:$A$404,0))="","(이름 미입력)",INDEX(명단!$B$5:$B$404,MATCH($B362,명단!$A$5:$A$404,0))),"번호 없음"))</f>
        <v/>
      </c>
      <c r="I362" s="25" t="str">
        <f aca="false">IF(AND(C362="",D362=""),"",IF(OR(C362="-",D362="-"),"측정불가",IF(AND(ISNUMBER(C362),ISNUMBER(D362)),IF(OR(C362&gt;=설정!$C$11,D362&gt;=설정!$C$12),"긴급",IF(OR(C362&gt;=설정!$C$9,D362&gt;=설정!$C$10,C362&lt;설정!$C$13),"주의","정상")),"확인필요")))</f>
        <v/>
      </c>
      <c r="J362" s="25" t="str">
        <f aca="false">IF(E362="","",IF(E362="-","측정불가",IF(NOT(ISNUMBER(E362)),"확인필요",IF(E362&lt;설정!$C$17,"긴급(저혈당)",IF(E362&gt;=설정!$C$18,"긴급(고혈당)",IF(F362="공복",IF(E362&gt;=설정!$C$15,"주의","정상"),IF(F362="식후",IF(E362&gt;=설정!$C$16,"주의","정상"),"조건확인")))))))</f>
        <v/>
      </c>
      <c r="K362" s="25" t="str">
        <f aca="false">IF(OR(I362="긴급",LEFT(J362,2)="긴급"),"★ 즉시 선생님 호출",IF(OR(I362="주의",J362="주의"),"결과상담에서 확인",IF(J362="조건확인","혈당조건(공복/식후) 선택","")))</f>
        <v/>
      </c>
      <c r="L362" s="25" t="str">
        <f aca="false">IF($B362="","",IF(COUNTIF($B$5:$B$1004,$B362)&gt;1,"중복 입력",""))</f>
        <v/>
      </c>
    </row>
    <row r="363" customFormat="false" ht="1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5" t="str">
        <f aca="false">IF($B363="","",IFERROR(IF(INDEX(명단!$B$5:$B$404,MATCH($B363,명단!$A$5:$A$404,0))="","(이름 미입력)",INDEX(명단!$B$5:$B$404,MATCH($B363,명단!$A$5:$A$404,0))),"번호 없음"))</f>
        <v/>
      </c>
      <c r="I363" s="25" t="str">
        <f aca="false">IF(AND(C363="",D363=""),"",IF(OR(C363="-",D363="-"),"측정불가",IF(AND(ISNUMBER(C363),ISNUMBER(D363)),IF(OR(C363&gt;=설정!$C$11,D363&gt;=설정!$C$12),"긴급",IF(OR(C363&gt;=설정!$C$9,D363&gt;=설정!$C$10,C363&lt;설정!$C$13),"주의","정상")),"확인필요")))</f>
        <v/>
      </c>
      <c r="J363" s="25" t="str">
        <f aca="false">IF(E363="","",IF(E363="-","측정불가",IF(NOT(ISNUMBER(E363)),"확인필요",IF(E363&lt;설정!$C$17,"긴급(저혈당)",IF(E363&gt;=설정!$C$18,"긴급(고혈당)",IF(F363="공복",IF(E363&gt;=설정!$C$15,"주의","정상"),IF(F363="식후",IF(E363&gt;=설정!$C$16,"주의","정상"),"조건확인")))))))</f>
        <v/>
      </c>
      <c r="K363" s="25" t="str">
        <f aca="false">IF(OR(I363="긴급",LEFT(J363,2)="긴급"),"★ 즉시 선생님 호출",IF(OR(I363="주의",J363="주의"),"결과상담에서 확인",IF(J363="조건확인","혈당조건(공복/식후) 선택","")))</f>
        <v/>
      </c>
      <c r="L363" s="25" t="str">
        <f aca="false">IF($B363="","",IF(COUNTIF($B$5:$B$1004,$B363)&gt;1,"중복 입력",""))</f>
        <v/>
      </c>
    </row>
    <row r="364" customFormat="false" ht="1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5" t="str">
        <f aca="false">IF($B364="","",IFERROR(IF(INDEX(명단!$B$5:$B$404,MATCH($B364,명단!$A$5:$A$404,0))="","(이름 미입력)",INDEX(명단!$B$5:$B$404,MATCH($B364,명단!$A$5:$A$404,0))),"번호 없음"))</f>
        <v/>
      </c>
      <c r="I364" s="25" t="str">
        <f aca="false">IF(AND(C364="",D364=""),"",IF(OR(C364="-",D364="-"),"측정불가",IF(AND(ISNUMBER(C364),ISNUMBER(D364)),IF(OR(C364&gt;=설정!$C$11,D364&gt;=설정!$C$12),"긴급",IF(OR(C364&gt;=설정!$C$9,D364&gt;=설정!$C$10,C364&lt;설정!$C$13),"주의","정상")),"확인필요")))</f>
        <v/>
      </c>
      <c r="J364" s="25" t="str">
        <f aca="false">IF(E364="","",IF(E364="-","측정불가",IF(NOT(ISNUMBER(E364)),"확인필요",IF(E364&lt;설정!$C$17,"긴급(저혈당)",IF(E364&gt;=설정!$C$18,"긴급(고혈당)",IF(F364="공복",IF(E364&gt;=설정!$C$15,"주의","정상"),IF(F364="식후",IF(E364&gt;=설정!$C$16,"주의","정상"),"조건확인")))))))</f>
        <v/>
      </c>
      <c r="K364" s="25" t="str">
        <f aca="false">IF(OR(I364="긴급",LEFT(J364,2)="긴급"),"★ 즉시 선생님 호출",IF(OR(I364="주의",J364="주의"),"결과상담에서 확인",IF(J364="조건확인","혈당조건(공복/식후) 선택","")))</f>
        <v/>
      </c>
      <c r="L364" s="25" t="str">
        <f aca="false">IF($B364="","",IF(COUNTIF($B$5:$B$1004,$B364)&gt;1,"중복 입력",""))</f>
        <v/>
      </c>
    </row>
    <row r="365" customFormat="false" ht="1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5" t="str">
        <f aca="false">IF($B365="","",IFERROR(IF(INDEX(명단!$B$5:$B$404,MATCH($B365,명단!$A$5:$A$404,0))="","(이름 미입력)",INDEX(명단!$B$5:$B$404,MATCH($B365,명단!$A$5:$A$404,0))),"번호 없음"))</f>
        <v/>
      </c>
      <c r="I365" s="25" t="str">
        <f aca="false">IF(AND(C365="",D365=""),"",IF(OR(C365="-",D365="-"),"측정불가",IF(AND(ISNUMBER(C365),ISNUMBER(D365)),IF(OR(C365&gt;=설정!$C$11,D365&gt;=설정!$C$12),"긴급",IF(OR(C365&gt;=설정!$C$9,D365&gt;=설정!$C$10,C365&lt;설정!$C$13),"주의","정상")),"확인필요")))</f>
        <v/>
      </c>
      <c r="J365" s="25" t="str">
        <f aca="false">IF(E365="","",IF(E365="-","측정불가",IF(NOT(ISNUMBER(E365)),"확인필요",IF(E365&lt;설정!$C$17,"긴급(저혈당)",IF(E365&gt;=설정!$C$18,"긴급(고혈당)",IF(F365="공복",IF(E365&gt;=설정!$C$15,"주의","정상"),IF(F365="식후",IF(E365&gt;=설정!$C$16,"주의","정상"),"조건확인")))))))</f>
        <v/>
      </c>
      <c r="K365" s="25" t="str">
        <f aca="false">IF(OR(I365="긴급",LEFT(J365,2)="긴급"),"★ 즉시 선생님 호출",IF(OR(I365="주의",J365="주의"),"결과상담에서 확인",IF(J365="조건확인","혈당조건(공복/식후) 선택","")))</f>
        <v/>
      </c>
      <c r="L365" s="25" t="str">
        <f aca="false">IF($B365="","",IF(COUNTIF($B$5:$B$1004,$B365)&gt;1,"중복 입력",""))</f>
        <v/>
      </c>
    </row>
    <row r="366" customFormat="false" ht="1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5" t="str">
        <f aca="false">IF($B366="","",IFERROR(IF(INDEX(명단!$B$5:$B$404,MATCH($B366,명단!$A$5:$A$404,0))="","(이름 미입력)",INDEX(명단!$B$5:$B$404,MATCH($B366,명단!$A$5:$A$404,0))),"번호 없음"))</f>
        <v/>
      </c>
      <c r="I366" s="25" t="str">
        <f aca="false">IF(AND(C366="",D366=""),"",IF(OR(C366="-",D366="-"),"측정불가",IF(AND(ISNUMBER(C366),ISNUMBER(D366)),IF(OR(C366&gt;=설정!$C$11,D366&gt;=설정!$C$12),"긴급",IF(OR(C366&gt;=설정!$C$9,D366&gt;=설정!$C$10,C366&lt;설정!$C$13),"주의","정상")),"확인필요")))</f>
        <v/>
      </c>
      <c r="J366" s="25" t="str">
        <f aca="false">IF(E366="","",IF(E366="-","측정불가",IF(NOT(ISNUMBER(E366)),"확인필요",IF(E366&lt;설정!$C$17,"긴급(저혈당)",IF(E366&gt;=설정!$C$18,"긴급(고혈당)",IF(F366="공복",IF(E366&gt;=설정!$C$15,"주의","정상"),IF(F366="식후",IF(E366&gt;=설정!$C$16,"주의","정상"),"조건확인")))))))</f>
        <v/>
      </c>
      <c r="K366" s="25" t="str">
        <f aca="false">IF(OR(I366="긴급",LEFT(J366,2)="긴급"),"★ 즉시 선생님 호출",IF(OR(I366="주의",J366="주의"),"결과상담에서 확인",IF(J366="조건확인","혈당조건(공복/식후) 선택","")))</f>
        <v/>
      </c>
      <c r="L366" s="25" t="str">
        <f aca="false">IF($B366="","",IF(COUNTIF($B$5:$B$1004,$B366)&gt;1,"중복 입력",""))</f>
        <v/>
      </c>
    </row>
    <row r="367" customFormat="false" ht="1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5" t="str">
        <f aca="false">IF($B367="","",IFERROR(IF(INDEX(명단!$B$5:$B$404,MATCH($B367,명단!$A$5:$A$404,0))="","(이름 미입력)",INDEX(명단!$B$5:$B$404,MATCH($B367,명단!$A$5:$A$404,0))),"번호 없음"))</f>
        <v/>
      </c>
      <c r="I367" s="25" t="str">
        <f aca="false">IF(AND(C367="",D367=""),"",IF(OR(C367="-",D367="-"),"측정불가",IF(AND(ISNUMBER(C367),ISNUMBER(D367)),IF(OR(C367&gt;=설정!$C$11,D367&gt;=설정!$C$12),"긴급",IF(OR(C367&gt;=설정!$C$9,D367&gt;=설정!$C$10,C367&lt;설정!$C$13),"주의","정상")),"확인필요")))</f>
        <v/>
      </c>
      <c r="J367" s="25" t="str">
        <f aca="false">IF(E367="","",IF(E367="-","측정불가",IF(NOT(ISNUMBER(E367)),"확인필요",IF(E367&lt;설정!$C$17,"긴급(저혈당)",IF(E367&gt;=설정!$C$18,"긴급(고혈당)",IF(F367="공복",IF(E367&gt;=설정!$C$15,"주의","정상"),IF(F367="식후",IF(E367&gt;=설정!$C$16,"주의","정상"),"조건확인")))))))</f>
        <v/>
      </c>
      <c r="K367" s="25" t="str">
        <f aca="false">IF(OR(I367="긴급",LEFT(J367,2)="긴급"),"★ 즉시 선생님 호출",IF(OR(I367="주의",J367="주의"),"결과상담에서 확인",IF(J367="조건확인","혈당조건(공복/식후) 선택","")))</f>
        <v/>
      </c>
      <c r="L367" s="25" t="str">
        <f aca="false">IF($B367="","",IF(COUNTIF($B$5:$B$1004,$B367)&gt;1,"중복 입력",""))</f>
        <v/>
      </c>
    </row>
    <row r="368" customFormat="false" ht="1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5" t="str">
        <f aca="false">IF($B368="","",IFERROR(IF(INDEX(명단!$B$5:$B$404,MATCH($B368,명단!$A$5:$A$404,0))="","(이름 미입력)",INDEX(명단!$B$5:$B$404,MATCH($B368,명단!$A$5:$A$404,0))),"번호 없음"))</f>
        <v/>
      </c>
      <c r="I368" s="25" t="str">
        <f aca="false">IF(AND(C368="",D368=""),"",IF(OR(C368="-",D368="-"),"측정불가",IF(AND(ISNUMBER(C368),ISNUMBER(D368)),IF(OR(C368&gt;=설정!$C$11,D368&gt;=설정!$C$12),"긴급",IF(OR(C368&gt;=설정!$C$9,D368&gt;=설정!$C$10,C368&lt;설정!$C$13),"주의","정상")),"확인필요")))</f>
        <v/>
      </c>
      <c r="J368" s="25" t="str">
        <f aca="false">IF(E368="","",IF(E368="-","측정불가",IF(NOT(ISNUMBER(E368)),"확인필요",IF(E368&lt;설정!$C$17,"긴급(저혈당)",IF(E368&gt;=설정!$C$18,"긴급(고혈당)",IF(F368="공복",IF(E368&gt;=설정!$C$15,"주의","정상"),IF(F368="식후",IF(E368&gt;=설정!$C$16,"주의","정상"),"조건확인")))))))</f>
        <v/>
      </c>
      <c r="K368" s="25" t="str">
        <f aca="false">IF(OR(I368="긴급",LEFT(J368,2)="긴급"),"★ 즉시 선생님 호출",IF(OR(I368="주의",J368="주의"),"결과상담에서 확인",IF(J368="조건확인","혈당조건(공복/식후) 선택","")))</f>
        <v/>
      </c>
      <c r="L368" s="25" t="str">
        <f aca="false">IF($B368="","",IF(COUNTIF($B$5:$B$1004,$B368)&gt;1,"중복 입력",""))</f>
        <v/>
      </c>
    </row>
    <row r="369" customFormat="false" ht="1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5" t="str">
        <f aca="false">IF($B369="","",IFERROR(IF(INDEX(명단!$B$5:$B$404,MATCH($B369,명단!$A$5:$A$404,0))="","(이름 미입력)",INDEX(명단!$B$5:$B$404,MATCH($B369,명단!$A$5:$A$404,0))),"번호 없음"))</f>
        <v/>
      </c>
      <c r="I369" s="25" t="str">
        <f aca="false">IF(AND(C369="",D369=""),"",IF(OR(C369="-",D369="-"),"측정불가",IF(AND(ISNUMBER(C369),ISNUMBER(D369)),IF(OR(C369&gt;=설정!$C$11,D369&gt;=설정!$C$12),"긴급",IF(OR(C369&gt;=설정!$C$9,D369&gt;=설정!$C$10,C369&lt;설정!$C$13),"주의","정상")),"확인필요")))</f>
        <v/>
      </c>
      <c r="J369" s="25" t="str">
        <f aca="false">IF(E369="","",IF(E369="-","측정불가",IF(NOT(ISNUMBER(E369)),"확인필요",IF(E369&lt;설정!$C$17,"긴급(저혈당)",IF(E369&gt;=설정!$C$18,"긴급(고혈당)",IF(F369="공복",IF(E369&gt;=설정!$C$15,"주의","정상"),IF(F369="식후",IF(E369&gt;=설정!$C$16,"주의","정상"),"조건확인")))))))</f>
        <v/>
      </c>
      <c r="K369" s="25" t="str">
        <f aca="false">IF(OR(I369="긴급",LEFT(J369,2)="긴급"),"★ 즉시 선생님 호출",IF(OR(I369="주의",J369="주의"),"결과상담에서 확인",IF(J369="조건확인","혈당조건(공복/식후) 선택","")))</f>
        <v/>
      </c>
      <c r="L369" s="25" t="str">
        <f aca="false">IF($B369="","",IF(COUNTIF($B$5:$B$1004,$B369)&gt;1,"중복 입력",""))</f>
        <v/>
      </c>
    </row>
    <row r="370" customFormat="false" ht="1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5" t="str">
        <f aca="false">IF($B370="","",IFERROR(IF(INDEX(명단!$B$5:$B$404,MATCH($B370,명단!$A$5:$A$404,0))="","(이름 미입력)",INDEX(명단!$B$5:$B$404,MATCH($B370,명단!$A$5:$A$404,0))),"번호 없음"))</f>
        <v/>
      </c>
      <c r="I370" s="25" t="str">
        <f aca="false">IF(AND(C370="",D370=""),"",IF(OR(C370="-",D370="-"),"측정불가",IF(AND(ISNUMBER(C370),ISNUMBER(D370)),IF(OR(C370&gt;=설정!$C$11,D370&gt;=설정!$C$12),"긴급",IF(OR(C370&gt;=설정!$C$9,D370&gt;=설정!$C$10,C370&lt;설정!$C$13),"주의","정상")),"확인필요")))</f>
        <v/>
      </c>
      <c r="J370" s="25" t="str">
        <f aca="false">IF(E370="","",IF(E370="-","측정불가",IF(NOT(ISNUMBER(E370)),"확인필요",IF(E370&lt;설정!$C$17,"긴급(저혈당)",IF(E370&gt;=설정!$C$18,"긴급(고혈당)",IF(F370="공복",IF(E370&gt;=설정!$C$15,"주의","정상"),IF(F370="식후",IF(E370&gt;=설정!$C$16,"주의","정상"),"조건확인")))))))</f>
        <v/>
      </c>
      <c r="K370" s="25" t="str">
        <f aca="false">IF(OR(I370="긴급",LEFT(J370,2)="긴급"),"★ 즉시 선생님 호출",IF(OR(I370="주의",J370="주의"),"결과상담에서 확인",IF(J370="조건확인","혈당조건(공복/식후) 선택","")))</f>
        <v/>
      </c>
      <c r="L370" s="25" t="str">
        <f aca="false">IF($B370="","",IF(COUNTIF($B$5:$B$1004,$B370)&gt;1,"중복 입력",""))</f>
        <v/>
      </c>
    </row>
    <row r="371" customFormat="false" ht="1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5" t="str">
        <f aca="false">IF($B371="","",IFERROR(IF(INDEX(명단!$B$5:$B$404,MATCH($B371,명단!$A$5:$A$404,0))="","(이름 미입력)",INDEX(명단!$B$5:$B$404,MATCH($B371,명단!$A$5:$A$404,0))),"번호 없음"))</f>
        <v/>
      </c>
      <c r="I371" s="25" t="str">
        <f aca="false">IF(AND(C371="",D371=""),"",IF(OR(C371="-",D371="-"),"측정불가",IF(AND(ISNUMBER(C371),ISNUMBER(D371)),IF(OR(C371&gt;=설정!$C$11,D371&gt;=설정!$C$12),"긴급",IF(OR(C371&gt;=설정!$C$9,D371&gt;=설정!$C$10,C371&lt;설정!$C$13),"주의","정상")),"확인필요")))</f>
        <v/>
      </c>
      <c r="J371" s="25" t="str">
        <f aca="false">IF(E371="","",IF(E371="-","측정불가",IF(NOT(ISNUMBER(E371)),"확인필요",IF(E371&lt;설정!$C$17,"긴급(저혈당)",IF(E371&gt;=설정!$C$18,"긴급(고혈당)",IF(F371="공복",IF(E371&gt;=설정!$C$15,"주의","정상"),IF(F371="식후",IF(E371&gt;=설정!$C$16,"주의","정상"),"조건확인")))))))</f>
        <v/>
      </c>
      <c r="K371" s="25" t="str">
        <f aca="false">IF(OR(I371="긴급",LEFT(J371,2)="긴급"),"★ 즉시 선생님 호출",IF(OR(I371="주의",J371="주의"),"결과상담에서 확인",IF(J371="조건확인","혈당조건(공복/식후) 선택","")))</f>
        <v/>
      </c>
      <c r="L371" s="25" t="str">
        <f aca="false">IF($B371="","",IF(COUNTIF($B$5:$B$1004,$B371)&gt;1,"중복 입력",""))</f>
        <v/>
      </c>
    </row>
    <row r="372" customFormat="false" ht="1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5" t="str">
        <f aca="false">IF($B372="","",IFERROR(IF(INDEX(명단!$B$5:$B$404,MATCH($B372,명단!$A$5:$A$404,0))="","(이름 미입력)",INDEX(명단!$B$5:$B$404,MATCH($B372,명단!$A$5:$A$404,0))),"번호 없음"))</f>
        <v/>
      </c>
      <c r="I372" s="25" t="str">
        <f aca="false">IF(AND(C372="",D372=""),"",IF(OR(C372="-",D372="-"),"측정불가",IF(AND(ISNUMBER(C372),ISNUMBER(D372)),IF(OR(C372&gt;=설정!$C$11,D372&gt;=설정!$C$12),"긴급",IF(OR(C372&gt;=설정!$C$9,D372&gt;=설정!$C$10,C372&lt;설정!$C$13),"주의","정상")),"확인필요")))</f>
        <v/>
      </c>
      <c r="J372" s="25" t="str">
        <f aca="false">IF(E372="","",IF(E372="-","측정불가",IF(NOT(ISNUMBER(E372)),"확인필요",IF(E372&lt;설정!$C$17,"긴급(저혈당)",IF(E372&gt;=설정!$C$18,"긴급(고혈당)",IF(F372="공복",IF(E372&gt;=설정!$C$15,"주의","정상"),IF(F372="식후",IF(E372&gt;=설정!$C$16,"주의","정상"),"조건확인")))))))</f>
        <v/>
      </c>
      <c r="K372" s="25" t="str">
        <f aca="false">IF(OR(I372="긴급",LEFT(J372,2)="긴급"),"★ 즉시 선생님 호출",IF(OR(I372="주의",J372="주의"),"결과상담에서 확인",IF(J372="조건확인","혈당조건(공복/식후) 선택","")))</f>
        <v/>
      </c>
      <c r="L372" s="25" t="str">
        <f aca="false">IF($B372="","",IF(COUNTIF($B$5:$B$1004,$B372)&gt;1,"중복 입력",""))</f>
        <v/>
      </c>
    </row>
    <row r="373" customFormat="false" ht="1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5" t="str">
        <f aca="false">IF($B373="","",IFERROR(IF(INDEX(명단!$B$5:$B$404,MATCH($B373,명단!$A$5:$A$404,0))="","(이름 미입력)",INDEX(명단!$B$5:$B$404,MATCH($B373,명단!$A$5:$A$404,0))),"번호 없음"))</f>
        <v/>
      </c>
      <c r="I373" s="25" t="str">
        <f aca="false">IF(AND(C373="",D373=""),"",IF(OR(C373="-",D373="-"),"측정불가",IF(AND(ISNUMBER(C373),ISNUMBER(D373)),IF(OR(C373&gt;=설정!$C$11,D373&gt;=설정!$C$12),"긴급",IF(OR(C373&gt;=설정!$C$9,D373&gt;=설정!$C$10,C373&lt;설정!$C$13),"주의","정상")),"확인필요")))</f>
        <v/>
      </c>
      <c r="J373" s="25" t="str">
        <f aca="false">IF(E373="","",IF(E373="-","측정불가",IF(NOT(ISNUMBER(E373)),"확인필요",IF(E373&lt;설정!$C$17,"긴급(저혈당)",IF(E373&gt;=설정!$C$18,"긴급(고혈당)",IF(F373="공복",IF(E373&gt;=설정!$C$15,"주의","정상"),IF(F373="식후",IF(E373&gt;=설정!$C$16,"주의","정상"),"조건확인")))))))</f>
        <v/>
      </c>
      <c r="K373" s="25" t="str">
        <f aca="false">IF(OR(I373="긴급",LEFT(J373,2)="긴급"),"★ 즉시 선생님 호출",IF(OR(I373="주의",J373="주의"),"결과상담에서 확인",IF(J373="조건확인","혈당조건(공복/식후) 선택","")))</f>
        <v/>
      </c>
      <c r="L373" s="25" t="str">
        <f aca="false">IF($B373="","",IF(COUNTIF($B$5:$B$1004,$B373)&gt;1,"중복 입력",""))</f>
        <v/>
      </c>
    </row>
    <row r="374" customFormat="false" ht="1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5" t="str">
        <f aca="false">IF($B374="","",IFERROR(IF(INDEX(명단!$B$5:$B$404,MATCH($B374,명단!$A$5:$A$404,0))="","(이름 미입력)",INDEX(명단!$B$5:$B$404,MATCH($B374,명단!$A$5:$A$404,0))),"번호 없음"))</f>
        <v/>
      </c>
      <c r="I374" s="25" t="str">
        <f aca="false">IF(AND(C374="",D374=""),"",IF(OR(C374="-",D374="-"),"측정불가",IF(AND(ISNUMBER(C374),ISNUMBER(D374)),IF(OR(C374&gt;=설정!$C$11,D374&gt;=설정!$C$12),"긴급",IF(OR(C374&gt;=설정!$C$9,D374&gt;=설정!$C$10,C374&lt;설정!$C$13),"주의","정상")),"확인필요")))</f>
        <v/>
      </c>
      <c r="J374" s="25" t="str">
        <f aca="false">IF(E374="","",IF(E374="-","측정불가",IF(NOT(ISNUMBER(E374)),"확인필요",IF(E374&lt;설정!$C$17,"긴급(저혈당)",IF(E374&gt;=설정!$C$18,"긴급(고혈당)",IF(F374="공복",IF(E374&gt;=설정!$C$15,"주의","정상"),IF(F374="식후",IF(E374&gt;=설정!$C$16,"주의","정상"),"조건확인")))))))</f>
        <v/>
      </c>
      <c r="K374" s="25" t="str">
        <f aca="false">IF(OR(I374="긴급",LEFT(J374,2)="긴급"),"★ 즉시 선생님 호출",IF(OR(I374="주의",J374="주의"),"결과상담에서 확인",IF(J374="조건확인","혈당조건(공복/식후) 선택","")))</f>
        <v/>
      </c>
      <c r="L374" s="25" t="str">
        <f aca="false">IF($B374="","",IF(COUNTIF($B$5:$B$1004,$B374)&gt;1,"중복 입력",""))</f>
        <v/>
      </c>
    </row>
    <row r="375" customFormat="false" ht="1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5" t="str">
        <f aca="false">IF($B375="","",IFERROR(IF(INDEX(명단!$B$5:$B$404,MATCH($B375,명단!$A$5:$A$404,0))="","(이름 미입력)",INDEX(명단!$B$5:$B$404,MATCH($B375,명단!$A$5:$A$404,0))),"번호 없음"))</f>
        <v/>
      </c>
      <c r="I375" s="25" t="str">
        <f aca="false">IF(AND(C375="",D375=""),"",IF(OR(C375="-",D375="-"),"측정불가",IF(AND(ISNUMBER(C375),ISNUMBER(D375)),IF(OR(C375&gt;=설정!$C$11,D375&gt;=설정!$C$12),"긴급",IF(OR(C375&gt;=설정!$C$9,D375&gt;=설정!$C$10,C375&lt;설정!$C$13),"주의","정상")),"확인필요")))</f>
        <v/>
      </c>
      <c r="J375" s="25" t="str">
        <f aca="false">IF(E375="","",IF(E375="-","측정불가",IF(NOT(ISNUMBER(E375)),"확인필요",IF(E375&lt;설정!$C$17,"긴급(저혈당)",IF(E375&gt;=설정!$C$18,"긴급(고혈당)",IF(F375="공복",IF(E375&gt;=설정!$C$15,"주의","정상"),IF(F375="식후",IF(E375&gt;=설정!$C$16,"주의","정상"),"조건확인")))))))</f>
        <v/>
      </c>
      <c r="K375" s="25" t="str">
        <f aca="false">IF(OR(I375="긴급",LEFT(J375,2)="긴급"),"★ 즉시 선생님 호출",IF(OR(I375="주의",J375="주의"),"결과상담에서 확인",IF(J375="조건확인","혈당조건(공복/식후) 선택","")))</f>
        <v/>
      </c>
      <c r="L375" s="25" t="str">
        <f aca="false">IF($B375="","",IF(COUNTIF($B$5:$B$1004,$B375)&gt;1,"중복 입력",""))</f>
        <v/>
      </c>
    </row>
    <row r="376" customFormat="false" ht="1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5" t="str">
        <f aca="false">IF($B376="","",IFERROR(IF(INDEX(명단!$B$5:$B$404,MATCH($B376,명단!$A$5:$A$404,0))="","(이름 미입력)",INDEX(명단!$B$5:$B$404,MATCH($B376,명단!$A$5:$A$404,0))),"번호 없음"))</f>
        <v/>
      </c>
      <c r="I376" s="25" t="str">
        <f aca="false">IF(AND(C376="",D376=""),"",IF(OR(C376="-",D376="-"),"측정불가",IF(AND(ISNUMBER(C376),ISNUMBER(D376)),IF(OR(C376&gt;=설정!$C$11,D376&gt;=설정!$C$12),"긴급",IF(OR(C376&gt;=설정!$C$9,D376&gt;=설정!$C$10,C376&lt;설정!$C$13),"주의","정상")),"확인필요")))</f>
        <v/>
      </c>
      <c r="J376" s="25" t="str">
        <f aca="false">IF(E376="","",IF(E376="-","측정불가",IF(NOT(ISNUMBER(E376)),"확인필요",IF(E376&lt;설정!$C$17,"긴급(저혈당)",IF(E376&gt;=설정!$C$18,"긴급(고혈당)",IF(F376="공복",IF(E376&gt;=설정!$C$15,"주의","정상"),IF(F376="식후",IF(E376&gt;=설정!$C$16,"주의","정상"),"조건확인")))))))</f>
        <v/>
      </c>
      <c r="K376" s="25" t="str">
        <f aca="false">IF(OR(I376="긴급",LEFT(J376,2)="긴급"),"★ 즉시 선생님 호출",IF(OR(I376="주의",J376="주의"),"결과상담에서 확인",IF(J376="조건확인","혈당조건(공복/식후) 선택","")))</f>
        <v/>
      </c>
      <c r="L376" s="25" t="str">
        <f aca="false">IF($B376="","",IF(COUNTIF($B$5:$B$1004,$B376)&gt;1,"중복 입력",""))</f>
        <v/>
      </c>
    </row>
    <row r="377" customFormat="false" ht="1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5" t="str">
        <f aca="false">IF($B377="","",IFERROR(IF(INDEX(명단!$B$5:$B$404,MATCH($B377,명단!$A$5:$A$404,0))="","(이름 미입력)",INDEX(명단!$B$5:$B$404,MATCH($B377,명단!$A$5:$A$404,0))),"번호 없음"))</f>
        <v/>
      </c>
      <c r="I377" s="25" t="str">
        <f aca="false">IF(AND(C377="",D377=""),"",IF(OR(C377="-",D377="-"),"측정불가",IF(AND(ISNUMBER(C377),ISNUMBER(D377)),IF(OR(C377&gt;=설정!$C$11,D377&gt;=설정!$C$12),"긴급",IF(OR(C377&gt;=설정!$C$9,D377&gt;=설정!$C$10,C377&lt;설정!$C$13),"주의","정상")),"확인필요")))</f>
        <v/>
      </c>
      <c r="J377" s="25" t="str">
        <f aca="false">IF(E377="","",IF(E377="-","측정불가",IF(NOT(ISNUMBER(E377)),"확인필요",IF(E377&lt;설정!$C$17,"긴급(저혈당)",IF(E377&gt;=설정!$C$18,"긴급(고혈당)",IF(F377="공복",IF(E377&gt;=설정!$C$15,"주의","정상"),IF(F377="식후",IF(E377&gt;=설정!$C$16,"주의","정상"),"조건확인")))))))</f>
        <v/>
      </c>
      <c r="K377" s="25" t="str">
        <f aca="false">IF(OR(I377="긴급",LEFT(J377,2)="긴급"),"★ 즉시 선생님 호출",IF(OR(I377="주의",J377="주의"),"결과상담에서 확인",IF(J377="조건확인","혈당조건(공복/식후) 선택","")))</f>
        <v/>
      </c>
      <c r="L377" s="25" t="str">
        <f aca="false">IF($B377="","",IF(COUNTIF($B$5:$B$1004,$B377)&gt;1,"중복 입력",""))</f>
        <v/>
      </c>
    </row>
    <row r="378" customFormat="false" ht="1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5" t="str">
        <f aca="false">IF($B378="","",IFERROR(IF(INDEX(명단!$B$5:$B$404,MATCH($B378,명단!$A$5:$A$404,0))="","(이름 미입력)",INDEX(명단!$B$5:$B$404,MATCH($B378,명단!$A$5:$A$404,0))),"번호 없음"))</f>
        <v/>
      </c>
      <c r="I378" s="25" t="str">
        <f aca="false">IF(AND(C378="",D378=""),"",IF(OR(C378="-",D378="-"),"측정불가",IF(AND(ISNUMBER(C378),ISNUMBER(D378)),IF(OR(C378&gt;=설정!$C$11,D378&gt;=설정!$C$12),"긴급",IF(OR(C378&gt;=설정!$C$9,D378&gt;=설정!$C$10,C378&lt;설정!$C$13),"주의","정상")),"확인필요")))</f>
        <v/>
      </c>
      <c r="J378" s="25" t="str">
        <f aca="false">IF(E378="","",IF(E378="-","측정불가",IF(NOT(ISNUMBER(E378)),"확인필요",IF(E378&lt;설정!$C$17,"긴급(저혈당)",IF(E378&gt;=설정!$C$18,"긴급(고혈당)",IF(F378="공복",IF(E378&gt;=설정!$C$15,"주의","정상"),IF(F378="식후",IF(E378&gt;=설정!$C$16,"주의","정상"),"조건확인")))))))</f>
        <v/>
      </c>
      <c r="K378" s="25" t="str">
        <f aca="false">IF(OR(I378="긴급",LEFT(J378,2)="긴급"),"★ 즉시 선생님 호출",IF(OR(I378="주의",J378="주의"),"결과상담에서 확인",IF(J378="조건확인","혈당조건(공복/식후) 선택","")))</f>
        <v/>
      </c>
      <c r="L378" s="25" t="str">
        <f aca="false">IF($B378="","",IF(COUNTIF($B$5:$B$1004,$B378)&gt;1,"중복 입력",""))</f>
        <v/>
      </c>
    </row>
    <row r="379" customFormat="false" ht="1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5" t="str">
        <f aca="false">IF($B379="","",IFERROR(IF(INDEX(명단!$B$5:$B$404,MATCH($B379,명단!$A$5:$A$404,0))="","(이름 미입력)",INDEX(명단!$B$5:$B$404,MATCH($B379,명단!$A$5:$A$404,0))),"번호 없음"))</f>
        <v/>
      </c>
      <c r="I379" s="25" t="str">
        <f aca="false">IF(AND(C379="",D379=""),"",IF(OR(C379="-",D379="-"),"측정불가",IF(AND(ISNUMBER(C379),ISNUMBER(D379)),IF(OR(C379&gt;=설정!$C$11,D379&gt;=설정!$C$12),"긴급",IF(OR(C379&gt;=설정!$C$9,D379&gt;=설정!$C$10,C379&lt;설정!$C$13),"주의","정상")),"확인필요")))</f>
        <v/>
      </c>
      <c r="J379" s="25" t="str">
        <f aca="false">IF(E379="","",IF(E379="-","측정불가",IF(NOT(ISNUMBER(E379)),"확인필요",IF(E379&lt;설정!$C$17,"긴급(저혈당)",IF(E379&gt;=설정!$C$18,"긴급(고혈당)",IF(F379="공복",IF(E379&gt;=설정!$C$15,"주의","정상"),IF(F379="식후",IF(E379&gt;=설정!$C$16,"주의","정상"),"조건확인")))))))</f>
        <v/>
      </c>
      <c r="K379" s="25" t="str">
        <f aca="false">IF(OR(I379="긴급",LEFT(J379,2)="긴급"),"★ 즉시 선생님 호출",IF(OR(I379="주의",J379="주의"),"결과상담에서 확인",IF(J379="조건확인","혈당조건(공복/식후) 선택","")))</f>
        <v/>
      </c>
      <c r="L379" s="25" t="str">
        <f aca="false">IF($B379="","",IF(COUNTIF($B$5:$B$1004,$B379)&gt;1,"중복 입력",""))</f>
        <v/>
      </c>
    </row>
    <row r="380" customFormat="false" ht="1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5" t="str">
        <f aca="false">IF($B380="","",IFERROR(IF(INDEX(명단!$B$5:$B$404,MATCH($B380,명단!$A$5:$A$404,0))="","(이름 미입력)",INDEX(명단!$B$5:$B$404,MATCH($B380,명단!$A$5:$A$404,0))),"번호 없음"))</f>
        <v/>
      </c>
      <c r="I380" s="25" t="str">
        <f aca="false">IF(AND(C380="",D380=""),"",IF(OR(C380="-",D380="-"),"측정불가",IF(AND(ISNUMBER(C380),ISNUMBER(D380)),IF(OR(C380&gt;=설정!$C$11,D380&gt;=설정!$C$12),"긴급",IF(OR(C380&gt;=설정!$C$9,D380&gt;=설정!$C$10,C380&lt;설정!$C$13),"주의","정상")),"확인필요")))</f>
        <v/>
      </c>
      <c r="J380" s="25" t="str">
        <f aca="false">IF(E380="","",IF(E380="-","측정불가",IF(NOT(ISNUMBER(E380)),"확인필요",IF(E380&lt;설정!$C$17,"긴급(저혈당)",IF(E380&gt;=설정!$C$18,"긴급(고혈당)",IF(F380="공복",IF(E380&gt;=설정!$C$15,"주의","정상"),IF(F380="식후",IF(E380&gt;=설정!$C$16,"주의","정상"),"조건확인")))))))</f>
        <v/>
      </c>
      <c r="K380" s="25" t="str">
        <f aca="false">IF(OR(I380="긴급",LEFT(J380,2)="긴급"),"★ 즉시 선생님 호출",IF(OR(I380="주의",J380="주의"),"결과상담에서 확인",IF(J380="조건확인","혈당조건(공복/식후) 선택","")))</f>
        <v/>
      </c>
      <c r="L380" s="25" t="str">
        <f aca="false">IF($B380="","",IF(COUNTIF($B$5:$B$1004,$B380)&gt;1,"중복 입력",""))</f>
        <v/>
      </c>
    </row>
    <row r="381" customFormat="false" ht="1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5" t="str">
        <f aca="false">IF($B381="","",IFERROR(IF(INDEX(명단!$B$5:$B$404,MATCH($B381,명단!$A$5:$A$404,0))="","(이름 미입력)",INDEX(명단!$B$5:$B$404,MATCH($B381,명단!$A$5:$A$404,0))),"번호 없음"))</f>
        <v/>
      </c>
      <c r="I381" s="25" t="str">
        <f aca="false">IF(AND(C381="",D381=""),"",IF(OR(C381="-",D381="-"),"측정불가",IF(AND(ISNUMBER(C381),ISNUMBER(D381)),IF(OR(C381&gt;=설정!$C$11,D381&gt;=설정!$C$12),"긴급",IF(OR(C381&gt;=설정!$C$9,D381&gt;=설정!$C$10,C381&lt;설정!$C$13),"주의","정상")),"확인필요")))</f>
        <v/>
      </c>
      <c r="J381" s="25" t="str">
        <f aca="false">IF(E381="","",IF(E381="-","측정불가",IF(NOT(ISNUMBER(E381)),"확인필요",IF(E381&lt;설정!$C$17,"긴급(저혈당)",IF(E381&gt;=설정!$C$18,"긴급(고혈당)",IF(F381="공복",IF(E381&gt;=설정!$C$15,"주의","정상"),IF(F381="식후",IF(E381&gt;=설정!$C$16,"주의","정상"),"조건확인")))))))</f>
        <v/>
      </c>
      <c r="K381" s="25" t="str">
        <f aca="false">IF(OR(I381="긴급",LEFT(J381,2)="긴급"),"★ 즉시 선생님 호출",IF(OR(I381="주의",J381="주의"),"결과상담에서 확인",IF(J381="조건확인","혈당조건(공복/식후) 선택","")))</f>
        <v/>
      </c>
      <c r="L381" s="25" t="str">
        <f aca="false">IF($B381="","",IF(COUNTIF($B$5:$B$1004,$B381)&gt;1,"중복 입력",""))</f>
        <v/>
      </c>
    </row>
    <row r="382" customFormat="false" ht="1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5" t="str">
        <f aca="false">IF($B382="","",IFERROR(IF(INDEX(명단!$B$5:$B$404,MATCH($B382,명단!$A$5:$A$404,0))="","(이름 미입력)",INDEX(명단!$B$5:$B$404,MATCH($B382,명단!$A$5:$A$404,0))),"번호 없음"))</f>
        <v/>
      </c>
      <c r="I382" s="25" t="str">
        <f aca="false">IF(AND(C382="",D382=""),"",IF(OR(C382="-",D382="-"),"측정불가",IF(AND(ISNUMBER(C382),ISNUMBER(D382)),IF(OR(C382&gt;=설정!$C$11,D382&gt;=설정!$C$12),"긴급",IF(OR(C382&gt;=설정!$C$9,D382&gt;=설정!$C$10,C382&lt;설정!$C$13),"주의","정상")),"확인필요")))</f>
        <v/>
      </c>
      <c r="J382" s="25" t="str">
        <f aca="false">IF(E382="","",IF(E382="-","측정불가",IF(NOT(ISNUMBER(E382)),"확인필요",IF(E382&lt;설정!$C$17,"긴급(저혈당)",IF(E382&gt;=설정!$C$18,"긴급(고혈당)",IF(F382="공복",IF(E382&gt;=설정!$C$15,"주의","정상"),IF(F382="식후",IF(E382&gt;=설정!$C$16,"주의","정상"),"조건확인")))))))</f>
        <v/>
      </c>
      <c r="K382" s="25" t="str">
        <f aca="false">IF(OR(I382="긴급",LEFT(J382,2)="긴급"),"★ 즉시 선생님 호출",IF(OR(I382="주의",J382="주의"),"결과상담에서 확인",IF(J382="조건확인","혈당조건(공복/식후) 선택","")))</f>
        <v/>
      </c>
      <c r="L382" s="25" t="str">
        <f aca="false">IF($B382="","",IF(COUNTIF($B$5:$B$1004,$B382)&gt;1,"중복 입력",""))</f>
        <v/>
      </c>
    </row>
    <row r="383" customFormat="false" ht="1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5" t="str">
        <f aca="false">IF($B383="","",IFERROR(IF(INDEX(명단!$B$5:$B$404,MATCH($B383,명단!$A$5:$A$404,0))="","(이름 미입력)",INDEX(명단!$B$5:$B$404,MATCH($B383,명단!$A$5:$A$404,0))),"번호 없음"))</f>
        <v/>
      </c>
      <c r="I383" s="25" t="str">
        <f aca="false">IF(AND(C383="",D383=""),"",IF(OR(C383="-",D383="-"),"측정불가",IF(AND(ISNUMBER(C383),ISNUMBER(D383)),IF(OR(C383&gt;=설정!$C$11,D383&gt;=설정!$C$12),"긴급",IF(OR(C383&gt;=설정!$C$9,D383&gt;=설정!$C$10,C383&lt;설정!$C$13),"주의","정상")),"확인필요")))</f>
        <v/>
      </c>
      <c r="J383" s="25" t="str">
        <f aca="false">IF(E383="","",IF(E383="-","측정불가",IF(NOT(ISNUMBER(E383)),"확인필요",IF(E383&lt;설정!$C$17,"긴급(저혈당)",IF(E383&gt;=설정!$C$18,"긴급(고혈당)",IF(F383="공복",IF(E383&gt;=설정!$C$15,"주의","정상"),IF(F383="식후",IF(E383&gt;=설정!$C$16,"주의","정상"),"조건확인")))))))</f>
        <v/>
      </c>
      <c r="K383" s="25" t="str">
        <f aca="false">IF(OR(I383="긴급",LEFT(J383,2)="긴급"),"★ 즉시 선생님 호출",IF(OR(I383="주의",J383="주의"),"결과상담에서 확인",IF(J383="조건확인","혈당조건(공복/식후) 선택","")))</f>
        <v/>
      </c>
      <c r="L383" s="25" t="str">
        <f aca="false">IF($B383="","",IF(COUNTIF($B$5:$B$1004,$B383)&gt;1,"중복 입력",""))</f>
        <v/>
      </c>
    </row>
    <row r="384" customFormat="false" ht="1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5" t="str">
        <f aca="false">IF($B384="","",IFERROR(IF(INDEX(명단!$B$5:$B$404,MATCH($B384,명단!$A$5:$A$404,0))="","(이름 미입력)",INDEX(명단!$B$5:$B$404,MATCH($B384,명단!$A$5:$A$404,0))),"번호 없음"))</f>
        <v/>
      </c>
      <c r="I384" s="25" t="str">
        <f aca="false">IF(AND(C384="",D384=""),"",IF(OR(C384="-",D384="-"),"측정불가",IF(AND(ISNUMBER(C384),ISNUMBER(D384)),IF(OR(C384&gt;=설정!$C$11,D384&gt;=설정!$C$12),"긴급",IF(OR(C384&gt;=설정!$C$9,D384&gt;=설정!$C$10,C384&lt;설정!$C$13),"주의","정상")),"확인필요")))</f>
        <v/>
      </c>
      <c r="J384" s="25" t="str">
        <f aca="false">IF(E384="","",IF(E384="-","측정불가",IF(NOT(ISNUMBER(E384)),"확인필요",IF(E384&lt;설정!$C$17,"긴급(저혈당)",IF(E384&gt;=설정!$C$18,"긴급(고혈당)",IF(F384="공복",IF(E384&gt;=설정!$C$15,"주의","정상"),IF(F384="식후",IF(E384&gt;=설정!$C$16,"주의","정상"),"조건확인")))))))</f>
        <v/>
      </c>
      <c r="K384" s="25" t="str">
        <f aca="false">IF(OR(I384="긴급",LEFT(J384,2)="긴급"),"★ 즉시 선생님 호출",IF(OR(I384="주의",J384="주의"),"결과상담에서 확인",IF(J384="조건확인","혈당조건(공복/식후) 선택","")))</f>
        <v/>
      </c>
      <c r="L384" s="25" t="str">
        <f aca="false">IF($B384="","",IF(COUNTIF($B$5:$B$1004,$B384)&gt;1,"중복 입력",""))</f>
        <v/>
      </c>
    </row>
    <row r="385" customFormat="false" ht="1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5" t="str">
        <f aca="false">IF($B385="","",IFERROR(IF(INDEX(명단!$B$5:$B$404,MATCH($B385,명단!$A$5:$A$404,0))="","(이름 미입력)",INDEX(명단!$B$5:$B$404,MATCH($B385,명단!$A$5:$A$404,0))),"번호 없음"))</f>
        <v/>
      </c>
      <c r="I385" s="25" t="str">
        <f aca="false">IF(AND(C385="",D385=""),"",IF(OR(C385="-",D385="-"),"측정불가",IF(AND(ISNUMBER(C385),ISNUMBER(D385)),IF(OR(C385&gt;=설정!$C$11,D385&gt;=설정!$C$12),"긴급",IF(OR(C385&gt;=설정!$C$9,D385&gt;=설정!$C$10,C385&lt;설정!$C$13),"주의","정상")),"확인필요")))</f>
        <v/>
      </c>
      <c r="J385" s="25" t="str">
        <f aca="false">IF(E385="","",IF(E385="-","측정불가",IF(NOT(ISNUMBER(E385)),"확인필요",IF(E385&lt;설정!$C$17,"긴급(저혈당)",IF(E385&gt;=설정!$C$18,"긴급(고혈당)",IF(F385="공복",IF(E385&gt;=설정!$C$15,"주의","정상"),IF(F385="식후",IF(E385&gt;=설정!$C$16,"주의","정상"),"조건확인")))))))</f>
        <v/>
      </c>
      <c r="K385" s="25" t="str">
        <f aca="false">IF(OR(I385="긴급",LEFT(J385,2)="긴급"),"★ 즉시 선생님 호출",IF(OR(I385="주의",J385="주의"),"결과상담에서 확인",IF(J385="조건확인","혈당조건(공복/식후) 선택","")))</f>
        <v/>
      </c>
      <c r="L385" s="25" t="str">
        <f aca="false">IF($B385="","",IF(COUNTIF($B$5:$B$1004,$B385)&gt;1,"중복 입력",""))</f>
        <v/>
      </c>
    </row>
    <row r="386" customFormat="false" ht="1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5" t="str">
        <f aca="false">IF($B386="","",IFERROR(IF(INDEX(명단!$B$5:$B$404,MATCH($B386,명단!$A$5:$A$404,0))="","(이름 미입력)",INDEX(명단!$B$5:$B$404,MATCH($B386,명단!$A$5:$A$404,0))),"번호 없음"))</f>
        <v/>
      </c>
      <c r="I386" s="25" t="str">
        <f aca="false">IF(AND(C386="",D386=""),"",IF(OR(C386="-",D386="-"),"측정불가",IF(AND(ISNUMBER(C386),ISNUMBER(D386)),IF(OR(C386&gt;=설정!$C$11,D386&gt;=설정!$C$12),"긴급",IF(OR(C386&gt;=설정!$C$9,D386&gt;=설정!$C$10,C386&lt;설정!$C$13),"주의","정상")),"확인필요")))</f>
        <v/>
      </c>
      <c r="J386" s="25" t="str">
        <f aca="false">IF(E386="","",IF(E386="-","측정불가",IF(NOT(ISNUMBER(E386)),"확인필요",IF(E386&lt;설정!$C$17,"긴급(저혈당)",IF(E386&gt;=설정!$C$18,"긴급(고혈당)",IF(F386="공복",IF(E386&gt;=설정!$C$15,"주의","정상"),IF(F386="식후",IF(E386&gt;=설정!$C$16,"주의","정상"),"조건확인")))))))</f>
        <v/>
      </c>
      <c r="K386" s="25" t="str">
        <f aca="false">IF(OR(I386="긴급",LEFT(J386,2)="긴급"),"★ 즉시 선생님 호출",IF(OR(I386="주의",J386="주의"),"결과상담에서 확인",IF(J386="조건확인","혈당조건(공복/식후) 선택","")))</f>
        <v/>
      </c>
      <c r="L386" s="25" t="str">
        <f aca="false">IF($B386="","",IF(COUNTIF($B$5:$B$1004,$B386)&gt;1,"중복 입력",""))</f>
        <v/>
      </c>
    </row>
    <row r="387" customFormat="false" ht="1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5" t="str">
        <f aca="false">IF($B387="","",IFERROR(IF(INDEX(명단!$B$5:$B$404,MATCH($B387,명단!$A$5:$A$404,0))="","(이름 미입력)",INDEX(명단!$B$5:$B$404,MATCH($B387,명단!$A$5:$A$404,0))),"번호 없음"))</f>
        <v/>
      </c>
      <c r="I387" s="25" t="str">
        <f aca="false">IF(AND(C387="",D387=""),"",IF(OR(C387="-",D387="-"),"측정불가",IF(AND(ISNUMBER(C387),ISNUMBER(D387)),IF(OR(C387&gt;=설정!$C$11,D387&gt;=설정!$C$12),"긴급",IF(OR(C387&gt;=설정!$C$9,D387&gt;=설정!$C$10,C387&lt;설정!$C$13),"주의","정상")),"확인필요")))</f>
        <v/>
      </c>
      <c r="J387" s="25" t="str">
        <f aca="false">IF(E387="","",IF(E387="-","측정불가",IF(NOT(ISNUMBER(E387)),"확인필요",IF(E387&lt;설정!$C$17,"긴급(저혈당)",IF(E387&gt;=설정!$C$18,"긴급(고혈당)",IF(F387="공복",IF(E387&gt;=설정!$C$15,"주의","정상"),IF(F387="식후",IF(E387&gt;=설정!$C$16,"주의","정상"),"조건확인")))))))</f>
        <v/>
      </c>
      <c r="K387" s="25" t="str">
        <f aca="false">IF(OR(I387="긴급",LEFT(J387,2)="긴급"),"★ 즉시 선생님 호출",IF(OR(I387="주의",J387="주의"),"결과상담에서 확인",IF(J387="조건확인","혈당조건(공복/식후) 선택","")))</f>
        <v/>
      </c>
      <c r="L387" s="25" t="str">
        <f aca="false">IF($B387="","",IF(COUNTIF($B$5:$B$1004,$B387)&gt;1,"중복 입력",""))</f>
        <v/>
      </c>
    </row>
    <row r="388" customFormat="false" ht="1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5" t="str">
        <f aca="false">IF($B388="","",IFERROR(IF(INDEX(명단!$B$5:$B$404,MATCH($B388,명단!$A$5:$A$404,0))="","(이름 미입력)",INDEX(명단!$B$5:$B$404,MATCH($B388,명단!$A$5:$A$404,0))),"번호 없음"))</f>
        <v/>
      </c>
      <c r="I388" s="25" t="str">
        <f aca="false">IF(AND(C388="",D388=""),"",IF(OR(C388="-",D388="-"),"측정불가",IF(AND(ISNUMBER(C388),ISNUMBER(D388)),IF(OR(C388&gt;=설정!$C$11,D388&gt;=설정!$C$12),"긴급",IF(OR(C388&gt;=설정!$C$9,D388&gt;=설정!$C$10,C388&lt;설정!$C$13),"주의","정상")),"확인필요")))</f>
        <v/>
      </c>
      <c r="J388" s="25" t="str">
        <f aca="false">IF(E388="","",IF(E388="-","측정불가",IF(NOT(ISNUMBER(E388)),"확인필요",IF(E388&lt;설정!$C$17,"긴급(저혈당)",IF(E388&gt;=설정!$C$18,"긴급(고혈당)",IF(F388="공복",IF(E388&gt;=설정!$C$15,"주의","정상"),IF(F388="식후",IF(E388&gt;=설정!$C$16,"주의","정상"),"조건확인")))))))</f>
        <v/>
      </c>
      <c r="K388" s="25" t="str">
        <f aca="false">IF(OR(I388="긴급",LEFT(J388,2)="긴급"),"★ 즉시 선생님 호출",IF(OR(I388="주의",J388="주의"),"결과상담에서 확인",IF(J388="조건확인","혈당조건(공복/식후) 선택","")))</f>
        <v/>
      </c>
      <c r="L388" s="25" t="str">
        <f aca="false">IF($B388="","",IF(COUNTIF($B$5:$B$1004,$B388)&gt;1,"중복 입력",""))</f>
        <v/>
      </c>
    </row>
    <row r="389" customFormat="false" ht="1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5" t="str">
        <f aca="false">IF($B389="","",IFERROR(IF(INDEX(명단!$B$5:$B$404,MATCH($B389,명단!$A$5:$A$404,0))="","(이름 미입력)",INDEX(명단!$B$5:$B$404,MATCH($B389,명단!$A$5:$A$404,0))),"번호 없음"))</f>
        <v/>
      </c>
      <c r="I389" s="25" t="str">
        <f aca="false">IF(AND(C389="",D389=""),"",IF(OR(C389="-",D389="-"),"측정불가",IF(AND(ISNUMBER(C389),ISNUMBER(D389)),IF(OR(C389&gt;=설정!$C$11,D389&gt;=설정!$C$12),"긴급",IF(OR(C389&gt;=설정!$C$9,D389&gt;=설정!$C$10,C389&lt;설정!$C$13),"주의","정상")),"확인필요")))</f>
        <v/>
      </c>
      <c r="J389" s="25" t="str">
        <f aca="false">IF(E389="","",IF(E389="-","측정불가",IF(NOT(ISNUMBER(E389)),"확인필요",IF(E389&lt;설정!$C$17,"긴급(저혈당)",IF(E389&gt;=설정!$C$18,"긴급(고혈당)",IF(F389="공복",IF(E389&gt;=설정!$C$15,"주의","정상"),IF(F389="식후",IF(E389&gt;=설정!$C$16,"주의","정상"),"조건확인")))))))</f>
        <v/>
      </c>
      <c r="K389" s="25" t="str">
        <f aca="false">IF(OR(I389="긴급",LEFT(J389,2)="긴급"),"★ 즉시 선생님 호출",IF(OR(I389="주의",J389="주의"),"결과상담에서 확인",IF(J389="조건확인","혈당조건(공복/식후) 선택","")))</f>
        <v/>
      </c>
      <c r="L389" s="25" t="str">
        <f aca="false">IF($B389="","",IF(COUNTIF($B$5:$B$1004,$B389)&gt;1,"중복 입력",""))</f>
        <v/>
      </c>
    </row>
    <row r="390" customFormat="false" ht="1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5" t="str">
        <f aca="false">IF($B390="","",IFERROR(IF(INDEX(명단!$B$5:$B$404,MATCH($B390,명단!$A$5:$A$404,0))="","(이름 미입력)",INDEX(명단!$B$5:$B$404,MATCH($B390,명단!$A$5:$A$404,0))),"번호 없음"))</f>
        <v/>
      </c>
      <c r="I390" s="25" t="str">
        <f aca="false">IF(AND(C390="",D390=""),"",IF(OR(C390="-",D390="-"),"측정불가",IF(AND(ISNUMBER(C390),ISNUMBER(D390)),IF(OR(C390&gt;=설정!$C$11,D390&gt;=설정!$C$12),"긴급",IF(OR(C390&gt;=설정!$C$9,D390&gt;=설정!$C$10,C390&lt;설정!$C$13),"주의","정상")),"확인필요")))</f>
        <v/>
      </c>
      <c r="J390" s="25" t="str">
        <f aca="false">IF(E390="","",IF(E390="-","측정불가",IF(NOT(ISNUMBER(E390)),"확인필요",IF(E390&lt;설정!$C$17,"긴급(저혈당)",IF(E390&gt;=설정!$C$18,"긴급(고혈당)",IF(F390="공복",IF(E390&gt;=설정!$C$15,"주의","정상"),IF(F390="식후",IF(E390&gt;=설정!$C$16,"주의","정상"),"조건확인")))))))</f>
        <v/>
      </c>
      <c r="K390" s="25" t="str">
        <f aca="false">IF(OR(I390="긴급",LEFT(J390,2)="긴급"),"★ 즉시 선생님 호출",IF(OR(I390="주의",J390="주의"),"결과상담에서 확인",IF(J390="조건확인","혈당조건(공복/식후) 선택","")))</f>
        <v/>
      </c>
      <c r="L390" s="25" t="str">
        <f aca="false">IF($B390="","",IF(COUNTIF($B$5:$B$1004,$B390)&gt;1,"중복 입력",""))</f>
        <v/>
      </c>
    </row>
    <row r="391" customFormat="false" ht="1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5" t="str">
        <f aca="false">IF($B391="","",IFERROR(IF(INDEX(명단!$B$5:$B$404,MATCH($B391,명단!$A$5:$A$404,0))="","(이름 미입력)",INDEX(명단!$B$5:$B$404,MATCH($B391,명단!$A$5:$A$404,0))),"번호 없음"))</f>
        <v/>
      </c>
      <c r="I391" s="25" t="str">
        <f aca="false">IF(AND(C391="",D391=""),"",IF(OR(C391="-",D391="-"),"측정불가",IF(AND(ISNUMBER(C391),ISNUMBER(D391)),IF(OR(C391&gt;=설정!$C$11,D391&gt;=설정!$C$12),"긴급",IF(OR(C391&gt;=설정!$C$9,D391&gt;=설정!$C$10,C391&lt;설정!$C$13),"주의","정상")),"확인필요")))</f>
        <v/>
      </c>
      <c r="J391" s="25" t="str">
        <f aca="false">IF(E391="","",IF(E391="-","측정불가",IF(NOT(ISNUMBER(E391)),"확인필요",IF(E391&lt;설정!$C$17,"긴급(저혈당)",IF(E391&gt;=설정!$C$18,"긴급(고혈당)",IF(F391="공복",IF(E391&gt;=설정!$C$15,"주의","정상"),IF(F391="식후",IF(E391&gt;=설정!$C$16,"주의","정상"),"조건확인")))))))</f>
        <v/>
      </c>
      <c r="K391" s="25" t="str">
        <f aca="false">IF(OR(I391="긴급",LEFT(J391,2)="긴급"),"★ 즉시 선생님 호출",IF(OR(I391="주의",J391="주의"),"결과상담에서 확인",IF(J391="조건확인","혈당조건(공복/식후) 선택","")))</f>
        <v/>
      </c>
      <c r="L391" s="25" t="str">
        <f aca="false">IF($B391="","",IF(COUNTIF($B$5:$B$1004,$B391)&gt;1,"중복 입력",""))</f>
        <v/>
      </c>
    </row>
    <row r="392" customFormat="false" ht="1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5" t="str">
        <f aca="false">IF($B392="","",IFERROR(IF(INDEX(명단!$B$5:$B$404,MATCH($B392,명단!$A$5:$A$404,0))="","(이름 미입력)",INDEX(명단!$B$5:$B$404,MATCH($B392,명단!$A$5:$A$404,0))),"번호 없음"))</f>
        <v/>
      </c>
      <c r="I392" s="25" t="str">
        <f aca="false">IF(AND(C392="",D392=""),"",IF(OR(C392="-",D392="-"),"측정불가",IF(AND(ISNUMBER(C392),ISNUMBER(D392)),IF(OR(C392&gt;=설정!$C$11,D392&gt;=설정!$C$12),"긴급",IF(OR(C392&gt;=설정!$C$9,D392&gt;=설정!$C$10,C392&lt;설정!$C$13),"주의","정상")),"확인필요")))</f>
        <v/>
      </c>
      <c r="J392" s="25" t="str">
        <f aca="false">IF(E392="","",IF(E392="-","측정불가",IF(NOT(ISNUMBER(E392)),"확인필요",IF(E392&lt;설정!$C$17,"긴급(저혈당)",IF(E392&gt;=설정!$C$18,"긴급(고혈당)",IF(F392="공복",IF(E392&gt;=설정!$C$15,"주의","정상"),IF(F392="식후",IF(E392&gt;=설정!$C$16,"주의","정상"),"조건확인")))))))</f>
        <v/>
      </c>
      <c r="K392" s="25" t="str">
        <f aca="false">IF(OR(I392="긴급",LEFT(J392,2)="긴급"),"★ 즉시 선생님 호출",IF(OR(I392="주의",J392="주의"),"결과상담에서 확인",IF(J392="조건확인","혈당조건(공복/식후) 선택","")))</f>
        <v/>
      </c>
      <c r="L392" s="25" t="str">
        <f aca="false">IF($B392="","",IF(COUNTIF($B$5:$B$1004,$B392)&gt;1,"중복 입력",""))</f>
        <v/>
      </c>
    </row>
    <row r="393" customFormat="false" ht="1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5" t="str">
        <f aca="false">IF($B393="","",IFERROR(IF(INDEX(명단!$B$5:$B$404,MATCH($B393,명단!$A$5:$A$404,0))="","(이름 미입력)",INDEX(명단!$B$5:$B$404,MATCH($B393,명단!$A$5:$A$404,0))),"번호 없음"))</f>
        <v/>
      </c>
      <c r="I393" s="25" t="str">
        <f aca="false">IF(AND(C393="",D393=""),"",IF(OR(C393="-",D393="-"),"측정불가",IF(AND(ISNUMBER(C393),ISNUMBER(D393)),IF(OR(C393&gt;=설정!$C$11,D393&gt;=설정!$C$12),"긴급",IF(OR(C393&gt;=설정!$C$9,D393&gt;=설정!$C$10,C393&lt;설정!$C$13),"주의","정상")),"확인필요")))</f>
        <v/>
      </c>
      <c r="J393" s="25" t="str">
        <f aca="false">IF(E393="","",IF(E393="-","측정불가",IF(NOT(ISNUMBER(E393)),"확인필요",IF(E393&lt;설정!$C$17,"긴급(저혈당)",IF(E393&gt;=설정!$C$18,"긴급(고혈당)",IF(F393="공복",IF(E393&gt;=설정!$C$15,"주의","정상"),IF(F393="식후",IF(E393&gt;=설정!$C$16,"주의","정상"),"조건확인")))))))</f>
        <v/>
      </c>
      <c r="K393" s="25" t="str">
        <f aca="false">IF(OR(I393="긴급",LEFT(J393,2)="긴급"),"★ 즉시 선생님 호출",IF(OR(I393="주의",J393="주의"),"결과상담에서 확인",IF(J393="조건확인","혈당조건(공복/식후) 선택","")))</f>
        <v/>
      </c>
      <c r="L393" s="25" t="str">
        <f aca="false">IF($B393="","",IF(COUNTIF($B$5:$B$1004,$B393)&gt;1,"중복 입력",""))</f>
        <v/>
      </c>
    </row>
    <row r="394" customFormat="false" ht="1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5" t="str">
        <f aca="false">IF($B394="","",IFERROR(IF(INDEX(명단!$B$5:$B$404,MATCH($B394,명단!$A$5:$A$404,0))="","(이름 미입력)",INDEX(명단!$B$5:$B$404,MATCH($B394,명단!$A$5:$A$404,0))),"번호 없음"))</f>
        <v/>
      </c>
      <c r="I394" s="25" t="str">
        <f aca="false">IF(AND(C394="",D394=""),"",IF(OR(C394="-",D394="-"),"측정불가",IF(AND(ISNUMBER(C394),ISNUMBER(D394)),IF(OR(C394&gt;=설정!$C$11,D394&gt;=설정!$C$12),"긴급",IF(OR(C394&gt;=설정!$C$9,D394&gt;=설정!$C$10,C394&lt;설정!$C$13),"주의","정상")),"확인필요")))</f>
        <v/>
      </c>
      <c r="J394" s="25" t="str">
        <f aca="false">IF(E394="","",IF(E394="-","측정불가",IF(NOT(ISNUMBER(E394)),"확인필요",IF(E394&lt;설정!$C$17,"긴급(저혈당)",IF(E394&gt;=설정!$C$18,"긴급(고혈당)",IF(F394="공복",IF(E394&gt;=설정!$C$15,"주의","정상"),IF(F394="식후",IF(E394&gt;=설정!$C$16,"주의","정상"),"조건확인")))))))</f>
        <v/>
      </c>
      <c r="K394" s="25" t="str">
        <f aca="false">IF(OR(I394="긴급",LEFT(J394,2)="긴급"),"★ 즉시 선생님 호출",IF(OR(I394="주의",J394="주의"),"결과상담에서 확인",IF(J394="조건확인","혈당조건(공복/식후) 선택","")))</f>
        <v/>
      </c>
      <c r="L394" s="25" t="str">
        <f aca="false">IF($B394="","",IF(COUNTIF($B$5:$B$1004,$B394)&gt;1,"중복 입력",""))</f>
        <v/>
      </c>
    </row>
    <row r="395" customFormat="false" ht="1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5" t="str">
        <f aca="false">IF($B395="","",IFERROR(IF(INDEX(명단!$B$5:$B$404,MATCH($B395,명단!$A$5:$A$404,0))="","(이름 미입력)",INDEX(명단!$B$5:$B$404,MATCH($B395,명단!$A$5:$A$404,0))),"번호 없음"))</f>
        <v/>
      </c>
      <c r="I395" s="25" t="str">
        <f aca="false">IF(AND(C395="",D395=""),"",IF(OR(C395="-",D395="-"),"측정불가",IF(AND(ISNUMBER(C395),ISNUMBER(D395)),IF(OR(C395&gt;=설정!$C$11,D395&gt;=설정!$C$12),"긴급",IF(OR(C395&gt;=설정!$C$9,D395&gt;=설정!$C$10,C395&lt;설정!$C$13),"주의","정상")),"확인필요")))</f>
        <v/>
      </c>
      <c r="J395" s="25" t="str">
        <f aca="false">IF(E395="","",IF(E395="-","측정불가",IF(NOT(ISNUMBER(E395)),"확인필요",IF(E395&lt;설정!$C$17,"긴급(저혈당)",IF(E395&gt;=설정!$C$18,"긴급(고혈당)",IF(F395="공복",IF(E395&gt;=설정!$C$15,"주의","정상"),IF(F395="식후",IF(E395&gt;=설정!$C$16,"주의","정상"),"조건확인")))))))</f>
        <v/>
      </c>
      <c r="K395" s="25" t="str">
        <f aca="false">IF(OR(I395="긴급",LEFT(J395,2)="긴급"),"★ 즉시 선생님 호출",IF(OR(I395="주의",J395="주의"),"결과상담에서 확인",IF(J395="조건확인","혈당조건(공복/식후) 선택","")))</f>
        <v/>
      </c>
      <c r="L395" s="25" t="str">
        <f aca="false">IF($B395="","",IF(COUNTIF($B$5:$B$1004,$B395)&gt;1,"중복 입력",""))</f>
        <v/>
      </c>
    </row>
    <row r="396" customFormat="false" ht="1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5" t="str">
        <f aca="false">IF($B396="","",IFERROR(IF(INDEX(명단!$B$5:$B$404,MATCH($B396,명단!$A$5:$A$404,0))="","(이름 미입력)",INDEX(명단!$B$5:$B$404,MATCH($B396,명단!$A$5:$A$404,0))),"번호 없음"))</f>
        <v/>
      </c>
      <c r="I396" s="25" t="str">
        <f aca="false">IF(AND(C396="",D396=""),"",IF(OR(C396="-",D396="-"),"측정불가",IF(AND(ISNUMBER(C396),ISNUMBER(D396)),IF(OR(C396&gt;=설정!$C$11,D396&gt;=설정!$C$12),"긴급",IF(OR(C396&gt;=설정!$C$9,D396&gt;=설정!$C$10,C396&lt;설정!$C$13),"주의","정상")),"확인필요")))</f>
        <v/>
      </c>
      <c r="J396" s="25" t="str">
        <f aca="false">IF(E396="","",IF(E396="-","측정불가",IF(NOT(ISNUMBER(E396)),"확인필요",IF(E396&lt;설정!$C$17,"긴급(저혈당)",IF(E396&gt;=설정!$C$18,"긴급(고혈당)",IF(F396="공복",IF(E396&gt;=설정!$C$15,"주의","정상"),IF(F396="식후",IF(E396&gt;=설정!$C$16,"주의","정상"),"조건확인")))))))</f>
        <v/>
      </c>
      <c r="K396" s="25" t="str">
        <f aca="false">IF(OR(I396="긴급",LEFT(J396,2)="긴급"),"★ 즉시 선생님 호출",IF(OR(I396="주의",J396="주의"),"결과상담에서 확인",IF(J396="조건확인","혈당조건(공복/식후) 선택","")))</f>
        <v/>
      </c>
      <c r="L396" s="25" t="str">
        <f aca="false">IF($B396="","",IF(COUNTIF($B$5:$B$1004,$B396)&gt;1,"중복 입력",""))</f>
        <v/>
      </c>
    </row>
    <row r="397" customFormat="false" ht="1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5" t="str">
        <f aca="false">IF($B397="","",IFERROR(IF(INDEX(명단!$B$5:$B$404,MATCH($B397,명단!$A$5:$A$404,0))="","(이름 미입력)",INDEX(명단!$B$5:$B$404,MATCH($B397,명단!$A$5:$A$404,0))),"번호 없음"))</f>
        <v/>
      </c>
      <c r="I397" s="25" t="str">
        <f aca="false">IF(AND(C397="",D397=""),"",IF(OR(C397="-",D397="-"),"측정불가",IF(AND(ISNUMBER(C397),ISNUMBER(D397)),IF(OR(C397&gt;=설정!$C$11,D397&gt;=설정!$C$12),"긴급",IF(OR(C397&gt;=설정!$C$9,D397&gt;=설정!$C$10,C397&lt;설정!$C$13),"주의","정상")),"확인필요")))</f>
        <v/>
      </c>
      <c r="J397" s="25" t="str">
        <f aca="false">IF(E397="","",IF(E397="-","측정불가",IF(NOT(ISNUMBER(E397)),"확인필요",IF(E397&lt;설정!$C$17,"긴급(저혈당)",IF(E397&gt;=설정!$C$18,"긴급(고혈당)",IF(F397="공복",IF(E397&gt;=설정!$C$15,"주의","정상"),IF(F397="식후",IF(E397&gt;=설정!$C$16,"주의","정상"),"조건확인")))))))</f>
        <v/>
      </c>
      <c r="K397" s="25" t="str">
        <f aca="false">IF(OR(I397="긴급",LEFT(J397,2)="긴급"),"★ 즉시 선생님 호출",IF(OR(I397="주의",J397="주의"),"결과상담에서 확인",IF(J397="조건확인","혈당조건(공복/식후) 선택","")))</f>
        <v/>
      </c>
      <c r="L397" s="25" t="str">
        <f aca="false">IF($B397="","",IF(COUNTIF($B$5:$B$1004,$B397)&gt;1,"중복 입력",""))</f>
        <v/>
      </c>
    </row>
    <row r="398" customFormat="false" ht="1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5" t="str">
        <f aca="false">IF($B398="","",IFERROR(IF(INDEX(명단!$B$5:$B$404,MATCH($B398,명단!$A$5:$A$404,0))="","(이름 미입력)",INDEX(명단!$B$5:$B$404,MATCH($B398,명단!$A$5:$A$404,0))),"번호 없음"))</f>
        <v/>
      </c>
      <c r="I398" s="25" t="str">
        <f aca="false">IF(AND(C398="",D398=""),"",IF(OR(C398="-",D398="-"),"측정불가",IF(AND(ISNUMBER(C398),ISNUMBER(D398)),IF(OR(C398&gt;=설정!$C$11,D398&gt;=설정!$C$12),"긴급",IF(OR(C398&gt;=설정!$C$9,D398&gt;=설정!$C$10,C398&lt;설정!$C$13),"주의","정상")),"확인필요")))</f>
        <v/>
      </c>
      <c r="J398" s="25" t="str">
        <f aca="false">IF(E398="","",IF(E398="-","측정불가",IF(NOT(ISNUMBER(E398)),"확인필요",IF(E398&lt;설정!$C$17,"긴급(저혈당)",IF(E398&gt;=설정!$C$18,"긴급(고혈당)",IF(F398="공복",IF(E398&gt;=설정!$C$15,"주의","정상"),IF(F398="식후",IF(E398&gt;=설정!$C$16,"주의","정상"),"조건확인")))))))</f>
        <v/>
      </c>
      <c r="K398" s="25" t="str">
        <f aca="false">IF(OR(I398="긴급",LEFT(J398,2)="긴급"),"★ 즉시 선생님 호출",IF(OR(I398="주의",J398="주의"),"결과상담에서 확인",IF(J398="조건확인","혈당조건(공복/식후) 선택","")))</f>
        <v/>
      </c>
      <c r="L398" s="25" t="str">
        <f aca="false">IF($B398="","",IF(COUNTIF($B$5:$B$1004,$B398)&gt;1,"중복 입력",""))</f>
        <v/>
      </c>
    </row>
    <row r="399" customFormat="false" ht="1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5" t="str">
        <f aca="false">IF($B399="","",IFERROR(IF(INDEX(명단!$B$5:$B$404,MATCH($B399,명단!$A$5:$A$404,0))="","(이름 미입력)",INDEX(명단!$B$5:$B$404,MATCH($B399,명단!$A$5:$A$404,0))),"번호 없음"))</f>
        <v/>
      </c>
      <c r="I399" s="25" t="str">
        <f aca="false">IF(AND(C399="",D399=""),"",IF(OR(C399="-",D399="-"),"측정불가",IF(AND(ISNUMBER(C399),ISNUMBER(D399)),IF(OR(C399&gt;=설정!$C$11,D399&gt;=설정!$C$12),"긴급",IF(OR(C399&gt;=설정!$C$9,D399&gt;=설정!$C$10,C399&lt;설정!$C$13),"주의","정상")),"확인필요")))</f>
        <v/>
      </c>
      <c r="J399" s="25" t="str">
        <f aca="false">IF(E399="","",IF(E399="-","측정불가",IF(NOT(ISNUMBER(E399)),"확인필요",IF(E399&lt;설정!$C$17,"긴급(저혈당)",IF(E399&gt;=설정!$C$18,"긴급(고혈당)",IF(F399="공복",IF(E399&gt;=설정!$C$15,"주의","정상"),IF(F399="식후",IF(E399&gt;=설정!$C$16,"주의","정상"),"조건확인")))))))</f>
        <v/>
      </c>
      <c r="K399" s="25" t="str">
        <f aca="false">IF(OR(I399="긴급",LEFT(J399,2)="긴급"),"★ 즉시 선생님 호출",IF(OR(I399="주의",J399="주의"),"결과상담에서 확인",IF(J399="조건확인","혈당조건(공복/식후) 선택","")))</f>
        <v/>
      </c>
      <c r="L399" s="25" t="str">
        <f aca="false">IF($B399="","",IF(COUNTIF($B$5:$B$1004,$B399)&gt;1,"중복 입력",""))</f>
        <v/>
      </c>
    </row>
    <row r="400" customFormat="false" ht="1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5" t="str">
        <f aca="false">IF($B400="","",IFERROR(IF(INDEX(명단!$B$5:$B$404,MATCH($B400,명단!$A$5:$A$404,0))="","(이름 미입력)",INDEX(명단!$B$5:$B$404,MATCH($B400,명단!$A$5:$A$404,0))),"번호 없음"))</f>
        <v/>
      </c>
      <c r="I400" s="25" t="str">
        <f aca="false">IF(AND(C400="",D400=""),"",IF(OR(C400="-",D400="-"),"측정불가",IF(AND(ISNUMBER(C400),ISNUMBER(D400)),IF(OR(C400&gt;=설정!$C$11,D400&gt;=설정!$C$12),"긴급",IF(OR(C400&gt;=설정!$C$9,D400&gt;=설정!$C$10,C400&lt;설정!$C$13),"주의","정상")),"확인필요")))</f>
        <v/>
      </c>
      <c r="J400" s="25" t="str">
        <f aca="false">IF(E400="","",IF(E400="-","측정불가",IF(NOT(ISNUMBER(E400)),"확인필요",IF(E400&lt;설정!$C$17,"긴급(저혈당)",IF(E400&gt;=설정!$C$18,"긴급(고혈당)",IF(F400="공복",IF(E400&gt;=설정!$C$15,"주의","정상"),IF(F400="식후",IF(E400&gt;=설정!$C$16,"주의","정상"),"조건확인")))))))</f>
        <v/>
      </c>
      <c r="K400" s="25" t="str">
        <f aca="false">IF(OR(I400="긴급",LEFT(J400,2)="긴급"),"★ 즉시 선생님 호출",IF(OR(I400="주의",J400="주의"),"결과상담에서 확인",IF(J400="조건확인","혈당조건(공복/식후) 선택","")))</f>
        <v/>
      </c>
      <c r="L400" s="25" t="str">
        <f aca="false">IF($B400="","",IF(COUNTIF($B$5:$B$1004,$B400)&gt;1,"중복 입력",""))</f>
        <v/>
      </c>
    </row>
    <row r="401" customFormat="false" ht="1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5" t="str">
        <f aca="false">IF($B401="","",IFERROR(IF(INDEX(명단!$B$5:$B$404,MATCH($B401,명단!$A$5:$A$404,0))="","(이름 미입력)",INDEX(명단!$B$5:$B$404,MATCH($B401,명단!$A$5:$A$404,0))),"번호 없음"))</f>
        <v/>
      </c>
      <c r="I401" s="25" t="str">
        <f aca="false">IF(AND(C401="",D401=""),"",IF(OR(C401="-",D401="-"),"측정불가",IF(AND(ISNUMBER(C401),ISNUMBER(D401)),IF(OR(C401&gt;=설정!$C$11,D401&gt;=설정!$C$12),"긴급",IF(OR(C401&gt;=설정!$C$9,D401&gt;=설정!$C$10,C401&lt;설정!$C$13),"주의","정상")),"확인필요")))</f>
        <v/>
      </c>
      <c r="J401" s="25" t="str">
        <f aca="false">IF(E401="","",IF(E401="-","측정불가",IF(NOT(ISNUMBER(E401)),"확인필요",IF(E401&lt;설정!$C$17,"긴급(저혈당)",IF(E401&gt;=설정!$C$18,"긴급(고혈당)",IF(F401="공복",IF(E401&gt;=설정!$C$15,"주의","정상"),IF(F401="식후",IF(E401&gt;=설정!$C$16,"주의","정상"),"조건확인")))))))</f>
        <v/>
      </c>
      <c r="K401" s="25" t="str">
        <f aca="false">IF(OR(I401="긴급",LEFT(J401,2)="긴급"),"★ 즉시 선생님 호출",IF(OR(I401="주의",J401="주의"),"결과상담에서 확인",IF(J401="조건확인","혈당조건(공복/식후) 선택","")))</f>
        <v/>
      </c>
      <c r="L401" s="25" t="str">
        <f aca="false">IF($B401="","",IF(COUNTIF($B$5:$B$1004,$B401)&gt;1,"중복 입력",""))</f>
        <v/>
      </c>
    </row>
    <row r="402" customFormat="false" ht="15" hidden="false" customHeight="false" outlineLevel="0" collapsed="false">
      <c r="A402" s="23"/>
      <c r="B402" s="24"/>
      <c r="C402" s="24"/>
      <c r="D402" s="24"/>
      <c r="E402" s="24"/>
      <c r="F402" s="24"/>
      <c r="G402" s="24"/>
      <c r="H402" s="25" t="str">
        <f aca="false">IF($B402="","",IFERROR(IF(INDEX(명단!$B$5:$B$404,MATCH($B402,명단!$A$5:$A$404,0))="","(이름 미입력)",INDEX(명단!$B$5:$B$404,MATCH($B402,명단!$A$5:$A$404,0))),"번호 없음"))</f>
        <v/>
      </c>
      <c r="I402" s="25" t="str">
        <f aca="false">IF(AND(C402="",D402=""),"",IF(OR(C402="-",D402="-"),"측정불가",IF(AND(ISNUMBER(C402),ISNUMBER(D402)),IF(OR(C402&gt;=설정!$C$11,D402&gt;=설정!$C$12),"긴급",IF(OR(C402&gt;=설정!$C$9,D402&gt;=설정!$C$10,C402&lt;설정!$C$13),"주의","정상")),"확인필요")))</f>
        <v/>
      </c>
      <c r="J402" s="25" t="str">
        <f aca="false">IF(E402="","",IF(E402="-","측정불가",IF(NOT(ISNUMBER(E402)),"확인필요",IF(E402&lt;설정!$C$17,"긴급(저혈당)",IF(E402&gt;=설정!$C$18,"긴급(고혈당)",IF(F402="공복",IF(E402&gt;=설정!$C$15,"주의","정상"),IF(F402="식후",IF(E402&gt;=설정!$C$16,"주의","정상"),"조건확인")))))))</f>
        <v/>
      </c>
      <c r="K402" s="25" t="str">
        <f aca="false">IF(OR(I402="긴급",LEFT(J402,2)="긴급"),"★ 즉시 선생님 호출",IF(OR(I402="주의",J402="주의"),"결과상담에서 확인",IF(J402="조건확인","혈당조건(공복/식후) 선택","")))</f>
        <v/>
      </c>
      <c r="L402" s="25" t="str">
        <f aca="false">IF($B402="","",IF(COUNTIF($B$5:$B$1004,$B402)&gt;1,"중복 입력",""))</f>
        <v/>
      </c>
    </row>
    <row r="403" customFormat="false" ht="15" hidden="false" customHeight="false" outlineLevel="0" collapsed="false">
      <c r="A403" s="23"/>
      <c r="B403" s="24"/>
      <c r="C403" s="24"/>
      <c r="D403" s="24"/>
      <c r="E403" s="24"/>
      <c r="F403" s="24"/>
      <c r="G403" s="24"/>
      <c r="H403" s="25" t="str">
        <f aca="false">IF($B403="","",IFERROR(IF(INDEX(명단!$B$5:$B$404,MATCH($B403,명단!$A$5:$A$404,0))="","(이름 미입력)",INDEX(명단!$B$5:$B$404,MATCH($B403,명단!$A$5:$A$404,0))),"번호 없음"))</f>
        <v/>
      </c>
      <c r="I403" s="25" t="str">
        <f aca="false">IF(AND(C403="",D403=""),"",IF(OR(C403="-",D403="-"),"측정불가",IF(AND(ISNUMBER(C403),ISNUMBER(D403)),IF(OR(C403&gt;=설정!$C$11,D403&gt;=설정!$C$12),"긴급",IF(OR(C403&gt;=설정!$C$9,D403&gt;=설정!$C$10,C403&lt;설정!$C$13),"주의","정상")),"확인필요")))</f>
        <v/>
      </c>
      <c r="J403" s="25" t="str">
        <f aca="false">IF(E403="","",IF(E403="-","측정불가",IF(NOT(ISNUMBER(E403)),"확인필요",IF(E403&lt;설정!$C$17,"긴급(저혈당)",IF(E403&gt;=설정!$C$18,"긴급(고혈당)",IF(F403="공복",IF(E403&gt;=설정!$C$15,"주의","정상"),IF(F403="식후",IF(E403&gt;=설정!$C$16,"주의","정상"),"조건확인")))))))</f>
        <v/>
      </c>
      <c r="K403" s="25" t="str">
        <f aca="false">IF(OR(I403="긴급",LEFT(J403,2)="긴급"),"★ 즉시 선생님 호출",IF(OR(I403="주의",J403="주의"),"결과상담에서 확인",IF(J403="조건확인","혈당조건(공복/식후) 선택","")))</f>
        <v/>
      </c>
      <c r="L403" s="25" t="str">
        <f aca="false">IF($B403="","",IF(COUNTIF($B$5:$B$1004,$B403)&gt;1,"중복 입력",""))</f>
        <v/>
      </c>
    </row>
    <row r="404" customFormat="false" ht="15" hidden="false" customHeight="false" outlineLevel="0" collapsed="false">
      <c r="A404" s="23"/>
      <c r="B404" s="24"/>
      <c r="C404" s="24"/>
      <c r="D404" s="24"/>
      <c r="E404" s="24"/>
      <c r="F404" s="24"/>
      <c r="G404" s="24"/>
      <c r="H404" s="25" t="str">
        <f aca="false">IF($B404="","",IFERROR(IF(INDEX(명단!$B$5:$B$404,MATCH($B404,명단!$A$5:$A$404,0))="","(이름 미입력)",INDEX(명단!$B$5:$B$404,MATCH($B404,명단!$A$5:$A$404,0))),"번호 없음"))</f>
        <v/>
      </c>
      <c r="I404" s="25" t="str">
        <f aca="false">IF(AND(C404="",D404=""),"",IF(OR(C404="-",D404="-"),"측정불가",IF(AND(ISNUMBER(C404),ISNUMBER(D404)),IF(OR(C404&gt;=설정!$C$11,D404&gt;=설정!$C$12),"긴급",IF(OR(C404&gt;=설정!$C$9,D404&gt;=설정!$C$10,C404&lt;설정!$C$13),"주의","정상")),"확인필요")))</f>
        <v/>
      </c>
      <c r="J404" s="25" t="str">
        <f aca="false">IF(E404="","",IF(E404="-","측정불가",IF(NOT(ISNUMBER(E404)),"확인필요",IF(E404&lt;설정!$C$17,"긴급(저혈당)",IF(E404&gt;=설정!$C$18,"긴급(고혈당)",IF(F404="공복",IF(E404&gt;=설정!$C$15,"주의","정상"),IF(F404="식후",IF(E404&gt;=설정!$C$16,"주의","정상"),"조건확인")))))))</f>
        <v/>
      </c>
      <c r="K404" s="25" t="str">
        <f aca="false">IF(OR(I404="긴급",LEFT(J404,2)="긴급"),"★ 즉시 선생님 호출",IF(OR(I404="주의",J404="주의"),"결과상담에서 확인",IF(J404="조건확인","혈당조건(공복/식후) 선택","")))</f>
        <v/>
      </c>
      <c r="L404" s="25" t="str">
        <f aca="false">IF($B404="","",IF(COUNTIF($B$5:$B$1004,$B404)&gt;1,"중복 입력",""))</f>
        <v/>
      </c>
    </row>
    <row r="405" customFormat="false" ht="15" hidden="false" customHeight="false" outlineLevel="0" collapsed="false">
      <c r="A405" s="23"/>
      <c r="B405" s="24"/>
      <c r="C405" s="24"/>
      <c r="D405" s="24"/>
      <c r="E405" s="24"/>
      <c r="F405" s="24"/>
      <c r="G405" s="24"/>
      <c r="H405" s="25" t="str">
        <f aca="false">IF($B405="","",IFERROR(IF(INDEX(명단!$B$5:$B$404,MATCH($B405,명단!$A$5:$A$404,0))="","(이름 미입력)",INDEX(명단!$B$5:$B$404,MATCH($B405,명단!$A$5:$A$404,0))),"번호 없음"))</f>
        <v/>
      </c>
      <c r="I405" s="25" t="str">
        <f aca="false">IF(AND(C405="",D405=""),"",IF(OR(C405="-",D405="-"),"측정불가",IF(AND(ISNUMBER(C405),ISNUMBER(D405)),IF(OR(C405&gt;=설정!$C$11,D405&gt;=설정!$C$12),"긴급",IF(OR(C405&gt;=설정!$C$9,D405&gt;=설정!$C$10,C405&lt;설정!$C$13),"주의","정상")),"확인필요")))</f>
        <v/>
      </c>
      <c r="J405" s="25" t="str">
        <f aca="false">IF(E405="","",IF(E405="-","측정불가",IF(NOT(ISNUMBER(E405)),"확인필요",IF(E405&lt;설정!$C$17,"긴급(저혈당)",IF(E405&gt;=설정!$C$18,"긴급(고혈당)",IF(F405="공복",IF(E405&gt;=설정!$C$15,"주의","정상"),IF(F405="식후",IF(E405&gt;=설정!$C$16,"주의","정상"),"조건확인")))))))</f>
        <v/>
      </c>
      <c r="K405" s="25" t="str">
        <f aca="false">IF(OR(I405="긴급",LEFT(J405,2)="긴급"),"★ 즉시 선생님 호출",IF(OR(I405="주의",J405="주의"),"결과상담에서 확인",IF(J405="조건확인","혈당조건(공복/식후) 선택","")))</f>
        <v/>
      </c>
      <c r="L405" s="25" t="str">
        <f aca="false">IF($B405="","",IF(COUNTIF($B$5:$B$1004,$B405)&gt;1,"중복 입력",""))</f>
        <v/>
      </c>
    </row>
    <row r="406" customFormat="false" ht="15" hidden="false" customHeight="false" outlineLevel="0" collapsed="false">
      <c r="A406" s="23"/>
      <c r="B406" s="24"/>
      <c r="C406" s="24"/>
      <c r="D406" s="24"/>
      <c r="E406" s="24"/>
      <c r="F406" s="24"/>
      <c r="G406" s="24"/>
      <c r="H406" s="25" t="str">
        <f aca="false">IF($B406="","",IFERROR(IF(INDEX(명단!$B$5:$B$404,MATCH($B406,명단!$A$5:$A$404,0))="","(이름 미입력)",INDEX(명단!$B$5:$B$404,MATCH($B406,명단!$A$5:$A$404,0))),"번호 없음"))</f>
        <v/>
      </c>
      <c r="I406" s="25" t="str">
        <f aca="false">IF(AND(C406="",D406=""),"",IF(OR(C406="-",D406="-"),"측정불가",IF(AND(ISNUMBER(C406),ISNUMBER(D406)),IF(OR(C406&gt;=설정!$C$11,D406&gt;=설정!$C$12),"긴급",IF(OR(C406&gt;=설정!$C$9,D406&gt;=설정!$C$10,C406&lt;설정!$C$13),"주의","정상")),"확인필요")))</f>
        <v/>
      </c>
      <c r="J406" s="25" t="str">
        <f aca="false">IF(E406="","",IF(E406="-","측정불가",IF(NOT(ISNUMBER(E406)),"확인필요",IF(E406&lt;설정!$C$17,"긴급(저혈당)",IF(E406&gt;=설정!$C$18,"긴급(고혈당)",IF(F406="공복",IF(E406&gt;=설정!$C$15,"주의","정상"),IF(F406="식후",IF(E406&gt;=설정!$C$16,"주의","정상"),"조건확인")))))))</f>
        <v/>
      </c>
      <c r="K406" s="25" t="str">
        <f aca="false">IF(OR(I406="긴급",LEFT(J406,2)="긴급"),"★ 즉시 선생님 호출",IF(OR(I406="주의",J406="주의"),"결과상담에서 확인",IF(J406="조건확인","혈당조건(공복/식후) 선택","")))</f>
        <v/>
      </c>
      <c r="L406" s="25" t="str">
        <f aca="false">IF($B406="","",IF(COUNTIF($B$5:$B$1004,$B406)&gt;1,"중복 입력",""))</f>
        <v/>
      </c>
    </row>
    <row r="407" customFormat="false" ht="15" hidden="false" customHeight="false" outlineLevel="0" collapsed="false">
      <c r="A407" s="23"/>
      <c r="B407" s="24"/>
      <c r="C407" s="24"/>
      <c r="D407" s="24"/>
      <c r="E407" s="24"/>
      <c r="F407" s="24"/>
      <c r="G407" s="24"/>
      <c r="H407" s="25" t="str">
        <f aca="false">IF($B407="","",IFERROR(IF(INDEX(명단!$B$5:$B$404,MATCH($B407,명단!$A$5:$A$404,0))="","(이름 미입력)",INDEX(명단!$B$5:$B$404,MATCH($B407,명단!$A$5:$A$404,0))),"번호 없음"))</f>
        <v/>
      </c>
      <c r="I407" s="25" t="str">
        <f aca="false">IF(AND(C407="",D407=""),"",IF(OR(C407="-",D407="-"),"측정불가",IF(AND(ISNUMBER(C407),ISNUMBER(D407)),IF(OR(C407&gt;=설정!$C$11,D407&gt;=설정!$C$12),"긴급",IF(OR(C407&gt;=설정!$C$9,D407&gt;=설정!$C$10,C407&lt;설정!$C$13),"주의","정상")),"확인필요")))</f>
        <v/>
      </c>
      <c r="J407" s="25" t="str">
        <f aca="false">IF(E407="","",IF(E407="-","측정불가",IF(NOT(ISNUMBER(E407)),"확인필요",IF(E407&lt;설정!$C$17,"긴급(저혈당)",IF(E407&gt;=설정!$C$18,"긴급(고혈당)",IF(F407="공복",IF(E407&gt;=설정!$C$15,"주의","정상"),IF(F407="식후",IF(E407&gt;=설정!$C$16,"주의","정상"),"조건확인")))))))</f>
        <v/>
      </c>
      <c r="K407" s="25" t="str">
        <f aca="false">IF(OR(I407="긴급",LEFT(J407,2)="긴급"),"★ 즉시 선생님 호출",IF(OR(I407="주의",J407="주의"),"결과상담에서 확인",IF(J407="조건확인","혈당조건(공복/식후) 선택","")))</f>
        <v/>
      </c>
      <c r="L407" s="25" t="str">
        <f aca="false">IF($B407="","",IF(COUNTIF($B$5:$B$1004,$B407)&gt;1,"중복 입력",""))</f>
        <v/>
      </c>
    </row>
    <row r="408" customFormat="false" ht="15" hidden="false" customHeight="false" outlineLevel="0" collapsed="false">
      <c r="A408" s="23"/>
      <c r="B408" s="24"/>
      <c r="C408" s="24"/>
      <c r="D408" s="24"/>
      <c r="E408" s="24"/>
      <c r="F408" s="24"/>
      <c r="G408" s="24"/>
      <c r="H408" s="25" t="str">
        <f aca="false">IF($B408="","",IFERROR(IF(INDEX(명단!$B$5:$B$404,MATCH($B408,명단!$A$5:$A$404,0))="","(이름 미입력)",INDEX(명단!$B$5:$B$404,MATCH($B408,명단!$A$5:$A$404,0))),"번호 없음"))</f>
        <v/>
      </c>
      <c r="I408" s="25" t="str">
        <f aca="false">IF(AND(C408="",D408=""),"",IF(OR(C408="-",D408="-"),"측정불가",IF(AND(ISNUMBER(C408),ISNUMBER(D408)),IF(OR(C408&gt;=설정!$C$11,D408&gt;=설정!$C$12),"긴급",IF(OR(C408&gt;=설정!$C$9,D408&gt;=설정!$C$10,C408&lt;설정!$C$13),"주의","정상")),"확인필요")))</f>
        <v/>
      </c>
      <c r="J408" s="25" t="str">
        <f aca="false">IF(E408="","",IF(E408="-","측정불가",IF(NOT(ISNUMBER(E408)),"확인필요",IF(E408&lt;설정!$C$17,"긴급(저혈당)",IF(E408&gt;=설정!$C$18,"긴급(고혈당)",IF(F408="공복",IF(E408&gt;=설정!$C$15,"주의","정상"),IF(F408="식후",IF(E408&gt;=설정!$C$16,"주의","정상"),"조건확인")))))))</f>
        <v/>
      </c>
      <c r="K408" s="25" t="str">
        <f aca="false">IF(OR(I408="긴급",LEFT(J408,2)="긴급"),"★ 즉시 선생님 호출",IF(OR(I408="주의",J408="주의"),"결과상담에서 확인",IF(J408="조건확인","혈당조건(공복/식후) 선택","")))</f>
        <v/>
      </c>
      <c r="L408" s="25" t="str">
        <f aca="false">IF($B408="","",IF(COUNTIF($B$5:$B$1004,$B408)&gt;1,"중복 입력",""))</f>
        <v/>
      </c>
    </row>
    <row r="409" customFormat="false" ht="15" hidden="false" customHeight="false" outlineLevel="0" collapsed="false">
      <c r="A409" s="23"/>
      <c r="B409" s="24"/>
      <c r="C409" s="24"/>
      <c r="D409" s="24"/>
      <c r="E409" s="24"/>
      <c r="F409" s="24"/>
      <c r="G409" s="24"/>
      <c r="H409" s="25" t="str">
        <f aca="false">IF($B409="","",IFERROR(IF(INDEX(명단!$B$5:$B$404,MATCH($B409,명단!$A$5:$A$404,0))="","(이름 미입력)",INDEX(명단!$B$5:$B$404,MATCH($B409,명단!$A$5:$A$404,0))),"번호 없음"))</f>
        <v/>
      </c>
      <c r="I409" s="25" t="str">
        <f aca="false">IF(AND(C409="",D409=""),"",IF(OR(C409="-",D409="-"),"측정불가",IF(AND(ISNUMBER(C409),ISNUMBER(D409)),IF(OR(C409&gt;=설정!$C$11,D409&gt;=설정!$C$12),"긴급",IF(OR(C409&gt;=설정!$C$9,D409&gt;=설정!$C$10,C409&lt;설정!$C$13),"주의","정상")),"확인필요")))</f>
        <v/>
      </c>
      <c r="J409" s="25" t="str">
        <f aca="false">IF(E409="","",IF(E409="-","측정불가",IF(NOT(ISNUMBER(E409)),"확인필요",IF(E409&lt;설정!$C$17,"긴급(저혈당)",IF(E409&gt;=설정!$C$18,"긴급(고혈당)",IF(F409="공복",IF(E409&gt;=설정!$C$15,"주의","정상"),IF(F409="식후",IF(E409&gt;=설정!$C$16,"주의","정상"),"조건확인")))))))</f>
        <v/>
      </c>
      <c r="K409" s="25" t="str">
        <f aca="false">IF(OR(I409="긴급",LEFT(J409,2)="긴급"),"★ 즉시 선생님 호출",IF(OR(I409="주의",J409="주의"),"결과상담에서 확인",IF(J409="조건확인","혈당조건(공복/식후) 선택","")))</f>
        <v/>
      </c>
      <c r="L409" s="25" t="str">
        <f aca="false">IF($B409="","",IF(COUNTIF($B$5:$B$1004,$B409)&gt;1,"중복 입력",""))</f>
        <v/>
      </c>
    </row>
    <row r="410" customFormat="false" ht="15" hidden="false" customHeight="false" outlineLevel="0" collapsed="false">
      <c r="A410" s="23"/>
      <c r="B410" s="24"/>
      <c r="C410" s="24"/>
      <c r="D410" s="24"/>
      <c r="E410" s="24"/>
      <c r="F410" s="24"/>
      <c r="G410" s="24"/>
      <c r="H410" s="25" t="str">
        <f aca="false">IF($B410="","",IFERROR(IF(INDEX(명단!$B$5:$B$404,MATCH($B410,명단!$A$5:$A$404,0))="","(이름 미입력)",INDEX(명단!$B$5:$B$404,MATCH($B410,명단!$A$5:$A$404,0))),"번호 없음"))</f>
        <v/>
      </c>
      <c r="I410" s="25" t="str">
        <f aca="false">IF(AND(C410="",D410=""),"",IF(OR(C410="-",D410="-"),"측정불가",IF(AND(ISNUMBER(C410),ISNUMBER(D410)),IF(OR(C410&gt;=설정!$C$11,D410&gt;=설정!$C$12),"긴급",IF(OR(C410&gt;=설정!$C$9,D410&gt;=설정!$C$10,C410&lt;설정!$C$13),"주의","정상")),"확인필요")))</f>
        <v/>
      </c>
      <c r="J410" s="25" t="str">
        <f aca="false">IF(E410="","",IF(E410="-","측정불가",IF(NOT(ISNUMBER(E410)),"확인필요",IF(E410&lt;설정!$C$17,"긴급(저혈당)",IF(E410&gt;=설정!$C$18,"긴급(고혈당)",IF(F410="공복",IF(E410&gt;=설정!$C$15,"주의","정상"),IF(F410="식후",IF(E410&gt;=설정!$C$16,"주의","정상"),"조건확인")))))))</f>
        <v/>
      </c>
      <c r="K410" s="25" t="str">
        <f aca="false">IF(OR(I410="긴급",LEFT(J410,2)="긴급"),"★ 즉시 선생님 호출",IF(OR(I410="주의",J410="주의"),"결과상담에서 확인",IF(J410="조건확인","혈당조건(공복/식후) 선택","")))</f>
        <v/>
      </c>
      <c r="L410" s="25" t="str">
        <f aca="false">IF($B410="","",IF(COUNTIF($B$5:$B$1004,$B410)&gt;1,"중복 입력",""))</f>
        <v/>
      </c>
    </row>
    <row r="411" customFormat="false" ht="15" hidden="false" customHeight="false" outlineLevel="0" collapsed="false">
      <c r="A411" s="23"/>
      <c r="B411" s="24"/>
      <c r="C411" s="24"/>
      <c r="D411" s="24"/>
      <c r="E411" s="24"/>
      <c r="F411" s="24"/>
      <c r="G411" s="24"/>
      <c r="H411" s="25" t="str">
        <f aca="false">IF($B411="","",IFERROR(IF(INDEX(명단!$B$5:$B$404,MATCH($B411,명단!$A$5:$A$404,0))="","(이름 미입력)",INDEX(명단!$B$5:$B$404,MATCH($B411,명단!$A$5:$A$404,0))),"번호 없음"))</f>
        <v/>
      </c>
      <c r="I411" s="25" t="str">
        <f aca="false">IF(AND(C411="",D411=""),"",IF(OR(C411="-",D411="-"),"측정불가",IF(AND(ISNUMBER(C411),ISNUMBER(D411)),IF(OR(C411&gt;=설정!$C$11,D411&gt;=설정!$C$12),"긴급",IF(OR(C411&gt;=설정!$C$9,D411&gt;=설정!$C$10,C411&lt;설정!$C$13),"주의","정상")),"확인필요")))</f>
        <v/>
      </c>
      <c r="J411" s="25" t="str">
        <f aca="false">IF(E411="","",IF(E411="-","측정불가",IF(NOT(ISNUMBER(E411)),"확인필요",IF(E411&lt;설정!$C$17,"긴급(저혈당)",IF(E411&gt;=설정!$C$18,"긴급(고혈당)",IF(F411="공복",IF(E411&gt;=설정!$C$15,"주의","정상"),IF(F411="식후",IF(E411&gt;=설정!$C$16,"주의","정상"),"조건확인")))))))</f>
        <v/>
      </c>
      <c r="K411" s="25" t="str">
        <f aca="false">IF(OR(I411="긴급",LEFT(J411,2)="긴급"),"★ 즉시 선생님 호출",IF(OR(I411="주의",J411="주의"),"결과상담에서 확인",IF(J411="조건확인","혈당조건(공복/식후) 선택","")))</f>
        <v/>
      </c>
      <c r="L411" s="25" t="str">
        <f aca="false">IF($B411="","",IF(COUNTIF($B$5:$B$1004,$B411)&gt;1,"중복 입력",""))</f>
        <v/>
      </c>
    </row>
    <row r="412" customFormat="false" ht="15" hidden="false" customHeight="false" outlineLevel="0" collapsed="false">
      <c r="A412" s="23"/>
      <c r="B412" s="24"/>
      <c r="C412" s="24"/>
      <c r="D412" s="24"/>
      <c r="E412" s="24"/>
      <c r="F412" s="24"/>
      <c r="G412" s="24"/>
      <c r="H412" s="25" t="str">
        <f aca="false">IF($B412="","",IFERROR(IF(INDEX(명단!$B$5:$B$404,MATCH($B412,명단!$A$5:$A$404,0))="","(이름 미입력)",INDEX(명단!$B$5:$B$404,MATCH($B412,명단!$A$5:$A$404,0))),"번호 없음"))</f>
        <v/>
      </c>
      <c r="I412" s="25" t="str">
        <f aca="false">IF(AND(C412="",D412=""),"",IF(OR(C412="-",D412="-"),"측정불가",IF(AND(ISNUMBER(C412),ISNUMBER(D412)),IF(OR(C412&gt;=설정!$C$11,D412&gt;=설정!$C$12),"긴급",IF(OR(C412&gt;=설정!$C$9,D412&gt;=설정!$C$10,C412&lt;설정!$C$13),"주의","정상")),"확인필요")))</f>
        <v/>
      </c>
      <c r="J412" s="25" t="str">
        <f aca="false">IF(E412="","",IF(E412="-","측정불가",IF(NOT(ISNUMBER(E412)),"확인필요",IF(E412&lt;설정!$C$17,"긴급(저혈당)",IF(E412&gt;=설정!$C$18,"긴급(고혈당)",IF(F412="공복",IF(E412&gt;=설정!$C$15,"주의","정상"),IF(F412="식후",IF(E412&gt;=설정!$C$16,"주의","정상"),"조건확인")))))))</f>
        <v/>
      </c>
      <c r="K412" s="25" t="str">
        <f aca="false">IF(OR(I412="긴급",LEFT(J412,2)="긴급"),"★ 즉시 선생님 호출",IF(OR(I412="주의",J412="주의"),"결과상담에서 확인",IF(J412="조건확인","혈당조건(공복/식후) 선택","")))</f>
        <v/>
      </c>
      <c r="L412" s="25" t="str">
        <f aca="false">IF($B412="","",IF(COUNTIF($B$5:$B$1004,$B412)&gt;1,"중복 입력",""))</f>
        <v/>
      </c>
    </row>
    <row r="413" customFormat="false" ht="15" hidden="false" customHeight="false" outlineLevel="0" collapsed="false">
      <c r="A413" s="23"/>
      <c r="B413" s="24"/>
      <c r="C413" s="24"/>
      <c r="D413" s="24"/>
      <c r="E413" s="24"/>
      <c r="F413" s="24"/>
      <c r="G413" s="24"/>
      <c r="H413" s="25" t="str">
        <f aca="false">IF($B413="","",IFERROR(IF(INDEX(명단!$B$5:$B$404,MATCH($B413,명단!$A$5:$A$404,0))="","(이름 미입력)",INDEX(명단!$B$5:$B$404,MATCH($B413,명단!$A$5:$A$404,0))),"번호 없음"))</f>
        <v/>
      </c>
      <c r="I413" s="25" t="str">
        <f aca="false">IF(AND(C413="",D413=""),"",IF(OR(C413="-",D413="-"),"측정불가",IF(AND(ISNUMBER(C413),ISNUMBER(D413)),IF(OR(C413&gt;=설정!$C$11,D413&gt;=설정!$C$12),"긴급",IF(OR(C413&gt;=설정!$C$9,D413&gt;=설정!$C$10,C413&lt;설정!$C$13),"주의","정상")),"확인필요")))</f>
        <v/>
      </c>
      <c r="J413" s="25" t="str">
        <f aca="false">IF(E413="","",IF(E413="-","측정불가",IF(NOT(ISNUMBER(E413)),"확인필요",IF(E413&lt;설정!$C$17,"긴급(저혈당)",IF(E413&gt;=설정!$C$18,"긴급(고혈당)",IF(F413="공복",IF(E413&gt;=설정!$C$15,"주의","정상"),IF(F413="식후",IF(E413&gt;=설정!$C$16,"주의","정상"),"조건확인")))))))</f>
        <v/>
      </c>
      <c r="K413" s="25" t="str">
        <f aca="false">IF(OR(I413="긴급",LEFT(J413,2)="긴급"),"★ 즉시 선생님 호출",IF(OR(I413="주의",J413="주의"),"결과상담에서 확인",IF(J413="조건확인","혈당조건(공복/식후) 선택","")))</f>
        <v/>
      </c>
      <c r="L413" s="25" t="str">
        <f aca="false">IF($B413="","",IF(COUNTIF($B$5:$B$1004,$B413)&gt;1,"중복 입력",""))</f>
        <v/>
      </c>
    </row>
    <row r="414" customFormat="false" ht="15" hidden="false" customHeight="false" outlineLevel="0" collapsed="false">
      <c r="A414" s="23"/>
      <c r="B414" s="24"/>
      <c r="C414" s="24"/>
      <c r="D414" s="24"/>
      <c r="E414" s="24"/>
      <c r="F414" s="24"/>
      <c r="G414" s="24"/>
      <c r="H414" s="25" t="str">
        <f aca="false">IF($B414="","",IFERROR(IF(INDEX(명단!$B$5:$B$404,MATCH($B414,명단!$A$5:$A$404,0))="","(이름 미입력)",INDEX(명단!$B$5:$B$404,MATCH($B414,명단!$A$5:$A$404,0))),"번호 없음"))</f>
        <v/>
      </c>
      <c r="I414" s="25" t="str">
        <f aca="false">IF(AND(C414="",D414=""),"",IF(OR(C414="-",D414="-"),"측정불가",IF(AND(ISNUMBER(C414),ISNUMBER(D414)),IF(OR(C414&gt;=설정!$C$11,D414&gt;=설정!$C$12),"긴급",IF(OR(C414&gt;=설정!$C$9,D414&gt;=설정!$C$10,C414&lt;설정!$C$13),"주의","정상")),"확인필요")))</f>
        <v/>
      </c>
      <c r="J414" s="25" t="str">
        <f aca="false">IF(E414="","",IF(E414="-","측정불가",IF(NOT(ISNUMBER(E414)),"확인필요",IF(E414&lt;설정!$C$17,"긴급(저혈당)",IF(E414&gt;=설정!$C$18,"긴급(고혈당)",IF(F414="공복",IF(E414&gt;=설정!$C$15,"주의","정상"),IF(F414="식후",IF(E414&gt;=설정!$C$16,"주의","정상"),"조건확인")))))))</f>
        <v/>
      </c>
      <c r="K414" s="25" t="str">
        <f aca="false">IF(OR(I414="긴급",LEFT(J414,2)="긴급"),"★ 즉시 선생님 호출",IF(OR(I414="주의",J414="주의"),"결과상담에서 확인",IF(J414="조건확인","혈당조건(공복/식후) 선택","")))</f>
        <v/>
      </c>
      <c r="L414" s="25" t="str">
        <f aca="false">IF($B414="","",IF(COUNTIF($B$5:$B$1004,$B414)&gt;1,"중복 입력",""))</f>
        <v/>
      </c>
    </row>
    <row r="415" customFormat="false" ht="15" hidden="false" customHeight="false" outlineLevel="0" collapsed="false">
      <c r="A415" s="23"/>
      <c r="B415" s="24"/>
      <c r="C415" s="24"/>
      <c r="D415" s="24"/>
      <c r="E415" s="24"/>
      <c r="F415" s="24"/>
      <c r="G415" s="24"/>
      <c r="H415" s="25" t="str">
        <f aca="false">IF($B415="","",IFERROR(IF(INDEX(명단!$B$5:$B$404,MATCH($B415,명단!$A$5:$A$404,0))="","(이름 미입력)",INDEX(명단!$B$5:$B$404,MATCH($B415,명단!$A$5:$A$404,0))),"번호 없음"))</f>
        <v/>
      </c>
      <c r="I415" s="25" t="str">
        <f aca="false">IF(AND(C415="",D415=""),"",IF(OR(C415="-",D415="-"),"측정불가",IF(AND(ISNUMBER(C415),ISNUMBER(D415)),IF(OR(C415&gt;=설정!$C$11,D415&gt;=설정!$C$12),"긴급",IF(OR(C415&gt;=설정!$C$9,D415&gt;=설정!$C$10,C415&lt;설정!$C$13),"주의","정상")),"확인필요")))</f>
        <v/>
      </c>
      <c r="J415" s="25" t="str">
        <f aca="false">IF(E415="","",IF(E415="-","측정불가",IF(NOT(ISNUMBER(E415)),"확인필요",IF(E415&lt;설정!$C$17,"긴급(저혈당)",IF(E415&gt;=설정!$C$18,"긴급(고혈당)",IF(F415="공복",IF(E415&gt;=설정!$C$15,"주의","정상"),IF(F415="식후",IF(E415&gt;=설정!$C$16,"주의","정상"),"조건확인")))))))</f>
        <v/>
      </c>
      <c r="K415" s="25" t="str">
        <f aca="false">IF(OR(I415="긴급",LEFT(J415,2)="긴급"),"★ 즉시 선생님 호출",IF(OR(I415="주의",J415="주의"),"결과상담에서 확인",IF(J415="조건확인","혈당조건(공복/식후) 선택","")))</f>
        <v/>
      </c>
      <c r="L415" s="25" t="str">
        <f aca="false">IF($B415="","",IF(COUNTIF($B$5:$B$1004,$B415)&gt;1,"중복 입력",""))</f>
        <v/>
      </c>
    </row>
    <row r="416" customFormat="false" ht="15" hidden="false" customHeight="false" outlineLevel="0" collapsed="false">
      <c r="A416" s="23"/>
      <c r="B416" s="24"/>
      <c r="C416" s="24"/>
      <c r="D416" s="24"/>
      <c r="E416" s="24"/>
      <c r="F416" s="24"/>
      <c r="G416" s="24"/>
      <c r="H416" s="25" t="str">
        <f aca="false">IF($B416="","",IFERROR(IF(INDEX(명단!$B$5:$B$404,MATCH($B416,명단!$A$5:$A$404,0))="","(이름 미입력)",INDEX(명단!$B$5:$B$404,MATCH($B416,명단!$A$5:$A$404,0))),"번호 없음"))</f>
        <v/>
      </c>
      <c r="I416" s="25" t="str">
        <f aca="false">IF(AND(C416="",D416=""),"",IF(OR(C416="-",D416="-"),"측정불가",IF(AND(ISNUMBER(C416),ISNUMBER(D416)),IF(OR(C416&gt;=설정!$C$11,D416&gt;=설정!$C$12),"긴급",IF(OR(C416&gt;=설정!$C$9,D416&gt;=설정!$C$10,C416&lt;설정!$C$13),"주의","정상")),"확인필요")))</f>
        <v/>
      </c>
      <c r="J416" s="25" t="str">
        <f aca="false">IF(E416="","",IF(E416="-","측정불가",IF(NOT(ISNUMBER(E416)),"확인필요",IF(E416&lt;설정!$C$17,"긴급(저혈당)",IF(E416&gt;=설정!$C$18,"긴급(고혈당)",IF(F416="공복",IF(E416&gt;=설정!$C$15,"주의","정상"),IF(F416="식후",IF(E416&gt;=설정!$C$16,"주의","정상"),"조건확인")))))))</f>
        <v/>
      </c>
      <c r="K416" s="25" t="str">
        <f aca="false">IF(OR(I416="긴급",LEFT(J416,2)="긴급"),"★ 즉시 선생님 호출",IF(OR(I416="주의",J416="주의"),"결과상담에서 확인",IF(J416="조건확인","혈당조건(공복/식후) 선택","")))</f>
        <v/>
      </c>
      <c r="L416" s="25" t="str">
        <f aca="false">IF($B416="","",IF(COUNTIF($B$5:$B$1004,$B416)&gt;1,"중복 입력",""))</f>
        <v/>
      </c>
    </row>
    <row r="417" customFormat="false" ht="15" hidden="false" customHeight="false" outlineLevel="0" collapsed="false">
      <c r="A417" s="23"/>
      <c r="B417" s="24"/>
      <c r="C417" s="24"/>
      <c r="D417" s="24"/>
      <c r="E417" s="24"/>
      <c r="F417" s="24"/>
      <c r="G417" s="24"/>
      <c r="H417" s="25" t="str">
        <f aca="false">IF($B417="","",IFERROR(IF(INDEX(명단!$B$5:$B$404,MATCH($B417,명단!$A$5:$A$404,0))="","(이름 미입력)",INDEX(명단!$B$5:$B$404,MATCH($B417,명단!$A$5:$A$404,0))),"번호 없음"))</f>
        <v/>
      </c>
      <c r="I417" s="25" t="str">
        <f aca="false">IF(AND(C417="",D417=""),"",IF(OR(C417="-",D417="-"),"측정불가",IF(AND(ISNUMBER(C417),ISNUMBER(D417)),IF(OR(C417&gt;=설정!$C$11,D417&gt;=설정!$C$12),"긴급",IF(OR(C417&gt;=설정!$C$9,D417&gt;=설정!$C$10,C417&lt;설정!$C$13),"주의","정상")),"확인필요")))</f>
        <v/>
      </c>
      <c r="J417" s="25" t="str">
        <f aca="false">IF(E417="","",IF(E417="-","측정불가",IF(NOT(ISNUMBER(E417)),"확인필요",IF(E417&lt;설정!$C$17,"긴급(저혈당)",IF(E417&gt;=설정!$C$18,"긴급(고혈당)",IF(F417="공복",IF(E417&gt;=설정!$C$15,"주의","정상"),IF(F417="식후",IF(E417&gt;=설정!$C$16,"주의","정상"),"조건확인")))))))</f>
        <v/>
      </c>
      <c r="K417" s="25" t="str">
        <f aca="false">IF(OR(I417="긴급",LEFT(J417,2)="긴급"),"★ 즉시 선생님 호출",IF(OR(I417="주의",J417="주의"),"결과상담에서 확인",IF(J417="조건확인","혈당조건(공복/식후) 선택","")))</f>
        <v/>
      </c>
      <c r="L417" s="25" t="str">
        <f aca="false">IF($B417="","",IF(COUNTIF($B$5:$B$1004,$B417)&gt;1,"중복 입력",""))</f>
        <v/>
      </c>
    </row>
    <row r="418" customFormat="false" ht="15" hidden="false" customHeight="false" outlineLevel="0" collapsed="false">
      <c r="A418" s="23"/>
      <c r="B418" s="24"/>
      <c r="C418" s="24"/>
      <c r="D418" s="24"/>
      <c r="E418" s="24"/>
      <c r="F418" s="24"/>
      <c r="G418" s="24"/>
      <c r="H418" s="25" t="str">
        <f aca="false">IF($B418="","",IFERROR(IF(INDEX(명단!$B$5:$B$404,MATCH($B418,명단!$A$5:$A$404,0))="","(이름 미입력)",INDEX(명단!$B$5:$B$404,MATCH($B418,명단!$A$5:$A$404,0))),"번호 없음"))</f>
        <v/>
      </c>
      <c r="I418" s="25" t="str">
        <f aca="false">IF(AND(C418="",D418=""),"",IF(OR(C418="-",D418="-"),"측정불가",IF(AND(ISNUMBER(C418),ISNUMBER(D418)),IF(OR(C418&gt;=설정!$C$11,D418&gt;=설정!$C$12),"긴급",IF(OR(C418&gt;=설정!$C$9,D418&gt;=설정!$C$10,C418&lt;설정!$C$13),"주의","정상")),"확인필요")))</f>
        <v/>
      </c>
      <c r="J418" s="25" t="str">
        <f aca="false">IF(E418="","",IF(E418="-","측정불가",IF(NOT(ISNUMBER(E418)),"확인필요",IF(E418&lt;설정!$C$17,"긴급(저혈당)",IF(E418&gt;=설정!$C$18,"긴급(고혈당)",IF(F418="공복",IF(E418&gt;=설정!$C$15,"주의","정상"),IF(F418="식후",IF(E418&gt;=설정!$C$16,"주의","정상"),"조건확인")))))))</f>
        <v/>
      </c>
      <c r="K418" s="25" t="str">
        <f aca="false">IF(OR(I418="긴급",LEFT(J418,2)="긴급"),"★ 즉시 선생님 호출",IF(OR(I418="주의",J418="주의"),"결과상담에서 확인",IF(J418="조건확인","혈당조건(공복/식후) 선택","")))</f>
        <v/>
      </c>
      <c r="L418" s="25" t="str">
        <f aca="false">IF($B418="","",IF(COUNTIF($B$5:$B$1004,$B418)&gt;1,"중복 입력",""))</f>
        <v/>
      </c>
    </row>
    <row r="419" customFormat="false" ht="15" hidden="false" customHeight="false" outlineLevel="0" collapsed="false">
      <c r="A419" s="23"/>
      <c r="B419" s="24"/>
      <c r="C419" s="24"/>
      <c r="D419" s="24"/>
      <c r="E419" s="24"/>
      <c r="F419" s="24"/>
      <c r="G419" s="24"/>
      <c r="H419" s="25" t="str">
        <f aca="false">IF($B419="","",IFERROR(IF(INDEX(명단!$B$5:$B$404,MATCH($B419,명단!$A$5:$A$404,0))="","(이름 미입력)",INDEX(명단!$B$5:$B$404,MATCH($B419,명단!$A$5:$A$404,0))),"번호 없음"))</f>
        <v/>
      </c>
      <c r="I419" s="25" t="str">
        <f aca="false">IF(AND(C419="",D419=""),"",IF(OR(C419="-",D419="-"),"측정불가",IF(AND(ISNUMBER(C419),ISNUMBER(D419)),IF(OR(C419&gt;=설정!$C$11,D419&gt;=설정!$C$12),"긴급",IF(OR(C419&gt;=설정!$C$9,D419&gt;=설정!$C$10,C419&lt;설정!$C$13),"주의","정상")),"확인필요")))</f>
        <v/>
      </c>
      <c r="J419" s="25" t="str">
        <f aca="false">IF(E419="","",IF(E419="-","측정불가",IF(NOT(ISNUMBER(E419)),"확인필요",IF(E419&lt;설정!$C$17,"긴급(저혈당)",IF(E419&gt;=설정!$C$18,"긴급(고혈당)",IF(F419="공복",IF(E419&gt;=설정!$C$15,"주의","정상"),IF(F419="식후",IF(E419&gt;=설정!$C$16,"주의","정상"),"조건확인")))))))</f>
        <v/>
      </c>
      <c r="K419" s="25" t="str">
        <f aca="false">IF(OR(I419="긴급",LEFT(J419,2)="긴급"),"★ 즉시 선생님 호출",IF(OR(I419="주의",J419="주의"),"결과상담에서 확인",IF(J419="조건확인","혈당조건(공복/식후) 선택","")))</f>
        <v/>
      </c>
      <c r="L419" s="25" t="str">
        <f aca="false">IF($B419="","",IF(COUNTIF($B$5:$B$1004,$B419)&gt;1,"중복 입력",""))</f>
        <v/>
      </c>
    </row>
    <row r="420" customFormat="false" ht="15" hidden="false" customHeight="false" outlineLevel="0" collapsed="false">
      <c r="A420" s="23"/>
      <c r="B420" s="24"/>
      <c r="C420" s="24"/>
      <c r="D420" s="24"/>
      <c r="E420" s="24"/>
      <c r="F420" s="24"/>
      <c r="G420" s="24"/>
      <c r="H420" s="25" t="str">
        <f aca="false">IF($B420="","",IFERROR(IF(INDEX(명단!$B$5:$B$404,MATCH($B420,명단!$A$5:$A$404,0))="","(이름 미입력)",INDEX(명단!$B$5:$B$404,MATCH($B420,명단!$A$5:$A$404,0))),"번호 없음"))</f>
        <v/>
      </c>
      <c r="I420" s="25" t="str">
        <f aca="false">IF(AND(C420="",D420=""),"",IF(OR(C420="-",D420="-"),"측정불가",IF(AND(ISNUMBER(C420),ISNUMBER(D420)),IF(OR(C420&gt;=설정!$C$11,D420&gt;=설정!$C$12),"긴급",IF(OR(C420&gt;=설정!$C$9,D420&gt;=설정!$C$10,C420&lt;설정!$C$13),"주의","정상")),"확인필요")))</f>
        <v/>
      </c>
      <c r="J420" s="25" t="str">
        <f aca="false">IF(E420="","",IF(E420="-","측정불가",IF(NOT(ISNUMBER(E420)),"확인필요",IF(E420&lt;설정!$C$17,"긴급(저혈당)",IF(E420&gt;=설정!$C$18,"긴급(고혈당)",IF(F420="공복",IF(E420&gt;=설정!$C$15,"주의","정상"),IF(F420="식후",IF(E420&gt;=설정!$C$16,"주의","정상"),"조건확인")))))))</f>
        <v/>
      </c>
      <c r="K420" s="25" t="str">
        <f aca="false">IF(OR(I420="긴급",LEFT(J420,2)="긴급"),"★ 즉시 선생님 호출",IF(OR(I420="주의",J420="주의"),"결과상담에서 확인",IF(J420="조건확인","혈당조건(공복/식후) 선택","")))</f>
        <v/>
      </c>
      <c r="L420" s="25" t="str">
        <f aca="false">IF($B420="","",IF(COUNTIF($B$5:$B$1004,$B420)&gt;1,"중복 입력",""))</f>
        <v/>
      </c>
    </row>
    <row r="421" customFormat="false" ht="15" hidden="false" customHeight="false" outlineLevel="0" collapsed="false">
      <c r="A421" s="23"/>
      <c r="B421" s="24"/>
      <c r="C421" s="24"/>
      <c r="D421" s="24"/>
      <c r="E421" s="24"/>
      <c r="F421" s="24"/>
      <c r="G421" s="24"/>
      <c r="H421" s="25" t="str">
        <f aca="false">IF($B421="","",IFERROR(IF(INDEX(명단!$B$5:$B$404,MATCH($B421,명단!$A$5:$A$404,0))="","(이름 미입력)",INDEX(명단!$B$5:$B$404,MATCH($B421,명단!$A$5:$A$404,0))),"번호 없음"))</f>
        <v/>
      </c>
      <c r="I421" s="25" t="str">
        <f aca="false">IF(AND(C421="",D421=""),"",IF(OR(C421="-",D421="-"),"측정불가",IF(AND(ISNUMBER(C421),ISNUMBER(D421)),IF(OR(C421&gt;=설정!$C$11,D421&gt;=설정!$C$12),"긴급",IF(OR(C421&gt;=설정!$C$9,D421&gt;=설정!$C$10,C421&lt;설정!$C$13),"주의","정상")),"확인필요")))</f>
        <v/>
      </c>
      <c r="J421" s="25" t="str">
        <f aca="false">IF(E421="","",IF(E421="-","측정불가",IF(NOT(ISNUMBER(E421)),"확인필요",IF(E421&lt;설정!$C$17,"긴급(저혈당)",IF(E421&gt;=설정!$C$18,"긴급(고혈당)",IF(F421="공복",IF(E421&gt;=설정!$C$15,"주의","정상"),IF(F421="식후",IF(E421&gt;=설정!$C$16,"주의","정상"),"조건확인")))))))</f>
        <v/>
      </c>
      <c r="K421" s="25" t="str">
        <f aca="false">IF(OR(I421="긴급",LEFT(J421,2)="긴급"),"★ 즉시 선생님 호출",IF(OR(I421="주의",J421="주의"),"결과상담에서 확인",IF(J421="조건확인","혈당조건(공복/식후) 선택","")))</f>
        <v/>
      </c>
      <c r="L421" s="25" t="str">
        <f aca="false">IF($B421="","",IF(COUNTIF($B$5:$B$1004,$B421)&gt;1,"중복 입력",""))</f>
        <v/>
      </c>
    </row>
    <row r="422" customFormat="false" ht="15" hidden="false" customHeight="false" outlineLevel="0" collapsed="false">
      <c r="A422" s="23"/>
      <c r="B422" s="24"/>
      <c r="C422" s="24"/>
      <c r="D422" s="24"/>
      <c r="E422" s="24"/>
      <c r="F422" s="24"/>
      <c r="G422" s="24"/>
      <c r="H422" s="25" t="str">
        <f aca="false">IF($B422="","",IFERROR(IF(INDEX(명단!$B$5:$B$404,MATCH($B422,명단!$A$5:$A$404,0))="","(이름 미입력)",INDEX(명단!$B$5:$B$404,MATCH($B422,명단!$A$5:$A$404,0))),"번호 없음"))</f>
        <v/>
      </c>
      <c r="I422" s="25" t="str">
        <f aca="false">IF(AND(C422="",D422=""),"",IF(OR(C422="-",D422="-"),"측정불가",IF(AND(ISNUMBER(C422),ISNUMBER(D422)),IF(OR(C422&gt;=설정!$C$11,D422&gt;=설정!$C$12),"긴급",IF(OR(C422&gt;=설정!$C$9,D422&gt;=설정!$C$10,C422&lt;설정!$C$13),"주의","정상")),"확인필요")))</f>
        <v/>
      </c>
      <c r="J422" s="25" t="str">
        <f aca="false">IF(E422="","",IF(E422="-","측정불가",IF(NOT(ISNUMBER(E422)),"확인필요",IF(E422&lt;설정!$C$17,"긴급(저혈당)",IF(E422&gt;=설정!$C$18,"긴급(고혈당)",IF(F422="공복",IF(E422&gt;=설정!$C$15,"주의","정상"),IF(F422="식후",IF(E422&gt;=설정!$C$16,"주의","정상"),"조건확인")))))))</f>
        <v/>
      </c>
      <c r="K422" s="25" t="str">
        <f aca="false">IF(OR(I422="긴급",LEFT(J422,2)="긴급"),"★ 즉시 선생님 호출",IF(OR(I422="주의",J422="주의"),"결과상담에서 확인",IF(J422="조건확인","혈당조건(공복/식후) 선택","")))</f>
        <v/>
      </c>
      <c r="L422" s="25" t="str">
        <f aca="false">IF($B422="","",IF(COUNTIF($B$5:$B$1004,$B422)&gt;1,"중복 입력",""))</f>
        <v/>
      </c>
    </row>
    <row r="423" customFormat="false" ht="15" hidden="false" customHeight="false" outlineLevel="0" collapsed="false">
      <c r="A423" s="23"/>
      <c r="B423" s="24"/>
      <c r="C423" s="24"/>
      <c r="D423" s="24"/>
      <c r="E423" s="24"/>
      <c r="F423" s="24"/>
      <c r="G423" s="24"/>
      <c r="H423" s="25" t="str">
        <f aca="false">IF($B423="","",IFERROR(IF(INDEX(명단!$B$5:$B$404,MATCH($B423,명단!$A$5:$A$404,0))="","(이름 미입력)",INDEX(명단!$B$5:$B$404,MATCH($B423,명단!$A$5:$A$404,0))),"번호 없음"))</f>
        <v/>
      </c>
      <c r="I423" s="25" t="str">
        <f aca="false">IF(AND(C423="",D423=""),"",IF(OR(C423="-",D423="-"),"측정불가",IF(AND(ISNUMBER(C423),ISNUMBER(D423)),IF(OR(C423&gt;=설정!$C$11,D423&gt;=설정!$C$12),"긴급",IF(OR(C423&gt;=설정!$C$9,D423&gt;=설정!$C$10,C423&lt;설정!$C$13),"주의","정상")),"확인필요")))</f>
        <v/>
      </c>
      <c r="J423" s="25" t="str">
        <f aca="false">IF(E423="","",IF(E423="-","측정불가",IF(NOT(ISNUMBER(E423)),"확인필요",IF(E423&lt;설정!$C$17,"긴급(저혈당)",IF(E423&gt;=설정!$C$18,"긴급(고혈당)",IF(F423="공복",IF(E423&gt;=설정!$C$15,"주의","정상"),IF(F423="식후",IF(E423&gt;=설정!$C$16,"주의","정상"),"조건확인")))))))</f>
        <v/>
      </c>
      <c r="K423" s="25" t="str">
        <f aca="false">IF(OR(I423="긴급",LEFT(J423,2)="긴급"),"★ 즉시 선생님 호출",IF(OR(I423="주의",J423="주의"),"결과상담에서 확인",IF(J423="조건확인","혈당조건(공복/식후) 선택","")))</f>
        <v/>
      </c>
      <c r="L423" s="25" t="str">
        <f aca="false">IF($B423="","",IF(COUNTIF($B$5:$B$1004,$B423)&gt;1,"중복 입력",""))</f>
        <v/>
      </c>
    </row>
    <row r="424" customFormat="false" ht="15" hidden="false" customHeight="false" outlineLevel="0" collapsed="false">
      <c r="A424" s="23"/>
      <c r="B424" s="24"/>
      <c r="C424" s="24"/>
      <c r="D424" s="24"/>
      <c r="E424" s="24"/>
      <c r="F424" s="24"/>
      <c r="G424" s="24"/>
      <c r="H424" s="25" t="str">
        <f aca="false">IF($B424="","",IFERROR(IF(INDEX(명단!$B$5:$B$404,MATCH($B424,명단!$A$5:$A$404,0))="","(이름 미입력)",INDEX(명단!$B$5:$B$404,MATCH($B424,명단!$A$5:$A$404,0))),"번호 없음"))</f>
        <v/>
      </c>
      <c r="I424" s="25" t="str">
        <f aca="false">IF(AND(C424="",D424=""),"",IF(OR(C424="-",D424="-"),"측정불가",IF(AND(ISNUMBER(C424),ISNUMBER(D424)),IF(OR(C424&gt;=설정!$C$11,D424&gt;=설정!$C$12),"긴급",IF(OR(C424&gt;=설정!$C$9,D424&gt;=설정!$C$10,C424&lt;설정!$C$13),"주의","정상")),"확인필요")))</f>
        <v/>
      </c>
      <c r="J424" s="25" t="str">
        <f aca="false">IF(E424="","",IF(E424="-","측정불가",IF(NOT(ISNUMBER(E424)),"확인필요",IF(E424&lt;설정!$C$17,"긴급(저혈당)",IF(E424&gt;=설정!$C$18,"긴급(고혈당)",IF(F424="공복",IF(E424&gt;=설정!$C$15,"주의","정상"),IF(F424="식후",IF(E424&gt;=설정!$C$16,"주의","정상"),"조건확인")))))))</f>
        <v/>
      </c>
      <c r="K424" s="25" t="str">
        <f aca="false">IF(OR(I424="긴급",LEFT(J424,2)="긴급"),"★ 즉시 선생님 호출",IF(OR(I424="주의",J424="주의"),"결과상담에서 확인",IF(J424="조건확인","혈당조건(공복/식후) 선택","")))</f>
        <v/>
      </c>
      <c r="L424" s="25" t="str">
        <f aca="false">IF($B424="","",IF(COUNTIF($B$5:$B$1004,$B424)&gt;1,"중복 입력",""))</f>
        <v/>
      </c>
    </row>
    <row r="425" customFormat="false" ht="15" hidden="false" customHeight="false" outlineLevel="0" collapsed="false">
      <c r="A425" s="23"/>
      <c r="B425" s="24"/>
      <c r="C425" s="24"/>
      <c r="D425" s="24"/>
      <c r="E425" s="24"/>
      <c r="F425" s="24"/>
      <c r="G425" s="24"/>
      <c r="H425" s="25" t="str">
        <f aca="false">IF($B425="","",IFERROR(IF(INDEX(명단!$B$5:$B$404,MATCH($B425,명단!$A$5:$A$404,0))="","(이름 미입력)",INDEX(명단!$B$5:$B$404,MATCH($B425,명단!$A$5:$A$404,0))),"번호 없음"))</f>
        <v/>
      </c>
      <c r="I425" s="25" t="str">
        <f aca="false">IF(AND(C425="",D425=""),"",IF(OR(C425="-",D425="-"),"측정불가",IF(AND(ISNUMBER(C425),ISNUMBER(D425)),IF(OR(C425&gt;=설정!$C$11,D425&gt;=설정!$C$12),"긴급",IF(OR(C425&gt;=설정!$C$9,D425&gt;=설정!$C$10,C425&lt;설정!$C$13),"주의","정상")),"확인필요")))</f>
        <v/>
      </c>
      <c r="J425" s="25" t="str">
        <f aca="false">IF(E425="","",IF(E425="-","측정불가",IF(NOT(ISNUMBER(E425)),"확인필요",IF(E425&lt;설정!$C$17,"긴급(저혈당)",IF(E425&gt;=설정!$C$18,"긴급(고혈당)",IF(F425="공복",IF(E425&gt;=설정!$C$15,"주의","정상"),IF(F425="식후",IF(E425&gt;=설정!$C$16,"주의","정상"),"조건확인")))))))</f>
        <v/>
      </c>
      <c r="K425" s="25" t="str">
        <f aca="false">IF(OR(I425="긴급",LEFT(J425,2)="긴급"),"★ 즉시 선생님 호출",IF(OR(I425="주의",J425="주의"),"결과상담에서 확인",IF(J425="조건확인","혈당조건(공복/식후) 선택","")))</f>
        <v/>
      </c>
      <c r="L425" s="25" t="str">
        <f aca="false">IF($B425="","",IF(COUNTIF($B$5:$B$1004,$B425)&gt;1,"중복 입력",""))</f>
        <v/>
      </c>
    </row>
    <row r="426" customFormat="false" ht="15" hidden="false" customHeight="false" outlineLevel="0" collapsed="false">
      <c r="A426" s="23"/>
      <c r="B426" s="24"/>
      <c r="C426" s="24"/>
      <c r="D426" s="24"/>
      <c r="E426" s="24"/>
      <c r="F426" s="24"/>
      <c r="G426" s="24"/>
      <c r="H426" s="25" t="str">
        <f aca="false">IF($B426="","",IFERROR(IF(INDEX(명단!$B$5:$B$404,MATCH($B426,명단!$A$5:$A$404,0))="","(이름 미입력)",INDEX(명단!$B$5:$B$404,MATCH($B426,명단!$A$5:$A$404,0))),"번호 없음"))</f>
        <v/>
      </c>
      <c r="I426" s="25" t="str">
        <f aca="false">IF(AND(C426="",D426=""),"",IF(OR(C426="-",D426="-"),"측정불가",IF(AND(ISNUMBER(C426),ISNUMBER(D426)),IF(OR(C426&gt;=설정!$C$11,D426&gt;=설정!$C$12),"긴급",IF(OR(C426&gt;=설정!$C$9,D426&gt;=설정!$C$10,C426&lt;설정!$C$13),"주의","정상")),"확인필요")))</f>
        <v/>
      </c>
      <c r="J426" s="25" t="str">
        <f aca="false">IF(E426="","",IF(E426="-","측정불가",IF(NOT(ISNUMBER(E426)),"확인필요",IF(E426&lt;설정!$C$17,"긴급(저혈당)",IF(E426&gt;=설정!$C$18,"긴급(고혈당)",IF(F426="공복",IF(E426&gt;=설정!$C$15,"주의","정상"),IF(F426="식후",IF(E426&gt;=설정!$C$16,"주의","정상"),"조건확인")))))))</f>
        <v/>
      </c>
      <c r="K426" s="25" t="str">
        <f aca="false">IF(OR(I426="긴급",LEFT(J426,2)="긴급"),"★ 즉시 선생님 호출",IF(OR(I426="주의",J426="주의"),"결과상담에서 확인",IF(J426="조건확인","혈당조건(공복/식후) 선택","")))</f>
        <v/>
      </c>
      <c r="L426" s="25" t="str">
        <f aca="false">IF($B426="","",IF(COUNTIF($B$5:$B$1004,$B426)&gt;1,"중복 입력",""))</f>
        <v/>
      </c>
    </row>
    <row r="427" customFormat="false" ht="15" hidden="false" customHeight="false" outlineLevel="0" collapsed="false">
      <c r="A427" s="23"/>
      <c r="B427" s="24"/>
      <c r="C427" s="24"/>
      <c r="D427" s="24"/>
      <c r="E427" s="24"/>
      <c r="F427" s="24"/>
      <c r="G427" s="24"/>
      <c r="H427" s="25" t="str">
        <f aca="false">IF($B427="","",IFERROR(IF(INDEX(명단!$B$5:$B$404,MATCH($B427,명단!$A$5:$A$404,0))="","(이름 미입력)",INDEX(명단!$B$5:$B$404,MATCH($B427,명단!$A$5:$A$404,0))),"번호 없음"))</f>
        <v/>
      </c>
      <c r="I427" s="25" t="str">
        <f aca="false">IF(AND(C427="",D427=""),"",IF(OR(C427="-",D427="-"),"측정불가",IF(AND(ISNUMBER(C427),ISNUMBER(D427)),IF(OR(C427&gt;=설정!$C$11,D427&gt;=설정!$C$12),"긴급",IF(OR(C427&gt;=설정!$C$9,D427&gt;=설정!$C$10,C427&lt;설정!$C$13),"주의","정상")),"확인필요")))</f>
        <v/>
      </c>
      <c r="J427" s="25" t="str">
        <f aca="false">IF(E427="","",IF(E427="-","측정불가",IF(NOT(ISNUMBER(E427)),"확인필요",IF(E427&lt;설정!$C$17,"긴급(저혈당)",IF(E427&gt;=설정!$C$18,"긴급(고혈당)",IF(F427="공복",IF(E427&gt;=설정!$C$15,"주의","정상"),IF(F427="식후",IF(E427&gt;=설정!$C$16,"주의","정상"),"조건확인")))))))</f>
        <v/>
      </c>
      <c r="K427" s="25" t="str">
        <f aca="false">IF(OR(I427="긴급",LEFT(J427,2)="긴급"),"★ 즉시 선생님 호출",IF(OR(I427="주의",J427="주의"),"결과상담에서 확인",IF(J427="조건확인","혈당조건(공복/식후) 선택","")))</f>
        <v/>
      </c>
      <c r="L427" s="25" t="str">
        <f aca="false">IF($B427="","",IF(COUNTIF($B$5:$B$1004,$B427)&gt;1,"중복 입력",""))</f>
        <v/>
      </c>
    </row>
    <row r="428" customFormat="false" ht="15" hidden="false" customHeight="false" outlineLevel="0" collapsed="false">
      <c r="A428" s="23"/>
      <c r="B428" s="24"/>
      <c r="C428" s="24"/>
      <c r="D428" s="24"/>
      <c r="E428" s="24"/>
      <c r="F428" s="24"/>
      <c r="G428" s="24"/>
      <c r="H428" s="25" t="str">
        <f aca="false">IF($B428="","",IFERROR(IF(INDEX(명단!$B$5:$B$404,MATCH($B428,명단!$A$5:$A$404,0))="","(이름 미입력)",INDEX(명단!$B$5:$B$404,MATCH($B428,명단!$A$5:$A$404,0))),"번호 없음"))</f>
        <v/>
      </c>
      <c r="I428" s="25" t="str">
        <f aca="false">IF(AND(C428="",D428=""),"",IF(OR(C428="-",D428="-"),"측정불가",IF(AND(ISNUMBER(C428),ISNUMBER(D428)),IF(OR(C428&gt;=설정!$C$11,D428&gt;=설정!$C$12),"긴급",IF(OR(C428&gt;=설정!$C$9,D428&gt;=설정!$C$10,C428&lt;설정!$C$13),"주의","정상")),"확인필요")))</f>
        <v/>
      </c>
      <c r="J428" s="25" t="str">
        <f aca="false">IF(E428="","",IF(E428="-","측정불가",IF(NOT(ISNUMBER(E428)),"확인필요",IF(E428&lt;설정!$C$17,"긴급(저혈당)",IF(E428&gt;=설정!$C$18,"긴급(고혈당)",IF(F428="공복",IF(E428&gt;=설정!$C$15,"주의","정상"),IF(F428="식후",IF(E428&gt;=설정!$C$16,"주의","정상"),"조건확인")))))))</f>
        <v/>
      </c>
      <c r="K428" s="25" t="str">
        <f aca="false">IF(OR(I428="긴급",LEFT(J428,2)="긴급"),"★ 즉시 선생님 호출",IF(OR(I428="주의",J428="주의"),"결과상담에서 확인",IF(J428="조건확인","혈당조건(공복/식후) 선택","")))</f>
        <v/>
      </c>
      <c r="L428" s="25" t="str">
        <f aca="false">IF($B428="","",IF(COUNTIF($B$5:$B$1004,$B428)&gt;1,"중복 입력",""))</f>
        <v/>
      </c>
    </row>
    <row r="429" customFormat="false" ht="15" hidden="false" customHeight="false" outlineLevel="0" collapsed="false">
      <c r="A429" s="23"/>
      <c r="B429" s="24"/>
      <c r="C429" s="24"/>
      <c r="D429" s="24"/>
      <c r="E429" s="24"/>
      <c r="F429" s="24"/>
      <c r="G429" s="24"/>
      <c r="H429" s="25" t="str">
        <f aca="false">IF($B429="","",IFERROR(IF(INDEX(명단!$B$5:$B$404,MATCH($B429,명단!$A$5:$A$404,0))="","(이름 미입력)",INDEX(명단!$B$5:$B$404,MATCH($B429,명단!$A$5:$A$404,0))),"번호 없음"))</f>
        <v/>
      </c>
      <c r="I429" s="25" t="str">
        <f aca="false">IF(AND(C429="",D429=""),"",IF(OR(C429="-",D429="-"),"측정불가",IF(AND(ISNUMBER(C429),ISNUMBER(D429)),IF(OR(C429&gt;=설정!$C$11,D429&gt;=설정!$C$12),"긴급",IF(OR(C429&gt;=설정!$C$9,D429&gt;=설정!$C$10,C429&lt;설정!$C$13),"주의","정상")),"확인필요")))</f>
        <v/>
      </c>
      <c r="J429" s="25" t="str">
        <f aca="false">IF(E429="","",IF(E429="-","측정불가",IF(NOT(ISNUMBER(E429)),"확인필요",IF(E429&lt;설정!$C$17,"긴급(저혈당)",IF(E429&gt;=설정!$C$18,"긴급(고혈당)",IF(F429="공복",IF(E429&gt;=설정!$C$15,"주의","정상"),IF(F429="식후",IF(E429&gt;=설정!$C$16,"주의","정상"),"조건확인")))))))</f>
        <v/>
      </c>
      <c r="K429" s="25" t="str">
        <f aca="false">IF(OR(I429="긴급",LEFT(J429,2)="긴급"),"★ 즉시 선생님 호출",IF(OR(I429="주의",J429="주의"),"결과상담에서 확인",IF(J429="조건확인","혈당조건(공복/식후) 선택","")))</f>
        <v/>
      </c>
      <c r="L429" s="25" t="str">
        <f aca="false">IF($B429="","",IF(COUNTIF($B$5:$B$1004,$B429)&gt;1,"중복 입력",""))</f>
        <v/>
      </c>
    </row>
    <row r="430" customFormat="false" ht="15" hidden="false" customHeight="false" outlineLevel="0" collapsed="false">
      <c r="A430" s="23"/>
      <c r="B430" s="24"/>
      <c r="C430" s="24"/>
      <c r="D430" s="24"/>
      <c r="E430" s="24"/>
      <c r="F430" s="24"/>
      <c r="G430" s="24"/>
      <c r="H430" s="25" t="str">
        <f aca="false">IF($B430="","",IFERROR(IF(INDEX(명단!$B$5:$B$404,MATCH($B430,명단!$A$5:$A$404,0))="","(이름 미입력)",INDEX(명단!$B$5:$B$404,MATCH($B430,명단!$A$5:$A$404,0))),"번호 없음"))</f>
        <v/>
      </c>
      <c r="I430" s="25" t="str">
        <f aca="false">IF(AND(C430="",D430=""),"",IF(OR(C430="-",D430="-"),"측정불가",IF(AND(ISNUMBER(C430),ISNUMBER(D430)),IF(OR(C430&gt;=설정!$C$11,D430&gt;=설정!$C$12),"긴급",IF(OR(C430&gt;=설정!$C$9,D430&gt;=설정!$C$10,C430&lt;설정!$C$13),"주의","정상")),"확인필요")))</f>
        <v/>
      </c>
      <c r="J430" s="25" t="str">
        <f aca="false">IF(E430="","",IF(E430="-","측정불가",IF(NOT(ISNUMBER(E430)),"확인필요",IF(E430&lt;설정!$C$17,"긴급(저혈당)",IF(E430&gt;=설정!$C$18,"긴급(고혈당)",IF(F430="공복",IF(E430&gt;=설정!$C$15,"주의","정상"),IF(F430="식후",IF(E430&gt;=설정!$C$16,"주의","정상"),"조건확인")))))))</f>
        <v/>
      </c>
      <c r="K430" s="25" t="str">
        <f aca="false">IF(OR(I430="긴급",LEFT(J430,2)="긴급"),"★ 즉시 선생님 호출",IF(OR(I430="주의",J430="주의"),"결과상담에서 확인",IF(J430="조건확인","혈당조건(공복/식후) 선택","")))</f>
        <v/>
      </c>
      <c r="L430" s="25" t="str">
        <f aca="false">IF($B430="","",IF(COUNTIF($B$5:$B$1004,$B430)&gt;1,"중복 입력",""))</f>
        <v/>
      </c>
    </row>
    <row r="431" customFormat="false" ht="15" hidden="false" customHeight="false" outlineLevel="0" collapsed="false">
      <c r="A431" s="23"/>
      <c r="B431" s="24"/>
      <c r="C431" s="24"/>
      <c r="D431" s="24"/>
      <c r="E431" s="24"/>
      <c r="F431" s="24"/>
      <c r="G431" s="24"/>
      <c r="H431" s="25" t="str">
        <f aca="false">IF($B431="","",IFERROR(IF(INDEX(명단!$B$5:$B$404,MATCH($B431,명단!$A$5:$A$404,0))="","(이름 미입력)",INDEX(명단!$B$5:$B$404,MATCH($B431,명단!$A$5:$A$404,0))),"번호 없음"))</f>
        <v/>
      </c>
      <c r="I431" s="25" t="str">
        <f aca="false">IF(AND(C431="",D431=""),"",IF(OR(C431="-",D431="-"),"측정불가",IF(AND(ISNUMBER(C431),ISNUMBER(D431)),IF(OR(C431&gt;=설정!$C$11,D431&gt;=설정!$C$12),"긴급",IF(OR(C431&gt;=설정!$C$9,D431&gt;=설정!$C$10,C431&lt;설정!$C$13),"주의","정상")),"확인필요")))</f>
        <v/>
      </c>
      <c r="J431" s="25" t="str">
        <f aca="false">IF(E431="","",IF(E431="-","측정불가",IF(NOT(ISNUMBER(E431)),"확인필요",IF(E431&lt;설정!$C$17,"긴급(저혈당)",IF(E431&gt;=설정!$C$18,"긴급(고혈당)",IF(F431="공복",IF(E431&gt;=설정!$C$15,"주의","정상"),IF(F431="식후",IF(E431&gt;=설정!$C$16,"주의","정상"),"조건확인")))))))</f>
        <v/>
      </c>
      <c r="K431" s="25" t="str">
        <f aca="false">IF(OR(I431="긴급",LEFT(J431,2)="긴급"),"★ 즉시 선생님 호출",IF(OR(I431="주의",J431="주의"),"결과상담에서 확인",IF(J431="조건확인","혈당조건(공복/식후) 선택","")))</f>
        <v/>
      </c>
      <c r="L431" s="25" t="str">
        <f aca="false">IF($B431="","",IF(COUNTIF($B$5:$B$1004,$B431)&gt;1,"중복 입력",""))</f>
        <v/>
      </c>
    </row>
    <row r="432" customFormat="false" ht="15" hidden="false" customHeight="false" outlineLevel="0" collapsed="false">
      <c r="A432" s="23"/>
      <c r="B432" s="24"/>
      <c r="C432" s="24"/>
      <c r="D432" s="24"/>
      <c r="E432" s="24"/>
      <c r="F432" s="24"/>
      <c r="G432" s="24"/>
      <c r="H432" s="25" t="str">
        <f aca="false">IF($B432="","",IFERROR(IF(INDEX(명단!$B$5:$B$404,MATCH($B432,명단!$A$5:$A$404,0))="","(이름 미입력)",INDEX(명단!$B$5:$B$404,MATCH($B432,명단!$A$5:$A$404,0))),"번호 없음"))</f>
        <v/>
      </c>
      <c r="I432" s="25" t="str">
        <f aca="false">IF(AND(C432="",D432=""),"",IF(OR(C432="-",D432="-"),"측정불가",IF(AND(ISNUMBER(C432),ISNUMBER(D432)),IF(OR(C432&gt;=설정!$C$11,D432&gt;=설정!$C$12),"긴급",IF(OR(C432&gt;=설정!$C$9,D432&gt;=설정!$C$10,C432&lt;설정!$C$13),"주의","정상")),"확인필요")))</f>
        <v/>
      </c>
      <c r="J432" s="25" t="str">
        <f aca="false">IF(E432="","",IF(E432="-","측정불가",IF(NOT(ISNUMBER(E432)),"확인필요",IF(E432&lt;설정!$C$17,"긴급(저혈당)",IF(E432&gt;=설정!$C$18,"긴급(고혈당)",IF(F432="공복",IF(E432&gt;=설정!$C$15,"주의","정상"),IF(F432="식후",IF(E432&gt;=설정!$C$16,"주의","정상"),"조건확인")))))))</f>
        <v/>
      </c>
      <c r="K432" s="25" t="str">
        <f aca="false">IF(OR(I432="긴급",LEFT(J432,2)="긴급"),"★ 즉시 선생님 호출",IF(OR(I432="주의",J432="주의"),"결과상담에서 확인",IF(J432="조건확인","혈당조건(공복/식후) 선택","")))</f>
        <v/>
      </c>
      <c r="L432" s="25" t="str">
        <f aca="false">IF($B432="","",IF(COUNTIF($B$5:$B$1004,$B432)&gt;1,"중복 입력",""))</f>
        <v/>
      </c>
    </row>
    <row r="433" customFormat="false" ht="15" hidden="false" customHeight="false" outlineLevel="0" collapsed="false">
      <c r="A433" s="23"/>
      <c r="B433" s="24"/>
      <c r="C433" s="24"/>
      <c r="D433" s="24"/>
      <c r="E433" s="24"/>
      <c r="F433" s="24"/>
      <c r="G433" s="24"/>
      <c r="H433" s="25" t="str">
        <f aca="false">IF($B433="","",IFERROR(IF(INDEX(명단!$B$5:$B$404,MATCH($B433,명단!$A$5:$A$404,0))="","(이름 미입력)",INDEX(명단!$B$5:$B$404,MATCH($B433,명단!$A$5:$A$404,0))),"번호 없음"))</f>
        <v/>
      </c>
      <c r="I433" s="25" t="str">
        <f aca="false">IF(AND(C433="",D433=""),"",IF(OR(C433="-",D433="-"),"측정불가",IF(AND(ISNUMBER(C433),ISNUMBER(D433)),IF(OR(C433&gt;=설정!$C$11,D433&gt;=설정!$C$12),"긴급",IF(OR(C433&gt;=설정!$C$9,D433&gt;=설정!$C$10,C433&lt;설정!$C$13),"주의","정상")),"확인필요")))</f>
        <v/>
      </c>
      <c r="J433" s="25" t="str">
        <f aca="false">IF(E433="","",IF(E433="-","측정불가",IF(NOT(ISNUMBER(E433)),"확인필요",IF(E433&lt;설정!$C$17,"긴급(저혈당)",IF(E433&gt;=설정!$C$18,"긴급(고혈당)",IF(F433="공복",IF(E433&gt;=설정!$C$15,"주의","정상"),IF(F433="식후",IF(E433&gt;=설정!$C$16,"주의","정상"),"조건확인")))))))</f>
        <v/>
      </c>
      <c r="K433" s="25" t="str">
        <f aca="false">IF(OR(I433="긴급",LEFT(J433,2)="긴급"),"★ 즉시 선생님 호출",IF(OR(I433="주의",J433="주의"),"결과상담에서 확인",IF(J433="조건확인","혈당조건(공복/식후) 선택","")))</f>
        <v/>
      </c>
      <c r="L433" s="25" t="str">
        <f aca="false">IF($B433="","",IF(COUNTIF($B$5:$B$1004,$B433)&gt;1,"중복 입력",""))</f>
        <v/>
      </c>
    </row>
    <row r="434" customFormat="false" ht="15" hidden="false" customHeight="false" outlineLevel="0" collapsed="false">
      <c r="A434" s="23"/>
      <c r="B434" s="24"/>
      <c r="C434" s="24"/>
      <c r="D434" s="24"/>
      <c r="E434" s="24"/>
      <c r="F434" s="24"/>
      <c r="G434" s="24"/>
      <c r="H434" s="25" t="str">
        <f aca="false">IF($B434="","",IFERROR(IF(INDEX(명단!$B$5:$B$404,MATCH($B434,명단!$A$5:$A$404,0))="","(이름 미입력)",INDEX(명단!$B$5:$B$404,MATCH($B434,명단!$A$5:$A$404,0))),"번호 없음"))</f>
        <v/>
      </c>
      <c r="I434" s="25" t="str">
        <f aca="false">IF(AND(C434="",D434=""),"",IF(OR(C434="-",D434="-"),"측정불가",IF(AND(ISNUMBER(C434),ISNUMBER(D434)),IF(OR(C434&gt;=설정!$C$11,D434&gt;=설정!$C$12),"긴급",IF(OR(C434&gt;=설정!$C$9,D434&gt;=설정!$C$10,C434&lt;설정!$C$13),"주의","정상")),"확인필요")))</f>
        <v/>
      </c>
      <c r="J434" s="25" t="str">
        <f aca="false">IF(E434="","",IF(E434="-","측정불가",IF(NOT(ISNUMBER(E434)),"확인필요",IF(E434&lt;설정!$C$17,"긴급(저혈당)",IF(E434&gt;=설정!$C$18,"긴급(고혈당)",IF(F434="공복",IF(E434&gt;=설정!$C$15,"주의","정상"),IF(F434="식후",IF(E434&gt;=설정!$C$16,"주의","정상"),"조건확인")))))))</f>
        <v/>
      </c>
      <c r="K434" s="25" t="str">
        <f aca="false">IF(OR(I434="긴급",LEFT(J434,2)="긴급"),"★ 즉시 선생님 호출",IF(OR(I434="주의",J434="주의"),"결과상담에서 확인",IF(J434="조건확인","혈당조건(공복/식후) 선택","")))</f>
        <v/>
      </c>
      <c r="L434" s="25" t="str">
        <f aca="false">IF($B434="","",IF(COUNTIF($B$5:$B$1004,$B434)&gt;1,"중복 입력",""))</f>
        <v/>
      </c>
    </row>
    <row r="435" customFormat="false" ht="15" hidden="false" customHeight="false" outlineLevel="0" collapsed="false">
      <c r="A435" s="23"/>
      <c r="B435" s="24"/>
      <c r="C435" s="24"/>
      <c r="D435" s="24"/>
      <c r="E435" s="24"/>
      <c r="F435" s="24"/>
      <c r="G435" s="24"/>
      <c r="H435" s="25" t="str">
        <f aca="false">IF($B435="","",IFERROR(IF(INDEX(명단!$B$5:$B$404,MATCH($B435,명단!$A$5:$A$404,0))="","(이름 미입력)",INDEX(명단!$B$5:$B$404,MATCH($B435,명단!$A$5:$A$404,0))),"번호 없음"))</f>
        <v/>
      </c>
      <c r="I435" s="25" t="str">
        <f aca="false">IF(AND(C435="",D435=""),"",IF(OR(C435="-",D435="-"),"측정불가",IF(AND(ISNUMBER(C435),ISNUMBER(D435)),IF(OR(C435&gt;=설정!$C$11,D435&gt;=설정!$C$12),"긴급",IF(OR(C435&gt;=설정!$C$9,D435&gt;=설정!$C$10,C435&lt;설정!$C$13),"주의","정상")),"확인필요")))</f>
        <v/>
      </c>
      <c r="J435" s="25" t="str">
        <f aca="false">IF(E435="","",IF(E435="-","측정불가",IF(NOT(ISNUMBER(E435)),"확인필요",IF(E435&lt;설정!$C$17,"긴급(저혈당)",IF(E435&gt;=설정!$C$18,"긴급(고혈당)",IF(F435="공복",IF(E435&gt;=설정!$C$15,"주의","정상"),IF(F435="식후",IF(E435&gt;=설정!$C$16,"주의","정상"),"조건확인")))))))</f>
        <v/>
      </c>
      <c r="K435" s="25" t="str">
        <f aca="false">IF(OR(I435="긴급",LEFT(J435,2)="긴급"),"★ 즉시 선생님 호출",IF(OR(I435="주의",J435="주의"),"결과상담에서 확인",IF(J435="조건확인","혈당조건(공복/식후) 선택","")))</f>
        <v/>
      </c>
      <c r="L435" s="25" t="str">
        <f aca="false">IF($B435="","",IF(COUNTIF($B$5:$B$1004,$B435)&gt;1,"중복 입력",""))</f>
        <v/>
      </c>
    </row>
    <row r="436" customFormat="false" ht="15" hidden="false" customHeight="false" outlineLevel="0" collapsed="false">
      <c r="A436" s="23"/>
      <c r="B436" s="24"/>
      <c r="C436" s="24"/>
      <c r="D436" s="24"/>
      <c r="E436" s="24"/>
      <c r="F436" s="24"/>
      <c r="G436" s="24"/>
      <c r="H436" s="25" t="str">
        <f aca="false">IF($B436="","",IFERROR(IF(INDEX(명단!$B$5:$B$404,MATCH($B436,명단!$A$5:$A$404,0))="","(이름 미입력)",INDEX(명단!$B$5:$B$404,MATCH($B436,명단!$A$5:$A$404,0))),"번호 없음"))</f>
        <v/>
      </c>
      <c r="I436" s="25" t="str">
        <f aca="false">IF(AND(C436="",D436=""),"",IF(OR(C436="-",D436="-"),"측정불가",IF(AND(ISNUMBER(C436),ISNUMBER(D436)),IF(OR(C436&gt;=설정!$C$11,D436&gt;=설정!$C$12),"긴급",IF(OR(C436&gt;=설정!$C$9,D436&gt;=설정!$C$10,C436&lt;설정!$C$13),"주의","정상")),"확인필요")))</f>
        <v/>
      </c>
      <c r="J436" s="25" t="str">
        <f aca="false">IF(E436="","",IF(E436="-","측정불가",IF(NOT(ISNUMBER(E436)),"확인필요",IF(E436&lt;설정!$C$17,"긴급(저혈당)",IF(E436&gt;=설정!$C$18,"긴급(고혈당)",IF(F436="공복",IF(E436&gt;=설정!$C$15,"주의","정상"),IF(F436="식후",IF(E436&gt;=설정!$C$16,"주의","정상"),"조건확인")))))))</f>
        <v/>
      </c>
      <c r="K436" s="25" t="str">
        <f aca="false">IF(OR(I436="긴급",LEFT(J436,2)="긴급"),"★ 즉시 선생님 호출",IF(OR(I436="주의",J436="주의"),"결과상담에서 확인",IF(J436="조건확인","혈당조건(공복/식후) 선택","")))</f>
        <v/>
      </c>
      <c r="L436" s="25" t="str">
        <f aca="false">IF($B436="","",IF(COUNTIF($B$5:$B$1004,$B436)&gt;1,"중복 입력",""))</f>
        <v/>
      </c>
    </row>
    <row r="437" customFormat="false" ht="15" hidden="false" customHeight="false" outlineLevel="0" collapsed="false">
      <c r="A437" s="23"/>
      <c r="B437" s="24"/>
      <c r="C437" s="24"/>
      <c r="D437" s="24"/>
      <c r="E437" s="24"/>
      <c r="F437" s="24"/>
      <c r="G437" s="24"/>
      <c r="H437" s="25" t="str">
        <f aca="false">IF($B437="","",IFERROR(IF(INDEX(명단!$B$5:$B$404,MATCH($B437,명단!$A$5:$A$404,0))="","(이름 미입력)",INDEX(명단!$B$5:$B$404,MATCH($B437,명단!$A$5:$A$404,0))),"번호 없음"))</f>
        <v/>
      </c>
      <c r="I437" s="25" t="str">
        <f aca="false">IF(AND(C437="",D437=""),"",IF(OR(C437="-",D437="-"),"측정불가",IF(AND(ISNUMBER(C437),ISNUMBER(D437)),IF(OR(C437&gt;=설정!$C$11,D437&gt;=설정!$C$12),"긴급",IF(OR(C437&gt;=설정!$C$9,D437&gt;=설정!$C$10,C437&lt;설정!$C$13),"주의","정상")),"확인필요")))</f>
        <v/>
      </c>
      <c r="J437" s="25" t="str">
        <f aca="false">IF(E437="","",IF(E437="-","측정불가",IF(NOT(ISNUMBER(E437)),"확인필요",IF(E437&lt;설정!$C$17,"긴급(저혈당)",IF(E437&gt;=설정!$C$18,"긴급(고혈당)",IF(F437="공복",IF(E437&gt;=설정!$C$15,"주의","정상"),IF(F437="식후",IF(E437&gt;=설정!$C$16,"주의","정상"),"조건확인")))))))</f>
        <v/>
      </c>
      <c r="K437" s="25" t="str">
        <f aca="false">IF(OR(I437="긴급",LEFT(J437,2)="긴급"),"★ 즉시 선생님 호출",IF(OR(I437="주의",J437="주의"),"결과상담에서 확인",IF(J437="조건확인","혈당조건(공복/식후) 선택","")))</f>
        <v/>
      </c>
      <c r="L437" s="25" t="str">
        <f aca="false">IF($B437="","",IF(COUNTIF($B$5:$B$1004,$B437)&gt;1,"중복 입력",""))</f>
        <v/>
      </c>
    </row>
    <row r="438" customFormat="false" ht="15" hidden="false" customHeight="false" outlineLevel="0" collapsed="false">
      <c r="A438" s="23"/>
      <c r="B438" s="24"/>
      <c r="C438" s="24"/>
      <c r="D438" s="24"/>
      <c r="E438" s="24"/>
      <c r="F438" s="24"/>
      <c r="G438" s="24"/>
      <c r="H438" s="25" t="str">
        <f aca="false">IF($B438="","",IFERROR(IF(INDEX(명단!$B$5:$B$404,MATCH($B438,명단!$A$5:$A$404,0))="","(이름 미입력)",INDEX(명단!$B$5:$B$404,MATCH($B438,명단!$A$5:$A$404,0))),"번호 없음"))</f>
        <v/>
      </c>
      <c r="I438" s="25" t="str">
        <f aca="false">IF(AND(C438="",D438=""),"",IF(OR(C438="-",D438="-"),"측정불가",IF(AND(ISNUMBER(C438),ISNUMBER(D438)),IF(OR(C438&gt;=설정!$C$11,D438&gt;=설정!$C$12),"긴급",IF(OR(C438&gt;=설정!$C$9,D438&gt;=설정!$C$10,C438&lt;설정!$C$13),"주의","정상")),"확인필요")))</f>
        <v/>
      </c>
      <c r="J438" s="25" t="str">
        <f aca="false">IF(E438="","",IF(E438="-","측정불가",IF(NOT(ISNUMBER(E438)),"확인필요",IF(E438&lt;설정!$C$17,"긴급(저혈당)",IF(E438&gt;=설정!$C$18,"긴급(고혈당)",IF(F438="공복",IF(E438&gt;=설정!$C$15,"주의","정상"),IF(F438="식후",IF(E438&gt;=설정!$C$16,"주의","정상"),"조건확인")))))))</f>
        <v/>
      </c>
      <c r="K438" s="25" t="str">
        <f aca="false">IF(OR(I438="긴급",LEFT(J438,2)="긴급"),"★ 즉시 선생님 호출",IF(OR(I438="주의",J438="주의"),"결과상담에서 확인",IF(J438="조건확인","혈당조건(공복/식후) 선택","")))</f>
        <v/>
      </c>
      <c r="L438" s="25" t="str">
        <f aca="false">IF($B438="","",IF(COUNTIF($B$5:$B$1004,$B438)&gt;1,"중복 입력",""))</f>
        <v/>
      </c>
    </row>
    <row r="439" customFormat="false" ht="15" hidden="false" customHeight="false" outlineLevel="0" collapsed="false">
      <c r="A439" s="23"/>
      <c r="B439" s="24"/>
      <c r="C439" s="24"/>
      <c r="D439" s="24"/>
      <c r="E439" s="24"/>
      <c r="F439" s="24"/>
      <c r="G439" s="24"/>
      <c r="H439" s="25" t="str">
        <f aca="false">IF($B439="","",IFERROR(IF(INDEX(명단!$B$5:$B$404,MATCH($B439,명단!$A$5:$A$404,0))="","(이름 미입력)",INDEX(명단!$B$5:$B$404,MATCH($B439,명단!$A$5:$A$404,0))),"번호 없음"))</f>
        <v/>
      </c>
      <c r="I439" s="25" t="str">
        <f aca="false">IF(AND(C439="",D439=""),"",IF(OR(C439="-",D439="-"),"측정불가",IF(AND(ISNUMBER(C439),ISNUMBER(D439)),IF(OR(C439&gt;=설정!$C$11,D439&gt;=설정!$C$12),"긴급",IF(OR(C439&gt;=설정!$C$9,D439&gt;=설정!$C$10,C439&lt;설정!$C$13),"주의","정상")),"확인필요")))</f>
        <v/>
      </c>
      <c r="J439" s="25" t="str">
        <f aca="false">IF(E439="","",IF(E439="-","측정불가",IF(NOT(ISNUMBER(E439)),"확인필요",IF(E439&lt;설정!$C$17,"긴급(저혈당)",IF(E439&gt;=설정!$C$18,"긴급(고혈당)",IF(F439="공복",IF(E439&gt;=설정!$C$15,"주의","정상"),IF(F439="식후",IF(E439&gt;=설정!$C$16,"주의","정상"),"조건확인")))))))</f>
        <v/>
      </c>
      <c r="K439" s="25" t="str">
        <f aca="false">IF(OR(I439="긴급",LEFT(J439,2)="긴급"),"★ 즉시 선생님 호출",IF(OR(I439="주의",J439="주의"),"결과상담에서 확인",IF(J439="조건확인","혈당조건(공복/식후) 선택","")))</f>
        <v/>
      </c>
      <c r="L439" s="25" t="str">
        <f aca="false">IF($B439="","",IF(COUNTIF($B$5:$B$1004,$B439)&gt;1,"중복 입력",""))</f>
        <v/>
      </c>
    </row>
    <row r="440" customFormat="false" ht="15" hidden="false" customHeight="false" outlineLevel="0" collapsed="false">
      <c r="A440" s="23"/>
      <c r="B440" s="24"/>
      <c r="C440" s="24"/>
      <c r="D440" s="24"/>
      <c r="E440" s="24"/>
      <c r="F440" s="24"/>
      <c r="G440" s="24"/>
      <c r="H440" s="25" t="str">
        <f aca="false">IF($B440="","",IFERROR(IF(INDEX(명단!$B$5:$B$404,MATCH($B440,명단!$A$5:$A$404,0))="","(이름 미입력)",INDEX(명단!$B$5:$B$404,MATCH($B440,명단!$A$5:$A$404,0))),"번호 없음"))</f>
        <v/>
      </c>
      <c r="I440" s="25" t="str">
        <f aca="false">IF(AND(C440="",D440=""),"",IF(OR(C440="-",D440="-"),"측정불가",IF(AND(ISNUMBER(C440),ISNUMBER(D440)),IF(OR(C440&gt;=설정!$C$11,D440&gt;=설정!$C$12),"긴급",IF(OR(C440&gt;=설정!$C$9,D440&gt;=설정!$C$10,C440&lt;설정!$C$13),"주의","정상")),"확인필요")))</f>
        <v/>
      </c>
      <c r="J440" s="25" t="str">
        <f aca="false">IF(E440="","",IF(E440="-","측정불가",IF(NOT(ISNUMBER(E440)),"확인필요",IF(E440&lt;설정!$C$17,"긴급(저혈당)",IF(E440&gt;=설정!$C$18,"긴급(고혈당)",IF(F440="공복",IF(E440&gt;=설정!$C$15,"주의","정상"),IF(F440="식후",IF(E440&gt;=설정!$C$16,"주의","정상"),"조건확인")))))))</f>
        <v/>
      </c>
      <c r="K440" s="25" t="str">
        <f aca="false">IF(OR(I440="긴급",LEFT(J440,2)="긴급"),"★ 즉시 선생님 호출",IF(OR(I440="주의",J440="주의"),"결과상담에서 확인",IF(J440="조건확인","혈당조건(공복/식후) 선택","")))</f>
        <v/>
      </c>
      <c r="L440" s="25" t="str">
        <f aca="false">IF($B440="","",IF(COUNTIF($B$5:$B$1004,$B440)&gt;1,"중복 입력",""))</f>
        <v/>
      </c>
    </row>
    <row r="441" customFormat="false" ht="15" hidden="false" customHeight="false" outlineLevel="0" collapsed="false">
      <c r="A441" s="23"/>
      <c r="B441" s="24"/>
      <c r="C441" s="24"/>
      <c r="D441" s="24"/>
      <c r="E441" s="24"/>
      <c r="F441" s="24"/>
      <c r="G441" s="24"/>
      <c r="H441" s="25" t="str">
        <f aca="false">IF($B441="","",IFERROR(IF(INDEX(명단!$B$5:$B$404,MATCH($B441,명단!$A$5:$A$404,0))="","(이름 미입력)",INDEX(명단!$B$5:$B$404,MATCH($B441,명단!$A$5:$A$404,0))),"번호 없음"))</f>
        <v/>
      </c>
      <c r="I441" s="25" t="str">
        <f aca="false">IF(AND(C441="",D441=""),"",IF(OR(C441="-",D441="-"),"측정불가",IF(AND(ISNUMBER(C441),ISNUMBER(D441)),IF(OR(C441&gt;=설정!$C$11,D441&gt;=설정!$C$12),"긴급",IF(OR(C441&gt;=설정!$C$9,D441&gt;=설정!$C$10,C441&lt;설정!$C$13),"주의","정상")),"확인필요")))</f>
        <v/>
      </c>
      <c r="J441" s="25" t="str">
        <f aca="false">IF(E441="","",IF(E441="-","측정불가",IF(NOT(ISNUMBER(E441)),"확인필요",IF(E441&lt;설정!$C$17,"긴급(저혈당)",IF(E441&gt;=설정!$C$18,"긴급(고혈당)",IF(F441="공복",IF(E441&gt;=설정!$C$15,"주의","정상"),IF(F441="식후",IF(E441&gt;=설정!$C$16,"주의","정상"),"조건확인")))))))</f>
        <v/>
      </c>
      <c r="K441" s="25" t="str">
        <f aca="false">IF(OR(I441="긴급",LEFT(J441,2)="긴급"),"★ 즉시 선생님 호출",IF(OR(I441="주의",J441="주의"),"결과상담에서 확인",IF(J441="조건확인","혈당조건(공복/식후) 선택","")))</f>
        <v/>
      </c>
      <c r="L441" s="25" t="str">
        <f aca="false">IF($B441="","",IF(COUNTIF($B$5:$B$1004,$B441)&gt;1,"중복 입력",""))</f>
        <v/>
      </c>
    </row>
    <row r="442" customFormat="false" ht="15" hidden="false" customHeight="false" outlineLevel="0" collapsed="false">
      <c r="A442" s="23"/>
      <c r="B442" s="24"/>
      <c r="C442" s="24"/>
      <c r="D442" s="24"/>
      <c r="E442" s="24"/>
      <c r="F442" s="24"/>
      <c r="G442" s="24"/>
      <c r="H442" s="25" t="str">
        <f aca="false">IF($B442="","",IFERROR(IF(INDEX(명단!$B$5:$B$404,MATCH($B442,명단!$A$5:$A$404,0))="","(이름 미입력)",INDEX(명단!$B$5:$B$404,MATCH($B442,명단!$A$5:$A$404,0))),"번호 없음"))</f>
        <v/>
      </c>
      <c r="I442" s="25" t="str">
        <f aca="false">IF(AND(C442="",D442=""),"",IF(OR(C442="-",D442="-"),"측정불가",IF(AND(ISNUMBER(C442),ISNUMBER(D442)),IF(OR(C442&gt;=설정!$C$11,D442&gt;=설정!$C$12),"긴급",IF(OR(C442&gt;=설정!$C$9,D442&gt;=설정!$C$10,C442&lt;설정!$C$13),"주의","정상")),"확인필요")))</f>
        <v/>
      </c>
      <c r="J442" s="25" t="str">
        <f aca="false">IF(E442="","",IF(E442="-","측정불가",IF(NOT(ISNUMBER(E442)),"확인필요",IF(E442&lt;설정!$C$17,"긴급(저혈당)",IF(E442&gt;=설정!$C$18,"긴급(고혈당)",IF(F442="공복",IF(E442&gt;=설정!$C$15,"주의","정상"),IF(F442="식후",IF(E442&gt;=설정!$C$16,"주의","정상"),"조건확인")))))))</f>
        <v/>
      </c>
      <c r="K442" s="25" t="str">
        <f aca="false">IF(OR(I442="긴급",LEFT(J442,2)="긴급"),"★ 즉시 선생님 호출",IF(OR(I442="주의",J442="주의"),"결과상담에서 확인",IF(J442="조건확인","혈당조건(공복/식후) 선택","")))</f>
        <v/>
      </c>
      <c r="L442" s="25" t="str">
        <f aca="false">IF($B442="","",IF(COUNTIF($B$5:$B$1004,$B442)&gt;1,"중복 입력",""))</f>
        <v/>
      </c>
    </row>
    <row r="443" customFormat="false" ht="15" hidden="false" customHeight="false" outlineLevel="0" collapsed="false">
      <c r="A443" s="23"/>
      <c r="B443" s="24"/>
      <c r="C443" s="24"/>
      <c r="D443" s="24"/>
      <c r="E443" s="24"/>
      <c r="F443" s="24"/>
      <c r="G443" s="24"/>
      <c r="H443" s="25" t="str">
        <f aca="false">IF($B443="","",IFERROR(IF(INDEX(명단!$B$5:$B$404,MATCH($B443,명단!$A$5:$A$404,0))="","(이름 미입력)",INDEX(명단!$B$5:$B$404,MATCH($B443,명단!$A$5:$A$404,0))),"번호 없음"))</f>
        <v/>
      </c>
      <c r="I443" s="25" t="str">
        <f aca="false">IF(AND(C443="",D443=""),"",IF(OR(C443="-",D443="-"),"측정불가",IF(AND(ISNUMBER(C443),ISNUMBER(D443)),IF(OR(C443&gt;=설정!$C$11,D443&gt;=설정!$C$12),"긴급",IF(OR(C443&gt;=설정!$C$9,D443&gt;=설정!$C$10,C443&lt;설정!$C$13),"주의","정상")),"확인필요")))</f>
        <v/>
      </c>
      <c r="J443" s="25" t="str">
        <f aca="false">IF(E443="","",IF(E443="-","측정불가",IF(NOT(ISNUMBER(E443)),"확인필요",IF(E443&lt;설정!$C$17,"긴급(저혈당)",IF(E443&gt;=설정!$C$18,"긴급(고혈당)",IF(F443="공복",IF(E443&gt;=설정!$C$15,"주의","정상"),IF(F443="식후",IF(E443&gt;=설정!$C$16,"주의","정상"),"조건확인")))))))</f>
        <v/>
      </c>
      <c r="K443" s="25" t="str">
        <f aca="false">IF(OR(I443="긴급",LEFT(J443,2)="긴급"),"★ 즉시 선생님 호출",IF(OR(I443="주의",J443="주의"),"결과상담에서 확인",IF(J443="조건확인","혈당조건(공복/식후) 선택","")))</f>
        <v/>
      </c>
      <c r="L443" s="25" t="str">
        <f aca="false">IF($B443="","",IF(COUNTIF($B$5:$B$1004,$B443)&gt;1,"중복 입력",""))</f>
        <v/>
      </c>
    </row>
    <row r="444" customFormat="false" ht="15" hidden="false" customHeight="false" outlineLevel="0" collapsed="false">
      <c r="A444" s="23"/>
      <c r="B444" s="24"/>
      <c r="C444" s="24"/>
      <c r="D444" s="24"/>
      <c r="E444" s="24"/>
      <c r="F444" s="24"/>
      <c r="G444" s="24"/>
      <c r="H444" s="25" t="str">
        <f aca="false">IF($B444="","",IFERROR(IF(INDEX(명단!$B$5:$B$404,MATCH($B444,명단!$A$5:$A$404,0))="","(이름 미입력)",INDEX(명단!$B$5:$B$404,MATCH($B444,명단!$A$5:$A$404,0))),"번호 없음"))</f>
        <v/>
      </c>
      <c r="I444" s="25" t="str">
        <f aca="false">IF(AND(C444="",D444=""),"",IF(OR(C444="-",D444="-"),"측정불가",IF(AND(ISNUMBER(C444),ISNUMBER(D444)),IF(OR(C444&gt;=설정!$C$11,D444&gt;=설정!$C$12),"긴급",IF(OR(C444&gt;=설정!$C$9,D444&gt;=설정!$C$10,C444&lt;설정!$C$13),"주의","정상")),"확인필요")))</f>
        <v/>
      </c>
      <c r="J444" s="25" t="str">
        <f aca="false">IF(E444="","",IF(E444="-","측정불가",IF(NOT(ISNUMBER(E444)),"확인필요",IF(E444&lt;설정!$C$17,"긴급(저혈당)",IF(E444&gt;=설정!$C$18,"긴급(고혈당)",IF(F444="공복",IF(E444&gt;=설정!$C$15,"주의","정상"),IF(F444="식후",IF(E444&gt;=설정!$C$16,"주의","정상"),"조건확인")))))))</f>
        <v/>
      </c>
      <c r="K444" s="25" t="str">
        <f aca="false">IF(OR(I444="긴급",LEFT(J444,2)="긴급"),"★ 즉시 선생님 호출",IF(OR(I444="주의",J444="주의"),"결과상담에서 확인",IF(J444="조건확인","혈당조건(공복/식후) 선택","")))</f>
        <v/>
      </c>
      <c r="L444" s="25" t="str">
        <f aca="false">IF($B444="","",IF(COUNTIF($B$5:$B$1004,$B444)&gt;1,"중복 입력",""))</f>
        <v/>
      </c>
    </row>
    <row r="445" customFormat="false" ht="15" hidden="false" customHeight="false" outlineLevel="0" collapsed="false">
      <c r="A445" s="23"/>
      <c r="B445" s="24"/>
      <c r="C445" s="24"/>
      <c r="D445" s="24"/>
      <c r="E445" s="24"/>
      <c r="F445" s="24"/>
      <c r="G445" s="24"/>
      <c r="H445" s="25" t="str">
        <f aca="false">IF($B445="","",IFERROR(IF(INDEX(명단!$B$5:$B$404,MATCH($B445,명단!$A$5:$A$404,0))="","(이름 미입력)",INDEX(명단!$B$5:$B$404,MATCH($B445,명단!$A$5:$A$404,0))),"번호 없음"))</f>
        <v/>
      </c>
      <c r="I445" s="25" t="str">
        <f aca="false">IF(AND(C445="",D445=""),"",IF(OR(C445="-",D445="-"),"측정불가",IF(AND(ISNUMBER(C445),ISNUMBER(D445)),IF(OR(C445&gt;=설정!$C$11,D445&gt;=설정!$C$12),"긴급",IF(OR(C445&gt;=설정!$C$9,D445&gt;=설정!$C$10,C445&lt;설정!$C$13),"주의","정상")),"확인필요")))</f>
        <v/>
      </c>
      <c r="J445" s="25" t="str">
        <f aca="false">IF(E445="","",IF(E445="-","측정불가",IF(NOT(ISNUMBER(E445)),"확인필요",IF(E445&lt;설정!$C$17,"긴급(저혈당)",IF(E445&gt;=설정!$C$18,"긴급(고혈당)",IF(F445="공복",IF(E445&gt;=설정!$C$15,"주의","정상"),IF(F445="식후",IF(E445&gt;=설정!$C$16,"주의","정상"),"조건확인")))))))</f>
        <v/>
      </c>
      <c r="K445" s="25" t="str">
        <f aca="false">IF(OR(I445="긴급",LEFT(J445,2)="긴급"),"★ 즉시 선생님 호출",IF(OR(I445="주의",J445="주의"),"결과상담에서 확인",IF(J445="조건확인","혈당조건(공복/식후) 선택","")))</f>
        <v/>
      </c>
      <c r="L445" s="25" t="str">
        <f aca="false">IF($B445="","",IF(COUNTIF($B$5:$B$1004,$B445)&gt;1,"중복 입력",""))</f>
        <v/>
      </c>
    </row>
    <row r="446" customFormat="false" ht="15" hidden="false" customHeight="false" outlineLevel="0" collapsed="false">
      <c r="A446" s="23"/>
      <c r="B446" s="24"/>
      <c r="C446" s="24"/>
      <c r="D446" s="24"/>
      <c r="E446" s="24"/>
      <c r="F446" s="24"/>
      <c r="G446" s="24"/>
      <c r="H446" s="25" t="str">
        <f aca="false">IF($B446="","",IFERROR(IF(INDEX(명단!$B$5:$B$404,MATCH($B446,명단!$A$5:$A$404,0))="","(이름 미입력)",INDEX(명단!$B$5:$B$404,MATCH($B446,명단!$A$5:$A$404,0))),"번호 없음"))</f>
        <v/>
      </c>
      <c r="I446" s="25" t="str">
        <f aca="false">IF(AND(C446="",D446=""),"",IF(OR(C446="-",D446="-"),"측정불가",IF(AND(ISNUMBER(C446),ISNUMBER(D446)),IF(OR(C446&gt;=설정!$C$11,D446&gt;=설정!$C$12),"긴급",IF(OR(C446&gt;=설정!$C$9,D446&gt;=설정!$C$10,C446&lt;설정!$C$13),"주의","정상")),"확인필요")))</f>
        <v/>
      </c>
      <c r="J446" s="25" t="str">
        <f aca="false">IF(E446="","",IF(E446="-","측정불가",IF(NOT(ISNUMBER(E446)),"확인필요",IF(E446&lt;설정!$C$17,"긴급(저혈당)",IF(E446&gt;=설정!$C$18,"긴급(고혈당)",IF(F446="공복",IF(E446&gt;=설정!$C$15,"주의","정상"),IF(F446="식후",IF(E446&gt;=설정!$C$16,"주의","정상"),"조건확인")))))))</f>
        <v/>
      </c>
      <c r="K446" s="25" t="str">
        <f aca="false">IF(OR(I446="긴급",LEFT(J446,2)="긴급"),"★ 즉시 선생님 호출",IF(OR(I446="주의",J446="주의"),"결과상담에서 확인",IF(J446="조건확인","혈당조건(공복/식후) 선택","")))</f>
        <v/>
      </c>
      <c r="L446" s="25" t="str">
        <f aca="false">IF($B446="","",IF(COUNTIF($B$5:$B$1004,$B446)&gt;1,"중복 입력",""))</f>
        <v/>
      </c>
    </row>
    <row r="447" customFormat="false" ht="15" hidden="false" customHeight="false" outlineLevel="0" collapsed="false">
      <c r="A447" s="23"/>
      <c r="B447" s="24"/>
      <c r="C447" s="24"/>
      <c r="D447" s="24"/>
      <c r="E447" s="24"/>
      <c r="F447" s="24"/>
      <c r="G447" s="24"/>
      <c r="H447" s="25" t="str">
        <f aca="false">IF($B447="","",IFERROR(IF(INDEX(명단!$B$5:$B$404,MATCH($B447,명단!$A$5:$A$404,0))="","(이름 미입력)",INDEX(명단!$B$5:$B$404,MATCH($B447,명단!$A$5:$A$404,0))),"번호 없음"))</f>
        <v/>
      </c>
      <c r="I447" s="25" t="str">
        <f aca="false">IF(AND(C447="",D447=""),"",IF(OR(C447="-",D447="-"),"측정불가",IF(AND(ISNUMBER(C447),ISNUMBER(D447)),IF(OR(C447&gt;=설정!$C$11,D447&gt;=설정!$C$12),"긴급",IF(OR(C447&gt;=설정!$C$9,D447&gt;=설정!$C$10,C447&lt;설정!$C$13),"주의","정상")),"확인필요")))</f>
        <v/>
      </c>
      <c r="J447" s="25" t="str">
        <f aca="false">IF(E447="","",IF(E447="-","측정불가",IF(NOT(ISNUMBER(E447)),"확인필요",IF(E447&lt;설정!$C$17,"긴급(저혈당)",IF(E447&gt;=설정!$C$18,"긴급(고혈당)",IF(F447="공복",IF(E447&gt;=설정!$C$15,"주의","정상"),IF(F447="식후",IF(E447&gt;=설정!$C$16,"주의","정상"),"조건확인")))))))</f>
        <v/>
      </c>
      <c r="K447" s="25" t="str">
        <f aca="false">IF(OR(I447="긴급",LEFT(J447,2)="긴급"),"★ 즉시 선생님 호출",IF(OR(I447="주의",J447="주의"),"결과상담에서 확인",IF(J447="조건확인","혈당조건(공복/식후) 선택","")))</f>
        <v/>
      </c>
      <c r="L447" s="25" t="str">
        <f aca="false">IF($B447="","",IF(COUNTIF($B$5:$B$1004,$B447)&gt;1,"중복 입력",""))</f>
        <v/>
      </c>
    </row>
    <row r="448" customFormat="false" ht="15" hidden="false" customHeight="false" outlineLevel="0" collapsed="false">
      <c r="A448" s="23"/>
      <c r="B448" s="24"/>
      <c r="C448" s="24"/>
      <c r="D448" s="24"/>
      <c r="E448" s="24"/>
      <c r="F448" s="24"/>
      <c r="G448" s="24"/>
      <c r="H448" s="25" t="str">
        <f aca="false">IF($B448="","",IFERROR(IF(INDEX(명단!$B$5:$B$404,MATCH($B448,명단!$A$5:$A$404,0))="","(이름 미입력)",INDEX(명단!$B$5:$B$404,MATCH($B448,명단!$A$5:$A$404,0))),"번호 없음"))</f>
        <v/>
      </c>
      <c r="I448" s="25" t="str">
        <f aca="false">IF(AND(C448="",D448=""),"",IF(OR(C448="-",D448="-"),"측정불가",IF(AND(ISNUMBER(C448),ISNUMBER(D448)),IF(OR(C448&gt;=설정!$C$11,D448&gt;=설정!$C$12),"긴급",IF(OR(C448&gt;=설정!$C$9,D448&gt;=설정!$C$10,C448&lt;설정!$C$13),"주의","정상")),"확인필요")))</f>
        <v/>
      </c>
      <c r="J448" s="25" t="str">
        <f aca="false">IF(E448="","",IF(E448="-","측정불가",IF(NOT(ISNUMBER(E448)),"확인필요",IF(E448&lt;설정!$C$17,"긴급(저혈당)",IF(E448&gt;=설정!$C$18,"긴급(고혈당)",IF(F448="공복",IF(E448&gt;=설정!$C$15,"주의","정상"),IF(F448="식후",IF(E448&gt;=설정!$C$16,"주의","정상"),"조건확인")))))))</f>
        <v/>
      </c>
      <c r="K448" s="25" t="str">
        <f aca="false">IF(OR(I448="긴급",LEFT(J448,2)="긴급"),"★ 즉시 선생님 호출",IF(OR(I448="주의",J448="주의"),"결과상담에서 확인",IF(J448="조건확인","혈당조건(공복/식후) 선택","")))</f>
        <v/>
      </c>
      <c r="L448" s="25" t="str">
        <f aca="false">IF($B448="","",IF(COUNTIF($B$5:$B$1004,$B448)&gt;1,"중복 입력",""))</f>
        <v/>
      </c>
    </row>
    <row r="449" customFormat="false" ht="15" hidden="false" customHeight="false" outlineLevel="0" collapsed="false">
      <c r="A449" s="23"/>
      <c r="B449" s="24"/>
      <c r="C449" s="24"/>
      <c r="D449" s="24"/>
      <c r="E449" s="24"/>
      <c r="F449" s="24"/>
      <c r="G449" s="24"/>
      <c r="H449" s="25" t="str">
        <f aca="false">IF($B449="","",IFERROR(IF(INDEX(명단!$B$5:$B$404,MATCH($B449,명단!$A$5:$A$404,0))="","(이름 미입력)",INDEX(명단!$B$5:$B$404,MATCH($B449,명단!$A$5:$A$404,0))),"번호 없음"))</f>
        <v/>
      </c>
      <c r="I449" s="25" t="str">
        <f aca="false">IF(AND(C449="",D449=""),"",IF(OR(C449="-",D449="-"),"측정불가",IF(AND(ISNUMBER(C449),ISNUMBER(D449)),IF(OR(C449&gt;=설정!$C$11,D449&gt;=설정!$C$12),"긴급",IF(OR(C449&gt;=설정!$C$9,D449&gt;=설정!$C$10,C449&lt;설정!$C$13),"주의","정상")),"확인필요")))</f>
        <v/>
      </c>
      <c r="J449" s="25" t="str">
        <f aca="false">IF(E449="","",IF(E449="-","측정불가",IF(NOT(ISNUMBER(E449)),"확인필요",IF(E449&lt;설정!$C$17,"긴급(저혈당)",IF(E449&gt;=설정!$C$18,"긴급(고혈당)",IF(F449="공복",IF(E449&gt;=설정!$C$15,"주의","정상"),IF(F449="식후",IF(E449&gt;=설정!$C$16,"주의","정상"),"조건확인")))))))</f>
        <v/>
      </c>
      <c r="K449" s="25" t="str">
        <f aca="false">IF(OR(I449="긴급",LEFT(J449,2)="긴급"),"★ 즉시 선생님 호출",IF(OR(I449="주의",J449="주의"),"결과상담에서 확인",IF(J449="조건확인","혈당조건(공복/식후) 선택","")))</f>
        <v/>
      </c>
      <c r="L449" s="25" t="str">
        <f aca="false">IF($B449="","",IF(COUNTIF($B$5:$B$1004,$B449)&gt;1,"중복 입력",""))</f>
        <v/>
      </c>
    </row>
    <row r="450" customFormat="false" ht="15" hidden="false" customHeight="false" outlineLevel="0" collapsed="false">
      <c r="A450" s="23"/>
      <c r="B450" s="24"/>
      <c r="C450" s="24"/>
      <c r="D450" s="24"/>
      <c r="E450" s="24"/>
      <c r="F450" s="24"/>
      <c r="G450" s="24"/>
      <c r="H450" s="25" t="str">
        <f aca="false">IF($B450="","",IFERROR(IF(INDEX(명단!$B$5:$B$404,MATCH($B450,명단!$A$5:$A$404,0))="","(이름 미입력)",INDEX(명단!$B$5:$B$404,MATCH($B450,명단!$A$5:$A$404,0))),"번호 없음"))</f>
        <v/>
      </c>
      <c r="I450" s="25" t="str">
        <f aca="false">IF(AND(C450="",D450=""),"",IF(OR(C450="-",D450="-"),"측정불가",IF(AND(ISNUMBER(C450),ISNUMBER(D450)),IF(OR(C450&gt;=설정!$C$11,D450&gt;=설정!$C$12),"긴급",IF(OR(C450&gt;=설정!$C$9,D450&gt;=설정!$C$10,C450&lt;설정!$C$13),"주의","정상")),"확인필요")))</f>
        <v/>
      </c>
      <c r="J450" s="25" t="str">
        <f aca="false">IF(E450="","",IF(E450="-","측정불가",IF(NOT(ISNUMBER(E450)),"확인필요",IF(E450&lt;설정!$C$17,"긴급(저혈당)",IF(E450&gt;=설정!$C$18,"긴급(고혈당)",IF(F450="공복",IF(E450&gt;=설정!$C$15,"주의","정상"),IF(F450="식후",IF(E450&gt;=설정!$C$16,"주의","정상"),"조건확인")))))))</f>
        <v/>
      </c>
      <c r="K450" s="25" t="str">
        <f aca="false">IF(OR(I450="긴급",LEFT(J450,2)="긴급"),"★ 즉시 선생님 호출",IF(OR(I450="주의",J450="주의"),"결과상담에서 확인",IF(J450="조건확인","혈당조건(공복/식후) 선택","")))</f>
        <v/>
      </c>
      <c r="L450" s="25" t="str">
        <f aca="false">IF($B450="","",IF(COUNTIF($B$5:$B$1004,$B450)&gt;1,"중복 입력",""))</f>
        <v/>
      </c>
    </row>
    <row r="451" customFormat="false" ht="15" hidden="false" customHeight="false" outlineLevel="0" collapsed="false">
      <c r="A451" s="23"/>
      <c r="B451" s="24"/>
      <c r="C451" s="24"/>
      <c r="D451" s="24"/>
      <c r="E451" s="24"/>
      <c r="F451" s="24"/>
      <c r="G451" s="24"/>
      <c r="H451" s="25" t="str">
        <f aca="false">IF($B451="","",IFERROR(IF(INDEX(명단!$B$5:$B$404,MATCH($B451,명단!$A$5:$A$404,0))="","(이름 미입력)",INDEX(명단!$B$5:$B$404,MATCH($B451,명단!$A$5:$A$404,0))),"번호 없음"))</f>
        <v/>
      </c>
      <c r="I451" s="25" t="str">
        <f aca="false">IF(AND(C451="",D451=""),"",IF(OR(C451="-",D451="-"),"측정불가",IF(AND(ISNUMBER(C451),ISNUMBER(D451)),IF(OR(C451&gt;=설정!$C$11,D451&gt;=설정!$C$12),"긴급",IF(OR(C451&gt;=설정!$C$9,D451&gt;=설정!$C$10,C451&lt;설정!$C$13),"주의","정상")),"확인필요")))</f>
        <v/>
      </c>
      <c r="J451" s="25" t="str">
        <f aca="false">IF(E451="","",IF(E451="-","측정불가",IF(NOT(ISNUMBER(E451)),"확인필요",IF(E451&lt;설정!$C$17,"긴급(저혈당)",IF(E451&gt;=설정!$C$18,"긴급(고혈당)",IF(F451="공복",IF(E451&gt;=설정!$C$15,"주의","정상"),IF(F451="식후",IF(E451&gt;=설정!$C$16,"주의","정상"),"조건확인")))))))</f>
        <v/>
      </c>
      <c r="K451" s="25" t="str">
        <f aca="false">IF(OR(I451="긴급",LEFT(J451,2)="긴급"),"★ 즉시 선생님 호출",IF(OR(I451="주의",J451="주의"),"결과상담에서 확인",IF(J451="조건확인","혈당조건(공복/식후) 선택","")))</f>
        <v/>
      </c>
      <c r="L451" s="25" t="str">
        <f aca="false">IF($B451="","",IF(COUNTIF($B$5:$B$1004,$B451)&gt;1,"중복 입력",""))</f>
        <v/>
      </c>
    </row>
    <row r="452" customFormat="false" ht="15" hidden="false" customHeight="false" outlineLevel="0" collapsed="false">
      <c r="A452" s="23"/>
      <c r="B452" s="24"/>
      <c r="C452" s="24"/>
      <c r="D452" s="24"/>
      <c r="E452" s="24"/>
      <c r="F452" s="24"/>
      <c r="G452" s="24"/>
      <c r="H452" s="25" t="str">
        <f aca="false">IF($B452="","",IFERROR(IF(INDEX(명단!$B$5:$B$404,MATCH($B452,명단!$A$5:$A$404,0))="","(이름 미입력)",INDEX(명단!$B$5:$B$404,MATCH($B452,명단!$A$5:$A$404,0))),"번호 없음"))</f>
        <v/>
      </c>
      <c r="I452" s="25" t="str">
        <f aca="false">IF(AND(C452="",D452=""),"",IF(OR(C452="-",D452="-"),"측정불가",IF(AND(ISNUMBER(C452),ISNUMBER(D452)),IF(OR(C452&gt;=설정!$C$11,D452&gt;=설정!$C$12),"긴급",IF(OR(C452&gt;=설정!$C$9,D452&gt;=설정!$C$10,C452&lt;설정!$C$13),"주의","정상")),"확인필요")))</f>
        <v/>
      </c>
      <c r="J452" s="25" t="str">
        <f aca="false">IF(E452="","",IF(E452="-","측정불가",IF(NOT(ISNUMBER(E452)),"확인필요",IF(E452&lt;설정!$C$17,"긴급(저혈당)",IF(E452&gt;=설정!$C$18,"긴급(고혈당)",IF(F452="공복",IF(E452&gt;=설정!$C$15,"주의","정상"),IF(F452="식후",IF(E452&gt;=설정!$C$16,"주의","정상"),"조건확인")))))))</f>
        <v/>
      </c>
      <c r="K452" s="25" t="str">
        <f aca="false">IF(OR(I452="긴급",LEFT(J452,2)="긴급"),"★ 즉시 선생님 호출",IF(OR(I452="주의",J452="주의"),"결과상담에서 확인",IF(J452="조건확인","혈당조건(공복/식후) 선택","")))</f>
        <v/>
      </c>
      <c r="L452" s="25" t="str">
        <f aca="false">IF($B452="","",IF(COUNTIF($B$5:$B$1004,$B452)&gt;1,"중복 입력",""))</f>
        <v/>
      </c>
    </row>
    <row r="453" customFormat="false" ht="15" hidden="false" customHeight="false" outlineLevel="0" collapsed="false">
      <c r="A453" s="23"/>
      <c r="B453" s="24"/>
      <c r="C453" s="24"/>
      <c r="D453" s="24"/>
      <c r="E453" s="24"/>
      <c r="F453" s="24"/>
      <c r="G453" s="24"/>
      <c r="H453" s="25" t="str">
        <f aca="false">IF($B453="","",IFERROR(IF(INDEX(명단!$B$5:$B$404,MATCH($B453,명단!$A$5:$A$404,0))="","(이름 미입력)",INDEX(명단!$B$5:$B$404,MATCH($B453,명단!$A$5:$A$404,0))),"번호 없음"))</f>
        <v/>
      </c>
      <c r="I453" s="25" t="str">
        <f aca="false">IF(AND(C453="",D453=""),"",IF(OR(C453="-",D453="-"),"측정불가",IF(AND(ISNUMBER(C453),ISNUMBER(D453)),IF(OR(C453&gt;=설정!$C$11,D453&gt;=설정!$C$12),"긴급",IF(OR(C453&gt;=설정!$C$9,D453&gt;=설정!$C$10,C453&lt;설정!$C$13),"주의","정상")),"확인필요")))</f>
        <v/>
      </c>
      <c r="J453" s="25" t="str">
        <f aca="false">IF(E453="","",IF(E453="-","측정불가",IF(NOT(ISNUMBER(E453)),"확인필요",IF(E453&lt;설정!$C$17,"긴급(저혈당)",IF(E453&gt;=설정!$C$18,"긴급(고혈당)",IF(F453="공복",IF(E453&gt;=설정!$C$15,"주의","정상"),IF(F453="식후",IF(E453&gt;=설정!$C$16,"주의","정상"),"조건확인")))))))</f>
        <v/>
      </c>
      <c r="K453" s="25" t="str">
        <f aca="false">IF(OR(I453="긴급",LEFT(J453,2)="긴급"),"★ 즉시 선생님 호출",IF(OR(I453="주의",J453="주의"),"결과상담에서 확인",IF(J453="조건확인","혈당조건(공복/식후) 선택","")))</f>
        <v/>
      </c>
      <c r="L453" s="25" t="str">
        <f aca="false">IF($B453="","",IF(COUNTIF($B$5:$B$1004,$B453)&gt;1,"중복 입력",""))</f>
        <v/>
      </c>
    </row>
    <row r="454" customFormat="false" ht="15" hidden="false" customHeight="false" outlineLevel="0" collapsed="false">
      <c r="A454" s="23"/>
      <c r="B454" s="24"/>
      <c r="C454" s="24"/>
      <c r="D454" s="24"/>
      <c r="E454" s="24"/>
      <c r="F454" s="24"/>
      <c r="G454" s="24"/>
      <c r="H454" s="25" t="str">
        <f aca="false">IF($B454="","",IFERROR(IF(INDEX(명단!$B$5:$B$404,MATCH($B454,명단!$A$5:$A$404,0))="","(이름 미입력)",INDEX(명단!$B$5:$B$404,MATCH($B454,명단!$A$5:$A$404,0))),"번호 없음"))</f>
        <v/>
      </c>
      <c r="I454" s="25" t="str">
        <f aca="false">IF(AND(C454="",D454=""),"",IF(OR(C454="-",D454="-"),"측정불가",IF(AND(ISNUMBER(C454),ISNUMBER(D454)),IF(OR(C454&gt;=설정!$C$11,D454&gt;=설정!$C$12),"긴급",IF(OR(C454&gt;=설정!$C$9,D454&gt;=설정!$C$10,C454&lt;설정!$C$13),"주의","정상")),"확인필요")))</f>
        <v/>
      </c>
      <c r="J454" s="25" t="str">
        <f aca="false">IF(E454="","",IF(E454="-","측정불가",IF(NOT(ISNUMBER(E454)),"확인필요",IF(E454&lt;설정!$C$17,"긴급(저혈당)",IF(E454&gt;=설정!$C$18,"긴급(고혈당)",IF(F454="공복",IF(E454&gt;=설정!$C$15,"주의","정상"),IF(F454="식후",IF(E454&gt;=설정!$C$16,"주의","정상"),"조건확인")))))))</f>
        <v/>
      </c>
      <c r="K454" s="25" t="str">
        <f aca="false">IF(OR(I454="긴급",LEFT(J454,2)="긴급"),"★ 즉시 선생님 호출",IF(OR(I454="주의",J454="주의"),"결과상담에서 확인",IF(J454="조건확인","혈당조건(공복/식후) 선택","")))</f>
        <v/>
      </c>
      <c r="L454" s="25" t="str">
        <f aca="false">IF($B454="","",IF(COUNTIF($B$5:$B$1004,$B454)&gt;1,"중복 입력",""))</f>
        <v/>
      </c>
    </row>
    <row r="455" customFormat="false" ht="15" hidden="false" customHeight="false" outlineLevel="0" collapsed="false">
      <c r="A455" s="23"/>
      <c r="B455" s="24"/>
      <c r="C455" s="24"/>
      <c r="D455" s="24"/>
      <c r="E455" s="24"/>
      <c r="F455" s="24"/>
      <c r="G455" s="24"/>
      <c r="H455" s="25" t="str">
        <f aca="false">IF($B455="","",IFERROR(IF(INDEX(명단!$B$5:$B$404,MATCH($B455,명단!$A$5:$A$404,0))="","(이름 미입력)",INDEX(명단!$B$5:$B$404,MATCH($B455,명단!$A$5:$A$404,0))),"번호 없음"))</f>
        <v/>
      </c>
      <c r="I455" s="25" t="str">
        <f aca="false">IF(AND(C455="",D455=""),"",IF(OR(C455="-",D455="-"),"측정불가",IF(AND(ISNUMBER(C455),ISNUMBER(D455)),IF(OR(C455&gt;=설정!$C$11,D455&gt;=설정!$C$12),"긴급",IF(OR(C455&gt;=설정!$C$9,D455&gt;=설정!$C$10,C455&lt;설정!$C$13),"주의","정상")),"확인필요")))</f>
        <v/>
      </c>
      <c r="J455" s="25" t="str">
        <f aca="false">IF(E455="","",IF(E455="-","측정불가",IF(NOT(ISNUMBER(E455)),"확인필요",IF(E455&lt;설정!$C$17,"긴급(저혈당)",IF(E455&gt;=설정!$C$18,"긴급(고혈당)",IF(F455="공복",IF(E455&gt;=설정!$C$15,"주의","정상"),IF(F455="식후",IF(E455&gt;=설정!$C$16,"주의","정상"),"조건확인")))))))</f>
        <v/>
      </c>
      <c r="K455" s="25" t="str">
        <f aca="false">IF(OR(I455="긴급",LEFT(J455,2)="긴급"),"★ 즉시 선생님 호출",IF(OR(I455="주의",J455="주의"),"결과상담에서 확인",IF(J455="조건확인","혈당조건(공복/식후) 선택","")))</f>
        <v/>
      </c>
      <c r="L455" s="25" t="str">
        <f aca="false">IF($B455="","",IF(COUNTIF($B$5:$B$1004,$B455)&gt;1,"중복 입력",""))</f>
        <v/>
      </c>
    </row>
    <row r="456" customFormat="false" ht="15" hidden="false" customHeight="false" outlineLevel="0" collapsed="false">
      <c r="A456" s="23"/>
      <c r="B456" s="24"/>
      <c r="C456" s="24"/>
      <c r="D456" s="24"/>
      <c r="E456" s="24"/>
      <c r="F456" s="24"/>
      <c r="G456" s="24"/>
      <c r="H456" s="25" t="str">
        <f aca="false">IF($B456="","",IFERROR(IF(INDEX(명단!$B$5:$B$404,MATCH($B456,명단!$A$5:$A$404,0))="","(이름 미입력)",INDEX(명단!$B$5:$B$404,MATCH($B456,명단!$A$5:$A$404,0))),"번호 없음"))</f>
        <v/>
      </c>
      <c r="I456" s="25" t="str">
        <f aca="false">IF(AND(C456="",D456=""),"",IF(OR(C456="-",D456="-"),"측정불가",IF(AND(ISNUMBER(C456),ISNUMBER(D456)),IF(OR(C456&gt;=설정!$C$11,D456&gt;=설정!$C$12),"긴급",IF(OR(C456&gt;=설정!$C$9,D456&gt;=설정!$C$10,C456&lt;설정!$C$13),"주의","정상")),"확인필요")))</f>
        <v/>
      </c>
      <c r="J456" s="25" t="str">
        <f aca="false">IF(E456="","",IF(E456="-","측정불가",IF(NOT(ISNUMBER(E456)),"확인필요",IF(E456&lt;설정!$C$17,"긴급(저혈당)",IF(E456&gt;=설정!$C$18,"긴급(고혈당)",IF(F456="공복",IF(E456&gt;=설정!$C$15,"주의","정상"),IF(F456="식후",IF(E456&gt;=설정!$C$16,"주의","정상"),"조건확인")))))))</f>
        <v/>
      </c>
      <c r="K456" s="25" t="str">
        <f aca="false">IF(OR(I456="긴급",LEFT(J456,2)="긴급"),"★ 즉시 선생님 호출",IF(OR(I456="주의",J456="주의"),"결과상담에서 확인",IF(J456="조건확인","혈당조건(공복/식후) 선택","")))</f>
        <v/>
      </c>
      <c r="L456" s="25" t="str">
        <f aca="false">IF($B456="","",IF(COUNTIF($B$5:$B$1004,$B456)&gt;1,"중복 입력",""))</f>
        <v/>
      </c>
    </row>
    <row r="457" customFormat="false" ht="15" hidden="false" customHeight="false" outlineLevel="0" collapsed="false">
      <c r="A457" s="23"/>
      <c r="B457" s="24"/>
      <c r="C457" s="24"/>
      <c r="D457" s="24"/>
      <c r="E457" s="24"/>
      <c r="F457" s="24"/>
      <c r="G457" s="24"/>
      <c r="H457" s="25" t="str">
        <f aca="false">IF($B457="","",IFERROR(IF(INDEX(명단!$B$5:$B$404,MATCH($B457,명단!$A$5:$A$404,0))="","(이름 미입력)",INDEX(명단!$B$5:$B$404,MATCH($B457,명단!$A$5:$A$404,0))),"번호 없음"))</f>
        <v/>
      </c>
      <c r="I457" s="25" t="str">
        <f aca="false">IF(AND(C457="",D457=""),"",IF(OR(C457="-",D457="-"),"측정불가",IF(AND(ISNUMBER(C457),ISNUMBER(D457)),IF(OR(C457&gt;=설정!$C$11,D457&gt;=설정!$C$12),"긴급",IF(OR(C457&gt;=설정!$C$9,D457&gt;=설정!$C$10,C457&lt;설정!$C$13),"주의","정상")),"확인필요")))</f>
        <v/>
      </c>
      <c r="J457" s="25" t="str">
        <f aca="false">IF(E457="","",IF(E457="-","측정불가",IF(NOT(ISNUMBER(E457)),"확인필요",IF(E457&lt;설정!$C$17,"긴급(저혈당)",IF(E457&gt;=설정!$C$18,"긴급(고혈당)",IF(F457="공복",IF(E457&gt;=설정!$C$15,"주의","정상"),IF(F457="식후",IF(E457&gt;=설정!$C$16,"주의","정상"),"조건확인")))))))</f>
        <v/>
      </c>
      <c r="K457" s="25" t="str">
        <f aca="false">IF(OR(I457="긴급",LEFT(J457,2)="긴급"),"★ 즉시 선생님 호출",IF(OR(I457="주의",J457="주의"),"결과상담에서 확인",IF(J457="조건확인","혈당조건(공복/식후) 선택","")))</f>
        <v/>
      </c>
      <c r="L457" s="25" t="str">
        <f aca="false">IF($B457="","",IF(COUNTIF($B$5:$B$1004,$B457)&gt;1,"중복 입력",""))</f>
        <v/>
      </c>
    </row>
    <row r="458" customFormat="false" ht="15" hidden="false" customHeight="false" outlineLevel="0" collapsed="false">
      <c r="A458" s="23"/>
      <c r="B458" s="24"/>
      <c r="C458" s="24"/>
      <c r="D458" s="24"/>
      <c r="E458" s="24"/>
      <c r="F458" s="24"/>
      <c r="G458" s="24"/>
      <c r="H458" s="25" t="str">
        <f aca="false">IF($B458="","",IFERROR(IF(INDEX(명단!$B$5:$B$404,MATCH($B458,명단!$A$5:$A$404,0))="","(이름 미입력)",INDEX(명단!$B$5:$B$404,MATCH($B458,명단!$A$5:$A$404,0))),"번호 없음"))</f>
        <v/>
      </c>
      <c r="I458" s="25" t="str">
        <f aca="false">IF(AND(C458="",D458=""),"",IF(OR(C458="-",D458="-"),"측정불가",IF(AND(ISNUMBER(C458),ISNUMBER(D458)),IF(OR(C458&gt;=설정!$C$11,D458&gt;=설정!$C$12),"긴급",IF(OR(C458&gt;=설정!$C$9,D458&gt;=설정!$C$10,C458&lt;설정!$C$13),"주의","정상")),"확인필요")))</f>
        <v/>
      </c>
      <c r="J458" s="25" t="str">
        <f aca="false">IF(E458="","",IF(E458="-","측정불가",IF(NOT(ISNUMBER(E458)),"확인필요",IF(E458&lt;설정!$C$17,"긴급(저혈당)",IF(E458&gt;=설정!$C$18,"긴급(고혈당)",IF(F458="공복",IF(E458&gt;=설정!$C$15,"주의","정상"),IF(F458="식후",IF(E458&gt;=설정!$C$16,"주의","정상"),"조건확인")))))))</f>
        <v/>
      </c>
      <c r="K458" s="25" t="str">
        <f aca="false">IF(OR(I458="긴급",LEFT(J458,2)="긴급"),"★ 즉시 선생님 호출",IF(OR(I458="주의",J458="주의"),"결과상담에서 확인",IF(J458="조건확인","혈당조건(공복/식후) 선택","")))</f>
        <v/>
      </c>
      <c r="L458" s="25" t="str">
        <f aca="false">IF($B458="","",IF(COUNTIF($B$5:$B$1004,$B458)&gt;1,"중복 입력",""))</f>
        <v/>
      </c>
    </row>
    <row r="459" customFormat="false" ht="15" hidden="false" customHeight="false" outlineLevel="0" collapsed="false">
      <c r="A459" s="23"/>
      <c r="B459" s="24"/>
      <c r="C459" s="24"/>
      <c r="D459" s="24"/>
      <c r="E459" s="24"/>
      <c r="F459" s="24"/>
      <c r="G459" s="24"/>
      <c r="H459" s="25" t="str">
        <f aca="false">IF($B459="","",IFERROR(IF(INDEX(명단!$B$5:$B$404,MATCH($B459,명단!$A$5:$A$404,0))="","(이름 미입력)",INDEX(명단!$B$5:$B$404,MATCH($B459,명단!$A$5:$A$404,0))),"번호 없음"))</f>
        <v/>
      </c>
      <c r="I459" s="25" t="str">
        <f aca="false">IF(AND(C459="",D459=""),"",IF(OR(C459="-",D459="-"),"측정불가",IF(AND(ISNUMBER(C459),ISNUMBER(D459)),IF(OR(C459&gt;=설정!$C$11,D459&gt;=설정!$C$12),"긴급",IF(OR(C459&gt;=설정!$C$9,D459&gt;=설정!$C$10,C459&lt;설정!$C$13),"주의","정상")),"확인필요")))</f>
        <v/>
      </c>
      <c r="J459" s="25" t="str">
        <f aca="false">IF(E459="","",IF(E459="-","측정불가",IF(NOT(ISNUMBER(E459)),"확인필요",IF(E459&lt;설정!$C$17,"긴급(저혈당)",IF(E459&gt;=설정!$C$18,"긴급(고혈당)",IF(F459="공복",IF(E459&gt;=설정!$C$15,"주의","정상"),IF(F459="식후",IF(E459&gt;=설정!$C$16,"주의","정상"),"조건확인")))))))</f>
        <v/>
      </c>
      <c r="K459" s="25" t="str">
        <f aca="false">IF(OR(I459="긴급",LEFT(J459,2)="긴급"),"★ 즉시 선생님 호출",IF(OR(I459="주의",J459="주의"),"결과상담에서 확인",IF(J459="조건확인","혈당조건(공복/식후) 선택","")))</f>
        <v/>
      </c>
      <c r="L459" s="25" t="str">
        <f aca="false">IF($B459="","",IF(COUNTIF($B$5:$B$1004,$B459)&gt;1,"중복 입력",""))</f>
        <v/>
      </c>
    </row>
    <row r="460" customFormat="false" ht="15" hidden="false" customHeight="false" outlineLevel="0" collapsed="false">
      <c r="A460" s="23"/>
      <c r="B460" s="24"/>
      <c r="C460" s="24"/>
      <c r="D460" s="24"/>
      <c r="E460" s="24"/>
      <c r="F460" s="24"/>
      <c r="G460" s="24"/>
      <c r="H460" s="25" t="str">
        <f aca="false">IF($B460="","",IFERROR(IF(INDEX(명단!$B$5:$B$404,MATCH($B460,명단!$A$5:$A$404,0))="","(이름 미입력)",INDEX(명단!$B$5:$B$404,MATCH($B460,명단!$A$5:$A$404,0))),"번호 없음"))</f>
        <v/>
      </c>
      <c r="I460" s="25" t="str">
        <f aca="false">IF(AND(C460="",D460=""),"",IF(OR(C460="-",D460="-"),"측정불가",IF(AND(ISNUMBER(C460),ISNUMBER(D460)),IF(OR(C460&gt;=설정!$C$11,D460&gt;=설정!$C$12),"긴급",IF(OR(C460&gt;=설정!$C$9,D460&gt;=설정!$C$10,C460&lt;설정!$C$13),"주의","정상")),"확인필요")))</f>
        <v/>
      </c>
      <c r="J460" s="25" t="str">
        <f aca="false">IF(E460="","",IF(E460="-","측정불가",IF(NOT(ISNUMBER(E460)),"확인필요",IF(E460&lt;설정!$C$17,"긴급(저혈당)",IF(E460&gt;=설정!$C$18,"긴급(고혈당)",IF(F460="공복",IF(E460&gt;=설정!$C$15,"주의","정상"),IF(F460="식후",IF(E460&gt;=설정!$C$16,"주의","정상"),"조건확인")))))))</f>
        <v/>
      </c>
      <c r="K460" s="25" t="str">
        <f aca="false">IF(OR(I460="긴급",LEFT(J460,2)="긴급"),"★ 즉시 선생님 호출",IF(OR(I460="주의",J460="주의"),"결과상담에서 확인",IF(J460="조건확인","혈당조건(공복/식후) 선택","")))</f>
        <v/>
      </c>
      <c r="L460" s="25" t="str">
        <f aca="false">IF($B460="","",IF(COUNTIF($B$5:$B$1004,$B460)&gt;1,"중복 입력",""))</f>
        <v/>
      </c>
    </row>
    <row r="461" customFormat="false" ht="15" hidden="false" customHeight="false" outlineLevel="0" collapsed="false">
      <c r="A461" s="23"/>
      <c r="B461" s="24"/>
      <c r="C461" s="24"/>
      <c r="D461" s="24"/>
      <c r="E461" s="24"/>
      <c r="F461" s="24"/>
      <c r="G461" s="24"/>
      <c r="H461" s="25" t="str">
        <f aca="false">IF($B461="","",IFERROR(IF(INDEX(명단!$B$5:$B$404,MATCH($B461,명단!$A$5:$A$404,0))="","(이름 미입력)",INDEX(명단!$B$5:$B$404,MATCH($B461,명단!$A$5:$A$404,0))),"번호 없음"))</f>
        <v/>
      </c>
      <c r="I461" s="25" t="str">
        <f aca="false">IF(AND(C461="",D461=""),"",IF(OR(C461="-",D461="-"),"측정불가",IF(AND(ISNUMBER(C461),ISNUMBER(D461)),IF(OR(C461&gt;=설정!$C$11,D461&gt;=설정!$C$12),"긴급",IF(OR(C461&gt;=설정!$C$9,D461&gt;=설정!$C$10,C461&lt;설정!$C$13),"주의","정상")),"확인필요")))</f>
        <v/>
      </c>
      <c r="J461" s="25" t="str">
        <f aca="false">IF(E461="","",IF(E461="-","측정불가",IF(NOT(ISNUMBER(E461)),"확인필요",IF(E461&lt;설정!$C$17,"긴급(저혈당)",IF(E461&gt;=설정!$C$18,"긴급(고혈당)",IF(F461="공복",IF(E461&gt;=설정!$C$15,"주의","정상"),IF(F461="식후",IF(E461&gt;=설정!$C$16,"주의","정상"),"조건확인")))))))</f>
        <v/>
      </c>
      <c r="K461" s="25" t="str">
        <f aca="false">IF(OR(I461="긴급",LEFT(J461,2)="긴급"),"★ 즉시 선생님 호출",IF(OR(I461="주의",J461="주의"),"결과상담에서 확인",IF(J461="조건확인","혈당조건(공복/식후) 선택","")))</f>
        <v/>
      </c>
      <c r="L461" s="25" t="str">
        <f aca="false">IF($B461="","",IF(COUNTIF($B$5:$B$1004,$B461)&gt;1,"중복 입력",""))</f>
        <v/>
      </c>
    </row>
    <row r="462" customFormat="false" ht="15" hidden="false" customHeight="false" outlineLevel="0" collapsed="false">
      <c r="A462" s="23"/>
      <c r="B462" s="24"/>
      <c r="C462" s="24"/>
      <c r="D462" s="24"/>
      <c r="E462" s="24"/>
      <c r="F462" s="24"/>
      <c r="G462" s="24"/>
      <c r="H462" s="25" t="str">
        <f aca="false">IF($B462="","",IFERROR(IF(INDEX(명단!$B$5:$B$404,MATCH($B462,명단!$A$5:$A$404,0))="","(이름 미입력)",INDEX(명단!$B$5:$B$404,MATCH($B462,명단!$A$5:$A$404,0))),"번호 없음"))</f>
        <v/>
      </c>
      <c r="I462" s="25" t="str">
        <f aca="false">IF(AND(C462="",D462=""),"",IF(OR(C462="-",D462="-"),"측정불가",IF(AND(ISNUMBER(C462),ISNUMBER(D462)),IF(OR(C462&gt;=설정!$C$11,D462&gt;=설정!$C$12),"긴급",IF(OR(C462&gt;=설정!$C$9,D462&gt;=설정!$C$10,C462&lt;설정!$C$13),"주의","정상")),"확인필요")))</f>
        <v/>
      </c>
      <c r="J462" s="25" t="str">
        <f aca="false">IF(E462="","",IF(E462="-","측정불가",IF(NOT(ISNUMBER(E462)),"확인필요",IF(E462&lt;설정!$C$17,"긴급(저혈당)",IF(E462&gt;=설정!$C$18,"긴급(고혈당)",IF(F462="공복",IF(E462&gt;=설정!$C$15,"주의","정상"),IF(F462="식후",IF(E462&gt;=설정!$C$16,"주의","정상"),"조건확인")))))))</f>
        <v/>
      </c>
      <c r="K462" s="25" t="str">
        <f aca="false">IF(OR(I462="긴급",LEFT(J462,2)="긴급"),"★ 즉시 선생님 호출",IF(OR(I462="주의",J462="주의"),"결과상담에서 확인",IF(J462="조건확인","혈당조건(공복/식후) 선택","")))</f>
        <v/>
      </c>
      <c r="L462" s="25" t="str">
        <f aca="false">IF($B462="","",IF(COUNTIF($B$5:$B$1004,$B462)&gt;1,"중복 입력",""))</f>
        <v/>
      </c>
    </row>
    <row r="463" customFormat="false" ht="15" hidden="false" customHeight="false" outlineLevel="0" collapsed="false">
      <c r="A463" s="23"/>
      <c r="B463" s="24"/>
      <c r="C463" s="24"/>
      <c r="D463" s="24"/>
      <c r="E463" s="24"/>
      <c r="F463" s="24"/>
      <c r="G463" s="24"/>
      <c r="H463" s="25" t="str">
        <f aca="false">IF($B463="","",IFERROR(IF(INDEX(명단!$B$5:$B$404,MATCH($B463,명단!$A$5:$A$404,0))="","(이름 미입력)",INDEX(명단!$B$5:$B$404,MATCH($B463,명단!$A$5:$A$404,0))),"번호 없음"))</f>
        <v/>
      </c>
      <c r="I463" s="25" t="str">
        <f aca="false">IF(AND(C463="",D463=""),"",IF(OR(C463="-",D463="-"),"측정불가",IF(AND(ISNUMBER(C463),ISNUMBER(D463)),IF(OR(C463&gt;=설정!$C$11,D463&gt;=설정!$C$12),"긴급",IF(OR(C463&gt;=설정!$C$9,D463&gt;=설정!$C$10,C463&lt;설정!$C$13),"주의","정상")),"확인필요")))</f>
        <v/>
      </c>
      <c r="J463" s="25" t="str">
        <f aca="false">IF(E463="","",IF(E463="-","측정불가",IF(NOT(ISNUMBER(E463)),"확인필요",IF(E463&lt;설정!$C$17,"긴급(저혈당)",IF(E463&gt;=설정!$C$18,"긴급(고혈당)",IF(F463="공복",IF(E463&gt;=설정!$C$15,"주의","정상"),IF(F463="식후",IF(E463&gt;=설정!$C$16,"주의","정상"),"조건확인")))))))</f>
        <v/>
      </c>
      <c r="K463" s="25" t="str">
        <f aca="false">IF(OR(I463="긴급",LEFT(J463,2)="긴급"),"★ 즉시 선생님 호출",IF(OR(I463="주의",J463="주의"),"결과상담에서 확인",IF(J463="조건확인","혈당조건(공복/식후) 선택","")))</f>
        <v/>
      </c>
      <c r="L463" s="25" t="str">
        <f aca="false">IF($B463="","",IF(COUNTIF($B$5:$B$1004,$B463)&gt;1,"중복 입력",""))</f>
        <v/>
      </c>
    </row>
    <row r="464" customFormat="false" ht="15" hidden="false" customHeight="false" outlineLevel="0" collapsed="false">
      <c r="A464" s="23"/>
      <c r="B464" s="24"/>
      <c r="C464" s="24"/>
      <c r="D464" s="24"/>
      <c r="E464" s="24"/>
      <c r="F464" s="24"/>
      <c r="G464" s="24"/>
      <c r="H464" s="25" t="str">
        <f aca="false">IF($B464="","",IFERROR(IF(INDEX(명단!$B$5:$B$404,MATCH($B464,명단!$A$5:$A$404,0))="","(이름 미입력)",INDEX(명단!$B$5:$B$404,MATCH($B464,명단!$A$5:$A$404,0))),"번호 없음"))</f>
        <v/>
      </c>
      <c r="I464" s="25" t="str">
        <f aca="false">IF(AND(C464="",D464=""),"",IF(OR(C464="-",D464="-"),"측정불가",IF(AND(ISNUMBER(C464),ISNUMBER(D464)),IF(OR(C464&gt;=설정!$C$11,D464&gt;=설정!$C$12),"긴급",IF(OR(C464&gt;=설정!$C$9,D464&gt;=설정!$C$10,C464&lt;설정!$C$13),"주의","정상")),"확인필요")))</f>
        <v/>
      </c>
      <c r="J464" s="25" t="str">
        <f aca="false">IF(E464="","",IF(E464="-","측정불가",IF(NOT(ISNUMBER(E464)),"확인필요",IF(E464&lt;설정!$C$17,"긴급(저혈당)",IF(E464&gt;=설정!$C$18,"긴급(고혈당)",IF(F464="공복",IF(E464&gt;=설정!$C$15,"주의","정상"),IF(F464="식후",IF(E464&gt;=설정!$C$16,"주의","정상"),"조건확인")))))))</f>
        <v/>
      </c>
      <c r="K464" s="25" t="str">
        <f aca="false">IF(OR(I464="긴급",LEFT(J464,2)="긴급"),"★ 즉시 선생님 호출",IF(OR(I464="주의",J464="주의"),"결과상담에서 확인",IF(J464="조건확인","혈당조건(공복/식후) 선택","")))</f>
        <v/>
      </c>
      <c r="L464" s="25" t="str">
        <f aca="false">IF($B464="","",IF(COUNTIF($B$5:$B$1004,$B464)&gt;1,"중복 입력",""))</f>
        <v/>
      </c>
    </row>
    <row r="465" customFormat="false" ht="15" hidden="false" customHeight="false" outlineLevel="0" collapsed="false">
      <c r="A465" s="23"/>
      <c r="B465" s="24"/>
      <c r="C465" s="24"/>
      <c r="D465" s="24"/>
      <c r="E465" s="24"/>
      <c r="F465" s="24"/>
      <c r="G465" s="24"/>
      <c r="H465" s="25" t="str">
        <f aca="false">IF($B465="","",IFERROR(IF(INDEX(명단!$B$5:$B$404,MATCH($B465,명단!$A$5:$A$404,0))="","(이름 미입력)",INDEX(명단!$B$5:$B$404,MATCH($B465,명단!$A$5:$A$404,0))),"번호 없음"))</f>
        <v/>
      </c>
      <c r="I465" s="25" t="str">
        <f aca="false">IF(AND(C465="",D465=""),"",IF(OR(C465="-",D465="-"),"측정불가",IF(AND(ISNUMBER(C465),ISNUMBER(D465)),IF(OR(C465&gt;=설정!$C$11,D465&gt;=설정!$C$12),"긴급",IF(OR(C465&gt;=설정!$C$9,D465&gt;=설정!$C$10,C465&lt;설정!$C$13),"주의","정상")),"확인필요")))</f>
        <v/>
      </c>
      <c r="J465" s="25" t="str">
        <f aca="false">IF(E465="","",IF(E465="-","측정불가",IF(NOT(ISNUMBER(E465)),"확인필요",IF(E465&lt;설정!$C$17,"긴급(저혈당)",IF(E465&gt;=설정!$C$18,"긴급(고혈당)",IF(F465="공복",IF(E465&gt;=설정!$C$15,"주의","정상"),IF(F465="식후",IF(E465&gt;=설정!$C$16,"주의","정상"),"조건확인")))))))</f>
        <v/>
      </c>
      <c r="K465" s="25" t="str">
        <f aca="false">IF(OR(I465="긴급",LEFT(J465,2)="긴급"),"★ 즉시 선생님 호출",IF(OR(I465="주의",J465="주의"),"결과상담에서 확인",IF(J465="조건확인","혈당조건(공복/식후) 선택","")))</f>
        <v/>
      </c>
      <c r="L465" s="25" t="str">
        <f aca="false">IF($B465="","",IF(COUNTIF($B$5:$B$1004,$B465)&gt;1,"중복 입력",""))</f>
        <v/>
      </c>
    </row>
    <row r="466" customFormat="false" ht="15" hidden="false" customHeight="false" outlineLevel="0" collapsed="false">
      <c r="A466" s="23"/>
      <c r="B466" s="24"/>
      <c r="C466" s="24"/>
      <c r="D466" s="24"/>
      <c r="E466" s="24"/>
      <c r="F466" s="24"/>
      <c r="G466" s="24"/>
      <c r="H466" s="25" t="str">
        <f aca="false">IF($B466="","",IFERROR(IF(INDEX(명단!$B$5:$B$404,MATCH($B466,명단!$A$5:$A$404,0))="","(이름 미입력)",INDEX(명단!$B$5:$B$404,MATCH($B466,명단!$A$5:$A$404,0))),"번호 없음"))</f>
        <v/>
      </c>
      <c r="I466" s="25" t="str">
        <f aca="false">IF(AND(C466="",D466=""),"",IF(OR(C466="-",D466="-"),"측정불가",IF(AND(ISNUMBER(C466),ISNUMBER(D466)),IF(OR(C466&gt;=설정!$C$11,D466&gt;=설정!$C$12),"긴급",IF(OR(C466&gt;=설정!$C$9,D466&gt;=설정!$C$10,C466&lt;설정!$C$13),"주의","정상")),"확인필요")))</f>
        <v/>
      </c>
      <c r="J466" s="25" t="str">
        <f aca="false">IF(E466="","",IF(E466="-","측정불가",IF(NOT(ISNUMBER(E466)),"확인필요",IF(E466&lt;설정!$C$17,"긴급(저혈당)",IF(E466&gt;=설정!$C$18,"긴급(고혈당)",IF(F466="공복",IF(E466&gt;=설정!$C$15,"주의","정상"),IF(F466="식후",IF(E466&gt;=설정!$C$16,"주의","정상"),"조건확인")))))))</f>
        <v/>
      </c>
      <c r="K466" s="25" t="str">
        <f aca="false">IF(OR(I466="긴급",LEFT(J466,2)="긴급"),"★ 즉시 선생님 호출",IF(OR(I466="주의",J466="주의"),"결과상담에서 확인",IF(J466="조건확인","혈당조건(공복/식후) 선택","")))</f>
        <v/>
      </c>
      <c r="L466" s="25" t="str">
        <f aca="false">IF($B466="","",IF(COUNTIF($B$5:$B$1004,$B466)&gt;1,"중복 입력",""))</f>
        <v/>
      </c>
    </row>
    <row r="467" customFormat="false" ht="15" hidden="false" customHeight="false" outlineLevel="0" collapsed="false">
      <c r="A467" s="23"/>
      <c r="B467" s="24"/>
      <c r="C467" s="24"/>
      <c r="D467" s="24"/>
      <c r="E467" s="24"/>
      <c r="F467" s="24"/>
      <c r="G467" s="24"/>
      <c r="H467" s="25" t="str">
        <f aca="false">IF($B467="","",IFERROR(IF(INDEX(명단!$B$5:$B$404,MATCH($B467,명단!$A$5:$A$404,0))="","(이름 미입력)",INDEX(명단!$B$5:$B$404,MATCH($B467,명단!$A$5:$A$404,0))),"번호 없음"))</f>
        <v/>
      </c>
      <c r="I467" s="25" t="str">
        <f aca="false">IF(AND(C467="",D467=""),"",IF(OR(C467="-",D467="-"),"측정불가",IF(AND(ISNUMBER(C467),ISNUMBER(D467)),IF(OR(C467&gt;=설정!$C$11,D467&gt;=설정!$C$12),"긴급",IF(OR(C467&gt;=설정!$C$9,D467&gt;=설정!$C$10,C467&lt;설정!$C$13),"주의","정상")),"확인필요")))</f>
        <v/>
      </c>
      <c r="J467" s="25" t="str">
        <f aca="false">IF(E467="","",IF(E467="-","측정불가",IF(NOT(ISNUMBER(E467)),"확인필요",IF(E467&lt;설정!$C$17,"긴급(저혈당)",IF(E467&gt;=설정!$C$18,"긴급(고혈당)",IF(F467="공복",IF(E467&gt;=설정!$C$15,"주의","정상"),IF(F467="식후",IF(E467&gt;=설정!$C$16,"주의","정상"),"조건확인")))))))</f>
        <v/>
      </c>
      <c r="K467" s="25" t="str">
        <f aca="false">IF(OR(I467="긴급",LEFT(J467,2)="긴급"),"★ 즉시 선생님 호출",IF(OR(I467="주의",J467="주의"),"결과상담에서 확인",IF(J467="조건확인","혈당조건(공복/식후) 선택","")))</f>
        <v/>
      </c>
      <c r="L467" s="25" t="str">
        <f aca="false">IF($B467="","",IF(COUNTIF($B$5:$B$1004,$B467)&gt;1,"중복 입력",""))</f>
        <v/>
      </c>
    </row>
    <row r="468" customFormat="false" ht="15" hidden="false" customHeight="false" outlineLevel="0" collapsed="false">
      <c r="A468" s="23"/>
      <c r="B468" s="24"/>
      <c r="C468" s="24"/>
      <c r="D468" s="24"/>
      <c r="E468" s="24"/>
      <c r="F468" s="24"/>
      <c r="G468" s="24"/>
      <c r="H468" s="25" t="str">
        <f aca="false">IF($B468="","",IFERROR(IF(INDEX(명단!$B$5:$B$404,MATCH($B468,명단!$A$5:$A$404,0))="","(이름 미입력)",INDEX(명단!$B$5:$B$404,MATCH($B468,명단!$A$5:$A$404,0))),"번호 없음"))</f>
        <v/>
      </c>
      <c r="I468" s="25" t="str">
        <f aca="false">IF(AND(C468="",D468=""),"",IF(OR(C468="-",D468="-"),"측정불가",IF(AND(ISNUMBER(C468),ISNUMBER(D468)),IF(OR(C468&gt;=설정!$C$11,D468&gt;=설정!$C$12),"긴급",IF(OR(C468&gt;=설정!$C$9,D468&gt;=설정!$C$10,C468&lt;설정!$C$13),"주의","정상")),"확인필요")))</f>
        <v/>
      </c>
      <c r="J468" s="25" t="str">
        <f aca="false">IF(E468="","",IF(E468="-","측정불가",IF(NOT(ISNUMBER(E468)),"확인필요",IF(E468&lt;설정!$C$17,"긴급(저혈당)",IF(E468&gt;=설정!$C$18,"긴급(고혈당)",IF(F468="공복",IF(E468&gt;=설정!$C$15,"주의","정상"),IF(F468="식후",IF(E468&gt;=설정!$C$16,"주의","정상"),"조건확인")))))))</f>
        <v/>
      </c>
      <c r="K468" s="25" t="str">
        <f aca="false">IF(OR(I468="긴급",LEFT(J468,2)="긴급"),"★ 즉시 선생님 호출",IF(OR(I468="주의",J468="주의"),"결과상담에서 확인",IF(J468="조건확인","혈당조건(공복/식후) 선택","")))</f>
        <v/>
      </c>
      <c r="L468" s="25" t="str">
        <f aca="false">IF($B468="","",IF(COUNTIF($B$5:$B$1004,$B468)&gt;1,"중복 입력",""))</f>
        <v/>
      </c>
    </row>
    <row r="469" customFormat="false" ht="15" hidden="false" customHeight="false" outlineLevel="0" collapsed="false">
      <c r="A469" s="23"/>
      <c r="B469" s="24"/>
      <c r="C469" s="24"/>
      <c r="D469" s="24"/>
      <c r="E469" s="24"/>
      <c r="F469" s="24"/>
      <c r="G469" s="24"/>
      <c r="H469" s="25" t="str">
        <f aca="false">IF($B469="","",IFERROR(IF(INDEX(명단!$B$5:$B$404,MATCH($B469,명단!$A$5:$A$404,0))="","(이름 미입력)",INDEX(명단!$B$5:$B$404,MATCH($B469,명단!$A$5:$A$404,0))),"번호 없음"))</f>
        <v/>
      </c>
      <c r="I469" s="25" t="str">
        <f aca="false">IF(AND(C469="",D469=""),"",IF(OR(C469="-",D469="-"),"측정불가",IF(AND(ISNUMBER(C469),ISNUMBER(D469)),IF(OR(C469&gt;=설정!$C$11,D469&gt;=설정!$C$12),"긴급",IF(OR(C469&gt;=설정!$C$9,D469&gt;=설정!$C$10,C469&lt;설정!$C$13),"주의","정상")),"확인필요")))</f>
        <v/>
      </c>
      <c r="J469" s="25" t="str">
        <f aca="false">IF(E469="","",IF(E469="-","측정불가",IF(NOT(ISNUMBER(E469)),"확인필요",IF(E469&lt;설정!$C$17,"긴급(저혈당)",IF(E469&gt;=설정!$C$18,"긴급(고혈당)",IF(F469="공복",IF(E469&gt;=설정!$C$15,"주의","정상"),IF(F469="식후",IF(E469&gt;=설정!$C$16,"주의","정상"),"조건확인")))))))</f>
        <v/>
      </c>
      <c r="K469" s="25" t="str">
        <f aca="false">IF(OR(I469="긴급",LEFT(J469,2)="긴급"),"★ 즉시 선생님 호출",IF(OR(I469="주의",J469="주의"),"결과상담에서 확인",IF(J469="조건확인","혈당조건(공복/식후) 선택","")))</f>
        <v/>
      </c>
      <c r="L469" s="25" t="str">
        <f aca="false">IF($B469="","",IF(COUNTIF($B$5:$B$1004,$B469)&gt;1,"중복 입력",""))</f>
        <v/>
      </c>
    </row>
    <row r="470" customFormat="false" ht="15" hidden="false" customHeight="false" outlineLevel="0" collapsed="false">
      <c r="A470" s="23"/>
      <c r="B470" s="24"/>
      <c r="C470" s="24"/>
      <c r="D470" s="24"/>
      <c r="E470" s="24"/>
      <c r="F470" s="24"/>
      <c r="G470" s="24"/>
      <c r="H470" s="25" t="str">
        <f aca="false">IF($B470="","",IFERROR(IF(INDEX(명단!$B$5:$B$404,MATCH($B470,명단!$A$5:$A$404,0))="","(이름 미입력)",INDEX(명단!$B$5:$B$404,MATCH($B470,명단!$A$5:$A$404,0))),"번호 없음"))</f>
        <v/>
      </c>
      <c r="I470" s="25" t="str">
        <f aca="false">IF(AND(C470="",D470=""),"",IF(OR(C470="-",D470="-"),"측정불가",IF(AND(ISNUMBER(C470),ISNUMBER(D470)),IF(OR(C470&gt;=설정!$C$11,D470&gt;=설정!$C$12),"긴급",IF(OR(C470&gt;=설정!$C$9,D470&gt;=설정!$C$10,C470&lt;설정!$C$13),"주의","정상")),"확인필요")))</f>
        <v/>
      </c>
      <c r="J470" s="25" t="str">
        <f aca="false">IF(E470="","",IF(E470="-","측정불가",IF(NOT(ISNUMBER(E470)),"확인필요",IF(E470&lt;설정!$C$17,"긴급(저혈당)",IF(E470&gt;=설정!$C$18,"긴급(고혈당)",IF(F470="공복",IF(E470&gt;=설정!$C$15,"주의","정상"),IF(F470="식후",IF(E470&gt;=설정!$C$16,"주의","정상"),"조건확인")))))))</f>
        <v/>
      </c>
      <c r="K470" s="25" t="str">
        <f aca="false">IF(OR(I470="긴급",LEFT(J470,2)="긴급"),"★ 즉시 선생님 호출",IF(OR(I470="주의",J470="주의"),"결과상담에서 확인",IF(J470="조건확인","혈당조건(공복/식후) 선택","")))</f>
        <v/>
      </c>
      <c r="L470" s="25" t="str">
        <f aca="false">IF($B470="","",IF(COUNTIF($B$5:$B$1004,$B470)&gt;1,"중복 입력",""))</f>
        <v/>
      </c>
    </row>
    <row r="471" customFormat="false" ht="15" hidden="false" customHeight="false" outlineLevel="0" collapsed="false">
      <c r="A471" s="23"/>
      <c r="B471" s="24"/>
      <c r="C471" s="24"/>
      <c r="D471" s="24"/>
      <c r="E471" s="24"/>
      <c r="F471" s="24"/>
      <c r="G471" s="24"/>
      <c r="H471" s="25" t="str">
        <f aca="false">IF($B471="","",IFERROR(IF(INDEX(명단!$B$5:$B$404,MATCH($B471,명단!$A$5:$A$404,0))="","(이름 미입력)",INDEX(명단!$B$5:$B$404,MATCH($B471,명단!$A$5:$A$404,0))),"번호 없음"))</f>
        <v/>
      </c>
      <c r="I471" s="25" t="str">
        <f aca="false">IF(AND(C471="",D471=""),"",IF(OR(C471="-",D471="-"),"측정불가",IF(AND(ISNUMBER(C471),ISNUMBER(D471)),IF(OR(C471&gt;=설정!$C$11,D471&gt;=설정!$C$12),"긴급",IF(OR(C471&gt;=설정!$C$9,D471&gt;=설정!$C$10,C471&lt;설정!$C$13),"주의","정상")),"확인필요")))</f>
        <v/>
      </c>
      <c r="J471" s="25" t="str">
        <f aca="false">IF(E471="","",IF(E471="-","측정불가",IF(NOT(ISNUMBER(E471)),"확인필요",IF(E471&lt;설정!$C$17,"긴급(저혈당)",IF(E471&gt;=설정!$C$18,"긴급(고혈당)",IF(F471="공복",IF(E471&gt;=설정!$C$15,"주의","정상"),IF(F471="식후",IF(E471&gt;=설정!$C$16,"주의","정상"),"조건확인")))))))</f>
        <v/>
      </c>
      <c r="K471" s="25" t="str">
        <f aca="false">IF(OR(I471="긴급",LEFT(J471,2)="긴급"),"★ 즉시 선생님 호출",IF(OR(I471="주의",J471="주의"),"결과상담에서 확인",IF(J471="조건확인","혈당조건(공복/식후) 선택","")))</f>
        <v/>
      </c>
      <c r="L471" s="25" t="str">
        <f aca="false">IF($B471="","",IF(COUNTIF($B$5:$B$1004,$B471)&gt;1,"중복 입력",""))</f>
        <v/>
      </c>
    </row>
    <row r="472" customFormat="false" ht="15" hidden="false" customHeight="false" outlineLevel="0" collapsed="false">
      <c r="A472" s="23"/>
      <c r="B472" s="24"/>
      <c r="C472" s="24"/>
      <c r="D472" s="24"/>
      <c r="E472" s="24"/>
      <c r="F472" s="24"/>
      <c r="G472" s="24"/>
      <c r="H472" s="25" t="str">
        <f aca="false">IF($B472="","",IFERROR(IF(INDEX(명단!$B$5:$B$404,MATCH($B472,명단!$A$5:$A$404,0))="","(이름 미입력)",INDEX(명단!$B$5:$B$404,MATCH($B472,명단!$A$5:$A$404,0))),"번호 없음"))</f>
        <v/>
      </c>
      <c r="I472" s="25" t="str">
        <f aca="false">IF(AND(C472="",D472=""),"",IF(OR(C472="-",D472="-"),"측정불가",IF(AND(ISNUMBER(C472),ISNUMBER(D472)),IF(OR(C472&gt;=설정!$C$11,D472&gt;=설정!$C$12),"긴급",IF(OR(C472&gt;=설정!$C$9,D472&gt;=설정!$C$10,C472&lt;설정!$C$13),"주의","정상")),"확인필요")))</f>
        <v/>
      </c>
      <c r="J472" s="25" t="str">
        <f aca="false">IF(E472="","",IF(E472="-","측정불가",IF(NOT(ISNUMBER(E472)),"확인필요",IF(E472&lt;설정!$C$17,"긴급(저혈당)",IF(E472&gt;=설정!$C$18,"긴급(고혈당)",IF(F472="공복",IF(E472&gt;=설정!$C$15,"주의","정상"),IF(F472="식후",IF(E472&gt;=설정!$C$16,"주의","정상"),"조건확인")))))))</f>
        <v/>
      </c>
      <c r="K472" s="25" t="str">
        <f aca="false">IF(OR(I472="긴급",LEFT(J472,2)="긴급"),"★ 즉시 선생님 호출",IF(OR(I472="주의",J472="주의"),"결과상담에서 확인",IF(J472="조건확인","혈당조건(공복/식후) 선택","")))</f>
        <v/>
      </c>
      <c r="L472" s="25" t="str">
        <f aca="false">IF($B472="","",IF(COUNTIF($B$5:$B$1004,$B472)&gt;1,"중복 입력",""))</f>
        <v/>
      </c>
    </row>
    <row r="473" customFormat="false" ht="15" hidden="false" customHeight="false" outlineLevel="0" collapsed="false">
      <c r="A473" s="23"/>
      <c r="B473" s="24"/>
      <c r="C473" s="24"/>
      <c r="D473" s="24"/>
      <c r="E473" s="24"/>
      <c r="F473" s="24"/>
      <c r="G473" s="24"/>
      <c r="H473" s="25" t="str">
        <f aca="false">IF($B473="","",IFERROR(IF(INDEX(명단!$B$5:$B$404,MATCH($B473,명단!$A$5:$A$404,0))="","(이름 미입력)",INDEX(명단!$B$5:$B$404,MATCH($B473,명단!$A$5:$A$404,0))),"번호 없음"))</f>
        <v/>
      </c>
      <c r="I473" s="25" t="str">
        <f aca="false">IF(AND(C473="",D473=""),"",IF(OR(C473="-",D473="-"),"측정불가",IF(AND(ISNUMBER(C473),ISNUMBER(D473)),IF(OR(C473&gt;=설정!$C$11,D473&gt;=설정!$C$12),"긴급",IF(OR(C473&gt;=설정!$C$9,D473&gt;=설정!$C$10,C473&lt;설정!$C$13),"주의","정상")),"확인필요")))</f>
        <v/>
      </c>
      <c r="J473" s="25" t="str">
        <f aca="false">IF(E473="","",IF(E473="-","측정불가",IF(NOT(ISNUMBER(E473)),"확인필요",IF(E473&lt;설정!$C$17,"긴급(저혈당)",IF(E473&gt;=설정!$C$18,"긴급(고혈당)",IF(F473="공복",IF(E473&gt;=설정!$C$15,"주의","정상"),IF(F473="식후",IF(E473&gt;=설정!$C$16,"주의","정상"),"조건확인")))))))</f>
        <v/>
      </c>
      <c r="K473" s="25" t="str">
        <f aca="false">IF(OR(I473="긴급",LEFT(J473,2)="긴급"),"★ 즉시 선생님 호출",IF(OR(I473="주의",J473="주의"),"결과상담에서 확인",IF(J473="조건확인","혈당조건(공복/식후) 선택","")))</f>
        <v/>
      </c>
      <c r="L473" s="25" t="str">
        <f aca="false">IF($B473="","",IF(COUNTIF($B$5:$B$1004,$B473)&gt;1,"중복 입력",""))</f>
        <v/>
      </c>
    </row>
    <row r="474" customFormat="false" ht="15" hidden="false" customHeight="false" outlineLevel="0" collapsed="false">
      <c r="A474" s="23"/>
      <c r="B474" s="24"/>
      <c r="C474" s="24"/>
      <c r="D474" s="24"/>
      <c r="E474" s="24"/>
      <c r="F474" s="24"/>
      <c r="G474" s="24"/>
      <c r="H474" s="25" t="str">
        <f aca="false">IF($B474="","",IFERROR(IF(INDEX(명단!$B$5:$B$404,MATCH($B474,명단!$A$5:$A$404,0))="","(이름 미입력)",INDEX(명단!$B$5:$B$404,MATCH($B474,명단!$A$5:$A$404,0))),"번호 없음"))</f>
        <v/>
      </c>
      <c r="I474" s="25" t="str">
        <f aca="false">IF(AND(C474="",D474=""),"",IF(OR(C474="-",D474="-"),"측정불가",IF(AND(ISNUMBER(C474),ISNUMBER(D474)),IF(OR(C474&gt;=설정!$C$11,D474&gt;=설정!$C$12),"긴급",IF(OR(C474&gt;=설정!$C$9,D474&gt;=설정!$C$10,C474&lt;설정!$C$13),"주의","정상")),"확인필요")))</f>
        <v/>
      </c>
      <c r="J474" s="25" t="str">
        <f aca="false">IF(E474="","",IF(E474="-","측정불가",IF(NOT(ISNUMBER(E474)),"확인필요",IF(E474&lt;설정!$C$17,"긴급(저혈당)",IF(E474&gt;=설정!$C$18,"긴급(고혈당)",IF(F474="공복",IF(E474&gt;=설정!$C$15,"주의","정상"),IF(F474="식후",IF(E474&gt;=설정!$C$16,"주의","정상"),"조건확인")))))))</f>
        <v/>
      </c>
      <c r="K474" s="25" t="str">
        <f aca="false">IF(OR(I474="긴급",LEFT(J474,2)="긴급"),"★ 즉시 선생님 호출",IF(OR(I474="주의",J474="주의"),"결과상담에서 확인",IF(J474="조건확인","혈당조건(공복/식후) 선택","")))</f>
        <v/>
      </c>
      <c r="L474" s="25" t="str">
        <f aca="false">IF($B474="","",IF(COUNTIF($B$5:$B$1004,$B474)&gt;1,"중복 입력",""))</f>
        <v/>
      </c>
    </row>
    <row r="475" customFormat="false" ht="15" hidden="false" customHeight="false" outlineLevel="0" collapsed="false">
      <c r="A475" s="23"/>
      <c r="B475" s="24"/>
      <c r="C475" s="24"/>
      <c r="D475" s="24"/>
      <c r="E475" s="24"/>
      <c r="F475" s="24"/>
      <c r="G475" s="24"/>
      <c r="H475" s="25" t="str">
        <f aca="false">IF($B475="","",IFERROR(IF(INDEX(명단!$B$5:$B$404,MATCH($B475,명단!$A$5:$A$404,0))="","(이름 미입력)",INDEX(명단!$B$5:$B$404,MATCH($B475,명단!$A$5:$A$404,0))),"번호 없음"))</f>
        <v/>
      </c>
      <c r="I475" s="25" t="str">
        <f aca="false">IF(AND(C475="",D475=""),"",IF(OR(C475="-",D475="-"),"측정불가",IF(AND(ISNUMBER(C475),ISNUMBER(D475)),IF(OR(C475&gt;=설정!$C$11,D475&gt;=설정!$C$12),"긴급",IF(OR(C475&gt;=설정!$C$9,D475&gt;=설정!$C$10,C475&lt;설정!$C$13),"주의","정상")),"확인필요")))</f>
        <v/>
      </c>
      <c r="J475" s="25" t="str">
        <f aca="false">IF(E475="","",IF(E475="-","측정불가",IF(NOT(ISNUMBER(E475)),"확인필요",IF(E475&lt;설정!$C$17,"긴급(저혈당)",IF(E475&gt;=설정!$C$18,"긴급(고혈당)",IF(F475="공복",IF(E475&gt;=설정!$C$15,"주의","정상"),IF(F475="식후",IF(E475&gt;=설정!$C$16,"주의","정상"),"조건확인")))))))</f>
        <v/>
      </c>
      <c r="K475" s="25" t="str">
        <f aca="false">IF(OR(I475="긴급",LEFT(J475,2)="긴급"),"★ 즉시 선생님 호출",IF(OR(I475="주의",J475="주의"),"결과상담에서 확인",IF(J475="조건확인","혈당조건(공복/식후) 선택","")))</f>
        <v/>
      </c>
      <c r="L475" s="25" t="str">
        <f aca="false">IF($B475="","",IF(COUNTIF($B$5:$B$1004,$B475)&gt;1,"중복 입력",""))</f>
        <v/>
      </c>
    </row>
    <row r="476" customFormat="false" ht="15" hidden="false" customHeight="false" outlineLevel="0" collapsed="false">
      <c r="A476" s="23"/>
      <c r="B476" s="24"/>
      <c r="C476" s="24"/>
      <c r="D476" s="24"/>
      <c r="E476" s="24"/>
      <c r="F476" s="24"/>
      <c r="G476" s="24"/>
      <c r="H476" s="25" t="str">
        <f aca="false">IF($B476="","",IFERROR(IF(INDEX(명단!$B$5:$B$404,MATCH($B476,명단!$A$5:$A$404,0))="","(이름 미입력)",INDEX(명단!$B$5:$B$404,MATCH($B476,명단!$A$5:$A$404,0))),"번호 없음"))</f>
        <v/>
      </c>
      <c r="I476" s="25" t="str">
        <f aca="false">IF(AND(C476="",D476=""),"",IF(OR(C476="-",D476="-"),"측정불가",IF(AND(ISNUMBER(C476),ISNUMBER(D476)),IF(OR(C476&gt;=설정!$C$11,D476&gt;=설정!$C$12),"긴급",IF(OR(C476&gt;=설정!$C$9,D476&gt;=설정!$C$10,C476&lt;설정!$C$13),"주의","정상")),"확인필요")))</f>
        <v/>
      </c>
      <c r="J476" s="25" t="str">
        <f aca="false">IF(E476="","",IF(E476="-","측정불가",IF(NOT(ISNUMBER(E476)),"확인필요",IF(E476&lt;설정!$C$17,"긴급(저혈당)",IF(E476&gt;=설정!$C$18,"긴급(고혈당)",IF(F476="공복",IF(E476&gt;=설정!$C$15,"주의","정상"),IF(F476="식후",IF(E476&gt;=설정!$C$16,"주의","정상"),"조건확인")))))))</f>
        <v/>
      </c>
      <c r="K476" s="25" t="str">
        <f aca="false">IF(OR(I476="긴급",LEFT(J476,2)="긴급"),"★ 즉시 선생님 호출",IF(OR(I476="주의",J476="주의"),"결과상담에서 확인",IF(J476="조건확인","혈당조건(공복/식후) 선택","")))</f>
        <v/>
      </c>
      <c r="L476" s="25" t="str">
        <f aca="false">IF($B476="","",IF(COUNTIF($B$5:$B$1004,$B476)&gt;1,"중복 입력",""))</f>
        <v/>
      </c>
    </row>
    <row r="477" customFormat="false" ht="15" hidden="false" customHeight="false" outlineLevel="0" collapsed="false">
      <c r="A477" s="23"/>
      <c r="B477" s="24"/>
      <c r="C477" s="24"/>
      <c r="D477" s="24"/>
      <c r="E477" s="24"/>
      <c r="F477" s="24"/>
      <c r="G477" s="24"/>
      <c r="H477" s="25" t="str">
        <f aca="false">IF($B477="","",IFERROR(IF(INDEX(명단!$B$5:$B$404,MATCH($B477,명단!$A$5:$A$404,0))="","(이름 미입력)",INDEX(명단!$B$5:$B$404,MATCH($B477,명단!$A$5:$A$404,0))),"번호 없음"))</f>
        <v/>
      </c>
      <c r="I477" s="25" t="str">
        <f aca="false">IF(AND(C477="",D477=""),"",IF(OR(C477="-",D477="-"),"측정불가",IF(AND(ISNUMBER(C477),ISNUMBER(D477)),IF(OR(C477&gt;=설정!$C$11,D477&gt;=설정!$C$12),"긴급",IF(OR(C477&gt;=설정!$C$9,D477&gt;=설정!$C$10,C477&lt;설정!$C$13),"주의","정상")),"확인필요")))</f>
        <v/>
      </c>
      <c r="J477" s="25" t="str">
        <f aca="false">IF(E477="","",IF(E477="-","측정불가",IF(NOT(ISNUMBER(E477)),"확인필요",IF(E477&lt;설정!$C$17,"긴급(저혈당)",IF(E477&gt;=설정!$C$18,"긴급(고혈당)",IF(F477="공복",IF(E477&gt;=설정!$C$15,"주의","정상"),IF(F477="식후",IF(E477&gt;=설정!$C$16,"주의","정상"),"조건확인")))))))</f>
        <v/>
      </c>
      <c r="K477" s="25" t="str">
        <f aca="false">IF(OR(I477="긴급",LEFT(J477,2)="긴급"),"★ 즉시 선생님 호출",IF(OR(I477="주의",J477="주의"),"결과상담에서 확인",IF(J477="조건확인","혈당조건(공복/식후) 선택","")))</f>
        <v/>
      </c>
      <c r="L477" s="25" t="str">
        <f aca="false">IF($B477="","",IF(COUNTIF($B$5:$B$1004,$B477)&gt;1,"중복 입력",""))</f>
        <v/>
      </c>
    </row>
    <row r="478" customFormat="false" ht="15" hidden="false" customHeight="false" outlineLevel="0" collapsed="false">
      <c r="A478" s="23"/>
      <c r="B478" s="24"/>
      <c r="C478" s="24"/>
      <c r="D478" s="24"/>
      <c r="E478" s="24"/>
      <c r="F478" s="24"/>
      <c r="G478" s="24"/>
      <c r="H478" s="25" t="str">
        <f aca="false">IF($B478="","",IFERROR(IF(INDEX(명단!$B$5:$B$404,MATCH($B478,명단!$A$5:$A$404,0))="","(이름 미입력)",INDEX(명단!$B$5:$B$404,MATCH($B478,명단!$A$5:$A$404,0))),"번호 없음"))</f>
        <v/>
      </c>
      <c r="I478" s="25" t="str">
        <f aca="false">IF(AND(C478="",D478=""),"",IF(OR(C478="-",D478="-"),"측정불가",IF(AND(ISNUMBER(C478),ISNUMBER(D478)),IF(OR(C478&gt;=설정!$C$11,D478&gt;=설정!$C$12),"긴급",IF(OR(C478&gt;=설정!$C$9,D478&gt;=설정!$C$10,C478&lt;설정!$C$13),"주의","정상")),"확인필요")))</f>
        <v/>
      </c>
      <c r="J478" s="25" t="str">
        <f aca="false">IF(E478="","",IF(E478="-","측정불가",IF(NOT(ISNUMBER(E478)),"확인필요",IF(E478&lt;설정!$C$17,"긴급(저혈당)",IF(E478&gt;=설정!$C$18,"긴급(고혈당)",IF(F478="공복",IF(E478&gt;=설정!$C$15,"주의","정상"),IF(F478="식후",IF(E478&gt;=설정!$C$16,"주의","정상"),"조건확인")))))))</f>
        <v/>
      </c>
      <c r="K478" s="25" t="str">
        <f aca="false">IF(OR(I478="긴급",LEFT(J478,2)="긴급"),"★ 즉시 선생님 호출",IF(OR(I478="주의",J478="주의"),"결과상담에서 확인",IF(J478="조건확인","혈당조건(공복/식후) 선택","")))</f>
        <v/>
      </c>
      <c r="L478" s="25" t="str">
        <f aca="false">IF($B478="","",IF(COUNTIF($B$5:$B$1004,$B478)&gt;1,"중복 입력",""))</f>
        <v/>
      </c>
    </row>
    <row r="479" customFormat="false" ht="15" hidden="false" customHeight="false" outlineLevel="0" collapsed="false">
      <c r="A479" s="23"/>
      <c r="B479" s="24"/>
      <c r="C479" s="24"/>
      <c r="D479" s="24"/>
      <c r="E479" s="24"/>
      <c r="F479" s="24"/>
      <c r="G479" s="24"/>
      <c r="H479" s="25" t="str">
        <f aca="false">IF($B479="","",IFERROR(IF(INDEX(명단!$B$5:$B$404,MATCH($B479,명단!$A$5:$A$404,0))="","(이름 미입력)",INDEX(명단!$B$5:$B$404,MATCH($B479,명단!$A$5:$A$404,0))),"번호 없음"))</f>
        <v/>
      </c>
      <c r="I479" s="25" t="str">
        <f aca="false">IF(AND(C479="",D479=""),"",IF(OR(C479="-",D479="-"),"측정불가",IF(AND(ISNUMBER(C479),ISNUMBER(D479)),IF(OR(C479&gt;=설정!$C$11,D479&gt;=설정!$C$12),"긴급",IF(OR(C479&gt;=설정!$C$9,D479&gt;=설정!$C$10,C479&lt;설정!$C$13),"주의","정상")),"확인필요")))</f>
        <v/>
      </c>
      <c r="J479" s="25" t="str">
        <f aca="false">IF(E479="","",IF(E479="-","측정불가",IF(NOT(ISNUMBER(E479)),"확인필요",IF(E479&lt;설정!$C$17,"긴급(저혈당)",IF(E479&gt;=설정!$C$18,"긴급(고혈당)",IF(F479="공복",IF(E479&gt;=설정!$C$15,"주의","정상"),IF(F479="식후",IF(E479&gt;=설정!$C$16,"주의","정상"),"조건확인")))))))</f>
        <v/>
      </c>
      <c r="K479" s="25" t="str">
        <f aca="false">IF(OR(I479="긴급",LEFT(J479,2)="긴급"),"★ 즉시 선생님 호출",IF(OR(I479="주의",J479="주의"),"결과상담에서 확인",IF(J479="조건확인","혈당조건(공복/식후) 선택","")))</f>
        <v/>
      </c>
      <c r="L479" s="25" t="str">
        <f aca="false">IF($B479="","",IF(COUNTIF($B$5:$B$1004,$B479)&gt;1,"중복 입력",""))</f>
        <v/>
      </c>
    </row>
    <row r="480" customFormat="false" ht="15" hidden="false" customHeight="false" outlineLevel="0" collapsed="false">
      <c r="A480" s="23"/>
      <c r="B480" s="24"/>
      <c r="C480" s="24"/>
      <c r="D480" s="24"/>
      <c r="E480" s="24"/>
      <c r="F480" s="24"/>
      <c r="G480" s="24"/>
      <c r="H480" s="25" t="str">
        <f aca="false">IF($B480="","",IFERROR(IF(INDEX(명단!$B$5:$B$404,MATCH($B480,명단!$A$5:$A$404,0))="","(이름 미입력)",INDEX(명단!$B$5:$B$404,MATCH($B480,명단!$A$5:$A$404,0))),"번호 없음"))</f>
        <v/>
      </c>
      <c r="I480" s="25" t="str">
        <f aca="false">IF(AND(C480="",D480=""),"",IF(OR(C480="-",D480="-"),"측정불가",IF(AND(ISNUMBER(C480),ISNUMBER(D480)),IF(OR(C480&gt;=설정!$C$11,D480&gt;=설정!$C$12),"긴급",IF(OR(C480&gt;=설정!$C$9,D480&gt;=설정!$C$10,C480&lt;설정!$C$13),"주의","정상")),"확인필요")))</f>
        <v/>
      </c>
      <c r="J480" s="25" t="str">
        <f aca="false">IF(E480="","",IF(E480="-","측정불가",IF(NOT(ISNUMBER(E480)),"확인필요",IF(E480&lt;설정!$C$17,"긴급(저혈당)",IF(E480&gt;=설정!$C$18,"긴급(고혈당)",IF(F480="공복",IF(E480&gt;=설정!$C$15,"주의","정상"),IF(F480="식후",IF(E480&gt;=설정!$C$16,"주의","정상"),"조건확인")))))))</f>
        <v/>
      </c>
      <c r="K480" s="25" t="str">
        <f aca="false">IF(OR(I480="긴급",LEFT(J480,2)="긴급"),"★ 즉시 선생님 호출",IF(OR(I480="주의",J480="주의"),"결과상담에서 확인",IF(J480="조건확인","혈당조건(공복/식후) 선택","")))</f>
        <v/>
      </c>
      <c r="L480" s="25" t="str">
        <f aca="false">IF($B480="","",IF(COUNTIF($B$5:$B$1004,$B480)&gt;1,"중복 입력",""))</f>
        <v/>
      </c>
    </row>
    <row r="481" customFormat="false" ht="15" hidden="false" customHeight="false" outlineLevel="0" collapsed="false">
      <c r="A481" s="23"/>
      <c r="B481" s="24"/>
      <c r="C481" s="24"/>
      <c r="D481" s="24"/>
      <c r="E481" s="24"/>
      <c r="F481" s="24"/>
      <c r="G481" s="24"/>
      <c r="H481" s="25" t="str">
        <f aca="false">IF($B481="","",IFERROR(IF(INDEX(명단!$B$5:$B$404,MATCH($B481,명단!$A$5:$A$404,0))="","(이름 미입력)",INDEX(명단!$B$5:$B$404,MATCH($B481,명단!$A$5:$A$404,0))),"번호 없음"))</f>
        <v/>
      </c>
      <c r="I481" s="25" t="str">
        <f aca="false">IF(AND(C481="",D481=""),"",IF(OR(C481="-",D481="-"),"측정불가",IF(AND(ISNUMBER(C481),ISNUMBER(D481)),IF(OR(C481&gt;=설정!$C$11,D481&gt;=설정!$C$12),"긴급",IF(OR(C481&gt;=설정!$C$9,D481&gt;=설정!$C$10,C481&lt;설정!$C$13),"주의","정상")),"확인필요")))</f>
        <v/>
      </c>
      <c r="J481" s="25" t="str">
        <f aca="false">IF(E481="","",IF(E481="-","측정불가",IF(NOT(ISNUMBER(E481)),"확인필요",IF(E481&lt;설정!$C$17,"긴급(저혈당)",IF(E481&gt;=설정!$C$18,"긴급(고혈당)",IF(F481="공복",IF(E481&gt;=설정!$C$15,"주의","정상"),IF(F481="식후",IF(E481&gt;=설정!$C$16,"주의","정상"),"조건확인")))))))</f>
        <v/>
      </c>
      <c r="K481" s="25" t="str">
        <f aca="false">IF(OR(I481="긴급",LEFT(J481,2)="긴급"),"★ 즉시 선생님 호출",IF(OR(I481="주의",J481="주의"),"결과상담에서 확인",IF(J481="조건확인","혈당조건(공복/식후) 선택","")))</f>
        <v/>
      </c>
      <c r="L481" s="25" t="str">
        <f aca="false">IF($B481="","",IF(COUNTIF($B$5:$B$1004,$B481)&gt;1,"중복 입력",""))</f>
        <v/>
      </c>
    </row>
    <row r="482" customFormat="false" ht="15" hidden="false" customHeight="false" outlineLevel="0" collapsed="false">
      <c r="A482" s="23"/>
      <c r="B482" s="24"/>
      <c r="C482" s="24"/>
      <c r="D482" s="24"/>
      <c r="E482" s="24"/>
      <c r="F482" s="24"/>
      <c r="G482" s="24"/>
      <c r="H482" s="25" t="str">
        <f aca="false">IF($B482="","",IFERROR(IF(INDEX(명단!$B$5:$B$404,MATCH($B482,명단!$A$5:$A$404,0))="","(이름 미입력)",INDEX(명단!$B$5:$B$404,MATCH($B482,명단!$A$5:$A$404,0))),"번호 없음"))</f>
        <v/>
      </c>
      <c r="I482" s="25" t="str">
        <f aca="false">IF(AND(C482="",D482=""),"",IF(OR(C482="-",D482="-"),"측정불가",IF(AND(ISNUMBER(C482),ISNUMBER(D482)),IF(OR(C482&gt;=설정!$C$11,D482&gt;=설정!$C$12),"긴급",IF(OR(C482&gt;=설정!$C$9,D482&gt;=설정!$C$10,C482&lt;설정!$C$13),"주의","정상")),"확인필요")))</f>
        <v/>
      </c>
      <c r="J482" s="25" t="str">
        <f aca="false">IF(E482="","",IF(E482="-","측정불가",IF(NOT(ISNUMBER(E482)),"확인필요",IF(E482&lt;설정!$C$17,"긴급(저혈당)",IF(E482&gt;=설정!$C$18,"긴급(고혈당)",IF(F482="공복",IF(E482&gt;=설정!$C$15,"주의","정상"),IF(F482="식후",IF(E482&gt;=설정!$C$16,"주의","정상"),"조건확인")))))))</f>
        <v/>
      </c>
      <c r="K482" s="25" t="str">
        <f aca="false">IF(OR(I482="긴급",LEFT(J482,2)="긴급"),"★ 즉시 선생님 호출",IF(OR(I482="주의",J482="주의"),"결과상담에서 확인",IF(J482="조건확인","혈당조건(공복/식후) 선택","")))</f>
        <v/>
      </c>
      <c r="L482" s="25" t="str">
        <f aca="false">IF($B482="","",IF(COUNTIF($B$5:$B$1004,$B482)&gt;1,"중복 입력",""))</f>
        <v/>
      </c>
    </row>
    <row r="483" customFormat="false" ht="15" hidden="false" customHeight="false" outlineLevel="0" collapsed="false">
      <c r="A483" s="23"/>
      <c r="B483" s="24"/>
      <c r="C483" s="24"/>
      <c r="D483" s="24"/>
      <c r="E483" s="24"/>
      <c r="F483" s="24"/>
      <c r="G483" s="24"/>
      <c r="H483" s="25" t="str">
        <f aca="false">IF($B483="","",IFERROR(IF(INDEX(명단!$B$5:$B$404,MATCH($B483,명단!$A$5:$A$404,0))="","(이름 미입력)",INDEX(명단!$B$5:$B$404,MATCH($B483,명단!$A$5:$A$404,0))),"번호 없음"))</f>
        <v/>
      </c>
      <c r="I483" s="25" t="str">
        <f aca="false">IF(AND(C483="",D483=""),"",IF(OR(C483="-",D483="-"),"측정불가",IF(AND(ISNUMBER(C483),ISNUMBER(D483)),IF(OR(C483&gt;=설정!$C$11,D483&gt;=설정!$C$12),"긴급",IF(OR(C483&gt;=설정!$C$9,D483&gt;=설정!$C$10,C483&lt;설정!$C$13),"주의","정상")),"확인필요")))</f>
        <v/>
      </c>
      <c r="J483" s="25" t="str">
        <f aca="false">IF(E483="","",IF(E483="-","측정불가",IF(NOT(ISNUMBER(E483)),"확인필요",IF(E483&lt;설정!$C$17,"긴급(저혈당)",IF(E483&gt;=설정!$C$18,"긴급(고혈당)",IF(F483="공복",IF(E483&gt;=설정!$C$15,"주의","정상"),IF(F483="식후",IF(E483&gt;=설정!$C$16,"주의","정상"),"조건확인")))))))</f>
        <v/>
      </c>
      <c r="K483" s="25" t="str">
        <f aca="false">IF(OR(I483="긴급",LEFT(J483,2)="긴급"),"★ 즉시 선생님 호출",IF(OR(I483="주의",J483="주의"),"결과상담에서 확인",IF(J483="조건확인","혈당조건(공복/식후) 선택","")))</f>
        <v/>
      </c>
      <c r="L483" s="25" t="str">
        <f aca="false">IF($B483="","",IF(COUNTIF($B$5:$B$1004,$B483)&gt;1,"중복 입력",""))</f>
        <v/>
      </c>
    </row>
    <row r="484" customFormat="false" ht="15" hidden="false" customHeight="false" outlineLevel="0" collapsed="false">
      <c r="A484" s="23"/>
      <c r="B484" s="24"/>
      <c r="C484" s="24"/>
      <c r="D484" s="24"/>
      <c r="E484" s="24"/>
      <c r="F484" s="24"/>
      <c r="G484" s="24"/>
      <c r="H484" s="25" t="str">
        <f aca="false">IF($B484="","",IFERROR(IF(INDEX(명단!$B$5:$B$404,MATCH($B484,명단!$A$5:$A$404,0))="","(이름 미입력)",INDEX(명단!$B$5:$B$404,MATCH($B484,명단!$A$5:$A$404,0))),"번호 없음"))</f>
        <v/>
      </c>
      <c r="I484" s="25" t="str">
        <f aca="false">IF(AND(C484="",D484=""),"",IF(OR(C484="-",D484="-"),"측정불가",IF(AND(ISNUMBER(C484),ISNUMBER(D484)),IF(OR(C484&gt;=설정!$C$11,D484&gt;=설정!$C$12),"긴급",IF(OR(C484&gt;=설정!$C$9,D484&gt;=설정!$C$10,C484&lt;설정!$C$13),"주의","정상")),"확인필요")))</f>
        <v/>
      </c>
      <c r="J484" s="25" t="str">
        <f aca="false">IF(E484="","",IF(E484="-","측정불가",IF(NOT(ISNUMBER(E484)),"확인필요",IF(E484&lt;설정!$C$17,"긴급(저혈당)",IF(E484&gt;=설정!$C$18,"긴급(고혈당)",IF(F484="공복",IF(E484&gt;=설정!$C$15,"주의","정상"),IF(F484="식후",IF(E484&gt;=설정!$C$16,"주의","정상"),"조건확인")))))))</f>
        <v/>
      </c>
      <c r="K484" s="25" t="str">
        <f aca="false">IF(OR(I484="긴급",LEFT(J484,2)="긴급"),"★ 즉시 선생님 호출",IF(OR(I484="주의",J484="주의"),"결과상담에서 확인",IF(J484="조건확인","혈당조건(공복/식후) 선택","")))</f>
        <v/>
      </c>
      <c r="L484" s="25" t="str">
        <f aca="false">IF($B484="","",IF(COUNTIF($B$5:$B$1004,$B484)&gt;1,"중복 입력",""))</f>
        <v/>
      </c>
    </row>
    <row r="485" customFormat="false" ht="15" hidden="false" customHeight="false" outlineLevel="0" collapsed="false">
      <c r="A485" s="23"/>
      <c r="B485" s="24"/>
      <c r="C485" s="24"/>
      <c r="D485" s="24"/>
      <c r="E485" s="24"/>
      <c r="F485" s="24"/>
      <c r="G485" s="24"/>
      <c r="H485" s="25" t="str">
        <f aca="false">IF($B485="","",IFERROR(IF(INDEX(명단!$B$5:$B$404,MATCH($B485,명단!$A$5:$A$404,0))="","(이름 미입력)",INDEX(명단!$B$5:$B$404,MATCH($B485,명단!$A$5:$A$404,0))),"번호 없음"))</f>
        <v/>
      </c>
      <c r="I485" s="25" t="str">
        <f aca="false">IF(AND(C485="",D485=""),"",IF(OR(C485="-",D485="-"),"측정불가",IF(AND(ISNUMBER(C485),ISNUMBER(D485)),IF(OR(C485&gt;=설정!$C$11,D485&gt;=설정!$C$12),"긴급",IF(OR(C485&gt;=설정!$C$9,D485&gt;=설정!$C$10,C485&lt;설정!$C$13),"주의","정상")),"확인필요")))</f>
        <v/>
      </c>
      <c r="J485" s="25" t="str">
        <f aca="false">IF(E485="","",IF(E485="-","측정불가",IF(NOT(ISNUMBER(E485)),"확인필요",IF(E485&lt;설정!$C$17,"긴급(저혈당)",IF(E485&gt;=설정!$C$18,"긴급(고혈당)",IF(F485="공복",IF(E485&gt;=설정!$C$15,"주의","정상"),IF(F485="식후",IF(E485&gt;=설정!$C$16,"주의","정상"),"조건확인")))))))</f>
        <v/>
      </c>
      <c r="K485" s="25" t="str">
        <f aca="false">IF(OR(I485="긴급",LEFT(J485,2)="긴급"),"★ 즉시 선생님 호출",IF(OR(I485="주의",J485="주의"),"결과상담에서 확인",IF(J485="조건확인","혈당조건(공복/식후) 선택","")))</f>
        <v/>
      </c>
      <c r="L485" s="25" t="str">
        <f aca="false">IF($B485="","",IF(COUNTIF($B$5:$B$1004,$B485)&gt;1,"중복 입력",""))</f>
        <v/>
      </c>
    </row>
    <row r="486" customFormat="false" ht="15" hidden="false" customHeight="false" outlineLevel="0" collapsed="false">
      <c r="A486" s="23"/>
      <c r="B486" s="24"/>
      <c r="C486" s="24"/>
      <c r="D486" s="24"/>
      <c r="E486" s="24"/>
      <c r="F486" s="24"/>
      <c r="G486" s="24"/>
      <c r="H486" s="25" t="str">
        <f aca="false">IF($B486="","",IFERROR(IF(INDEX(명단!$B$5:$B$404,MATCH($B486,명단!$A$5:$A$404,0))="","(이름 미입력)",INDEX(명단!$B$5:$B$404,MATCH($B486,명단!$A$5:$A$404,0))),"번호 없음"))</f>
        <v/>
      </c>
      <c r="I486" s="25" t="str">
        <f aca="false">IF(AND(C486="",D486=""),"",IF(OR(C486="-",D486="-"),"측정불가",IF(AND(ISNUMBER(C486),ISNUMBER(D486)),IF(OR(C486&gt;=설정!$C$11,D486&gt;=설정!$C$12),"긴급",IF(OR(C486&gt;=설정!$C$9,D486&gt;=설정!$C$10,C486&lt;설정!$C$13),"주의","정상")),"확인필요")))</f>
        <v/>
      </c>
      <c r="J486" s="25" t="str">
        <f aca="false">IF(E486="","",IF(E486="-","측정불가",IF(NOT(ISNUMBER(E486)),"확인필요",IF(E486&lt;설정!$C$17,"긴급(저혈당)",IF(E486&gt;=설정!$C$18,"긴급(고혈당)",IF(F486="공복",IF(E486&gt;=설정!$C$15,"주의","정상"),IF(F486="식후",IF(E486&gt;=설정!$C$16,"주의","정상"),"조건확인")))))))</f>
        <v/>
      </c>
      <c r="K486" s="25" t="str">
        <f aca="false">IF(OR(I486="긴급",LEFT(J486,2)="긴급"),"★ 즉시 선생님 호출",IF(OR(I486="주의",J486="주의"),"결과상담에서 확인",IF(J486="조건확인","혈당조건(공복/식후) 선택","")))</f>
        <v/>
      </c>
      <c r="L486" s="25" t="str">
        <f aca="false">IF($B486="","",IF(COUNTIF($B$5:$B$1004,$B486)&gt;1,"중복 입력",""))</f>
        <v/>
      </c>
    </row>
    <row r="487" customFormat="false" ht="15" hidden="false" customHeight="false" outlineLevel="0" collapsed="false">
      <c r="A487" s="23"/>
      <c r="B487" s="24"/>
      <c r="C487" s="24"/>
      <c r="D487" s="24"/>
      <c r="E487" s="24"/>
      <c r="F487" s="24"/>
      <c r="G487" s="24"/>
      <c r="H487" s="25" t="str">
        <f aca="false">IF($B487="","",IFERROR(IF(INDEX(명단!$B$5:$B$404,MATCH($B487,명단!$A$5:$A$404,0))="","(이름 미입력)",INDEX(명단!$B$5:$B$404,MATCH($B487,명단!$A$5:$A$404,0))),"번호 없음"))</f>
        <v/>
      </c>
      <c r="I487" s="25" t="str">
        <f aca="false">IF(AND(C487="",D487=""),"",IF(OR(C487="-",D487="-"),"측정불가",IF(AND(ISNUMBER(C487),ISNUMBER(D487)),IF(OR(C487&gt;=설정!$C$11,D487&gt;=설정!$C$12),"긴급",IF(OR(C487&gt;=설정!$C$9,D487&gt;=설정!$C$10,C487&lt;설정!$C$13),"주의","정상")),"확인필요")))</f>
        <v/>
      </c>
      <c r="J487" s="25" t="str">
        <f aca="false">IF(E487="","",IF(E487="-","측정불가",IF(NOT(ISNUMBER(E487)),"확인필요",IF(E487&lt;설정!$C$17,"긴급(저혈당)",IF(E487&gt;=설정!$C$18,"긴급(고혈당)",IF(F487="공복",IF(E487&gt;=설정!$C$15,"주의","정상"),IF(F487="식후",IF(E487&gt;=설정!$C$16,"주의","정상"),"조건확인")))))))</f>
        <v/>
      </c>
      <c r="K487" s="25" t="str">
        <f aca="false">IF(OR(I487="긴급",LEFT(J487,2)="긴급"),"★ 즉시 선생님 호출",IF(OR(I487="주의",J487="주의"),"결과상담에서 확인",IF(J487="조건확인","혈당조건(공복/식후) 선택","")))</f>
        <v/>
      </c>
      <c r="L487" s="25" t="str">
        <f aca="false">IF($B487="","",IF(COUNTIF($B$5:$B$1004,$B487)&gt;1,"중복 입력",""))</f>
        <v/>
      </c>
    </row>
    <row r="488" customFormat="false" ht="15" hidden="false" customHeight="false" outlineLevel="0" collapsed="false">
      <c r="A488" s="23"/>
      <c r="B488" s="24"/>
      <c r="C488" s="24"/>
      <c r="D488" s="24"/>
      <c r="E488" s="24"/>
      <c r="F488" s="24"/>
      <c r="G488" s="24"/>
      <c r="H488" s="25" t="str">
        <f aca="false">IF($B488="","",IFERROR(IF(INDEX(명단!$B$5:$B$404,MATCH($B488,명단!$A$5:$A$404,0))="","(이름 미입력)",INDEX(명단!$B$5:$B$404,MATCH($B488,명단!$A$5:$A$404,0))),"번호 없음"))</f>
        <v/>
      </c>
      <c r="I488" s="25" t="str">
        <f aca="false">IF(AND(C488="",D488=""),"",IF(OR(C488="-",D488="-"),"측정불가",IF(AND(ISNUMBER(C488),ISNUMBER(D488)),IF(OR(C488&gt;=설정!$C$11,D488&gt;=설정!$C$12),"긴급",IF(OR(C488&gt;=설정!$C$9,D488&gt;=설정!$C$10,C488&lt;설정!$C$13),"주의","정상")),"확인필요")))</f>
        <v/>
      </c>
      <c r="J488" s="25" t="str">
        <f aca="false">IF(E488="","",IF(E488="-","측정불가",IF(NOT(ISNUMBER(E488)),"확인필요",IF(E488&lt;설정!$C$17,"긴급(저혈당)",IF(E488&gt;=설정!$C$18,"긴급(고혈당)",IF(F488="공복",IF(E488&gt;=설정!$C$15,"주의","정상"),IF(F488="식후",IF(E488&gt;=설정!$C$16,"주의","정상"),"조건확인")))))))</f>
        <v/>
      </c>
      <c r="K488" s="25" t="str">
        <f aca="false">IF(OR(I488="긴급",LEFT(J488,2)="긴급"),"★ 즉시 선생님 호출",IF(OR(I488="주의",J488="주의"),"결과상담에서 확인",IF(J488="조건확인","혈당조건(공복/식후) 선택","")))</f>
        <v/>
      </c>
      <c r="L488" s="25" t="str">
        <f aca="false">IF($B488="","",IF(COUNTIF($B$5:$B$1004,$B488)&gt;1,"중복 입력",""))</f>
        <v/>
      </c>
    </row>
    <row r="489" customFormat="false" ht="15" hidden="false" customHeight="false" outlineLevel="0" collapsed="false">
      <c r="A489" s="23"/>
      <c r="B489" s="24"/>
      <c r="C489" s="24"/>
      <c r="D489" s="24"/>
      <c r="E489" s="24"/>
      <c r="F489" s="24"/>
      <c r="G489" s="24"/>
      <c r="H489" s="25" t="str">
        <f aca="false">IF($B489="","",IFERROR(IF(INDEX(명단!$B$5:$B$404,MATCH($B489,명단!$A$5:$A$404,0))="","(이름 미입력)",INDEX(명단!$B$5:$B$404,MATCH($B489,명단!$A$5:$A$404,0))),"번호 없음"))</f>
        <v/>
      </c>
      <c r="I489" s="25" t="str">
        <f aca="false">IF(AND(C489="",D489=""),"",IF(OR(C489="-",D489="-"),"측정불가",IF(AND(ISNUMBER(C489),ISNUMBER(D489)),IF(OR(C489&gt;=설정!$C$11,D489&gt;=설정!$C$12),"긴급",IF(OR(C489&gt;=설정!$C$9,D489&gt;=설정!$C$10,C489&lt;설정!$C$13),"주의","정상")),"확인필요")))</f>
        <v/>
      </c>
      <c r="J489" s="25" t="str">
        <f aca="false">IF(E489="","",IF(E489="-","측정불가",IF(NOT(ISNUMBER(E489)),"확인필요",IF(E489&lt;설정!$C$17,"긴급(저혈당)",IF(E489&gt;=설정!$C$18,"긴급(고혈당)",IF(F489="공복",IF(E489&gt;=설정!$C$15,"주의","정상"),IF(F489="식후",IF(E489&gt;=설정!$C$16,"주의","정상"),"조건확인")))))))</f>
        <v/>
      </c>
      <c r="K489" s="25" t="str">
        <f aca="false">IF(OR(I489="긴급",LEFT(J489,2)="긴급"),"★ 즉시 선생님 호출",IF(OR(I489="주의",J489="주의"),"결과상담에서 확인",IF(J489="조건확인","혈당조건(공복/식후) 선택","")))</f>
        <v/>
      </c>
      <c r="L489" s="25" t="str">
        <f aca="false">IF($B489="","",IF(COUNTIF($B$5:$B$1004,$B489)&gt;1,"중복 입력",""))</f>
        <v/>
      </c>
    </row>
    <row r="490" customFormat="false" ht="15" hidden="false" customHeight="false" outlineLevel="0" collapsed="false">
      <c r="A490" s="23"/>
      <c r="B490" s="24"/>
      <c r="C490" s="24"/>
      <c r="D490" s="24"/>
      <c r="E490" s="24"/>
      <c r="F490" s="24"/>
      <c r="G490" s="24"/>
      <c r="H490" s="25" t="str">
        <f aca="false">IF($B490="","",IFERROR(IF(INDEX(명단!$B$5:$B$404,MATCH($B490,명단!$A$5:$A$404,0))="","(이름 미입력)",INDEX(명단!$B$5:$B$404,MATCH($B490,명단!$A$5:$A$404,0))),"번호 없음"))</f>
        <v/>
      </c>
      <c r="I490" s="25" t="str">
        <f aca="false">IF(AND(C490="",D490=""),"",IF(OR(C490="-",D490="-"),"측정불가",IF(AND(ISNUMBER(C490),ISNUMBER(D490)),IF(OR(C490&gt;=설정!$C$11,D490&gt;=설정!$C$12),"긴급",IF(OR(C490&gt;=설정!$C$9,D490&gt;=설정!$C$10,C490&lt;설정!$C$13),"주의","정상")),"확인필요")))</f>
        <v/>
      </c>
      <c r="J490" s="25" t="str">
        <f aca="false">IF(E490="","",IF(E490="-","측정불가",IF(NOT(ISNUMBER(E490)),"확인필요",IF(E490&lt;설정!$C$17,"긴급(저혈당)",IF(E490&gt;=설정!$C$18,"긴급(고혈당)",IF(F490="공복",IF(E490&gt;=설정!$C$15,"주의","정상"),IF(F490="식후",IF(E490&gt;=설정!$C$16,"주의","정상"),"조건확인")))))))</f>
        <v/>
      </c>
      <c r="K490" s="25" t="str">
        <f aca="false">IF(OR(I490="긴급",LEFT(J490,2)="긴급"),"★ 즉시 선생님 호출",IF(OR(I490="주의",J490="주의"),"결과상담에서 확인",IF(J490="조건확인","혈당조건(공복/식후) 선택","")))</f>
        <v/>
      </c>
      <c r="L490" s="25" t="str">
        <f aca="false">IF($B490="","",IF(COUNTIF($B$5:$B$1004,$B490)&gt;1,"중복 입력",""))</f>
        <v/>
      </c>
    </row>
    <row r="491" customFormat="false" ht="15" hidden="false" customHeight="false" outlineLevel="0" collapsed="false">
      <c r="A491" s="23"/>
      <c r="B491" s="24"/>
      <c r="C491" s="24"/>
      <c r="D491" s="24"/>
      <c r="E491" s="24"/>
      <c r="F491" s="24"/>
      <c r="G491" s="24"/>
      <c r="H491" s="25" t="str">
        <f aca="false">IF($B491="","",IFERROR(IF(INDEX(명단!$B$5:$B$404,MATCH($B491,명단!$A$5:$A$404,0))="","(이름 미입력)",INDEX(명단!$B$5:$B$404,MATCH($B491,명단!$A$5:$A$404,0))),"번호 없음"))</f>
        <v/>
      </c>
      <c r="I491" s="25" t="str">
        <f aca="false">IF(AND(C491="",D491=""),"",IF(OR(C491="-",D491="-"),"측정불가",IF(AND(ISNUMBER(C491),ISNUMBER(D491)),IF(OR(C491&gt;=설정!$C$11,D491&gt;=설정!$C$12),"긴급",IF(OR(C491&gt;=설정!$C$9,D491&gt;=설정!$C$10,C491&lt;설정!$C$13),"주의","정상")),"확인필요")))</f>
        <v/>
      </c>
      <c r="J491" s="25" t="str">
        <f aca="false">IF(E491="","",IF(E491="-","측정불가",IF(NOT(ISNUMBER(E491)),"확인필요",IF(E491&lt;설정!$C$17,"긴급(저혈당)",IF(E491&gt;=설정!$C$18,"긴급(고혈당)",IF(F491="공복",IF(E491&gt;=설정!$C$15,"주의","정상"),IF(F491="식후",IF(E491&gt;=설정!$C$16,"주의","정상"),"조건확인")))))))</f>
        <v/>
      </c>
      <c r="K491" s="25" t="str">
        <f aca="false">IF(OR(I491="긴급",LEFT(J491,2)="긴급"),"★ 즉시 선생님 호출",IF(OR(I491="주의",J491="주의"),"결과상담에서 확인",IF(J491="조건확인","혈당조건(공복/식후) 선택","")))</f>
        <v/>
      </c>
      <c r="L491" s="25" t="str">
        <f aca="false">IF($B491="","",IF(COUNTIF($B$5:$B$1004,$B491)&gt;1,"중복 입력",""))</f>
        <v/>
      </c>
    </row>
    <row r="492" customFormat="false" ht="15" hidden="false" customHeight="false" outlineLevel="0" collapsed="false">
      <c r="A492" s="23"/>
      <c r="B492" s="24"/>
      <c r="C492" s="24"/>
      <c r="D492" s="24"/>
      <c r="E492" s="24"/>
      <c r="F492" s="24"/>
      <c r="G492" s="24"/>
      <c r="H492" s="25" t="str">
        <f aca="false">IF($B492="","",IFERROR(IF(INDEX(명단!$B$5:$B$404,MATCH($B492,명단!$A$5:$A$404,0))="","(이름 미입력)",INDEX(명단!$B$5:$B$404,MATCH($B492,명단!$A$5:$A$404,0))),"번호 없음"))</f>
        <v/>
      </c>
      <c r="I492" s="25" t="str">
        <f aca="false">IF(AND(C492="",D492=""),"",IF(OR(C492="-",D492="-"),"측정불가",IF(AND(ISNUMBER(C492),ISNUMBER(D492)),IF(OR(C492&gt;=설정!$C$11,D492&gt;=설정!$C$12),"긴급",IF(OR(C492&gt;=설정!$C$9,D492&gt;=설정!$C$10,C492&lt;설정!$C$13),"주의","정상")),"확인필요")))</f>
        <v/>
      </c>
      <c r="J492" s="25" t="str">
        <f aca="false">IF(E492="","",IF(E492="-","측정불가",IF(NOT(ISNUMBER(E492)),"확인필요",IF(E492&lt;설정!$C$17,"긴급(저혈당)",IF(E492&gt;=설정!$C$18,"긴급(고혈당)",IF(F492="공복",IF(E492&gt;=설정!$C$15,"주의","정상"),IF(F492="식후",IF(E492&gt;=설정!$C$16,"주의","정상"),"조건확인")))))))</f>
        <v/>
      </c>
      <c r="K492" s="25" t="str">
        <f aca="false">IF(OR(I492="긴급",LEFT(J492,2)="긴급"),"★ 즉시 선생님 호출",IF(OR(I492="주의",J492="주의"),"결과상담에서 확인",IF(J492="조건확인","혈당조건(공복/식후) 선택","")))</f>
        <v/>
      </c>
      <c r="L492" s="25" t="str">
        <f aca="false">IF($B492="","",IF(COUNTIF($B$5:$B$1004,$B492)&gt;1,"중복 입력",""))</f>
        <v/>
      </c>
    </row>
    <row r="493" customFormat="false" ht="15" hidden="false" customHeight="false" outlineLevel="0" collapsed="false">
      <c r="A493" s="23"/>
      <c r="B493" s="24"/>
      <c r="C493" s="24"/>
      <c r="D493" s="24"/>
      <c r="E493" s="24"/>
      <c r="F493" s="24"/>
      <c r="G493" s="24"/>
      <c r="H493" s="25" t="str">
        <f aca="false">IF($B493="","",IFERROR(IF(INDEX(명단!$B$5:$B$404,MATCH($B493,명단!$A$5:$A$404,0))="","(이름 미입력)",INDEX(명단!$B$5:$B$404,MATCH($B493,명단!$A$5:$A$404,0))),"번호 없음"))</f>
        <v/>
      </c>
      <c r="I493" s="25" t="str">
        <f aca="false">IF(AND(C493="",D493=""),"",IF(OR(C493="-",D493="-"),"측정불가",IF(AND(ISNUMBER(C493),ISNUMBER(D493)),IF(OR(C493&gt;=설정!$C$11,D493&gt;=설정!$C$12),"긴급",IF(OR(C493&gt;=설정!$C$9,D493&gt;=설정!$C$10,C493&lt;설정!$C$13),"주의","정상")),"확인필요")))</f>
        <v/>
      </c>
      <c r="J493" s="25" t="str">
        <f aca="false">IF(E493="","",IF(E493="-","측정불가",IF(NOT(ISNUMBER(E493)),"확인필요",IF(E493&lt;설정!$C$17,"긴급(저혈당)",IF(E493&gt;=설정!$C$18,"긴급(고혈당)",IF(F493="공복",IF(E493&gt;=설정!$C$15,"주의","정상"),IF(F493="식후",IF(E493&gt;=설정!$C$16,"주의","정상"),"조건확인")))))))</f>
        <v/>
      </c>
      <c r="K493" s="25" t="str">
        <f aca="false">IF(OR(I493="긴급",LEFT(J493,2)="긴급"),"★ 즉시 선생님 호출",IF(OR(I493="주의",J493="주의"),"결과상담에서 확인",IF(J493="조건확인","혈당조건(공복/식후) 선택","")))</f>
        <v/>
      </c>
      <c r="L493" s="25" t="str">
        <f aca="false">IF($B493="","",IF(COUNTIF($B$5:$B$1004,$B493)&gt;1,"중복 입력",""))</f>
        <v/>
      </c>
    </row>
    <row r="494" customFormat="false" ht="15" hidden="false" customHeight="false" outlineLevel="0" collapsed="false">
      <c r="A494" s="23"/>
      <c r="B494" s="24"/>
      <c r="C494" s="24"/>
      <c r="D494" s="24"/>
      <c r="E494" s="24"/>
      <c r="F494" s="24"/>
      <c r="G494" s="24"/>
      <c r="H494" s="25" t="str">
        <f aca="false">IF($B494="","",IFERROR(IF(INDEX(명단!$B$5:$B$404,MATCH($B494,명단!$A$5:$A$404,0))="","(이름 미입력)",INDEX(명단!$B$5:$B$404,MATCH($B494,명단!$A$5:$A$404,0))),"번호 없음"))</f>
        <v/>
      </c>
      <c r="I494" s="25" t="str">
        <f aca="false">IF(AND(C494="",D494=""),"",IF(OR(C494="-",D494="-"),"측정불가",IF(AND(ISNUMBER(C494),ISNUMBER(D494)),IF(OR(C494&gt;=설정!$C$11,D494&gt;=설정!$C$12),"긴급",IF(OR(C494&gt;=설정!$C$9,D494&gt;=설정!$C$10,C494&lt;설정!$C$13),"주의","정상")),"확인필요")))</f>
        <v/>
      </c>
      <c r="J494" s="25" t="str">
        <f aca="false">IF(E494="","",IF(E494="-","측정불가",IF(NOT(ISNUMBER(E494)),"확인필요",IF(E494&lt;설정!$C$17,"긴급(저혈당)",IF(E494&gt;=설정!$C$18,"긴급(고혈당)",IF(F494="공복",IF(E494&gt;=설정!$C$15,"주의","정상"),IF(F494="식후",IF(E494&gt;=설정!$C$16,"주의","정상"),"조건확인")))))))</f>
        <v/>
      </c>
      <c r="K494" s="25" t="str">
        <f aca="false">IF(OR(I494="긴급",LEFT(J494,2)="긴급"),"★ 즉시 선생님 호출",IF(OR(I494="주의",J494="주의"),"결과상담에서 확인",IF(J494="조건확인","혈당조건(공복/식후) 선택","")))</f>
        <v/>
      </c>
      <c r="L494" s="25" t="str">
        <f aca="false">IF($B494="","",IF(COUNTIF($B$5:$B$1004,$B494)&gt;1,"중복 입력",""))</f>
        <v/>
      </c>
    </row>
    <row r="495" customFormat="false" ht="15" hidden="false" customHeight="false" outlineLevel="0" collapsed="false">
      <c r="A495" s="23"/>
      <c r="B495" s="24"/>
      <c r="C495" s="24"/>
      <c r="D495" s="24"/>
      <c r="E495" s="24"/>
      <c r="F495" s="24"/>
      <c r="G495" s="24"/>
      <c r="H495" s="25" t="str">
        <f aca="false">IF($B495="","",IFERROR(IF(INDEX(명단!$B$5:$B$404,MATCH($B495,명단!$A$5:$A$404,0))="","(이름 미입력)",INDEX(명단!$B$5:$B$404,MATCH($B495,명단!$A$5:$A$404,0))),"번호 없음"))</f>
        <v/>
      </c>
      <c r="I495" s="25" t="str">
        <f aca="false">IF(AND(C495="",D495=""),"",IF(OR(C495="-",D495="-"),"측정불가",IF(AND(ISNUMBER(C495),ISNUMBER(D495)),IF(OR(C495&gt;=설정!$C$11,D495&gt;=설정!$C$12),"긴급",IF(OR(C495&gt;=설정!$C$9,D495&gt;=설정!$C$10,C495&lt;설정!$C$13),"주의","정상")),"확인필요")))</f>
        <v/>
      </c>
      <c r="J495" s="25" t="str">
        <f aca="false">IF(E495="","",IF(E495="-","측정불가",IF(NOT(ISNUMBER(E495)),"확인필요",IF(E495&lt;설정!$C$17,"긴급(저혈당)",IF(E495&gt;=설정!$C$18,"긴급(고혈당)",IF(F495="공복",IF(E495&gt;=설정!$C$15,"주의","정상"),IF(F495="식후",IF(E495&gt;=설정!$C$16,"주의","정상"),"조건확인")))))))</f>
        <v/>
      </c>
      <c r="K495" s="25" t="str">
        <f aca="false">IF(OR(I495="긴급",LEFT(J495,2)="긴급"),"★ 즉시 선생님 호출",IF(OR(I495="주의",J495="주의"),"결과상담에서 확인",IF(J495="조건확인","혈당조건(공복/식후) 선택","")))</f>
        <v/>
      </c>
      <c r="L495" s="25" t="str">
        <f aca="false">IF($B495="","",IF(COUNTIF($B$5:$B$1004,$B495)&gt;1,"중복 입력",""))</f>
        <v/>
      </c>
    </row>
    <row r="496" customFormat="false" ht="15" hidden="false" customHeight="false" outlineLevel="0" collapsed="false">
      <c r="A496" s="23"/>
      <c r="B496" s="24"/>
      <c r="C496" s="24"/>
      <c r="D496" s="24"/>
      <c r="E496" s="24"/>
      <c r="F496" s="24"/>
      <c r="G496" s="24"/>
      <c r="H496" s="25" t="str">
        <f aca="false">IF($B496="","",IFERROR(IF(INDEX(명단!$B$5:$B$404,MATCH($B496,명단!$A$5:$A$404,0))="","(이름 미입력)",INDEX(명단!$B$5:$B$404,MATCH($B496,명단!$A$5:$A$404,0))),"번호 없음"))</f>
        <v/>
      </c>
      <c r="I496" s="25" t="str">
        <f aca="false">IF(AND(C496="",D496=""),"",IF(OR(C496="-",D496="-"),"측정불가",IF(AND(ISNUMBER(C496),ISNUMBER(D496)),IF(OR(C496&gt;=설정!$C$11,D496&gt;=설정!$C$12),"긴급",IF(OR(C496&gt;=설정!$C$9,D496&gt;=설정!$C$10,C496&lt;설정!$C$13),"주의","정상")),"확인필요")))</f>
        <v/>
      </c>
      <c r="J496" s="25" t="str">
        <f aca="false">IF(E496="","",IF(E496="-","측정불가",IF(NOT(ISNUMBER(E496)),"확인필요",IF(E496&lt;설정!$C$17,"긴급(저혈당)",IF(E496&gt;=설정!$C$18,"긴급(고혈당)",IF(F496="공복",IF(E496&gt;=설정!$C$15,"주의","정상"),IF(F496="식후",IF(E496&gt;=설정!$C$16,"주의","정상"),"조건확인")))))))</f>
        <v/>
      </c>
      <c r="K496" s="25" t="str">
        <f aca="false">IF(OR(I496="긴급",LEFT(J496,2)="긴급"),"★ 즉시 선생님 호출",IF(OR(I496="주의",J496="주의"),"결과상담에서 확인",IF(J496="조건확인","혈당조건(공복/식후) 선택","")))</f>
        <v/>
      </c>
      <c r="L496" s="25" t="str">
        <f aca="false">IF($B496="","",IF(COUNTIF($B$5:$B$1004,$B496)&gt;1,"중복 입력",""))</f>
        <v/>
      </c>
    </row>
    <row r="497" customFormat="false" ht="15" hidden="false" customHeight="false" outlineLevel="0" collapsed="false">
      <c r="A497" s="23"/>
      <c r="B497" s="24"/>
      <c r="C497" s="24"/>
      <c r="D497" s="24"/>
      <c r="E497" s="24"/>
      <c r="F497" s="24"/>
      <c r="G497" s="24"/>
      <c r="H497" s="25" t="str">
        <f aca="false">IF($B497="","",IFERROR(IF(INDEX(명단!$B$5:$B$404,MATCH($B497,명단!$A$5:$A$404,0))="","(이름 미입력)",INDEX(명단!$B$5:$B$404,MATCH($B497,명단!$A$5:$A$404,0))),"번호 없음"))</f>
        <v/>
      </c>
      <c r="I497" s="25" t="str">
        <f aca="false">IF(AND(C497="",D497=""),"",IF(OR(C497="-",D497="-"),"측정불가",IF(AND(ISNUMBER(C497),ISNUMBER(D497)),IF(OR(C497&gt;=설정!$C$11,D497&gt;=설정!$C$12),"긴급",IF(OR(C497&gt;=설정!$C$9,D497&gt;=설정!$C$10,C497&lt;설정!$C$13),"주의","정상")),"확인필요")))</f>
        <v/>
      </c>
      <c r="J497" s="25" t="str">
        <f aca="false">IF(E497="","",IF(E497="-","측정불가",IF(NOT(ISNUMBER(E497)),"확인필요",IF(E497&lt;설정!$C$17,"긴급(저혈당)",IF(E497&gt;=설정!$C$18,"긴급(고혈당)",IF(F497="공복",IF(E497&gt;=설정!$C$15,"주의","정상"),IF(F497="식후",IF(E497&gt;=설정!$C$16,"주의","정상"),"조건확인")))))))</f>
        <v/>
      </c>
      <c r="K497" s="25" t="str">
        <f aca="false">IF(OR(I497="긴급",LEFT(J497,2)="긴급"),"★ 즉시 선생님 호출",IF(OR(I497="주의",J497="주의"),"결과상담에서 확인",IF(J497="조건확인","혈당조건(공복/식후) 선택","")))</f>
        <v/>
      </c>
      <c r="L497" s="25" t="str">
        <f aca="false">IF($B497="","",IF(COUNTIF($B$5:$B$1004,$B497)&gt;1,"중복 입력",""))</f>
        <v/>
      </c>
    </row>
    <row r="498" customFormat="false" ht="15" hidden="false" customHeight="false" outlineLevel="0" collapsed="false">
      <c r="A498" s="23"/>
      <c r="B498" s="24"/>
      <c r="C498" s="24"/>
      <c r="D498" s="24"/>
      <c r="E498" s="24"/>
      <c r="F498" s="24"/>
      <c r="G498" s="24"/>
      <c r="H498" s="25" t="str">
        <f aca="false">IF($B498="","",IFERROR(IF(INDEX(명단!$B$5:$B$404,MATCH($B498,명단!$A$5:$A$404,0))="","(이름 미입력)",INDEX(명단!$B$5:$B$404,MATCH($B498,명단!$A$5:$A$404,0))),"번호 없음"))</f>
        <v/>
      </c>
      <c r="I498" s="25" t="str">
        <f aca="false">IF(AND(C498="",D498=""),"",IF(OR(C498="-",D498="-"),"측정불가",IF(AND(ISNUMBER(C498),ISNUMBER(D498)),IF(OR(C498&gt;=설정!$C$11,D498&gt;=설정!$C$12),"긴급",IF(OR(C498&gt;=설정!$C$9,D498&gt;=설정!$C$10,C498&lt;설정!$C$13),"주의","정상")),"확인필요")))</f>
        <v/>
      </c>
      <c r="J498" s="25" t="str">
        <f aca="false">IF(E498="","",IF(E498="-","측정불가",IF(NOT(ISNUMBER(E498)),"확인필요",IF(E498&lt;설정!$C$17,"긴급(저혈당)",IF(E498&gt;=설정!$C$18,"긴급(고혈당)",IF(F498="공복",IF(E498&gt;=설정!$C$15,"주의","정상"),IF(F498="식후",IF(E498&gt;=설정!$C$16,"주의","정상"),"조건확인")))))))</f>
        <v/>
      </c>
      <c r="K498" s="25" t="str">
        <f aca="false">IF(OR(I498="긴급",LEFT(J498,2)="긴급"),"★ 즉시 선생님 호출",IF(OR(I498="주의",J498="주의"),"결과상담에서 확인",IF(J498="조건확인","혈당조건(공복/식후) 선택","")))</f>
        <v/>
      </c>
      <c r="L498" s="25" t="str">
        <f aca="false">IF($B498="","",IF(COUNTIF($B$5:$B$1004,$B498)&gt;1,"중복 입력",""))</f>
        <v/>
      </c>
    </row>
    <row r="499" customFormat="false" ht="15" hidden="false" customHeight="false" outlineLevel="0" collapsed="false">
      <c r="A499" s="23"/>
      <c r="B499" s="24"/>
      <c r="C499" s="24"/>
      <c r="D499" s="24"/>
      <c r="E499" s="24"/>
      <c r="F499" s="24"/>
      <c r="G499" s="24"/>
      <c r="H499" s="25" t="str">
        <f aca="false">IF($B499="","",IFERROR(IF(INDEX(명단!$B$5:$B$404,MATCH($B499,명단!$A$5:$A$404,0))="","(이름 미입력)",INDEX(명단!$B$5:$B$404,MATCH($B499,명단!$A$5:$A$404,0))),"번호 없음"))</f>
        <v/>
      </c>
      <c r="I499" s="25" t="str">
        <f aca="false">IF(AND(C499="",D499=""),"",IF(OR(C499="-",D499="-"),"측정불가",IF(AND(ISNUMBER(C499),ISNUMBER(D499)),IF(OR(C499&gt;=설정!$C$11,D499&gt;=설정!$C$12),"긴급",IF(OR(C499&gt;=설정!$C$9,D499&gt;=설정!$C$10,C499&lt;설정!$C$13),"주의","정상")),"확인필요")))</f>
        <v/>
      </c>
      <c r="J499" s="25" t="str">
        <f aca="false">IF(E499="","",IF(E499="-","측정불가",IF(NOT(ISNUMBER(E499)),"확인필요",IF(E499&lt;설정!$C$17,"긴급(저혈당)",IF(E499&gt;=설정!$C$18,"긴급(고혈당)",IF(F499="공복",IF(E499&gt;=설정!$C$15,"주의","정상"),IF(F499="식후",IF(E499&gt;=설정!$C$16,"주의","정상"),"조건확인")))))))</f>
        <v/>
      </c>
      <c r="K499" s="25" t="str">
        <f aca="false">IF(OR(I499="긴급",LEFT(J499,2)="긴급"),"★ 즉시 선생님 호출",IF(OR(I499="주의",J499="주의"),"결과상담에서 확인",IF(J499="조건확인","혈당조건(공복/식후) 선택","")))</f>
        <v/>
      </c>
      <c r="L499" s="25" t="str">
        <f aca="false">IF($B499="","",IF(COUNTIF($B$5:$B$1004,$B499)&gt;1,"중복 입력",""))</f>
        <v/>
      </c>
    </row>
    <row r="500" customFormat="false" ht="15" hidden="false" customHeight="false" outlineLevel="0" collapsed="false">
      <c r="A500" s="23"/>
      <c r="B500" s="24"/>
      <c r="C500" s="24"/>
      <c r="D500" s="24"/>
      <c r="E500" s="24"/>
      <c r="F500" s="24"/>
      <c r="G500" s="24"/>
      <c r="H500" s="25" t="str">
        <f aca="false">IF($B500="","",IFERROR(IF(INDEX(명단!$B$5:$B$404,MATCH($B500,명단!$A$5:$A$404,0))="","(이름 미입력)",INDEX(명단!$B$5:$B$404,MATCH($B500,명단!$A$5:$A$404,0))),"번호 없음"))</f>
        <v/>
      </c>
      <c r="I500" s="25" t="str">
        <f aca="false">IF(AND(C500="",D500=""),"",IF(OR(C500="-",D500="-"),"측정불가",IF(AND(ISNUMBER(C500),ISNUMBER(D500)),IF(OR(C500&gt;=설정!$C$11,D500&gt;=설정!$C$12),"긴급",IF(OR(C500&gt;=설정!$C$9,D500&gt;=설정!$C$10,C500&lt;설정!$C$13),"주의","정상")),"확인필요")))</f>
        <v/>
      </c>
      <c r="J500" s="25" t="str">
        <f aca="false">IF(E500="","",IF(E500="-","측정불가",IF(NOT(ISNUMBER(E500)),"확인필요",IF(E500&lt;설정!$C$17,"긴급(저혈당)",IF(E500&gt;=설정!$C$18,"긴급(고혈당)",IF(F500="공복",IF(E500&gt;=설정!$C$15,"주의","정상"),IF(F500="식후",IF(E500&gt;=설정!$C$16,"주의","정상"),"조건확인")))))))</f>
        <v/>
      </c>
      <c r="K500" s="25" t="str">
        <f aca="false">IF(OR(I500="긴급",LEFT(J500,2)="긴급"),"★ 즉시 선생님 호출",IF(OR(I500="주의",J500="주의"),"결과상담에서 확인",IF(J500="조건확인","혈당조건(공복/식후) 선택","")))</f>
        <v/>
      </c>
      <c r="L500" s="25" t="str">
        <f aca="false">IF($B500="","",IF(COUNTIF($B$5:$B$1004,$B500)&gt;1,"중복 입력",""))</f>
        <v/>
      </c>
    </row>
    <row r="501" customFormat="false" ht="15" hidden="false" customHeight="false" outlineLevel="0" collapsed="false">
      <c r="A501" s="23"/>
      <c r="B501" s="24"/>
      <c r="C501" s="24"/>
      <c r="D501" s="24"/>
      <c r="E501" s="24"/>
      <c r="F501" s="24"/>
      <c r="G501" s="24"/>
      <c r="H501" s="25" t="str">
        <f aca="false">IF($B501="","",IFERROR(IF(INDEX(명단!$B$5:$B$404,MATCH($B501,명단!$A$5:$A$404,0))="","(이름 미입력)",INDEX(명단!$B$5:$B$404,MATCH($B501,명단!$A$5:$A$404,0))),"번호 없음"))</f>
        <v/>
      </c>
      <c r="I501" s="25" t="str">
        <f aca="false">IF(AND(C501="",D501=""),"",IF(OR(C501="-",D501="-"),"측정불가",IF(AND(ISNUMBER(C501),ISNUMBER(D501)),IF(OR(C501&gt;=설정!$C$11,D501&gt;=설정!$C$12),"긴급",IF(OR(C501&gt;=설정!$C$9,D501&gt;=설정!$C$10,C501&lt;설정!$C$13),"주의","정상")),"확인필요")))</f>
        <v/>
      </c>
      <c r="J501" s="25" t="str">
        <f aca="false">IF(E501="","",IF(E501="-","측정불가",IF(NOT(ISNUMBER(E501)),"확인필요",IF(E501&lt;설정!$C$17,"긴급(저혈당)",IF(E501&gt;=설정!$C$18,"긴급(고혈당)",IF(F501="공복",IF(E501&gt;=설정!$C$15,"주의","정상"),IF(F501="식후",IF(E501&gt;=설정!$C$16,"주의","정상"),"조건확인")))))))</f>
        <v/>
      </c>
      <c r="K501" s="25" t="str">
        <f aca="false">IF(OR(I501="긴급",LEFT(J501,2)="긴급"),"★ 즉시 선생님 호출",IF(OR(I501="주의",J501="주의"),"결과상담에서 확인",IF(J501="조건확인","혈당조건(공복/식후) 선택","")))</f>
        <v/>
      </c>
      <c r="L501" s="25" t="str">
        <f aca="false">IF($B501="","",IF(COUNTIF($B$5:$B$1004,$B501)&gt;1,"중복 입력",""))</f>
        <v/>
      </c>
    </row>
    <row r="502" customFormat="false" ht="15" hidden="false" customHeight="false" outlineLevel="0" collapsed="false">
      <c r="A502" s="23"/>
      <c r="B502" s="24"/>
      <c r="C502" s="24"/>
      <c r="D502" s="24"/>
      <c r="E502" s="24"/>
      <c r="F502" s="24"/>
      <c r="G502" s="24"/>
      <c r="H502" s="25" t="str">
        <f aca="false">IF($B502="","",IFERROR(IF(INDEX(명단!$B$5:$B$404,MATCH($B502,명단!$A$5:$A$404,0))="","(이름 미입력)",INDEX(명단!$B$5:$B$404,MATCH($B502,명단!$A$5:$A$404,0))),"번호 없음"))</f>
        <v/>
      </c>
      <c r="I502" s="25" t="str">
        <f aca="false">IF(AND(C502="",D502=""),"",IF(OR(C502="-",D502="-"),"측정불가",IF(AND(ISNUMBER(C502),ISNUMBER(D502)),IF(OR(C502&gt;=설정!$C$11,D502&gt;=설정!$C$12),"긴급",IF(OR(C502&gt;=설정!$C$9,D502&gt;=설정!$C$10,C502&lt;설정!$C$13),"주의","정상")),"확인필요")))</f>
        <v/>
      </c>
      <c r="J502" s="25" t="str">
        <f aca="false">IF(E502="","",IF(E502="-","측정불가",IF(NOT(ISNUMBER(E502)),"확인필요",IF(E502&lt;설정!$C$17,"긴급(저혈당)",IF(E502&gt;=설정!$C$18,"긴급(고혈당)",IF(F502="공복",IF(E502&gt;=설정!$C$15,"주의","정상"),IF(F502="식후",IF(E502&gt;=설정!$C$16,"주의","정상"),"조건확인")))))))</f>
        <v/>
      </c>
      <c r="K502" s="25" t="str">
        <f aca="false">IF(OR(I502="긴급",LEFT(J502,2)="긴급"),"★ 즉시 선생님 호출",IF(OR(I502="주의",J502="주의"),"결과상담에서 확인",IF(J502="조건확인","혈당조건(공복/식후) 선택","")))</f>
        <v/>
      </c>
      <c r="L502" s="25" t="str">
        <f aca="false">IF($B502="","",IF(COUNTIF($B$5:$B$1004,$B502)&gt;1,"중복 입력",""))</f>
        <v/>
      </c>
    </row>
    <row r="503" customFormat="false" ht="15" hidden="false" customHeight="false" outlineLevel="0" collapsed="false">
      <c r="A503" s="23"/>
      <c r="B503" s="24"/>
      <c r="C503" s="24"/>
      <c r="D503" s="24"/>
      <c r="E503" s="24"/>
      <c r="F503" s="24"/>
      <c r="G503" s="24"/>
      <c r="H503" s="25" t="str">
        <f aca="false">IF($B503="","",IFERROR(IF(INDEX(명단!$B$5:$B$404,MATCH($B503,명단!$A$5:$A$404,0))="","(이름 미입력)",INDEX(명단!$B$5:$B$404,MATCH($B503,명단!$A$5:$A$404,0))),"번호 없음"))</f>
        <v/>
      </c>
      <c r="I503" s="25" t="str">
        <f aca="false">IF(AND(C503="",D503=""),"",IF(OR(C503="-",D503="-"),"측정불가",IF(AND(ISNUMBER(C503),ISNUMBER(D503)),IF(OR(C503&gt;=설정!$C$11,D503&gt;=설정!$C$12),"긴급",IF(OR(C503&gt;=설정!$C$9,D503&gt;=설정!$C$10,C503&lt;설정!$C$13),"주의","정상")),"확인필요")))</f>
        <v/>
      </c>
      <c r="J503" s="25" t="str">
        <f aca="false">IF(E503="","",IF(E503="-","측정불가",IF(NOT(ISNUMBER(E503)),"확인필요",IF(E503&lt;설정!$C$17,"긴급(저혈당)",IF(E503&gt;=설정!$C$18,"긴급(고혈당)",IF(F503="공복",IF(E503&gt;=설정!$C$15,"주의","정상"),IF(F503="식후",IF(E503&gt;=설정!$C$16,"주의","정상"),"조건확인")))))))</f>
        <v/>
      </c>
      <c r="K503" s="25" t="str">
        <f aca="false">IF(OR(I503="긴급",LEFT(J503,2)="긴급"),"★ 즉시 선생님 호출",IF(OR(I503="주의",J503="주의"),"결과상담에서 확인",IF(J503="조건확인","혈당조건(공복/식후) 선택","")))</f>
        <v/>
      </c>
      <c r="L503" s="25" t="str">
        <f aca="false">IF($B503="","",IF(COUNTIF($B$5:$B$1004,$B503)&gt;1,"중복 입력",""))</f>
        <v/>
      </c>
    </row>
    <row r="504" customFormat="false" ht="15" hidden="false" customHeight="false" outlineLevel="0" collapsed="false">
      <c r="A504" s="23"/>
      <c r="B504" s="24"/>
      <c r="C504" s="24"/>
      <c r="D504" s="24"/>
      <c r="E504" s="24"/>
      <c r="F504" s="24"/>
      <c r="G504" s="24"/>
      <c r="H504" s="25" t="str">
        <f aca="false">IF($B504="","",IFERROR(IF(INDEX(명단!$B$5:$B$404,MATCH($B504,명단!$A$5:$A$404,0))="","(이름 미입력)",INDEX(명단!$B$5:$B$404,MATCH($B504,명단!$A$5:$A$404,0))),"번호 없음"))</f>
        <v/>
      </c>
      <c r="I504" s="25" t="str">
        <f aca="false">IF(AND(C504="",D504=""),"",IF(OR(C504="-",D504="-"),"측정불가",IF(AND(ISNUMBER(C504),ISNUMBER(D504)),IF(OR(C504&gt;=설정!$C$11,D504&gt;=설정!$C$12),"긴급",IF(OR(C504&gt;=설정!$C$9,D504&gt;=설정!$C$10,C504&lt;설정!$C$13),"주의","정상")),"확인필요")))</f>
        <v/>
      </c>
      <c r="J504" s="25" t="str">
        <f aca="false">IF(E504="","",IF(E504="-","측정불가",IF(NOT(ISNUMBER(E504)),"확인필요",IF(E504&lt;설정!$C$17,"긴급(저혈당)",IF(E504&gt;=설정!$C$18,"긴급(고혈당)",IF(F504="공복",IF(E504&gt;=설정!$C$15,"주의","정상"),IF(F504="식후",IF(E504&gt;=설정!$C$16,"주의","정상"),"조건확인")))))))</f>
        <v/>
      </c>
      <c r="K504" s="25" t="str">
        <f aca="false">IF(OR(I504="긴급",LEFT(J504,2)="긴급"),"★ 즉시 선생님 호출",IF(OR(I504="주의",J504="주의"),"결과상담에서 확인",IF(J504="조건확인","혈당조건(공복/식후) 선택","")))</f>
        <v/>
      </c>
      <c r="L504" s="25" t="str">
        <f aca="false">IF($B504="","",IF(COUNTIF($B$5:$B$1004,$B504)&gt;1,"중복 입력",""))</f>
        <v/>
      </c>
    </row>
    <row r="505" customFormat="false" ht="15" hidden="false" customHeight="false" outlineLevel="0" collapsed="false">
      <c r="A505" s="23"/>
      <c r="B505" s="24"/>
      <c r="C505" s="24"/>
      <c r="D505" s="24"/>
      <c r="E505" s="24"/>
      <c r="F505" s="24"/>
      <c r="G505" s="24"/>
      <c r="H505" s="25" t="str">
        <f aca="false">IF($B505="","",IFERROR(IF(INDEX(명단!$B$5:$B$404,MATCH($B505,명단!$A$5:$A$404,0))="","(이름 미입력)",INDEX(명단!$B$5:$B$404,MATCH($B505,명단!$A$5:$A$404,0))),"번호 없음"))</f>
        <v/>
      </c>
      <c r="I505" s="25" t="str">
        <f aca="false">IF(AND(C505="",D505=""),"",IF(OR(C505="-",D505="-"),"측정불가",IF(AND(ISNUMBER(C505),ISNUMBER(D505)),IF(OR(C505&gt;=설정!$C$11,D505&gt;=설정!$C$12),"긴급",IF(OR(C505&gt;=설정!$C$9,D505&gt;=설정!$C$10,C505&lt;설정!$C$13),"주의","정상")),"확인필요")))</f>
        <v/>
      </c>
      <c r="J505" s="25" t="str">
        <f aca="false">IF(E505="","",IF(E505="-","측정불가",IF(NOT(ISNUMBER(E505)),"확인필요",IF(E505&lt;설정!$C$17,"긴급(저혈당)",IF(E505&gt;=설정!$C$18,"긴급(고혈당)",IF(F505="공복",IF(E505&gt;=설정!$C$15,"주의","정상"),IF(F505="식후",IF(E505&gt;=설정!$C$16,"주의","정상"),"조건확인")))))))</f>
        <v/>
      </c>
      <c r="K505" s="25" t="str">
        <f aca="false">IF(OR(I505="긴급",LEFT(J505,2)="긴급"),"★ 즉시 선생님 호출",IF(OR(I505="주의",J505="주의"),"결과상담에서 확인",IF(J505="조건확인","혈당조건(공복/식후) 선택","")))</f>
        <v/>
      </c>
      <c r="L505" s="25" t="str">
        <f aca="false">IF($B505="","",IF(COUNTIF($B$5:$B$1004,$B505)&gt;1,"중복 입력",""))</f>
        <v/>
      </c>
    </row>
    <row r="506" customFormat="false" ht="15" hidden="false" customHeight="false" outlineLevel="0" collapsed="false">
      <c r="A506" s="23"/>
      <c r="B506" s="24"/>
      <c r="C506" s="24"/>
      <c r="D506" s="24"/>
      <c r="E506" s="24"/>
      <c r="F506" s="24"/>
      <c r="G506" s="24"/>
      <c r="H506" s="25" t="str">
        <f aca="false">IF($B506="","",IFERROR(IF(INDEX(명단!$B$5:$B$404,MATCH($B506,명단!$A$5:$A$404,0))="","(이름 미입력)",INDEX(명단!$B$5:$B$404,MATCH($B506,명단!$A$5:$A$404,0))),"번호 없음"))</f>
        <v/>
      </c>
      <c r="I506" s="25" t="str">
        <f aca="false">IF(AND(C506="",D506=""),"",IF(OR(C506="-",D506="-"),"측정불가",IF(AND(ISNUMBER(C506),ISNUMBER(D506)),IF(OR(C506&gt;=설정!$C$11,D506&gt;=설정!$C$12),"긴급",IF(OR(C506&gt;=설정!$C$9,D506&gt;=설정!$C$10,C506&lt;설정!$C$13),"주의","정상")),"확인필요")))</f>
        <v/>
      </c>
      <c r="J506" s="25" t="str">
        <f aca="false">IF(E506="","",IF(E506="-","측정불가",IF(NOT(ISNUMBER(E506)),"확인필요",IF(E506&lt;설정!$C$17,"긴급(저혈당)",IF(E506&gt;=설정!$C$18,"긴급(고혈당)",IF(F506="공복",IF(E506&gt;=설정!$C$15,"주의","정상"),IF(F506="식후",IF(E506&gt;=설정!$C$16,"주의","정상"),"조건확인")))))))</f>
        <v/>
      </c>
      <c r="K506" s="25" t="str">
        <f aca="false">IF(OR(I506="긴급",LEFT(J506,2)="긴급"),"★ 즉시 선생님 호출",IF(OR(I506="주의",J506="주의"),"결과상담에서 확인",IF(J506="조건확인","혈당조건(공복/식후) 선택","")))</f>
        <v/>
      </c>
      <c r="L506" s="25" t="str">
        <f aca="false">IF($B506="","",IF(COUNTIF($B$5:$B$1004,$B506)&gt;1,"중복 입력",""))</f>
        <v/>
      </c>
    </row>
    <row r="507" customFormat="false" ht="15" hidden="false" customHeight="false" outlineLevel="0" collapsed="false">
      <c r="A507" s="23"/>
      <c r="B507" s="24"/>
      <c r="C507" s="24"/>
      <c r="D507" s="24"/>
      <c r="E507" s="24"/>
      <c r="F507" s="24"/>
      <c r="G507" s="24"/>
      <c r="H507" s="25" t="str">
        <f aca="false">IF($B507="","",IFERROR(IF(INDEX(명단!$B$5:$B$404,MATCH($B507,명단!$A$5:$A$404,0))="","(이름 미입력)",INDEX(명단!$B$5:$B$404,MATCH($B507,명단!$A$5:$A$404,0))),"번호 없음"))</f>
        <v/>
      </c>
      <c r="I507" s="25" t="str">
        <f aca="false">IF(AND(C507="",D507=""),"",IF(OR(C507="-",D507="-"),"측정불가",IF(AND(ISNUMBER(C507),ISNUMBER(D507)),IF(OR(C507&gt;=설정!$C$11,D507&gt;=설정!$C$12),"긴급",IF(OR(C507&gt;=설정!$C$9,D507&gt;=설정!$C$10,C507&lt;설정!$C$13),"주의","정상")),"확인필요")))</f>
        <v/>
      </c>
      <c r="J507" s="25" t="str">
        <f aca="false">IF(E507="","",IF(E507="-","측정불가",IF(NOT(ISNUMBER(E507)),"확인필요",IF(E507&lt;설정!$C$17,"긴급(저혈당)",IF(E507&gt;=설정!$C$18,"긴급(고혈당)",IF(F507="공복",IF(E507&gt;=설정!$C$15,"주의","정상"),IF(F507="식후",IF(E507&gt;=설정!$C$16,"주의","정상"),"조건확인")))))))</f>
        <v/>
      </c>
      <c r="K507" s="25" t="str">
        <f aca="false">IF(OR(I507="긴급",LEFT(J507,2)="긴급"),"★ 즉시 선생님 호출",IF(OR(I507="주의",J507="주의"),"결과상담에서 확인",IF(J507="조건확인","혈당조건(공복/식후) 선택","")))</f>
        <v/>
      </c>
      <c r="L507" s="25" t="str">
        <f aca="false">IF($B507="","",IF(COUNTIF($B$5:$B$1004,$B507)&gt;1,"중복 입력",""))</f>
        <v/>
      </c>
    </row>
    <row r="508" customFormat="false" ht="15" hidden="false" customHeight="false" outlineLevel="0" collapsed="false">
      <c r="A508" s="23"/>
      <c r="B508" s="24"/>
      <c r="C508" s="24"/>
      <c r="D508" s="24"/>
      <c r="E508" s="24"/>
      <c r="F508" s="24"/>
      <c r="G508" s="24"/>
      <c r="H508" s="25" t="str">
        <f aca="false">IF($B508="","",IFERROR(IF(INDEX(명단!$B$5:$B$404,MATCH($B508,명단!$A$5:$A$404,0))="","(이름 미입력)",INDEX(명단!$B$5:$B$404,MATCH($B508,명단!$A$5:$A$404,0))),"번호 없음"))</f>
        <v/>
      </c>
      <c r="I508" s="25" t="str">
        <f aca="false">IF(AND(C508="",D508=""),"",IF(OR(C508="-",D508="-"),"측정불가",IF(AND(ISNUMBER(C508),ISNUMBER(D508)),IF(OR(C508&gt;=설정!$C$11,D508&gt;=설정!$C$12),"긴급",IF(OR(C508&gt;=설정!$C$9,D508&gt;=설정!$C$10,C508&lt;설정!$C$13),"주의","정상")),"확인필요")))</f>
        <v/>
      </c>
      <c r="J508" s="25" t="str">
        <f aca="false">IF(E508="","",IF(E508="-","측정불가",IF(NOT(ISNUMBER(E508)),"확인필요",IF(E508&lt;설정!$C$17,"긴급(저혈당)",IF(E508&gt;=설정!$C$18,"긴급(고혈당)",IF(F508="공복",IF(E508&gt;=설정!$C$15,"주의","정상"),IF(F508="식후",IF(E508&gt;=설정!$C$16,"주의","정상"),"조건확인")))))))</f>
        <v/>
      </c>
      <c r="K508" s="25" t="str">
        <f aca="false">IF(OR(I508="긴급",LEFT(J508,2)="긴급"),"★ 즉시 선생님 호출",IF(OR(I508="주의",J508="주의"),"결과상담에서 확인",IF(J508="조건확인","혈당조건(공복/식후) 선택","")))</f>
        <v/>
      </c>
      <c r="L508" s="25" t="str">
        <f aca="false">IF($B508="","",IF(COUNTIF($B$5:$B$1004,$B508)&gt;1,"중복 입력",""))</f>
        <v/>
      </c>
    </row>
    <row r="509" customFormat="false" ht="15" hidden="false" customHeight="false" outlineLevel="0" collapsed="false">
      <c r="A509" s="23"/>
      <c r="B509" s="24"/>
      <c r="C509" s="24"/>
      <c r="D509" s="24"/>
      <c r="E509" s="24"/>
      <c r="F509" s="24"/>
      <c r="G509" s="24"/>
      <c r="H509" s="25" t="str">
        <f aca="false">IF($B509="","",IFERROR(IF(INDEX(명단!$B$5:$B$404,MATCH($B509,명단!$A$5:$A$404,0))="","(이름 미입력)",INDEX(명단!$B$5:$B$404,MATCH($B509,명단!$A$5:$A$404,0))),"번호 없음"))</f>
        <v/>
      </c>
      <c r="I509" s="25" t="str">
        <f aca="false">IF(AND(C509="",D509=""),"",IF(OR(C509="-",D509="-"),"측정불가",IF(AND(ISNUMBER(C509),ISNUMBER(D509)),IF(OR(C509&gt;=설정!$C$11,D509&gt;=설정!$C$12),"긴급",IF(OR(C509&gt;=설정!$C$9,D509&gt;=설정!$C$10,C509&lt;설정!$C$13),"주의","정상")),"확인필요")))</f>
        <v/>
      </c>
      <c r="J509" s="25" t="str">
        <f aca="false">IF(E509="","",IF(E509="-","측정불가",IF(NOT(ISNUMBER(E509)),"확인필요",IF(E509&lt;설정!$C$17,"긴급(저혈당)",IF(E509&gt;=설정!$C$18,"긴급(고혈당)",IF(F509="공복",IF(E509&gt;=설정!$C$15,"주의","정상"),IF(F509="식후",IF(E509&gt;=설정!$C$16,"주의","정상"),"조건확인")))))))</f>
        <v/>
      </c>
      <c r="K509" s="25" t="str">
        <f aca="false">IF(OR(I509="긴급",LEFT(J509,2)="긴급"),"★ 즉시 선생님 호출",IF(OR(I509="주의",J509="주의"),"결과상담에서 확인",IF(J509="조건확인","혈당조건(공복/식후) 선택","")))</f>
        <v/>
      </c>
      <c r="L509" s="25" t="str">
        <f aca="false">IF($B509="","",IF(COUNTIF($B$5:$B$1004,$B509)&gt;1,"중복 입력",""))</f>
        <v/>
      </c>
    </row>
    <row r="510" customFormat="false" ht="15" hidden="false" customHeight="false" outlineLevel="0" collapsed="false">
      <c r="A510" s="23"/>
      <c r="B510" s="24"/>
      <c r="C510" s="24"/>
      <c r="D510" s="24"/>
      <c r="E510" s="24"/>
      <c r="F510" s="24"/>
      <c r="G510" s="24"/>
      <c r="H510" s="25" t="str">
        <f aca="false">IF($B510="","",IFERROR(IF(INDEX(명단!$B$5:$B$404,MATCH($B510,명단!$A$5:$A$404,0))="","(이름 미입력)",INDEX(명단!$B$5:$B$404,MATCH($B510,명단!$A$5:$A$404,0))),"번호 없음"))</f>
        <v/>
      </c>
      <c r="I510" s="25" t="str">
        <f aca="false">IF(AND(C510="",D510=""),"",IF(OR(C510="-",D510="-"),"측정불가",IF(AND(ISNUMBER(C510),ISNUMBER(D510)),IF(OR(C510&gt;=설정!$C$11,D510&gt;=설정!$C$12),"긴급",IF(OR(C510&gt;=설정!$C$9,D510&gt;=설정!$C$10,C510&lt;설정!$C$13),"주의","정상")),"확인필요")))</f>
        <v/>
      </c>
      <c r="J510" s="25" t="str">
        <f aca="false">IF(E510="","",IF(E510="-","측정불가",IF(NOT(ISNUMBER(E510)),"확인필요",IF(E510&lt;설정!$C$17,"긴급(저혈당)",IF(E510&gt;=설정!$C$18,"긴급(고혈당)",IF(F510="공복",IF(E510&gt;=설정!$C$15,"주의","정상"),IF(F510="식후",IF(E510&gt;=설정!$C$16,"주의","정상"),"조건확인")))))))</f>
        <v/>
      </c>
      <c r="K510" s="25" t="str">
        <f aca="false">IF(OR(I510="긴급",LEFT(J510,2)="긴급"),"★ 즉시 선생님 호출",IF(OR(I510="주의",J510="주의"),"결과상담에서 확인",IF(J510="조건확인","혈당조건(공복/식후) 선택","")))</f>
        <v/>
      </c>
      <c r="L510" s="25" t="str">
        <f aca="false">IF($B510="","",IF(COUNTIF($B$5:$B$1004,$B510)&gt;1,"중복 입력",""))</f>
        <v/>
      </c>
    </row>
    <row r="511" customFormat="false" ht="15" hidden="false" customHeight="false" outlineLevel="0" collapsed="false">
      <c r="A511" s="23"/>
      <c r="B511" s="24"/>
      <c r="C511" s="24"/>
      <c r="D511" s="24"/>
      <c r="E511" s="24"/>
      <c r="F511" s="24"/>
      <c r="G511" s="24"/>
      <c r="H511" s="25" t="str">
        <f aca="false">IF($B511="","",IFERROR(IF(INDEX(명단!$B$5:$B$404,MATCH($B511,명단!$A$5:$A$404,0))="","(이름 미입력)",INDEX(명단!$B$5:$B$404,MATCH($B511,명단!$A$5:$A$404,0))),"번호 없음"))</f>
        <v/>
      </c>
      <c r="I511" s="25" t="str">
        <f aca="false">IF(AND(C511="",D511=""),"",IF(OR(C511="-",D511="-"),"측정불가",IF(AND(ISNUMBER(C511),ISNUMBER(D511)),IF(OR(C511&gt;=설정!$C$11,D511&gt;=설정!$C$12),"긴급",IF(OR(C511&gt;=설정!$C$9,D511&gt;=설정!$C$10,C511&lt;설정!$C$13),"주의","정상")),"확인필요")))</f>
        <v/>
      </c>
      <c r="J511" s="25" t="str">
        <f aca="false">IF(E511="","",IF(E511="-","측정불가",IF(NOT(ISNUMBER(E511)),"확인필요",IF(E511&lt;설정!$C$17,"긴급(저혈당)",IF(E511&gt;=설정!$C$18,"긴급(고혈당)",IF(F511="공복",IF(E511&gt;=설정!$C$15,"주의","정상"),IF(F511="식후",IF(E511&gt;=설정!$C$16,"주의","정상"),"조건확인")))))))</f>
        <v/>
      </c>
      <c r="K511" s="25" t="str">
        <f aca="false">IF(OR(I511="긴급",LEFT(J511,2)="긴급"),"★ 즉시 선생님 호출",IF(OR(I511="주의",J511="주의"),"결과상담에서 확인",IF(J511="조건확인","혈당조건(공복/식후) 선택","")))</f>
        <v/>
      </c>
      <c r="L511" s="25" t="str">
        <f aca="false">IF($B511="","",IF(COUNTIF($B$5:$B$1004,$B511)&gt;1,"중복 입력",""))</f>
        <v/>
      </c>
    </row>
    <row r="512" customFormat="false" ht="15" hidden="false" customHeight="false" outlineLevel="0" collapsed="false">
      <c r="A512" s="23"/>
      <c r="B512" s="24"/>
      <c r="C512" s="24"/>
      <c r="D512" s="24"/>
      <c r="E512" s="24"/>
      <c r="F512" s="24"/>
      <c r="G512" s="24"/>
      <c r="H512" s="25" t="str">
        <f aca="false">IF($B512="","",IFERROR(IF(INDEX(명단!$B$5:$B$404,MATCH($B512,명단!$A$5:$A$404,0))="","(이름 미입력)",INDEX(명단!$B$5:$B$404,MATCH($B512,명단!$A$5:$A$404,0))),"번호 없음"))</f>
        <v/>
      </c>
      <c r="I512" s="25" t="str">
        <f aca="false">IF(AND(C512="",D512=""),"",IF(OR(C512="-",D512="-"),"측정불가",IF(AND(ISNUMBER(C512),ISNUMBER(D512)),IF(OR(C512&gt;=설정!$C$11,D512&gt;=설정!$C$12),"긴급",IF(OR(C512&gt;=설정!$C$9,D512&gt;=설정!$C$10,C512&lt;설정!$C$13),"주의","정상")),"확인필요")))</f>
        <v/>
      </c>
      <c r="J512" s="25" t="str">
        <f aca="false">IF(E512="","",IF(E512="-","측정불가",IF(NOT(ISNUMBER(E512)),"확인필요",IF(E512&lt;설정!$C$17,"긴급(저혈당)",IF(E512&gt;=설정!$C$18,"긴급(고혈당)",IF(F512="공복",IF(E512&gt;=설정!$C$15,"주의","정상"),IF(F512="식후",IF(E512&gt;=설정!$C$16,"주의","정상"),"조건확인")))))))</f>
        <v/>
      </c>
      <c r="K512" s="25" t="str">
        <f aca="false">IF(OR(I512="긴급",LEFT(J512,2)="긴급"),"★ 즉시 선생님 호출",IF(OR(I512="주의",J512="주의"),"결과상담에서 확인",IF(J512="조건확인","혈당조건(공복/식후) 선택","")))</f>
        <v/>
      </c>
      <c r="L512" s="25" t="str">
        <f aca="false">IF($B512="","",IF(COUNTIF($B$5:$B$1004,$B512)&gt;1,"중복 입력",""))</f>
        <v/>
      </c>
    </row>
    <row r="513" customFormat="false" ht="15" hidden="false" customHeight="false" outlineLevel="0" collapsed="false">
      <c r="A513" s="23"/>
      <c r="B513" s="24"/>
      <c r="C513" s="24"/>
      <c r="D513" s="24"/>
      <c r="E513" s="24"/>
      <c r="F513" s="24"/>
      <c r="G513" s="24"/>
      <c r="H513" s="25" t="str">
        <f aca="false">IF($B513="","",IFERROR(IF(INDEX(명단!$B$5:$B$404,MATCH($B513,명단!$A$5:$A$404,0))="","(이름 미입력)",INDEX(명단!$B$5:$B$404,MATCH($B513,명단!$A$5:$A$404,0))),"번호 없음"))</f>
        <v/>
      </c>
      <c r="I513" s="25" t="str">
        <f aca="false">IF(AND(C513="",D513=""),"",IF(OR(C513="-",D513="-"),"측정불가",IF(AND(ISNUMBER(C513),ISNUMBER(D513)),IF(OR(C513&gt;=설정!$C$11,D513&gt;=설정!$C$12),"긴급",IF(OR(C513&gt;=설정!$C$9,D513&gt;=설정!$C$10,C513&lt;설정!$C$13),"주의","정상")),"확인필요")))</f>
        <v/>
      </c>
      <c r="J513" s="25" t="str">
        <f aca="false">IF(E513="","",IF(E513="-","측정불가",IF(NOT(ISNUMBER(E513)),"확인필요",IF(E513&lt;설정!$C$17,"긴급(저혈당)",IF(E513&gt;=설정!$C$18,"긴급(고혈당)",IF(F513="공복",IF(E513&gt;=설정!$C$15,"주의","정상"),IF(F513="식후",IF(E513&gt;=설정!$C$16,"주의","정상"),"조건확인")))))))</f>
        <v/>
      </c>
      <c r="K513" s="25" t="str">
        <f aca="false">IF(OR(I513="긴급",LEFT(J513,2)="긴급"),"★ 즉시 선생님 호출",IF(OR(I513="주의",J513="주의"),"결과상담에서 확인",IF(J513="조건확인","혈당조건(공복/식후) 선택","")))</f>
        <v/>
      </c>
      <c r="L513" s="25" t="str">
        <f aca="false">IF($B513="","",IF(COUNTIF($B$5:$B$1004,$B513)&gt;1,"중복 입력",""))</f>
        <v/>
      </c>
    </row>
    <row r="514" customFormat="false" ht="15" hidden="false" customHeight="false" outlineLevel="0" collapsed="false">
      <c r="A514" s="23"/>
      <c r="B514" s="24"/>
      <c r="C514" s="24"/>
      <c r="D514" s="24"/>
      <c r="E514" s="24"/>
      <c r="F514" s="24"/>
      <c r="G514" s="24"/>
      <c r="H514" s="25" t="str">
        <f aca="false">IF($B514="","",IFERROR(IF(INDEX(명단!$B$5:$B$404,MATCH($B514,명단!$A$5:$A$404,0))="","(이름 미입력)",INDEX(명단!$B$5:$B$404,MATCH($B514,명단!$A$5:$A$404,0))),"번호 없음"))</f>
        <v/>
      </c>
      <c r="I514" s="25" t="str">
        <f aca="false">IF(AND(C514="",D514=""),"",IF(OR(C514="-",D514="-"),"측정불가",IF(AND(ISNUMBER(C514),ISNUMBER(D514)),IF(OR(C514&gt;=설정!$C$11,D514&gt;=설정!$C$12),"긴급",IF(OR(C514&gt;=설정!$C$9,D514&gt;=설정!$C$10,C514&lt;설정!$C$13),"주의","정상")),"확인필요")))</f>
        <v/>
      </c>
      <c r="J514" s="25" t="str">
        <f aca="false">IF(E514="","",IF(E514="-","측정불가",IF(NOT(ISNUMBER(E514)),"확인필요",IF(E514&lt;설정!$C$17,"긴급(저혈당)",IF(E514&gt;=설정!$C$18,"긴급(고혈당)",IF(F514="공복",IF(E514&gt;=설정!$C$15,"주의","정상"),IF(F514="식후",IF(E514&gt;=설정!$C$16,"주의","정상"),"조건확인")))))))</f>
        <v/>
      </c>
      <c r="K514" s="25" t="str">
        <f aca="false">IF(OR(I514="긴급",LEFT(J514,2)="긴급"),"★ 즉시 선생님 호출",IF(OR(I514="주의",J514="주의"),"결과상담에서 확인",IF(J514="조건확인","혈당조건(공복/식후) 선택","")))</f>
        <v/>
      </c>
      <c r="L514" s="25" t="str">
        <f aca="false">IF($B514="","",IF(COUNTIF($B$5:$B$1004,$B514)&gt;1,"중복 입력",""))</f>
        <v/>
      </c>
    </row>
    <row r="515" customFormat="false" ht="15" hidden="false" customHeight="false" outlineLevel="0" collapsed="false">
      <c r="A515" s="23"/>
      <c r="B515" s="24"/>
      <c r="C515" s="24"/>
      <c r="D515" s="24"/>
      <c r="E515" s="24"/>
      <c r="F515" s="24"/>
      <c r="G515" s="24"/>
      <c r="H515" s="25" t="str">
        <f aca="false">IF($B515="","",IFERROR(IF(INDEX(명단!$B$5:$B$404,MATCH($B515,명단!$A$5:$A$404,0))="","(이름 미입력)",INDEX(명단!$B$5:$B$404,MATCH($B515,명단!$A$5:$A$404,0))),"번호 없음"))</f>
        <v/>
      </c>
      <c r="I515" s="25" t="str">
        <f aca="false">IF(AND(C515="",D515=""),"",IF(OR(C515="-",D515="-"),"측정불가",IF(AND(ISNUMBER(C515),ISNUMBER(D515)),IF(OR(C515&gt;=설정!$C$11,D515&gt;=설정!$C$12),"긴급",IF(OR(C515&gt;=설정!$C$9,D515&gt;=설정!$C$10,C515&lt;설정!$C$13),"주의","정상")),"확인필요")))</f>
        <v/>
      </c>
      <c r="J515" s="25" t="str">
        <f aca="false">IF(E515="","",IF(E515="-","측정불가",IF(NOT(ISNUMBER(E515)),"확인필요",IF(E515&lt;설정!$C$17,"긴급(저혈당)",IF(E515&gt;=설정!$C$18,"긴급(고혈당)",IF(F515="공복",IF(E515&gt;=설정!$C$15,"주의","정상"),IF(F515="식후",IF(E515&gt;=설정!$C$16,"주의","정상"),"조건확인")))))))</f>
        <v/>
      </c>
      <c r="K515" s="25" t="str">
        <f aca="false">IF(OR(I515="긴급",LEFT(J515,2)="긴급"),"★ 즉시 선생님 호출",IF(OR(I515="주의",J515="주의"),"결과상담에서 확인",IF(J515="조건확인","혈당조건(공복/식후) 선택","")))</f>
        <v/>
      </c>
      <c r="L515" s="25" t="str">
        <f aca="false">IF($B515="","",IF(COUNTIF($B$5:$B$1004,$B515)&gt;1,"중복 입력",""))</f>
        <v/>
      </c>
    </row>
    <row r="516" customFormat="false" ht="15" hidden="false" customHeight="false" outlineLevel="0" collapsed="false">
      <c r="A516" s="23"/>
      <c r="B516" s="24"/>
      <c r="C516" s="24"/>
      <c r="D516" s="24"/>
      <c r="E516" s="24"/>
      <c r="F516" s="24"/>
      <c r="G516" s="24"/>
      <c r="H516" s="25" t="str">
        <f aca="false">IF($B516="","",IFERROR(IF(INDEX(명단!$B$5:$B$404,MATCH($B516,명단!$A$5:$A$404,0))="","(이름 미입력)",INDEX(명단!$B$5:$B$404,MATCH($B516,명단!$A$5:$A$404,0))),"번호 없음"))</f>
        <v/>
      </c>
      <c r="I516" s="25" t="str">
        <f aca="false">IF(AND(C516="",D516=""),"",IF(OR(C516="-",D516="-"),"측정불가",IF(AND(ISNUMBER(C516),ISNUMBER(D516)),IF(OR(C516&gt;=설정!$C$11,D516&gt;=설정!$C$12),"긴급",IF(OR(C516&gt;=설정!$C$9,D516&gt;=설정!$C$10,C516&lt;설정!$C$13),"주의","정상")),"확인필요")))</f>
        <v/>
      </c>
      <c r="J516" s="25" t="str">
        <f aca="false">IF(E516="","",IF(E516="-","측정불가",IF(NOT(ISNUMBER(E516)),"확인필요",IF(E516&lt;설정!$C$17,"긴급(저혈당)",IF(E516&gt;=설정!$C$18,"긴급(고혈당)",IF(F516="공복",IF(E516&gt;=설정!$C$15,"주의","정상"),IF(F516="식후",IF(E516&gt;=설정!$C$16,"주의","정상"),"조건확인")))))))</f>
        <v/>
      </c>
      <c r="K516" s="25" t="str">
        <f aca="false">IF(OR(I516="긴급",LEFT(J516,2)="긴급"),"★ 즉시 선생님 호출",IF(OR(I516="주의",J516="주의"),"결과상담에서 확인",IF(J516="조건확인","혈당조건(공복/식후) 선택","")))</f>
        <v/>
      </c>
      <c r="L516" s="25" t="str">
        <f aca="false">IF($B516="","",IF(COUNTIF($B$5:$B$1004,$B516)&gt;1,"중복 입력",""))</f>
        <v/>
      </c>
    </row>
    <row r="517" customFormat="false" ht="15" hidden="false" customHeight="false" outlineLevel="0" collapsed="false">
      <c r="A517" s="23"/>
      <c r="B517" s="24"/>
      <c r="C517" s="24"/>
      <c r="D517" s="24"/>
      <c r="E517" s="24"/>
      <c r="F517" s="24"/>
      <c r="G517" s="24"/>
      <c r="H517" s="25" t="str">
        <f aca="false">IF($B517="","",IFERROR(IF(INDEX(명단!$B$5:$B$404,MATCH($B517,명단!$A$5:$A$404,0))="","(이름 미입력)",INDEX(명단!$B$5:$B$404,MATCH($B517,명단!$A$5:$A$404,0))),"번호 없음"))</f>
        <v/>
      </c>
      <c r="I517" s="25" t="str">
        <f aca="false">IF(AND(C517="",D517=""),"",IF(OR(C517="-",D517="-"),"측정불가",IF(AND(ISNUMBER(C517),ISNUMBER(D517)),IF(OR(C517&gt;=설정!$C$11,D517&gt;=설정!$C$12),"긴급",IF(OR(C517&gt;=설정!$C$9,D517&gt;=설정!$C$10,C517&lt;설정!$C$13),"주의","정상")),"확인필요")))</f>
        <v/>
      </c>
      <c r="J517" s="25" t="str">
        <f aca="false">IF(E517="","",IF(E517="-","측정불가",IF(NOT(ISNUMBER(E517)),"확인필요",IF(E517&lt;설정!$C$17,"긴급(저혈당)",IF(E517&gt;=설정!$C$18,"긴급(고혈당)",IF(F517="공복",IF(E517&gt;=설정!$C$15,"주의","정상"),IF(F517="식후",IF(E517&gt;=설정!$C$16,"주의","정상"),"조건확인")))))))</f>
        <v/>
      </c>
      <c r="K517" s="25" t="str">
        <f aca="false">IF(OR(I517="긴급",LEFT(J517,2)="긴급"),"★ 즉시 선생님 호출",IF(OR(I517="주의",J517="주의"),"결과상담에서 확인",IF(J517="조건확인","혈당조건(공복/식후) 선택","")))</f>
        <v/>
      </c>
      <c r="L517" s="25" t="str">
        <f aca="false">IF($B517="","",IF(COUNTIF($B$5:$B$1004,$B517)&gt;1,"중복 입력",""))</f>
        <v/>
      </c>
    </row>
    <row r="518" customFormat="false" ht="15" hidden="false" customHeight="false" outlineLevel="0" collapsed="false">
      <c r="A518" s="23"/>
      <c r="B518" s="24"/>
      <c r="C518" s="24"/>
      <c r="D518" s="24"/>
      <c r="E518" s="24"/>
      <c r="F518" s="24"/>
      <c r="G518" s="24"/>
      <c r="H518" s="25" t="str">
        <f aca="false">IF($B518="","",IFERROR(IF(INDEX(명단!$B$5:$B$404,MATCH($B518,명단!$A$5:$A$404,0))="","(이름 미입력)",INDEX(명단!$B$5:$B$404,MATCH($B518,명단!$A$5:$A$404,0))),"번호 없음"))</f>
        <v/>
      </c>
      <c r="I518" s="25" t="str">
        <f aca="false">IF(AND(C518="",D518=""),"",IF(OR(C518="-",D518="-"),"측정불가",IF(AND(ISNUMBER(C518),ISNUMBER(D518)),IF(OR(C518&gt;=설정!$C$11,D518&gt;=설정!$C$12),"긴급",IF(OR(C518&gt;=설정!$C$9,D518&gt;=설정!$C$10,C518&lt;설정!$C$13),"주의","정상")),"확인필요")))</f>
        <v/>
      </c>
      <c r="J518" s="25" t="str">
        <f aca="false">IF(E518="","",IF(E518="-","측정불가",IF(NOT(ISNUMBER(E518)),"확인필요",IF(E518&lt;설정!$C$17,"긴급(저혈당)",IF(E518&gt;=설정!$C$18,"긴급(고혈당)",IF(F518="공복",IF(E518&gt;=설정!$C$15,"주의","정상"),IF(F518="식후",IF(E518&gt;=설정!$C$16,"주의","정상"),"조건확인")))))))</f>
        <v/>
      </c>
      <c r="K518" s="25" t="str">
        <f aca="false">IF(OR(I518="긴급",LEFT(J518,2)="긴급"),"★ 즉시 선생님 호출",IF(OR(I518="주의",J518="주의"),"결과상담에서 확인",IF(J518="조건확인","혈당조건(공복/식후) 선택","")))</f>
        <v/>
      </c>
      <c r="L518" s="25" t="str">
        <f aca="false">IF($B518="","",IF(COUNTIF($B$5:$B$1004,$B518)&gt;1,"중복 입력",""))</f>
        <v/>
      </c>
    </row>
    <row r="519" customFormat="false" ht="15" hidden="false" customHeight="false" outlineLevel="0" collapsed="false">
      <c r="A519" s="23"/>
      <c r="B519" s="24"/>
      <c r="C519" s="24"/>
      <c r="D519" s="24"/>
      <c r="E519" s="24"/>
      <c r="F519" s="24"/>
      <c r="G519" s="24"/>
      <c r="H519" s="25" t="str">
        <f aca="false">IF($B519="","",IFERROR(IF(INDEX(명단!$B$5:$B$404,MATCH($B519,명단!$A$5:$A$404,0))="","(이름 미입력)",INDEX(명단!$B$5:$B$404,MATCH($B519,명단!$A$5:$A$404,0))),"번호 없음"))</f>
        <v/>
      </c>
      <c r="I519" s="25" t="str">
        <f aca="false">IF(AND(C519="",D519=""),"",IF(OR(C519="-",D519="-"),"측정불가",IF(AND(ISNUMBER(C519),ISNUMBER(D519)),IF(OR(C519&gt;=설정!$C$11,D519&gt;=설정!$C$12),"긴급",IF(OR(C519&gt;=설정!$C$9,D519&gt;=설정!$C$10,C519&lt;설정!$C$13),"주의","정상")),"확인필요")))</f>
        <v/>
      </c>
      <c r="J519" s="25" t="str">
        <f aca="false">IF(E519="","",IF(E519="-","측정불가",IF(NOT(ISNUMBER(E519)),"확인필요",IF(E519&lt;설정!$C$17,"긴급(저혈당)",IF(E519&gt;=설정!$C$18,"긴급(고혈당)",IF(F519="공복",IF(E519&gt;=설정!$C$15,"주의","정상"),IF(F519="식후",IF(E519&gt;=설정!$C$16,"주의","정상"),"조건확인")))))))</f>
        <v/>
      </c>
      <c r="K519" s="25" t="str">
        <f aca="false">IF(OR(I519="긴급",LEFT(J519,2)="긴급"),"★ 즉시 선생님 호출",IF(OR(I519="주의",J519="주의"),"결과상담에서 확인",IF(J519="조건확인","혈당조건(공복/식후) 선택","")))</f>
        <v/>
      </c>
      <c r="L519" s="25" t="str">
        <f aca="false">IF($B519="","",IF(COUNTIF($B$5:$B$1004,$B519)&gt;1,"중복 입력",""))</f>
        <v/>
      </c>
    </row>
    <row r="520" customFormat="false" ht="15" hidden="false" customHeight="false" outlineLevel="0" collapsed="false">
      <c r="A520" s="23"/>
      <c r="B520" s="24"/>
      <c r="C520" s="24"/>
      <c r="D520" s="24"/>
      <c r="E520" s="24"/>
      <c r="F520" s="24"/>
      <c r="G520" s="24"/>
      <c r="H520" s="25" t="str">
        <f aca="false">IF($B520="","",IFERROR(IF(INDEX(명단!$B$5:$B$404,MATCH($B520,명단!$A$5:$A$404,0))="","(이름 미입력)",INDEX(명단!$B$5:$B$404,MATCH($B520,명단!$A$5:$A$404,0))),"번호 없음"))</f>
        <v/>
      </c>
      <c r="I520" s="25" t="str">
        <f aca="false">IF(AND(C520="",D520=""),"",IF(OR(C520="-",D520="-"),"측정불가",IF(AND(ISNUMBER(C520),ISNUMBER(D520)),IF(OR(C520&gt;=설정!$C$11,D520&gt;=설정!$C$12),"긴급",IF(OR(C520&gt;=설정!$C$9,D520&gt;=설정!$C$10,C520&lt;설정!$C$13),"주의","정상")),"확인필요")))</f>
        <v/>
      </c>
      <c r="J520" s="25" t="str">
        <f aca="false">IF(E520="","",IF(E520="-","측정불가",IF(NOT(ISNUMBER(E520)),"확인필요",IF(E520&lt;설정!$C$17,"긴급(저혈당)",IF(E520&gt;=설정!$C$18,"긴급(고혈당)",IF(F520="공복",IF(E520&gt;=설정!$C$15,"주의","정상"),IF(F520="식후",IF(E520&gt;=설정!$C$16,"주의","정상"),"조건확인")))))))</f>
        <v/>
      </c>
      <c r="K520" s="25" t="str">
        <f aca="false">IF(OR(I520="긴급",LEFT(J520,2)="긴급"),"★ 즉시 선생님 호출",IF(OR(I520="주의",J520="주의"),"결과상담에서 확인",IF(J520="조건확인","혈당조건(공복/식후) 선택","")))</f>
        <v/>
      </c>
      <c r="L520" s="25" t="str">
        <f aca="false">IF($B520="","",IF(COUNTIF($B$5:$B$1004,$B520)&gt;1,"중복 입력",""))</f>
        <v/>
      </c>
    </row>
    <row r="521" customFormat="false" ht="15" hidden="false" customHeight="false" outlineLevel="0" collapsed="false">
      <c r="A521" s="23"/>
      <c r="B521" s="24"/>
      <c r="C521" s="24"/>
      <c r="D521" s="24"/>
      <c r="E521" s="24"/>
      <c r="F521" s="24"/>
      <c r="G521" s="24"/>
      <c r="H521" s="25" t="str">
        <f aca="false">IF($B521="","",IFERROR(IF(INDEX(명단!$B$5:$B$404,MATCH($B521,명단!$A$5:$A$404,0))="","(이름 미입력)",INDEX(명단!$B$5:$B$404,MATCH($B521,명단!$A$5:$A$404,0))),"번호 없음"))</f>
        <v/>
      </c>
      <c r="I521" s="25" t="str">
        <f aca="false">IF(AND(C521="",D521=""),"",IF(OR(C521="-",D521="-"),"측정불가",IF(AND(ISNUMBER(C521),ISNUMBER(D521)),IF(OR(C521&gt;=설정!$C$11,D521&gt;=설정!$C$12),"긴급",IF(OR(C521&gt;=설정!$C$9,D521&gt;=설정!$C$10,C521&lt;설정!$C$13),"주의","정상")),"확인필요")))</f>
        <v/>
      </c>
      <c r="J521" s="25" t="str">
        <f aca="false">IF(E521="","",IF(E521="-","측정불가",IF(NOT(ISNUMBER(E521)),"확인필요",IF(E521&lt;설정!$C$17,"긴급(저혈당)",IF(E521&gt;=설정!$C$18,"긴급(고혈당)",IF(F521="공복",IF(E521&gt;=설정!$C$15,"주의","정상"),IF(F521="식후",IF(E521&gt;=설정!$C$16,"주의","정상"),"조건확인")))))))</f>
        <v/>
      </c>
      <c r="K521" s="25" t="str">
        <f aca="false">IF(OR(I521="긴급",LEFT(J521,2)="긴급"),"★ 즉시 선생님 호출",IF(OR(I521="주의",J521="주의"),"결과상담에서 확인",IF(J521="조건확인","혈당조건(공복/식후) 선택","")))</f>
        <v/>
      </c>
      <c r="L521" s="25" t="str">
        <f aca="false">IF($B521="","",IF(COUNTIF($B$5:$B$1004,$B521)&gt;1,"중복 입력",""))</f>
        <v/>
      </c>
    </row>
    <row r="522" customFormat="false" ht="15" hidden="false" customHeight="false" outlineLevel="0" collapsed="false">
      <c r="A522" s="23"/>
      <c r="B522" s="24"/>
      <c r="C522" s="24"/>
      <c r="D522" s="24"/>
      <c r="E522" s="24"/>
      <c r="F522" s="24"/>
      <c r="G522" s="24"/>
      <c r="H522" s="25" t="str">
        <f aca="false">IF($B522="","",IFERROR(IF(INDEX(명단!$B$5:$B$404,MATCH($B522,명단!$A$5:$A$404,0))="","(이름 미입력)",INDEX(명단!$B$5:$B$404,MATCH($B522,명단!$A$5:$A$404,0))),"번호 없음"))</f>
        <v/>
      </c>
      <c r="I522" s="25" t="str">
        <f aca="false">IF(AND(C522="",D522=""),"",IF(OR(C522="-",D522="-"),"측정불가",IF(AND(ISNUMBER(C522),ISNUMBER(D522)),IF(OR(C522&gt;=설정!$C$11,D522&gt;=설정!$C$12),"긴급",IF(OR(C522&gt;=설정!$C$9,D522&gt;=설정!$C$10,C522&lt;설정!$C$13),"주의","정상")),"확인필요")))</f>
        <v/>
      </c>
      <c r="J522" s="25" t="str">
        <f aca="false">IF(E522="","",IF(E522="-","측정불가",IF(NOT(ISNUMBER(E522)),"확인필요",IF(E522&lt;설정!$C$17,"긴급(저혈당)",IF(E522&gt;=설정!$C$18,"긴급(고혈당)",IF(F522="공복",IF(E522&gt;=설정!$C$15,"주의","정상"),IF(F522="식후",IF(E522&gt;=설정!$C$16,"주의","정상"),"조건확인")))))))</f>
        <v/>
      </c>
      <c r="K522" s="25" t="str">
        <f aca="false">IF(OR(I522="긴급",LEFT(J522,2)="긴급"),"★ 즉시 선생님 호출",IF(OR(I522="주의",J522="주의"),"결과상담에서 확인",IF(J522="조건확인","혈당조건(공복/식후) 선택","")))</f>
        <v/>
      </c>
      <c r="L522" s="25" t="str">
        <f aca="false">IF($B522="","",IF(COUNTIF($B$5:$B$1004,$B522)&gt;1,"중복 입력",""))</f>
        <v/>
      </c>
    </row>
    <row r="523" customFormat="false" ht="15" hidden="false" customHeight="false" outlineLevel="0" collapsed="false">
      <c r="A523" s="23"/>
      <c r="B523" s="24"/>
      <c r="C523" s="24"/>
      <c r="D523" s="24"/>
      <c r="E523" s="24"/>
      <c r="F523" s="24"/>
      <c r="G523" s="24"/>
      <c r="H523" s="25" t="str">
        <f aca="false">IF($B523="","",IFERROR(IF(INDEX(명단!$B$5:$B$404,MATCH($B523,명단!$A$5:$A$404,0))="","(이름 미입력)",INDEX(명단!$B$5:$B$404,MATCH($B523,명단!$A$5:$A$404,0))),"번호 없음"))</f>
        <v/>
      </c>
      <c r="I523" s="25" t="str">
        <f aca="false">IF(AND(C523="",D523=""),"",IF(OR(C523="-",D523="-"),"측정불가",IF(AND(ISNUMBER(C523),ISNUMBER(D523)),IF(OR(C523&gt;=설정!$C$11,D523&gt;=설정!$C$12),"긴급",IF(OR(C523&gt;=설정!$C$9,D523&gt;=설정!$C$10,C523&lt;설정!$C$13),"주의","정상")),"확인필요")))</f>
        <v/>
      </c>
      <c r="J523" s="25" t="str">
        <f aca="false">IF(E523="","",IF(E523="-","측정불가",IF(NOT(ISNUMBER(E523)),"확인필요",IF(E523&lt;설정!$C$17,"긴급(저혈당)",IF(E523&gt;=설정!$C$18,"긴급(고혈당)",IF(F523="공복",IF(E523&gt;=설정!$C$15,"주의","정상"),IF(F523="식후",IF(E523&gt;=설정!$C$16,"주의","정상"),"조건확인")))))))</f>
        <v/>
      </c>
      <c r="K523" s="25" t="str">
        <f aca="false">IF(OR(I523="긴급",LEFT(J523,2)="긴급"),"★ 즉시 선생님 호출",IF(OR(I523="주의",J523="주의"),"결과상담에서 확인",IF(J523="조건확인","혈당조건(공복/식후) 선택","")))</f>
        <v/>
      </c>
      <c r="L523" s="25" t="str">
        <f aca="false">IF($B523="","",IF(COUNTIF($B$5:$B$1004,$B523)&gt;1,"중복 입력",""))</f>
        <v/>
      </c>
    </row>
    <row r="524" customFormat="false" ht="15" hidden="false" customHeight="false" outlineLevel="0" collapsed="false">
      <c r="A524" s="23"/>
      <c r="B524" s="24"/>
      <c r="C524" s="24"/>
      <c r="D524" s="24"/>
      <c r="E524" s="24"/>
      <c r="F524" s="24"/>
      <c r="G524" s="24"/>
      <c r="H524" s="25" t="str">
        <f aca="false">IF($B524="","",IFERROR(IF(INDEX(명단!$B$5:$B$404,MATCH($B524,명단!$A$5:$A$404,0))="","(이름 미입력)",INDEX(명단!$B$5:$B$404,MATCH($B524,명단!$A$5:$A$404,0))),"번호 없음"))</f>
        <v/>
      </c>
      <c r="I524" s="25" t="str">
        <f aca="false">IF(AND(C524="",D524=""),"",IF(OR(C524="-",D524="-"),"측정불가",IF(AND(ISNUMBER(C524),ISNUMBER(D524)),IF(OR(C524&gt;=설정!$C$11,D524&gt;=설정!$C$12),"긴급",IF(OR(C524&gt;=설정!$C$9,D524&gt;=설정!$C$10,C524&lt;설정!$C$13),"주의","정상")),"확인필요")))</f>
        <v/>
      </c>
      <c r="J524" s="25" t="str">
        <f aca="false">IF(E524="","",IF(E524="-","측정불가",IF(NOT(ISNUMBER(E524)),"확인필요",IF(E524&lt;설정!$C$17,"긴급(저혈당)",IF(E524&gt;=설정!$C$18,"긴급(고혈당)",IF(F524="공복",IF(E524&gt;=설정!$C$15,"주의","정상"),IF(F524="식후",IF(E524&gt;=설정!$C$16,"주의","정상"),"조건확인")))))))</f>
        <v/>
      </c>
      <c r="K524" s="25" t="str">
        <f aca="false">IF(OR(I524="긴급",LEFT(J524,2)="긴급"),"★ 즉시 선생님 호출",IF(OR(I524="주의",J524="주의"),"결과상담에서 확인",IF(J524="조건확인","혈당조건(공복/식후) 선택","")))</f>
        <v/>
      </c>
      <c r="L524" s="25" t="str">
        <f aca="false">IF($B524="","",IF(COUNTIF($B$5:$B$1004,$B524)&gt;1,"중복 입력",""))</f>
        <v/>
      </c>
    </row>
    <row r="525" customFormat="false" ht="15" hidden="false" customHeight="false" outlineLevel="0" collapsed="false">
      <c r="A525" s="23"/>
      <c r="B525" s="24"/>
      <c r="C525" s="24"/>
      <c r="D525" s="24"/>
      <c r="E525" s="24"/>
      <c r="F525" s="24"/>
      <c r="G525" s="24"/>
      <c r="H525" s="25" t="str">
        <f aca="false">IF($B525="","",IFERROR(IF(INDEX(명단!$B$5:$B$404,MATCH($B525,명단!$A$5:$A$404,0))="","(이름 미입력)",INDEX(명단!$B$5:$B$404,MATCH($B525,명단!$A$5:$A$404,0))),"번호 없음"))</f>
        <v/>
      </c>
      <c r="I525" s="25" t="str">
        <f aca="false">IF(AND(C525="",D525=""),"",IF(OR(C525="-",D525="-"),"측정불가",IF(AND(ISNUMBER(C525),ISNUMBER(D525)),IF(OR(C525&gt;=설정!$C$11,D525&gt;=설정!$C$12),"긴급",IF(OR(C525&gt;=설정!$C$9,D525&gt;=설정!$C$10,C525&lt;설정!$C$13),"주의","정상")),"확인필요")))</f>
        <v/>
      </c>
      <c r="J525" s="25" t="str">
        <f aca="false">IF(E525="","",IF(E525="-","측정불가",IF(NOT(ISNUMBER(E525)),"확인필요",IF(E525&lt;설정!$C$17,"긴급(저혈당)",IF(E525&gt;=설정!$C$18,"긴급(고혈당)",IF(F525="공복",IF(E525&gt;=설정!$C$15,"주의","정상"),IF(F525="식후",IF(E525&gt;=설정!$C$16,"주의","정상"),"조건확인")))))))</f>
        <v/>
      </c>
      <c r="K525" s="25" t="str">
        <f aca="false">IF(OR(I525="긴급",LEFT(J525,2)="긴급"),"★ 즉시 선생님 호출",IF(OR(I525="주의",J525="주의"),"결과상담에서 확인",IF(J525="조건확인","혈당조건(공복/식후) 선택","")))</f>
        <v/>
      </c>
      <c r="L525" s="25" t="str">
        <f aca="false">IF($B525="","",IF(COUNTIF($B$5:$B$1004,$B525)&gt;1,"중복 입력",""))</f>
        <v/>
      </c>
    </row>
    <row r="526" customFormat="false" ht="15" hidden="false" customHeight="false" outlineLevel="0" collapsed="false">
      <c r="A526" s="23"/>
      <c r="B526" s="24"/>
      <c r="C526" s="24"/>
      <c r="D526" s="24"/>
      <c r="E526" s="24"/>
      <c r="F526" s="24"/>
      <c r="G526" s="24"/>
      <c r="H526" s="25" t="str">
        <f aca="false">IF($B526="","",IFERROR(IF(INDEX(명단!$B$5:$B$404,MATCH($B526,명단!$A$5:$A$404,0))="","(이름 미입력)",INDEX(명단!$B$5:$B$404,MATCH($B526,명단!$A$5:$A$404,0))),"번호 없음"))</f>
        <v/>
      </c>
      <c r="I526" s="25" t="str">
        <f aca="false">IF(AND(C526="",D526=""),"",IF(OR(C526="-",D526="-"),"측정불가",IF(AND(ISNUMBER(C526),ISNUMBER(D526)),IF(OR(C526&gt;=설정!$C$11,D526&gt;=설정!$C$12),"긴급",IF(OR(C526&gt;=설정!$C$9,D526&gt;=설정!$C$10,C526&lt;설정!$C$13),"주의","정상")),"확인필요")))</f>
        <v/>
      </c>
      <c r="J526" s="25" t="str">
        <f aca="false">IF(E526="","",IF(E526="-","측정불가",IF(NOT(ISNUMBER(E526)),"확인필요",IF(E526&lt;설정!$C$17,"긴급(저혈당)",IF(E526&gt;=설정!$C$18,"긴급(고혈당)",IF(F526="공복",IF(E526&gt;=설정!$C$15,"주의","정상"),IF(F526="식후",IF(E526&gt;=설정!$C$16,"주의","정상"),"조건확인")))))))</f>
        <v/>
      </c>
      <c r="K526" s="25" t="str">
        <f aca="false">IF(OR(I526="긴급",LEFT(J526,2)="긴급"),"★ 즉시 선생님 호출",IF(OR(I526="주의",J526="주의"),"결과상담에서 확인",IF(J526="조건확인","혈당조건(공복/식후) 선택","")))</f>
        <v/>
      </c>
      <c r="L526" s="25" t="str">
        <f aca="false">IF($B526="","",IF(COUNTIF($B$5:$B$1004,$B526)&gt;1,"중복 입력",""))</f>
        <v/>
      </c>
    </row>
    <row r="527" customFormat="false" ht="15" hidden="false" customHeight="false" outlineLevel="0" collapsed="false">
      <c r="A527" s="23"/>
      <c r="B527" s="24"/>
      <c r="C527" s="24"/>
      <c r="D527" s="24"/>
      <c r="E527" s="24"/>
      <c r="F527" s="24"/>
      <c r="G527" s="24"/>
      <c r="H527" s="25" t="str">
        <f aca="false">IF($B527="","",IFERROR(IF(INDEX(명단!$B$5:$B$404,MATCH($B527,명단!$A$5:$A$404,0))="","(이름 미입력)",INDEX(명단!$B$5:$B$404,MATCH($B527,명단!$A$5:$A$404,0))),"번호 없음"))</f>
        <v/>
      </c>
      <c r="I527" s="25" t="str">
        <f aca="false">IF(AND(C527="",D527=""),"",IF(OR(C527="-",D527="-"),"측정불가",IF(AND(ISNUMBER(C527),ISNUMBER(D527)),IF(OR(C527&gt;=설정!$C$11,D527&gt;=설정!$C$12),"긴급",IF(OR(C527&gt;=설정!$C$9,D527&gt;=설정!$C$10,C527&lt;설정!$C$13),"주의","정상")),"확인필요")))</f>
        <v/>
      </c>
      <c r="J527" s="25" t="str">
        <f aca="false">IF(E527="","",IF(E527="-","측정불가",IF(NOT(ISNUMBER(E527)),"확인필요",IF(E527&lt;설정!$C$17,"긴급(저혈당)",IF(E527&gt;=설정!$C$18,"긴급(고혈당)",IF(F527="공복",IF(E527&gt;=설정!$C$15,"주의","정상"),IF(F527="식후",IF(E527&gt;=설정!$C$16,"주의","정상"),"조건확인")))))))</f>
        <v/>
      </c>
      <c r="K527" s="25" t="str">
        <f aca="false">IF(OR(I527="긴급",LEFT(J527,2)="긴급"),"★ 즉시 선생님 호출",IF(OR(I527="주의",J527="주의"),"결과상담에서 확인",IF(J527="조건확인","혈당조건(공복/식후) 선택","")))</f>
        <v/>
      </c>
      <c r="L527" s="25" t="str">
        <f aca="false">IF($B527="","",IF(COUNTIF($B$5:$B$1004,$B527)&gt;1,"중복 입력",""))</f>
        <v/>
      </c>
    </row>
    <row r="528" customFormat="false" ht="15" hidden="false" customHeight="false" outlineLevel="0" collapsed="false">
      <c r="A528" s="23"/>
      <c r="B528" s="24"/>
      <c r="C528" s="24"/>
      <c r="D528" s="24"/>
      <c r="E528" s="24"/>
      <c r="F528" s="24"/>
      <c r="G528" s="24"/>
      <c r="H528" s="25" t="str">
        <f aca="false">IF($B528="","",IFERROR(IF(INDEX(명단!$B$5:$B$404,MATCH($B528,명단!$A$5:$A$404,0))="","(이름 미입력)",INDEX(명단!$B$5:$B$404,MATCH($B528,명단!$A$5:$A$404,0))),"번호 없음"))</f>
        <v/>
      </c>
      <c r="I528" s="25" t="str">
        <f aca="false">IF(AND(C528="",D528=""),"",IF(OR(C528="-",D528="-"),"측정불가",IF(AND(ISNUMBER(C528),ISNUMBER(D528)),IF(OR(C528&gt;=설정!$C$11,D528&gt;=설정!$C$12),"긴급",IF(OR(C528&gt;=설정!$C$9,D528&gt;=설정!$C$10,C528&lt;설정!$C$13),"주의","정상")),"확인필요")))</f>
        <v/>
      </c>
      <c r="J528" s="25" t="str">
        <f aca="false">IF(E528="","",IF(E528="-","측정불가",IF(NOT(ISNUMBER(E528)),"확인필요",IF(E528&lt;설정!$C$17,"긴급(저혈당)",IF(E528&gt;=설정!$C$18,"긴급(고혈당)",IF(F528="공복",IF(E528&gt;=설정!$C$15,"주의","정상"),IF(F528="식후",IF(E528&gt;=설정!$C$16,"주의","정상"),"조건확인")))))))</f>
        <v/>
      </c>
      <c r="K528" s="25" t="str">
        <f aca="false">IF(OR(I528="긴급",LEFT(J528,2)="긴급"),"★ 즉시 선생님 호출",IF(OR(I528="주의",J528="주의"),"결과상담에서 확인",IF(J528="조건확인","혈당조건(공복/식후) 선택","")))</f>
        <v/>
      </c>
      <c r="L528" s="25" t="str">
        <f aca="false">IF($B528="","",IF(COUNTIF($B$5:$B$1004,$B528)&gt;1,"중복 입력",""))</f>
        <v/>
      </c>
    </row>
    <row r="529" customFormat="false" ht="15" hidden="false" customHeight="false" outlineLevel="0" collapsed="false">
      <c r="A529" s="23"/>
      <c r="B529" s="24"/>
      <c r="C529" s="24"/>
      <c r="D529" s="24"/>
      <c r="E529" s="24"/>
      <c r="F529" s="24"/>
      <c r="G529" s="24"/>
      <c r="H529" s="25" t="str">
        <f aca="false">IF($B529="","",IFERROR(IF(INDEX(명단!$B$5:$B$404,MATCH($B529,명단!$A$5:$A$404,0))="","(이름 미입력)",INDEX(명단!$B$5:$B$404,MATCH($B529,명단!$A$5:$A$404,0))),"번호 없음"))</f>
        <v/>
      </c>
      <c r="I529" s="25" t="str">
        <f aca="false">IF(AND(C529="",D529=""),"",IF(OR(C529="-",D529="-"),"측정불가",IF(AND(ISNUMBER(C529),ISNUMBER(D529)),IF(OR(C529&gt;=설정!$C$11,D529&gt;=설정!$C$12),"긴급",IF(OR(C529&gt;=설정!$C$9,D529&gt;=설정!$C$10,C529&lt;설정!$C$13),"주의","정상")),"확인필요")))</f>
        <v/>
      </c>
      <c r="J529" s="25" t="str">
        <f aca="false">IF(E529="","",IF(E529="-","측정불가",IF(NOT(ISNUMBER(E529)),"확인필요",IF(E529&lt;설정!$C$17,"긴급(저혈당)",IF(E529&gt;=설정!$C$18,"긴급(고혈당)",IF(F529="공복",IF(E529&gt;=설정!$C$15,"주의","정상"),IF(F529="식후",IF(E529&gt;=설정!$C$16,"주의","정상"),"조건확인")))))))</f>
        <v/>
      </c>
      <c r="K529" s="25" t="str">
        <f aca="false">IF(OR(I529="긴급",LEFT(J529,2)="긴급"),"★ 즉시 선생님 호출",IF(OR(I529="주의",J529="주의"),"결과상담에서 확인",IF(J529="조건확인","혈당조건(공복/식후) 선택","")))</f>
        <v/>
      </c>
      <c r="L529" s="25" t="str">
        <f aca="false">IF($B529="","",IF(COUNTIF($B$5:$B$1004,$B529)&gt;1,"중복 입력",""))</f>
        <v/>
      </c>
    </row>
    <row r="530" customFormat="false" ht="15" hidden="false" customHeight="false" outlineLevel="0" collapsed="false">
      <c r="A530" s="23"/>
      <c r="B530" s="24"/>
      <c r="C530" s="24"/>
      <c r="D530" s="24"/>
      <c r="E530" s="24"/>
      <c r="F530" s="24"/>
      <c r="G530" s="24"/>
      <c r="H530" s="25" t="str">
        <f aca="false">IF($B530="","",IFERROR(IF(INDEX(명단!$B$5:$B$404,MATCH($B530,명단!$A$5:$A$404,0))="","(이름 미입력)",INDEX(명단!$B$5:$B$404,MATCH($B530,명단!$A$5:$A$404,0))),"번호 없음"))</f>
        <v/>
      </c>
      <c r="I530" s="25" t="str">
        <f aca="false">IF(AND(C530="",D530=""),"",IF(OR(C530="-",D530="-"),"측정불가",IF(AND(ISNUMBER(C530),ISNUMBER(D530)),IF(OR(C530&gt;=설정!$C$11,D530&gt;=설정!$C$12),"긴급",IF(OR(C530&gt;=설정!$C$9,D530&gt;=설정!$C$10,C530&lt;설정!$C$13),"주의","정상")),"확인필요")))</f>
        <v/>
      </c>
      <c r="J530" s="25" t="str">
        <f aca="false">IF(E530="","",IF(E530="-","측정불가",IF(NOT(ISNUMBER(E530)),"확인필요",IF(E530&lt;설정!$C$17,"긴급(저혈당)",IF(E530&gt;=설정!$C$18,"긴급(고혈당)",IF(F530="공복",IF(E530&gt;=설정!$C$15,"주의","정상"),IF(F530="식후",IF(E530&gt;=설정!$C$16,"주의","정상"),"조건확인")))))))</f>
        <v/>
      </c>
      <c r="K530" s="25" t="str">
        <f aca="false">IF(OR(I530="긴급",LEFT(J530,2)="긴급"),"★ 즉시 선생님 호출",IF(OR(I530="주의",J530="주의"),"결과상담에서 확인",IF(J530="조건확인","혈당조건(공복/식후) 선택","")))</f>
        <v/>
      </c>
      <c r="L530" s="25" t="str">
        <f aca="false">IF($B530="","",IF(COUNTIF($B$5:$B$1004,$B530)&gt;1,"중복 입력",""))</f>
        <v/>
      </c>
    </row>
    <row r="531" customFormat="false" ht="15" hidden="false" customHeight="false" outlineLevel="0" collapsed="false">
      <c r="A531" s="23"/>
      <c r="B531" s="24"/>
      <c r="C531" s="24"/>
      <c r="D531" s="24"/>
      <c r="E531" s="24"/>
      <c r="F531" s="24"/>
      <c r="G531" s="24"/>
      <c r="H531" s="25" t="str">
        <f aca="false">IF($B531="","",IFERROR(IF(INDEX(명단!$B$5:$B$404,MATCH($B531,명단!$A$5:$A$404,0))="","(이름 미입력)",INDEX(명단!$B$5:$B$404,MATCH($B531,명단!$A$5:$A$404,0))),"번호 없음"))</f>
        <v/>
      </c>
      <c r="I531" s="25" t="str">
        <f aca="false">IF(AND(C531="",D531=""),"",IF(OR(C531="-",D531="-"),"측정불가",IF(AND(ISNUMBER(C531),ISNUMBER(D531)),IF(OR(C531&gt;=설정!$C$11,D531&gt;=설정!$C$12),"긴급",IF(OR(C531&gt;=설정!$C$9,D531&gt;=설정!$C$10,C531&lt;설정!$C$13),"주의","정상")),"확인필요")))</f>
        <v/>
      </c>
      <c r="J531" s="25" t="str">
        <f aca="false">IF(E531="","",IF(E531="-","측정불가",IF(NOT(ISNUMBER(E531)),"확인필요",IF(E531&lt;설정!$C$17,"긴급(저혈당)",IF(E531&gt;=설정!$C$18,"긴급(고혈당)",IF(F531="공복",IF(E531&gt;=설정!$C$15,"주의","정상"),IF(F531="식후",IF(E531&gt;=설정!$C$16,"주의","정상"),"조건확인")))))))</f>
        <v/>
      </c>
      <c r="K531" s="25" t="str">
        <f aca="false">IF(OR(I531="긴급",LEFT(J531,2)="긴급"),"★ 즉시 선생님 호출",IF(OR(I531="주의",J531="주의"),"결과상담에서 확인",IF(J531="조건확인","혈당조건(공복/식후) 선택","")))</f>
        <v/>
      </c>
      <c r="L531" s="25" t="str">
        <f aca="false">IF($B531="","",IF(COUNTIF($B$5:$B$1004,$B531)&gt;1,"중복 입력",""))</f>
        <v/>
      </c>
    </row>
    <row r="532" customFormat="false" ht="15" hidden="false" customHeight="false" outlineLevel="0" collapsed="false">
      <c r="A532" s="23"/>
      <c r="B532" s="24"/>
      <c r="C532" s="24"/>
      <c r="D532" s="24"/>
      <c r="E532" s="24"/>
      <c r="F532" s="24"/>
      <c r="G532" s="24"/>
      <c r="H532" s="25" t="str">
        <f aca="false">IF($B532="","",IFERROR(IF(INDEX(명단!$B$5:$B$404,MATCH($B532,명단!$A$5:$A$404,0))="","(이름 미입력)",INDEX(명단!$B$5:$B$404,MATCH($B532,명단!$A$5:$A$404,0))),"번호 없음"))</f>
        <v/>
      </c>
      <c r="I532" s="25" t="str">
        <f aca="false">IF(AND(C532="",D532=""),"",IF(OR(C532="-",D532="-"),"측정불가",IF(AND(ISNUMBER(C532),ISNUMBER(D532)),IF(OR(C532&gt;=설정!$C$11,D532&gt;=설정!$C$12),"긴급",IF(OR(C532&gt;=설정!$C$9,D532&gt;=설정!$C$10,C532&lt;설정!$C$13),"주의","정상")),"확인필요")))</f>
        <v/>
      </c>
      <c r="J532" s="25" t="str">
        <f aca="false">IF(E532="","",IF(E532="-","측정불가",IF(NOT(ISNUMBER(E532)),"확인필요",IF(E532&lt;설정!$C$17,"긴급(저혈당)",IF(E532&gt;=설정!$C$18,"긴급(고혈당)",IF(F532="공복",IF(E532&gt;=설정!$C$15,"주의","정상"),IF(F532="식후",IF(E532&gt;=설정!$C$16,"주의","정상"),"조건확인")))))))</f>
        <v/>
      </c>
      <c r="K532" s="25" t="str">
        <f aca="false">IF(OR(I532="긴급",LEFT(J532,2)="긴급"),"★ 즉시 선생님 호출",IF(OR(I532="주의",J532="주의"),"결과상담에서 확인",IF(J532="조건확인","혈당조건(공복/식후) 선택","")))</f>
        <v/>
      </c>
      <c r="L532" s="25" t="str">
        <f aca="false">IF($B532="","",IF(COUNTIF($B$5:$B$1004,$B532)&gt;1,"중복 입력",""))</f>
        <v/>
      </c>
    </row>
    <row r="533" customFormat="false" ht="15" hidden="false" customHeight="false" outlineLevel="0" collapsed="false">
      <c r="A533" s="23"/>
      <c r="B533" s="24"/>
      <c r="C533" s="24"/>
      <c r="D533" s="24"/>
      <c r="E533" s="24"/>
      <c r="F533" s="24"/>
      <c r="G533" s="24"/>
      <c r="H533" s="25" t="str">
        <f aca="false">IF($B533="","",IFERROR(IF(INDEX(명단!$B$5:$B$404,MATCH($B533,명단!$A$5:$A$404,0))="","(이름 미입력)",INDEX(명단!$B$5:$B$404,MATCH($B533,명단!$A$5:$A$404,0))),"번호 없음"))</f>
        <v/>
      </c>
      <c r="I533" s="25" t="str">
        <f aca="false">IF(AND(C533="",D533=""),"",IF(OR(C533="-",D533="-"),"측정불가",IF(AND(ISNUMBER(C533),ISNUMBER(D533)),IF(OR(C533&gt;=설정!$C$11,D533&gt;=설정!$C$12),"긴급",IF(OR(C533&gt;=설정!$C$9,D533&gt;=설정!$C$10,C533&lt;설정!$C$13),"주의","정상")),"확인필요")))</f>
        <v/>
      </c>
      <c r="J533" s="25" t="str">
        <f aca="false">IF(E533="","",IF(E533="-","측정불가",IF(NOT(ISNUMBER(E533)),"확인필요",IF(E533&lt;설정!$C$17,"긴급(저혈당)",IF(E533&gt;=설정!$C$18,"긴급(고혈당)",IF(F533="공복",IF(E533&gt;=설정!$C$15,"주의","정상"),IF(F533="식후",IF(E533&gt;=설정!$C$16,"주의","정상"),"조건확인")))))))</f>
        <v/>
      </c>
      <c r="K533" s="25" t="str">
        <f aca="false">IF(OR(I533="긴급",LEFT(J533,2)="긴급"),"★ 즉시 선생님 호출",IF(OR(I533="주의",J533="주의"),"결과상담에서 확인",IF(J533="조건확인","혈당조건(공복/식후) 선택","")))</f>
        <v/>
      </c>
      <c r="L533" s="25" t="str">
        <f aca="false">IF($B533="","",IF(COUNTIF($B$5:$B$1004,$B533)&gt;1,"중복 입력",""))</f>
        <v/>
      </c>
    </row>
    <row r="534" customFormat="false" ht="15" hidden="false" customHeight="false" outlineLevel="0" collapsed="false">
      <c r="A534" s="23"/>
      <c r="B534" s="24"/>
      <c r="C534" s="24"/>
      <c r="D534" s="24"/>
      <c r="E534" s="24"/>
      <c r="F534" s="24"/>
      <c r="G534" s="24"/>
      <c r="H534" s="25" t="str">
        <f aca="false">IF($B534="","",IFERROR(IF(INDEX(명단!$B$5:$B$404,MATCH($B534,명단!$A$5:$A$404,0))="","(이름 미입력)",INDEX(명단!$B$5:$B$404,MATCH($B534,명단!$A$5:$A$404,0))),"번호 없음"))</f>
        <v/>
      </c>
      <c r="I534" s="25" t="str">
        <f aca="false">IF(AND(C534="",D534=""),"",IF(OR(C534="-",D534="-"),"측정불가",IF(AND(ISNUMBER(C534),ISNUMBER(D534)),IF(OR(C534&gt;=설정!$C$11,D534&gt;=설정!$C$12),"긴급",IF(OR(C534&gt;=설정!$C$9,D534&gt;=설정!$C$10,C534&lt;설정!$C$13),"주의","정상")),"확인필요")))</f>
        <v/>
      </c>
      <c r="J534" s="25" t="str">
        <f aca="false">IF(E534="","",IF(E534="-","측정불가",IF(NOT(ISNUMBER(E534)),"확인필요",IF(E534&lt;설정!$C$17,"긴급(저혈당)",IF(E534&gt;=설정!$C$18,"긴급(고혈당)",IF(F534="공복",IF(E534&gt;=설정!$C$15,"주의","정상"),IF(F534="식후",IF(E534&gt;=설정!$C$16,"주의","정상"),"조건확인")))))))</f>
        <v/>
      </c>
      <c r="K534" s="25" t="str">
        <f aca="false">IF(OR(I534="긴급",LEFT(J534,2)="긴급"),"★ 즉시 선생님 호출",IF(OR(I534="주의",J534="주의"),"결과상담에서 확인",IF(J534="조건확인","혈당조건(공복/식후) 선택","")))</f>
        <v/>
      </c>
      <c r="L534" s="25" t="str">
        <f aca="false">IF($B534="","",IF(COUNTIF($B$5:$B$1004,$B534)&gt;1,"중복 입력",""))</f>
        <v/>
      </c>
    </row>
    <row r="535" customFormat="false" ht="15" hidden="false" customHeight="false" outlineLevel="0" collapsed="false">
      <c r="A535" s="23"/>
      <c r="B535" s="24"/>
      <c r="C535" s="24"/>
      <c r="D535" s="24"/>
      <c r="E535" s="24"/>
      <c r="F535" s="24"/>
      <c r="G535" s="24"/>
      <c r="H535" s="25" t="str">
        <f aca="false">IF($B535="","",IFERROR(IF(INDEX(명단!$B$5:$B$404,MATCH($B535,명단!$A$5:$A$404,0))="","(이름 미입력)",INDEX(명단!$B$5:$B$404,MATCH($B535,명단!$A$5:$A$404,0))),"번호 없음"))</f>
        <v/>
      </c>
      <c r="I535" s="25" t="str">
        <f aca="false">IF(AND(C535="",D535=""),"",IF(OR(C535="-",D535="-"),"측정불가",IF(AND(ISNUMBER(C535),ISNUMBER(D535)),IF(OR(C535&gt;=설정!$C$11,D535&gt;=설정!$C$12),"긴급",IF(OR(C535&gt;=설정!$C$9,D535&gt;=설정!$C$10,C535&lt;설정!$C$13),"주의","정상")),"확인필요")))</f>
        <v/>
      </c>
      <c r="J535" s="25" t="str">
        <f aca="false">IF(E535="","",IF(E535="-","측정불가",IF(NOT(ISNUMBER(E535)),"확인필요",IF(E535&lt;설정!$C$17,"긴급(저혈당)",IF(E535&gt;=설정!$C$18,"긴급(고혈당)",IF(F535="공복",IF(E535&gt;=설정!$C$15,"주의","정상"),IF(F535="식후",IF(E535&gt;=설정!$C$16,"주의","정상"),"조건확인")))))))</f>
        <v/>
      </c>
      <c r="K535" s="25" t="str">
        <f aca="false">IF(OR(I535="긴급",LEFT(J535,2)="긴급"),"★ 즉시 선생님 호출",IF(OR(I535="주의",J535="주의"),"결과상담에서 확인",IF(J535="조건확인","혈당조건(공복/식후) 선택","")))</f>
        <v/>
      </c>
      <c r="L535" s="25" t="str">
        <f aca="false">IF($B535="","",IF(COUNTIF($B$5:$B$1004,$B535)&gt;1,"중복 입력",""))</f>
        <v/>
      </c>
    </row>
    <row r="536" customFormat="false" ht="15" hidden="false" customHeight="false" outlineLevel="0" collapsed="false">
      <c r="A536" s="23"/>
      <c r="B536" s="24"/>
      <c r="C536" s="24"/>
      <c r="D536" s="24"/>
      <c r="E536" s="24"/>
      <c r="F536" s="24"/>
      <c r="G536" s="24"/>
      <c r="H536" s="25" t="str">
        <f aca="false">IF($B536="","",IFERROR(IF(INDEX(명단!$B$5:$B$404,MATCH($B536,명단!$A$5:$A$404,0))="","(이름 미입력)",INDEX(명단!$B$5:$B$404,MATCH($B536,명단!$A$5:$A$404,0))),"번호 없음"))</f>
        <v/>
      </c>
      <c r="I536" s="25" t="str">
        <f aca="false">IF(AND(C536="",D536=""),"",IF(OR(C536="-",D536="-"),"측정불가",IF(AND(ISNUMBER(C536),ISNUMBER(D536)),IF(OR(C536&gt;=설정!$C$11,D536&gt;=설정!$C$12),"긴급",IF(OR(C536&gt;=설정!$C$9,D536&gt;=설정!$C$10,C536&lt;설정!$C$13),"주의","정상")),"확인필요")))</f>
        <v/>
      </c>
      <c r="J536" s="25" t="str">
        <f aca="false">IF(E536="","",IF(E536="-","측정불가",IF(NOT(ISNUMBER(E536)),"확인필요",IF(E536&lt;설정!$C$17,"긴급(저혈당)",IF(E536&gt;=설정!$C$18,"긴급(고혈당)",IF(F536="공복",IF(E536&gt;=설정!$C$15,"주의","정상"),IF(F536="식후",IF(E536&gt;=설정!$C$16,"주의","정상"),"조건확인")))))))</f>
        <v/>
      </c>
      <c r="K536" s="25" t="str">
        <f aca="false">IF(OR(I536="긴급",LEFT(J536,2)="긴급"),"★ 즉시 선생님 호출",IF(OR(I536="주의",J536="주의"),"결과상담에서 확인",IF(J536="조건확인","혈당조건(공복/식후) 선택","")))</f>
        <v/>
      </c>
      <c r="L536" s="25" t="str">
        <f aca="false">IF($B536="","",IF(COUNTIF($B$5:$B$1004,$B536)&gt;1,"중복 입력",""))</f>
        <v/>
      </c>
    </row>
    <row r="537" customFormat="false" ht="15" hidden="false" customHeight="false" outlineLevel="0" collapsed="false">
      <c r="A537" s="23"/>
      <c r="B537" s="24"/>
      <c r="C537" s="24"/>
      <c r="D537" s="24"/>
      <c r="E537" s="24"/>
      <c r="F537" s="24"/>
      <c r="G537" s="24"/>
      <c r="H537" s="25" t="str">
        <f aca="false">IF($B537="","",IFERROR(IF(INDEX(명단!$B$5:$B$404,MATCH($B537,명단!$A$5:$A$404,0))="","(이름 미입력)",INDEX(명단!$B$5:$B$404,MATCH($B537,명단!$A$5:$A$404,0))),"번호 없음"))</f>
        <v/>
      </c>
      <c r="I537" s="25" t="str">
        <f aca="false">IF(AND(C537="",D537=""),"",IF(OR(C537="-",D537="-"),"측정불가",IF(AND(ISNUMBER(C537),ISNUMBER(D537)),IF(OR(C537&gt;=설정!$C$11,D537&gt;=설정!$C$12),"긴급",IF(OR(C537&gt;=설정!$C$9,D537&gt;=설정!$C$10,C537&lt;설정!$C$13),"주의","정상")),"확인필요")))</f>
        <v/>
      </c>
      <c r="J537" s="25" t="str">
        <f aca="false">IF(E537="","",IF(E537="-","측정불가",IF(NOT(ISNUMBER(E537)),"확인필요",IF(E537&lt;설정!$C$17,"긴급(저혈당)",IF(E537&gt;=설정!$C$18,"긴급(고혈당)",IF(F537="공복",IF(E537&gt;=설정!$C$15,"주의","정상"),IF(F537="식후",IF(E537&gt;=설정!$C$16,"주의","정상"),"조건확인")))))))</f>
        <v/>
      </c>
      <c r="K537" s="25" t="str">
        <f aca="false">IF(OR(I537="긴급",LEFT(J537,2)="긴급"),"★ 즉시 선생님 호출",IF(OR(I537="주의",J537="주의"),"결과상담에서 확인",IF(J537="조건확인","혈당조건(공복/식후) 선택","")))</f>
        <v/>
      </c>
      <c r="L537" s="25" t="str">
        <f aca="false">IF($B537="","",IF(COUNTIF($B$5:$B$1004,$B537)&gt;1,"중복 입력",""))</f>
        <v/>
      </c>
    </row>
    <row r="538" customFormat="false" ht="15" hidden="false" customHeight="false" outlineLevel="0" collapsed="false">
      <c r="A538" s="23"/>
      <c r="B538" s="24"/>
      <c r="C538" s="24"/>
      <c r="D538" s="24"/>
      <c r="E538" s="24"/>
      <c r="F538" s="24"/>
      <c r="G538" s="24"/>
      <c r="H538" s="25" t="str">
        <f aca="false">IF($B538="","",IFERROR(IF(INDEX(명단!$B$5:$B$404,MATCH($B538,명단!$A$5:$A$404,0))="","(이름 미입력)",INDEX(명단!$B$5:$B$404,MATCH($B538,명단!$A$5:$A$404,0))),"번호 없음"))</f>
        <v/>
      </c>
      <c r="I538" s="25" t="str">
        <f aca="false">IF(AND(C538="",D538=""),"",IF(OR(C538="-",D538="-"),"측정불가",IF(AND(ISNUMBER(C538),ISNUMBER(D538)),IF(OR(C538&gt;=설정!$C$11,D538&gt;=설정!$C$12),"긴급",IF(OR(C538&gt;=설정!$C$9,D538&gt;=설정!$C$10,C538&lt;설정!$C$13),"주의","정상")),"확인필요")))</f>
        <v/>
      </c>
      <c r="J538" s="25" t="str">
        <f aca="false">IF(E538="","",IF(E538="-","측정불가",IF(NOT(ISNUMBER(E538)),"확인필요",IF(E538&lt;설정!$C$17,"긴급(저혈당)",IF(E538&gt;=설정!$C$18,"긴급(고혈당)",IF(F538="공복",IF(E538&gt;=설정!$C$15,"주의","정상"),IF(F538="식후",IF(E538&gt;=설정!$C$16,"주의","정상"),"조건확인")))))))</f>
        <v/>
      </c>
      <c r="K538" s="25" t="str">
        <f aca="false">IF(OR(I538="긴급",LEFT(J538,2)="긴급"),"★ 즉시 선생님 호출",IF(OR(I538="주의",J538="주의"),"결과상담에서 확인",IF(J538="조건확인","혈당조건(공복/식후) 선택","")))</f>
        <v/>
      </c>
      <c r="L538" s="25" t="str">
        <f aca="false">IF($B538="","",IF(COUNTIF($B$5:$B$1004,$B538)&gt;1,"중복 입력",""))</f>
        <v/>
      </c>
    </row>
    <row r="539" customFormat="false" ht="15" hidden="false" customHeight="false" outlineLevel="0" collapsed="false">
      <c r="A539" s="23"/>
      <c r="B539" s="24"/>
      <c r="C539" s="24"/>
      <c r="D539" s="24"/>
      <c r="E539" s="24"/>
      <c r="F539" s="24"/>
      <c r="G539" s="24"/>
      <c r="H539" s="25" t="str">
        <f aca="false">IF($B539="","",IFERROR(IF(INDEX(명단!$B$5:$B$404,MATCH($B539,명단!$A$5:$A$404,0))="","(이름 미입력)",INDEX(명단!$B$5:$B$404,MATCH($B539,명단!$A$5:$A$404,0))),"번호 없음"))</f>
        <v/>
      </c>
      <c r="I539" s="25" t="str">
        <f aca="false">IF(AND(C539="",D539=""),"",IF(OR(C539="-",D539="-"),"측정불가",IF(AND(ISNUMBER(C539),ISNUMBER(D539)),IF(OR(C539&gt;=설정!$C$11,D539&gt;=설정!$C$12),"긴급",IF(OR(C539&gt;=설정!$C$9,D539&gt;=설정!$C$10,C539&lt;설정!$C$13),"주의","정상")),"확인필요")))</f>
        <v/>
      </c>
      <c r="J539" s="25" t="str">
        <f aca="false">IF(E539="","",IF(E539="-","측정불가",IF(NOT(ISNUMBER(E539)),"확인필요",IF(E539&lt;설정!$C$17,"긴급(저혈당)",IF(E539&gt;=설정!$C$18,"긴급(고혈당)",IF(F539="공복",IF(E539&gt;=설정!$C$15,"주의","정상"),IF(F539="식후",IF(E539&gt;=설정!$C$16,"주의","정상"),"조건확인")))))))</f>
        <v/>
      </c>
      <c r="K539" s="25" t="str">
        <f aca="false">IF(OR(I539="긴급",LEFT(J539,2)="긴급"),"★ 즉시 선생님 호출",IF(OR(I539="주의",J539="주의"),"결과상담에서 확인",IF(J539="조건확인","혈당조건(공복/식후) 선택","")))</f>
        <v/>
      </c>
      <c r="L539" s="25" t="str">
        <f aca="false">IF($B539="","",IF(COUNTIF($B$5:$B$1004,$B539)&gt;1,"중복 입력",""))</f>
        <v/>
      </c>
    </row>
    <row r="540" customFormat="false" ht="15" hidden="false" customHeight="false" outlineLevel="0" collapsed="false">
      <c r="A540" s="23"/>
      <c r="B540" s="24"/>
      <c r="C540" s="24"/>
      <c r="D540" s="24"/>
      <c r="E540" s="24"/>
      <c r="F540" s="24"/>
      <c r="G540" s="24"/>
      <c r="H540" s="25" t="str">
        <f aca="false">IF($B540="","",IFERROR(IF(INDEX(명단!$B$5:$B$404,MATCH($B540,명단!$A$5:$A$404,0))="","(이름 미입력)",INDEX(명단!$B$5:$B$404,MATCH($B540,명단!$A$5:$A$404,0))),"번호 없음"))</f>
        <v/>
      </c>
      <c r="I540" s="25" t="str">
        <f aca="false">IF(AND(C540="",D540=""),"",IF(OR(C540="-",D540="-"),"측정불가",IF(AND(ISNUMBER(C540),ISNUMBER(D540)),IF(OR(C540&gt;=설정!$C$11,D540&gt;=설정!$C$12),"긴급",IF(OR(C540&gt;=설정!$C$9,D540&gt;=설정!$C$10,C540&lt;설정!$C$13),"주의","정상")),"확인필요")))</f>
        <v/>
      </c>
      <c r="J540" s="25" t="str">
        <f aca="false">IF(E540="","",IF(E540="-","측정불가",IF(NOT(ISNUMBER(E540)),"확인필요",IF(E540&lt;설정!$C$17,"긴급(저혈당)",IF(E540&gt;=설정!$C$18,"긴급(고혈당)",IF(F540="공복",IF(E540&gt;=설정!$C$15,"주의","정상"),IF(F540="식후",IF(E540&gt;=설정!$C$16,"주의","정상"),"조건확인")))))))</f>
        <v/>
      </c>
      <c r="K540" s="25" t="str">
        <f aca="false">IF(OR(I540="긴급",LEFT(J540,2)="긴급"),"★ 즉시 선생님 호출",IF(OR(I540="주의",J540="주의"),"결과상담에서 확인",IF(J540="조건확인","혈당조건(공복/식후) 선택","")))</f>
        <v/>
      </c>
      <c r="L540" s="25" t="str">
        <f aca="false">IF($B540="","",IF(COUNTIF($B$5:$B$1004,$B540)&gt;1,"중복 입력",""))</f>
        <v/>
      </c>
    </row>
    <row r="541" customFormat="false" ht="15" hidden="false" customHeight="false" outlineLevel="0" collapsed="false">
      <c r="A541" s="23"/>
      <c r="B541" s="24"/>
      <c r="C541" s="24"/>
      <c r="D541" s="24"/>
      <c r="E541" s="24"/>
      <c r="F541" s="24"/>
      <c r="G541" s="24"/>
      <c r="H541" s="25" t="str">
        <f aca="false">IF($B541="","",IFERROR(IF(INDEX(명단!$B$5:$B$404,MATCH($B541,명단!$A$5:$A$404,0))="","(이름 미입력)",INDEX(명단!$B$5:$B$404,MATCH($B541,명단!$A$5:$A$404,0))),"번호 없음"))</f>
        <v/>
      </c>
      <c r="I541" s="25" t="str">
        <f aca="false">IF(AND(C541="",D541=""),"",IF(OR(C541="-",D541="-"),"측정불가",IF(AND(ISNUMBER(C541),ISNUMBER(D541)),IF(OR(C541&gt;=설정!$C$11,D541&gt;=설정!$C$12),"긴급",IF(OR(C541&gt;=설정!$C$9,D541&gt;=설정!$C$10,C541&lt;설정!$C$13),"주의","정상")),"확인필요")))</f>
        <v/>
      </c>
      <c r="J541" s="25" t="str">
        <f aca="false">IF(E541="","",IF(E541="-","측정불가",IF(NOT(ISNUMBER(E541)),"확인필요",IF(E541&lt;설정!$C$17,"긴급(저혈당)",IF(E541&gt;=설정!$C$18,"긴급(고혈당)",IF(F541="공복",IF(E541&gt;=설정!$C$15,"주의","정상"),IF(F541="식후",IF(E541&gt;=설정!$C$16,"주의","정상"),"조건확인")))))))</f>
        <v/>
      </c>
      <c r="K541" s="25" t="str">
        <f aca="false">IF(OR(I541="긴급",LEFT(J541,2)="긴급"),"★ 즉시 선생님 호출",IF(OR(I541="주의",J541="주의"),"결과상담에서 확인",IF(J541="조건확인","혈당조건(공복/식후) 선택","")))</f>
        <v/>
      </c>
      <c r="L541" s="25" t="str">
        <f aca="false">IF($B541="","",IF(COUNTIF($B$5:$B$1004,$B541)&gt;1,"중복 입력",""))</f>
        <v/>
      </c>
    </row>
    <row r="542" customFormat="false" ht="15" hidden="false" customHeight="false" outlineLevel="0" collapsed="false">
      <c r="A542" s="23"/>
      <c r="B542" s="24"/>
      <c r="C542" s="24"/>
      <c r="D542" s="24"/>
      <c r="E542" s="24"/>
      <c r="F542" s="24"/>
      <c r="G542" s="24"/>
      <c r="H542" s="25" t="str">
        <f aca="false">IF($B542="","",IFERROR(IF(INDEX(명단!$B$5:$B$404,MATCH($B542,명단!$A$5:$A$404,0))="","(이름 미입력)",INDEX(명단!$B$5:$B$404,MATCH($B542,명단!$A$5:$A$404,0))),"번호 없음"))</f>
        <v/>
      </c>
      <c r="I542" s="25" t="str">
        <f aca="false">IF(AND(C542="",D542=""),"",IF(OR(C542="-",D542="-"),"측정불가",IF(AND(ISNUMBER(C542),ISNUMBER(D542)),IF(OR(C542&gt;=설정!$C$11,D542&gt;=설정!$C$12),"긴급",IF(OR(C542&gt;=설정!$C$9,D542&gt;=설정!$C$10,C542&lt;설정!$C$13),"주의","정상")),"확인필요")))</f>
        <v/>
      </c>
      <c r="J542" s="25" t="str">
        <f aca="false">IF(E542="","",IF(E542="-","측정불가",IF(NOT(ISNUMBER(E542)),"확인필요",IF(E542&lt;설정!$C$17,"긴급(저혈당)",IF(E542&gt;=설정!$C$18,"긴급(고혈당)",IF(F542="공복",IF(E542&gt;=설정!$C$15,"주의","정상"),IF(F542="식후",IF(E542&gt;=설정!$C$16,"주의","정상"),"조건확인")))))))</f>
        <v/>
      </c>
      <c r="K542" s="25" t="str">
        <f aca="false">IF(OR(I542="긴급",LEFT(J542,2)="긴급"),"★ 즉시 선생님 호출",IF(OR(I542="주의",J542="주의"),"결과상담에서 확인",IF(J542="조건확인","혈당조건(공복/식후) 선택","")))</f>
        <v/>
      </c>
      <c r="L542" s="25" t="str">
        <f aca="false">IF($B542="","",IF(COUNTIF($B$5:$B$1004,$B542)&gt;1,"중복 입력",""))</f>
        <v/>
      </c>
    </row>
    <row r="543" customFormat="false" ht="15" hidden="false" customHeight="false" outlineLevel="0" collapsed="false">
      <c r="A543" s="23"/>
      <c r="B543" s="24"/>
      <c r="C543" s="24"/>
      <c r="D543" s="24"/>
      <c r="E543" s="24"/>
      <c r="F543" s="24"/>
      <c r="G543" s="24"/>
      <c r="H543" s="25" t="str">
        <f aca="false">IF($B543="","",IFERROR(IF(INDEX(명단!$B$5:$B$404,MATCH($B543,명단!$A$5:$A$404,0))="","(이름 미입력)",INDEX(명단!$B$5:$B$404,MATCH($B543,명단!$A$5:$A$404,0))),"번호 없음"))</f>
        <v/>
      </c>
      <c r="I543" s="25" t="str">
        <f aca="false">IF(AND(C543="",D543=""),"",IF(OR(C543="-",D543="-"),"측정불가",IF(AND(ISNUMBER(C543),ISNUMBER(D543)),IF(OR(C543&gt;=설정!$C$11,D543&gt;=설정!$C$12),"긴급",IF(OR(C543&gt;=설정!$C$9,D543&gt;=설정!$C$10,C543&lt;설정!$C$13),"주의","정상")),"확인필요")))</f>
        <v/>
      </c>
      <c r="J543" s="25" t="str">
        <f aca="false">IF(E543="","",IF(E543="-","측정불가",IF(NOT(ISNUMBER(E543)),"확인필요",IF(E543&lt;설정!$C$17,"긴급(저혈당)",IF(E543&gt;=설정!$C$18,"긴급(고혈당)",IF(F543="공복",IF(E543&gt;=설정!$C$15,"주의","정상"),IF(F543="식후",IF(E543&gt;=설정!$C$16,"주의","정상"),"조건확인")))))))</f>
        <v/>
      </c>
      <c r="K543" s="25" t="str">
        <f aca="false">IF(OR(I543="긴급",LEFT(J543,2)="긴급"),"★ 즉시 선생님 호출",IF(OR(I543="주의",J543="주의"),"결과상담에서 확인",IF(J543="조건확인","혈당조건(공복/식후) 선택","")))</f>
        <v/>
      </c>
      <c r="L543" s="25" t="str">
        <f aca="false">IF($B543="","",IF(COUNTIF($B$5:$B$1004,$B543)&gt;1,"중복 입력",""))</f>
        <v/>
      </c>
    </row>
    <row r="544" customFormat="false" ht="15" hidden="false" customHeight="false" outlineLevel="0" collapsed="false">
      <c r="A544" s="23"/>
      <c r="B544" s="24"/>
      <c r="C544" s="24"/>
      <c r="D544" s="24"/>
      <c r="E544" s="24"/>
      <c r="F544" s="24"/>
      <c r="G544" s="24"/>
      <c r="H544" s="25" t="str">
        <f aca="false">IF($B544="","",IFERROR(IF(INDEX(명단!$B$5:$B$404,MATCH($B544,명단!$A$5:$A$404,0))="","(이름 미입력)",INDEX(명단!$B$5:$B$404,MATCH($B544,명단!$A$5:$A$404,0))),"번호 없음"))</f>
        <v/>
      </c>
      <c r="I544" s="25" t="str">
        <f aca="false">IF(AND(C544="",D544=""),"",IF(OR(C544="-",D544="-"),"측정불가",IF(AND(ISNUMBER(C544),ISNUMBER(D544)),IF(OR(C544&gt;=설정!$C$11,D544&gt;=설정!$C$12),"긴급",IF(OR(C544&gt;=설정!$C$9,D544&gt;=설정!$C$10,C544&lt;설정!$C$13),"주의","정상")),"확인필요")))</f>
        <v/>
      </c>
      <c r="J544" s="25" t="str">
        <f aca="false">IF(E544="","",IF(E544="-","측정불가",IF(NOT(ISNUMBER(E544)),"확인필요",IF(E544&lt;설정!$C$17,"긴급(저혈당)",IF(E544&gt;=설정!$C$18,"긴급(고혈당)",IF(F544="공복",IF(E544&gt;=설정!$C$15,"주의","정상"),IF(F544="식후",IF(E544&gt;=설정!$C$16,"주의","정상"),"조건확인")))))))</f>
        <v/>
      </c>
      <c r="K544" s="25" t="str">
        <f aca="false">IF(OR(I544="긴급",LEFT(J544,2)="긴급"),"★ 즉시 선생님 호출",IF(OR(I544="주의",J544="주의"),"결과상담에서 확인",IF(J544="조건확인","혈당조건(공복/식후) 선택","")))</f>
        <v/>
      </c>
      <c r="L544" s="25" t="str">
        <f aca="false">IF($B544="","",IF(COUNTIF($B$5:$B$1004,$B544)&gt;1,"중복 입력",""))</f>
        <v/>
      </c>
    </row>
    <row r="545" customFormat="false" ht="15" hidden="false" customHeight="false" outlineLevel="0" collapsed="false">
      <c r="A545" s="23"/>
      <c r="B545" s="24"/>
      <c r="C545" s="24"/>
      <c r="D545" s="24"/>
      <c r="E545" s="24"/>
      <c r="F545" s="24"/>
      <c r="G545" s="24"/>
      <c r="H545" s="25" t="str">
        <f aca="false">IF($B545="","",IFERROR(IF(INDEX(명단!$B$5:$B$404,MATCH($B545,명단!$A$5:$A$404,0))="","(이름 미입력)",INDEX(명단!$B$5:$B$404,MATCH($B545,명단!$A$5:$A$404,0))),"번호 없음"))</f>
        <v/>
      </c>
      <c r="I545" s="25" t="str">
        <f aca="false">IF(AND(C545="",D545=""),"",IF(OR(C545="-",D545="-"),"측정불가",IF(AND(ISNUMBER(C545),ISNUMBER(D545)),IF(OR(C545&gt;=설정!$C$11,D545&gt;=설정!$C$12),"긴급",IF(OR(C545&gt;=설정!$C$9,D545&gt;=설정!$C$10,C545&lt;설정!$C$13),"주의","정상")),"확인필요")))</f>
        <v/>
      </c>
      <c r="J545" s="25" t="str">
        <f aca="false">IF(E545="","",IF(E545="-","측정불가",IF(NOT(ISNUMBER(E545)),"확인필요",IF(E545&lt;설정!$C$17,"긴급(저혈당)",IF(E545&gt;=설정!$C$18,"긴급(고혈당)",IF(F545="공복",IF(E545&gt;=설정!$C$15,"주의","정상"),IF(F545="식후",IF(E545&gt;=설정!$C$16,"주의","정상"),"조건확인")))))))</f>
        <v/>
      </c>
      <c r="K545" s="25" t="str">
        <f aca="false">IF(OR(I545="긴급",LEFT(J545,2)="긴급"),"★ 즉시 선생님 호출",IF(OR(I545="주의",J545="주의"),"결과상담에서 확인",IF(J545="조건확인","혈당조건(공복/식후) 선택","")))</f>
        <v/>
      </c>
      <c r="L545" s="25" t="str">
        <f aca="false">IF($B545="","",IF(COUNTIF($B$5:$B$1004,$B545)&gt;1,"중복 입력",""))</f>
        <v/>
      </c>
    </row>
    <row r="546" customFormat="false" ht="15" hidden="false" customHeight="false" outlineLevel="0" collapsed="false">
      <c r="A546" s="23"/>
      <c r="B546" s="24"/>
      <c r="C546" s="24"/>
      <c r="D546" s="24"/>
      <c r="E546" s="24"/>
      <c r="F546" s="24"/>
      <c r="G546" s="24"/>
      <c r="H546" s="25" t="str">
        <f aca="false">IF($B546="","",IFERROR(IF(INDEX(명단!$B$5:$B$404,MATCH($B546,명단!$A$5:$A$404,0))="","(이름 미입력)",INDEX(명단!$B$5:$B$404,MATCH($B546,명단!$A$5:$A$404,0))),"번호 없음"))</f>
        <v/>
      </c>
      <c r="I546" s="25" t="str">
        <f aca="false">IF(AND(C546="",D546=""),"",IF(OR(C546="-",D546="-"),"측정불가",IF(AND(ISNUMBER(C546),ISNUMBER(D546)),IF(OR(C546&gt;=설정!$C$11,D546&gt;=설정!$C$12),"긴급",IF(OR(C546&gt;=설정!$C$9,D546&gt;=설정!$C$10,C546&lt;설정!$C$13),"주의","정상")),"확인필요")))</f>
        <v/>
      </c>
      <c r="J546" s="25" t="str">
        <f aca="false">IF(E546="","",IF(E546="-","측정불가",IF(NOT(ISNUMBER(E546)),"확인필요",IF(E546&lt;설정!$C$17,"긴급(저혈당)",IF(E546&gt;=설정!$C$18,"긴급(고혈당)",IF(F546="공복",IF(E546&gt;=설정!$C$15,"주의","정상"),IF(F546="식후",IF(E546&gt;=설정!$C$16,"주의","정상"),"조건확인")))))))</f>
        <v/>
      </c>
      <c r="K546" s="25" t="str">
        <f aca="false">IF(OR(I546="긴급",LEFT(J546,2)="긴급"),"★ 즉시 선생님 호출",IF(OR(I546="주의",J546="주의"),"결과상담에서 확인",IF(J546="조건확인","혈당조건(공복/식후) 선택","")))</f>
        <v/>
      </c>
      <c r="L546" s="25" t="str">
        <f aca="false">IF($B546="","",IF(COUNTIF($B$5:$B$1004,$B546)&gt;1,"중복 입력",""))</f>
        <v/>
      </c>
    </row>
    <row r="547" customFormat="false" ht="15" hidden="false" customHeight="false" outlineLevel="0" collapsed="false">
      <c r="A547" s="23"/>
      <c r="B547" s="24"/>
      <c r="C547" s="24"/>
      <c r="D547" s="24"/>
      <c r="E547" s="24"/>
      <c r="F547" s="24"/>
      <c r="G547" s="24"/>
      <c r="H547" s="25" t="str">
        <f aca="false">IF($B547="","",IFERROR(IF(INDEX(명단!$B$5:$B$404,MATCH($B547,명단!$A$5:$A$404,0))="","(이름 미입력)",INDEX(명단!$B$5:$B$404,MATCH($B547,명단!$A$5:$A$404,0))),"번호 없음"))</f>
        <v/>
      </c>
      <c r="I547" s="25" t="str">
        <f aca="false">IF(AND(C547="",D547=""),"",IF(OR(C547="-",D547="-"),"측정불가",IF(AND(ISNUMBER(C547),ISNUMBER(D547)),IF(OR(C547&gt;=설정!$C$11,D547&gt;=설정!$C$12),"긴급",IF(OR(C547&gt;=설정!$C$9,D547&gt;=설정!$C$10,C547&lt;설정!$C$13),"주의","정상")),"확인필요")))</f>
        <v/>
      </c>
      <c r="J547" s="25" t="str">
        <f aca="false">IF(E547="","",IF(E547="-","측정불가",IF(NOT(ISNUMBER(E547)),"확인필요",IF(E547&lt;설정!$C$17,"긴급(저혈당)",IF(E547&gt;=설정!$C$18,"긴급(고혈당)",IF(F547="공복",IF(E547&gt;=설정!$C$15,"주의","정상"),IF(F547="식후",IF(E547&gt;=설정!$C$16,"주의","정상"),"조건확인")))))))</f>
        <v/>
      </c>
      <c r="K547" s="25" t="str">
        <f aca="false">IF(OR(I547="긴급",LEFT(J547,2)="긴급"),"★ 즉시 선생님 호출",IF(OR(I547="주의",J547="주의"),"결과상담에서 확인",IF(J547="조건확인","혈당조건(공복/식후) 선택","")))</f>
        <v/>
      </c>
      <c r="L547" s="25" t="str">
        <f aca="false">IF($B547="","",IF(COUNTIF($B$5:$B$1004,$B547)&gt;1,"중복 입력",""))</f>
        <v/>
      </c>
    </row>
    <row r="548" customFormat="false" ht="15" hidden="false" customHeight="false" outlineLevel="0" collapsed="false">
      <c r="A548" s="23"/>
      <c r="B548" s="24"/>
      <c r="C548" s="24"/>
      <c r="D548" s="24"/>
      <c r="E548" s="24"/>
      <c r="F548" s="24"/>
      <c r="G548" s="24"/>
      <c r="H548" s="25" t="str">
        <f aca="false">IF($B548="","",IFERROR(IF(INDEX(명단!$B$5:$B$404,MATCH($B548,명단!$A$5:$A$404,0))="","(이름 미입력)",INDEX(명단!$B$5:$B$404,MATCH($B548,명단!$A$5:$A$404,0))),"번호 없음"))</f>
        <v/>
      </c>
      <c r="I548" s="25" t="str">
        <f aca="false">IF(AND(C548="",D548=""),"",IF(OR(C548="-",D548="-"),"측정불가",IF(AND(ISNUMBER(C548),ISNUMBER(D548)),IF(OR(C548&gt;=설정!$C$11,D548&gt;=설정!$C$12),"긴급",IF(OR(C548&gt;=설정!$C$9,D548&gt;=설정!$C$10,C548&lt;설정!$C$13),"주의","정상")),"확인필요")))</f>
        <v/>
      </c>
      <c r="J548" s="25" t="str">
        <f aca="false">IF(E548="","",IF(E548="-","측정불가",IF(NOT(ISNUMBER(E548)),"확인필요",IF(E548&lt;설정!$C$17,"긴급(저혈당)",IF(E548&gt;=설정!$C$18,"긴급(고혈당)",IF(F548="공복",IF(E548&gt;=설정!$C$15,"주의","정상"),IF(F548="식후",IF(E548&gt;=설정!$C$16,"주의","정상"),"조건확인")))))))</f>
        <v/>
      </c>
      <c r="K548" s="25" t="str">
        <f aca="false">IF(OR(I548="긴급",LEFT(J548,2)="긴급"),"★ 즉시 선생님 호출",IF(OR(I548="주의",J548="주의"),"결과상담에서 확인",IF(J548="조건확인","혈당조건(공복/식후) 선택","")))</f>
        <v/>
      </c>
      <c r="L548" s="25" t="str">
        <f aca="false">IF($B548="","",IF(COUNTIF($B$5:$B$1004,$B548)&gt;1,"중복 입력",""))</f>
        <v/>
      </c>
    </row>
    <row r="549" customFormat="false" ht="15" hidden="false" customHeight="false" outlineLevel="0" collapsed="false">
      <c r="A549" s="23"/>
      <c r="B549" s="24"/>
      <c r="C549" s="24"/>
      <c r="D549" s="24"/>
      <c r="E549" s="24"/>
      <c r="F549" s="24"/>
      <c r="G549" s="24"/>
      <c r="H549" s="25" t="str">
        <f aca="false">IF($B549="","",IFERROR(IF(INDEX(명단!$B$5:$B$404,MATCH($B549,명단!$A$5:$A$404,0))="","(이름 미입력)",INDEX(명단!$B$5:$B$404,MATCH($B549,명단!$A$5:$A$404,0))),"번호 없음"))</f>
        <v/>
      </c>
      <c r="I549" s="25" t="str">
        <f aca="false">IF(AND(C549="",D549=""),"",IF(OR(C549="-",D549="-"),"측정불가",IF(AND(ISNUMBER(C549),ISNUMBER(D549)),IF(OR(C549&gt;=설정!$C$11,D549&gt;=설정!$C$12),"긴급",IF(OR(C549&gt;=설정!$C$9,D549&gt;=설정!$C$10,C549&lt;설정!$C$13),"주의","정상")),"확인필요")))</f>
        <v/>
      </c>
      <c r="J549" s="25" t="str">
        <f aca="false">IF(E549="","",IF(E549="-","측정불가",IF(NOT(ISNUMBER(E549)),"확인필요",IF(E549&lt;설정!$C$17,"긴급(저혈당)",IF(E549&gt;=설정!$C$18,"긴급(고혈당)",IF(F549="공복",IF(E549&gt;=설정!$C$15,"주의","정상"),IF(F549="식후",IF(E549&gt;=설정!$C$16,"주의","정상"),"조건확인")))))))</f>
        <v/>
      </c>
      <c r="K549" s="25" t="str">
        <f aca="false">IF(OR(I549="긴급",LEFT(J549,2)="긴급"),"★ 즉시 선생님 호출",IF(OR(I549="주의",J549="주의"),"결과상담에서 확인",IF(J549="조건확인","혈당조건(공복/식후) 선택","")))</f>
        <v/>
      </c>
      <c r="L549" s="25" t="str">
        <f aca="false">IF($B549="","",IF(COUNTIF($B$5:$B$1004,$B549)&gt;1,"중복 입력",""))</f>
        <v/>
      </c>
    </row>
    <row r="550" customFormat="false" ht="15" hidden="false" customHeight="false" outlineLevel="0" collapsed="false">
      <c r="A550" s="23"/>
      <c r="B550" s="24"/>
      <c r="C550" s="24"/>
      <c r="D550" s="24"/>
      <c r="E550" s="24"/>
      <c r="F550" s="24"/>
      <c r="G550" s="24"/>
      <c r="H550" s="25" t="str">
        <f aca="false">IF($B550="","",IFERROR(IF(INDEX(명단!$B$5:$B$404,MATCH($B550,명단!$A$5:$A$404,0))="","(이름 미입력)",INDEX(명단!$B$5:$B$404,MATCH($B550,명단!$A$5:$A$404,0))),"번호 없음"))</f>
        <v/>
      </c>
      <c r="I550" s="25" t="str">
        <f aca="false">IF(AND(C550="",D550=""),"",IF(OR(C550="-",D550="-"),"측정불가",IF(AND(ISNUMBER(C550),ISNUMBER(D550)),IF(OR(C550&gt;=설정!$C$11,D550&gt;=설정!$C$12),"긴급",IF(OR(C550&gt;=설정!$C$9,D550&gt;=설정!$C$10,C550&lt;설정!$C$13),"주의","정상")),"확인필요")))</f>
        <v/>
      </c>
      <c r="J550" s="25" t="str">
        <f aca="false">IF(E550="","",IF(E550="-","측정불가",IF(NOT(ISNUMBER(E550)),"확인필요",IF(E550&lt;설정!$C$17,"긴급(저혈당)",IF(E550&gt;=설정!$C$18,"긴급(고혈당)",IF(F550="공복",IF(E550&gt;=설정!$C$15,"주의","정상"),IF(F550="식후",IF(E550&gt;=설정!$C$16,"주의","정상"),"조건확인")))))))</f>
        <v/>
      </c>
      <c r="K550" s="25" t="str">
        <f aca="false">IF(OR(I550="긴급",LEFT(J550,2)="긴급"),"★ 즉시 선생님 호출",IF(OR(I550="주의",J550="주의"),"결과상담에서 확인",IF(J550="조건확인","혈당조건(공복/식후) 선택","")))</f>
        <v/>
      </c>
      <c r="L550" s="25" t="str">
        <f aca="false">IF($B550="","",IF(COUNTIF($B$5:$B$1004,$B550)&gt;1,"중복 입력",""))</f>
        <v/>
      </c>
    </row>
    <row r="551" customFormat="false" ht="15" hidden="false" customHeight="false" outlineLevel="0" collapsed="false">
      <c r="A551" s="23"/>
      <c r="B551" s="24"/>
      <c r="C551" s="24"/>
      <c r="D551" s="24"/>
      <c r="E551" s="24"/>
      <c r="F551" s="24"/>
      <c r="G551" s="24"/>
      <c r="H551" s="25" t="str">
        <f aca="false">IF($B551="","",IFERROR(IF(INDEX(명단!$B$5:$B$404,MATCH($B551,명단!$A$5:$A$404,0))="","(이름 미입력)",INDEX(명단!$B$5:$B$404,MATCH($B551,명단!$A$5:$A$404,0))),"번호 없음"))</f>
        <v/>
      </c>
      <c r="I551" s="25" t="str">
        <f aca="false">IF(AND(C551="",D551=""),"",IF(OR(C551="-",D551="-"),"측정불가",IF(AND(ISNUMBER(C551),ISNUMBER(D551)),IF(OR(C551&gt;=설정!$C$11,D551&gt;=설정!$C$12),"긴급",IF(OR(C551&gt;=설정!$C$9,D551&gt;=설정!$C$10,C551&lt;설정!$C$13),"주의","정상")),"확인필요")))</f>
        <v/>
      </c>
      <c r="J551" s="25" t="str">
        <f aca="false">IF(E551="","",IF(E551="-","측정불가",IF(NOT(ISNUMBER(E551)),"확인필요",IF(E551&lt;설정!$C$17,"긴급(저혈당)",IF(E551&gt;=설정!$C$18,"긴급(고혈당)",IF(F551="공복",IF(E551&gt;=설정!$C$15,"주의","정상"),IF(F551="식후",IF(E551&gt;=설정!$C$16,"주의","정상"),"조건확인")))))))</f>
        <v/>
      </c>
      <c r="K551" s="25" t="str">
        <f aca="false">IF(OR(I551="긴급",LEFT(J551,2)="긴급"),"★ 즉시 선생님 호출",IF(OR(I551="주의",J551="주의"),"결과상담에서 확인",IF(J551="조건확인","혈당조건(공복/식후) 선택","")))</f>
        <v/>
      </c>
      <c r="L551" s="25" t="str">
        <f aca="false">IF($B551="","",IF(COUNTIF($B$5:$B$1004,$B551)&gt;1,"중복 입력",""))</f>
        <v/>
      </c>
    </row>
    <row r="552" customFormat="false" ht="15" hidden="false" customHeight="false" outlineLevel="0" collapsed="false">
      <c r="A552" s="23"/>
      <c r="B552" s="24"/>
      <c r="C552" s="24"/>
      <c r="D552" s="24"/>
      <c r="E552" s="24"/>
      <c r="F552" s="24"/>
      <c r="G552" s="24"/>
      <c r="H552" s="25" t="str">
        <f aca="false">IF($B552="","",IFERROR(IF(INDEX(명단!$B$5:$B$404,MATCH($B552,명단!$A$5:$A$404,0))="","(이름 미입력)",INDEX(명단!$B$5:$B$404,MATCH($B552,명단!$A$5:$A$404,0))),"번호 없음"))</f>
        <v/>
      </c>
      <c r="I552" s="25" t="str">
        <f aca="false">IF(AND(C552="",D552=""),"",IF(OR(C552="-",D552="-"),"측정불가",IF(AND(ISNUMBER(C552),ISNUMBER(D552)),IF(OR(C552&gt;=설정!$C$11,D552&gt;=설정!$C$12),"긴급",IF(OR(C552&gt;=설정!$C$9,D552&gt;=설정!$C$10,C552&lt;설정!$C$13),"주의","정상")),"확인필요")))</f>
        <v/>
      </c>
      <c r="J552" s="25" t="str">
        <f aca="false">IF(E552="","",IF(E552="-","측정불가",IF(NOT(ISNUMBER(E552)),"확인필요",IF(E552&lt;설정!$C$17,"긴급(저혈당)",IF(E552&gt;=설정!$C$18,"긴급(고혈당)",IF(F552="공복",IF(E552&gt;=설정!$C$15,"주의","정상"),IF(F552="식후",IF(E552&gt;=설정!$C$16,"주의","정상"),"조건확인")))))))</f>
        <v/>
      </c>
      <c r="K552" s="25" t="str">
        <f aca="false">IF(OR(I552="긴급",LEFT(J552,2)="긴급"),"★ 즉시 선생님 호출",IF(OR(I552="주의",J552="주의"),"결과상담에서 확인",IF(J552="조건확인","혈당조건(공복/식후) 선택","")))</f>
        <v/>
      </c>
      <c r="L552" s="25" t="str">
        <f aca="false">IF($B552="","",IF(COUNTIF($B$5:$B$1004,$B552)&gt;1,"중복 입력",""))</f>
        <v/>
      </c>
    </row>
    <row r="553" customFormat="false" ht="15" hidden="false" customHeight="false" outlineLevel="0" collapsed="false">
      <c r="A553" s="23"/>
      <c r="B553" s="24"/>
      <c r="C553" s="24"/>
      <c r="D553" s="24"/>
      <c r="E553" s="24"/>
      <c r="F553" s="24"/>
      <c r="G553" s="24"/>
      <c r="H553" s="25" t="str">
        <f aca="false">IF($B553="","",IFERROR(IF(INDEX(명단!$B$5:$B$404,MATCH($B553,명단!$A$5:$A$404,0))="","(이름 미입력)",INDEX(명단!$B$5:$B$404,MATCH($B553,명단!$A$5:$A$404,0))),"번호 없음"))</f>
        <v/>
      </c>
      <c r="I553" s="25" t="str">
        <f aca="false">IF(AND(C553="",D553=""),"",IF(OR(C553="-",D553="-"),"측정불가",IF(AND(ISNUMBER(C553),ISNUMBER(D553)),IF(OR(C553&gt;=설정!$C$11,D553&gt;=설정!$C$12),"긴급",IF(OR(C553&gt;=설정!$C$9,D553&gt;=설정!$C$10,C553&lt;설정!$C$13),"주의","정상")),"확인필요")))</f>
        <v/>
      </c>
      <c r="J553" s="25" t="str">
        <f aca="false">IF(E553="","",IF(E553="-","측정불가",IF(NOT(ISNUMBER(E553)),"확인필요",IF(E553&lt;설정!$C$17,"긴급(저혈당)",IF(E553&gt;=설정!$C$18,"긴급(고혈당)",IF(F553="공복",IF(E553&gt;=설정!$C$15,"주의","정상"),IF(F553="식후",IF(E553&gt;=설정!$C$16,"주의","정상"),"조건확인")))))))</f>
        <v/>
      </c>
      <c r="K553" s="25" t="str">
        <f aca="false">IF(OR(I553="긴급",LEFT(J553,2)="긴급"),"★ 즉시 선생님 호출",IF(OR(I553="주의",J553="주의"),"결과상담에서 확인",IF(J553="조건확인","혈당조건(공복/식후) 선택","")))</f>
        <v/>
      </c>
      <c r="L553" s="25" t="str">
        <f aca="false">IF($B553="","",IF(COUNTIF($B$5:$B$1004,$B553)&gt;1,"중복 입력",""))</f>
        <v/>
      </c>
    </row>
    <row r="554" customFormat="false" ht="15" hidden="false" customHeight="false" outlineLevel="0" collapsed="false">
      <c r="A554" s="23"/>
      <c r="B554" s="24"/>
      <c r="C554" s="24"/>
      <c r="D554" s="24"/>
      <c r="E554" s="24"/>
      <c r="F554" s="24"/>
      <c r="G554" s="24"/>
      <c r="H554" s="25" t="str">
        <f aca="false">IF($B554="","",IFERROR(IF(INDEX(명단!$B$5:$B$404,MATCH($B554,명단!$A$5:$A$404,0))="","(이름 미입력)",INDEX(명단!$B$5:$B$404,MATCH($B554,명단!$A$5:$A$404,0))),"번호 없음"))</f>
        <v/>
      </c>
      <c r="I554" s="25" t="str">
        <f aca="false">IF(AND(C554="",D554=""),"",IF(OR(C554="-",D554="-"),"측정불가",IF(AND(ISNUMBER(C554),ISNUMBER(D554)),IF(OR(C554&gt;=설정!$C$11,D554&gt;=설정!$C$12),"긴급",IF(OR(C554&gt;=설정!$C$9,D554&gt;=설정!$C$10,C554&lt;설정!$C$13),"주의","정상")),"확인필요")))</f>
        <v/>
      </c>
      <c r="J554" s="25" t="str">
        <f aca="false">IF(E554="","",IF(E554="-","측정불가",IF(NOT(ISNUMBER(E554)),"확인필요",IF(E554&lt;설정!$C$17,"긴급(저혈당)",IF(E554&gt;=설정!$C$18,"긴급(고혈당)",IF(F554="공복",IF(E554&gt;=설정!$C$15,"주의","정상"),IF(F554="식후",IF(E554&gt;=설정!$C$16,"주의","정상"),"조건확인")))))))</f>
        <v/>
      </c>
      <c r="K554" s="25" t="str">
        <f aca="false">IF(OR(I554="긴급",LEFT(J554,2)="긴급"),"★ 즉시 선생님 호출",IF(OR(I554="주의",J554="주의"),"결과상담에서 확인",IF(J554="조건확인","혈당조건(공복/식후) 선택","")))</f>
        <v/>
      </c>
      <c r="L554" s="25" t="str">
        <f aca="false">IF($B554="","",IF(COUNTIF($B$5:$B$1004,$B554)&gt;1,"중복 입력",""))</f>
        <v/>
      </c>
    </row>
    <row r="555" customFormat="false" ht="15" hidden="false" customHeight="false" outlineLevel="0" collapsed="false">
      <c r="A555" s="23"/>
      <c r="B555" s="24"/>
      <c r="C555" s="24"/>
      <c r="D555" s="24"/>
      <c r="E555" s="24"/>
      <c r="F555" s="24"/>
      <c r="G555" s="24"/>
      <c r="H555" s="25" t="str">
        <f aca="false">IF($B555="","",IFERROR(IF(INDEX(명단!$B$5:$B$404,MATCH($B555,명단!$A$5:$A$404,0))="","(이름 미입력)",INDEX(명단!$B$5:$B$404,MATCH($B555,명단!$A$5:$A$404,0))),"번호 없음"))</f>
        <v/>
      </c>
      <c r="I555" s="25" t="str">
        <f aca="false">IF(AND(C555="",D555=""),"",IF(OR(C555="-",D555="-"),"측정불가",IF(AND(ISNUMBER(C555),ISNUMBER(D555)),IF(OR(C555&gt;=설정!$C$11,D555&gt;=설정!$C$12),"긴급",IF(OR(C555&gt;=설정!$C$9,D555&gt;=설정!$C$10,C555&lt;설정!$C$13),"주의","정상")),"확인필요")))</f>
        <v/>
      </c>
      <c r="J555" s="25" t="str">
        <f aca="false">IF(E555="","",IF(E555="-","측정불가",IF(NOT(ISNUMBER(E555)),"확인필요",IF(E555&lt;설정!$C$17,"긴급(저혈당)",IF(E555&gt;=설정!$C$18,"긴급(고혈당)",IF(F555="공복",IF(E555&gt;=설정!$C$15,"주의","정상"),IF(F555="식후",IF(E555&gt;=설정!$C$16,"주의","정상"),"조건확인")))))))</f>
        <v/>
      </c>
      <c r="K555" s="25" t="str">
        <f aca="false">IF(OR(I555="긴급",LEFT(J555,2)="긴급"),"★ 즉시 선생님 호출",IF(OR(I555="주의",J555="주의"),"결과상담에서 확인",IF(J555="조건확인","혈당조건(공복/식후) 선택","")))</f>
        <v/>
      </c>
      <c r="L555" s="25" t="str">
        <f aca="false">IF($B555="","",IF(COUNTIF($B$5:$B$1004,$B555)&gt;1,"중복 입력",""))</f>
        <v/>
      </c>
    </row>
    <row r="556" customFormat="false" ht="15" hidden="false" customHeight="false" outlineLevel="0" collapsed="false">
      <c r="A556" s="23"/>
      <c r="B556" s="24"/>
      <c r="C556" s="24"/>
      <c r="D556" s="24"/>
      <c r="E556" s="24"/>
      <c r="F556" s="24"/>
      <c r="G556" s="24"/>
      <c r="H556" s="25" t="str">
        <f aca="false">IF($B556="","",IFERROR(IF(INDEX(명단!$B$5:$B$404,MATCH($B556,명단!$A$5:$A$404,0))="","(이름 미입력)",INDEX(명단!$B$5:$B$404,MATCH($B556,명단!$A$5:$A$404,0))),"번호 없음"))</f>
        <v/>
      </c>
      <c r="I556" s="25" t="str">
        <f aca="false">IF(AND(C556="",D556=""),"",IF(OR(C556="-",D556="-"),"측정불가",IF(AND(ISNUMBER(C556),ISNUMBER(D556)),IF(OR(C556&gt;=설정!$C$11,D556&gt;=설정!$C$12),"긴급",IF(OR(C556&gt;=설정!$C$9,D556&gt;=설정!$C$10,C556&lt;설정!$C$13),"주의","정상")),"확인필요")))</f>
        <v/>
      </c>
      <c r="J556" s="25" t="str">
        <f aca="false">IF(E556="","",IF(E556="-","측정불가",IF(NOT(ISNUMBER(E556)),"확인필요",IF(E556&lt;설정!$C$17,"긴급(저혈당)",IF(E556&gt;=설정!$C$18,"긴급(고혈당)",IF(F556="공복",IF(E556&gt;=설정!$C$15,"주의","정상"),IF(F556="식후",IF(E556&gt;=설정!$C$16,"주의","정상"),"조건확인")))))))</f>
        <v/>
      </c>
      <c r="K556" s="25" t="str">
        <f aca="false">IF(OR(I556="긴급",LEFT(J556,2)="긴급"),"★ 즉시 선생님 호출",IF(OR(I556="주의",J556="주의"),"결과상담에서 확인",IF(J556="조건확인","혈당조건(공복/식후) 선택","")))</f>
        <v/>
      </c>
      <c r="L556" s="25" t="str">
        <f aca="false">IF($B556="","",IF(COUNTIF($B$5:$B$1004,$B556)&gt;1,"중복 입력",""))</f>
        <v/>
      </c>
    </row>
    <row r="557" customFormat="false" ht="15" hidden="false" customHeight="false" outlineLevel="0" collapsed="false">
      <c r="A557" s="23"/>
      <c r="B557" s="24"/>
      <c r="C557" s="24"/>
      <c r="D557" s="24"/>
      <c r="E557" s="24"/>
      <c r="F557" s="24"/>
      <c r="G557" s="24"/>
      <c r="H557" s="25" t="str">
        <f aca="false">IF($B557="","",IFERROR(IF(INDEX(명단!$B$5:$B$404,MATCH($B557,명단!$A$5:$A$404,0))="","(이름 미입력)",INDEX(명단!$B$5:$B$404,MATCH($B557,명단!$A$5:$A$404,0))),"번호 없음"))</f>
        <v/>
      </c>
      <c r="I557" s="25" t="str">
        <f aca="false">IF(AND(C557="",D557=""),"",IF(OR(C557="-",D557="-"),"측정불가",IF(AND(ISNUMBER(C557),ISNUMBER(D557)),IF(OR(C557&gt;=설정!$C$11,D557&gt;=설정!$C$12),"긴급",IF(OR(C557&gt;=설정!$C$9,D557&gt;=설정!$C$10,C557&lt;설정!$C$13),"주의","정상")),"확인필요")))</f>
        <v/>
      </c>
      <c r="J557" s="25" t="str">
        <f aca="false">IF(E557="","",IF(E557="-","측정불가",IF(NOT(ISNUMBER(E557)),"확인필요",IF(E557&lt;설정!$C$17,"긴급(저혈당)",IF(E557&gt;=설정!$C$18,"긴급(고혈당)",IF(F557="공복",IF(E557&gt;=설정!$C$15,"주의","정상"),IF(F557="식후",IF(E557&gt;=설정!$C$16,"주의","정상"),"조건확인")))))))</f>
        <v/>
      </c>
      <c r="K557" s="25" t="str">
        <f aca="false">IF(OR(I557="긴급",LEFT(J557,2)="긴급"),"★ 즉시 선생님 호출",IF(OR(I557="주의",J557="주의"),"결과상담에서 확인",IF(J557="조건확인","혈당조건(공복/식후) 선택","")))</f>
        <v/>
      </c>
      <c r="L557" s="25" t="str">
        <f aca="false">IF($B557="","",IF(COUNTIF($B$5:$B$1004,$B557)&gt;1,"중복 입력",""))</f>
        <v/>
      </c>
    </row>
    <row r="558" customFormat="false" ht="15" hidden="false" customHeight="false" outlineLevel="0" collapsed="false">
      <c r="A558" s="23"/>
      <c r="B558" s="24"/>
      <c r="C558" s="24"/>
      <c r="D558" s="24"/>
      <c r="E558" s="24"/>
      <c r="F558" s="24"/>
      <c r="G558" s="24"/>
      <c r="H558" s="25" t="str">
        <f aca="false">IF($B558="","",IFERROR(IF(INDEX(명단!$B$5:$B$404,MATCH($B558,명단!$A$5:$A$404,0))="","(이름 미입력)",INDEX(명단!$B$5:$B$404,MATCH($B558,명단!$A$5:$A$404,0))),"번호 없음"))</f>
        <v/>
      </c>
      <c r="I558" s="25" t="str">
        <f aca="false">IF(AND(C558="",D558=""),"",IF(OR(C558="-",D558="-"),"측정불가",IF(AND(ISNUMBER(C558),ISNUMBER(D558)),IF(OR(C558&gt;=설정!$C$11,D558&gt;=설정!$C$12),"긴급",IF(OR(C558&gt;=설정!$C$9,D558&gt;=설정!$C$10,C558&lt;설정!$C$13),"주의","정상")),"확인필요")))</f>
        <v/>
      </c>
      <c r="J558" s="25" t="str">
        <f aca="false">IF(E558="","",IF(E558="-","측정불가",IF(NOT(ISNUMBER(E558)),"확인필요",IF(E558&lt;설정!$C$17,"긴급(저혈당)",IF(E558&gt;=설정!$C$18,"긴급(고혈당)",IF(F558="공복",IF(E558&gt;=설정!$C$15,"주의","정상"),IF(F558="식후",IF(E558&gt;=설정!$C$16,"주의","정상"),"조건확인")))))))</f>
        <v/>
      </c>
      <c r="K558" s="25" t="str">
        <f aca="false">IF(OR(I558="긴급",LEFT(J558,2)="긴급"),"★ 즉시 선생님 호출",IF(OR(I558="주의",J558="주의"),"결과상담에서 확인",IF(J558="조건확인","혈당조건(공복/식후) 선택","")))</f>
        <v/>
      </c>
      <c r="L558" s="25" t="str">
        <f aca="false">IF($B558="","",IF(COUNTIF($B$5:$B$1004,$B558)&gt;1,"중복 입력",""))</f>
        <v/>
      </c>
    </row>
    <row r="559" customFormat="false" ht="15" hidden="false" customHeight="false" outlineLevel="0" collapsed="false">
      <c r="A559" s="23"/>
      <c r="B559" s="24"/>
      <c r="C559" s="24"/>
      <c r="D559" s="24"/>
      <c r="E559" s="24"/>
      <c r="F559" s="24"/>
      <c r="G559" s="24"/>
      <c r="H559" s="25" t="str">
        <f aca="false">IF($B559="","",IFERROR(IF(INDEX(명단!$B$5:$B$404,MATCH($B559,명단!$A$5:$A$404,0))="","(이름 미입력)",INDEX(명단!$B$5:$B$404,MATCH($B559,명단!$A$5:$A$404,0))),"번호 없음"))</f>
        <v/>
      </c>
      <c r="I559" s="25" t="str">
        <f aca="false">IF(AND(C559="",D559=""),"",IF(OR(C559="-",D559="-"),"측정불가",IF(AND(ISNUMBER(C559),ISNUMBER(D559)),IF(OR(C559&gt;=설정!$C$11,D559&gt;=설정!$C$12),"긴급",IF(OR(C559&gt;=설정!$C$9,D559&gt;=설정!$C$10,C559&lt;설정!$C$13),"주의","정상")),"확인필요")))</f>
        <v/>
      </c>
      <c r="J559" s="25" t="str">
        <f aca="false">IF(E559="","",IF(E559="-","측정불가",IF(NOT(ISNUMBER(E559)),"확인필요",IF(E559&lt;설정!$C$17,"긴급(저혈당)",IF(E559&gt;=설정!$C$18,"긴급(고혈당)",IF(F559="공복",IF(E559&gt;=설정!$C$15,"주의","정상"),IF(F559="식후",IF(E559&gt;=설정!$C$16,"주의","정상"),"조건확인")))))))</f>
        <v/>
      </c>
      <c r="K559" s="25" t="str">
        <f aca="false">IF(OR(I559="긴급",LEFT(J559,2)="긴급"),"★ 즉시 선생님 호출",IF(OR(I559="주의",J559="주의"),"결과상담에서 확인",IF(J559="조건확인","혈당조건(공복/식후) 선택","")))</f>
        <v/>
      </c>
      <c r="L559" s="25" t="str">
        <f aca="false">IF($B559="","",IF(COUNTIF($B$5:$B$1004,$B559)&gt;1,"중복 입력",""))</f>
        <v/>
      </c>
    </row>
    <row r="560" customFormat="false" ht="15" hidden="false" customHeight="false" outlineLevel="0" collapsed="false">
      <c r="A560" s="23"/>
      <c r="B560" s="24"/>
      <c r="C560" s="24"/>
      <c r="D560" s="24"/>
      <c r="E560" s="24"/>
      <c r="F560" s="24"/>
      <c r="G560" s="24"/>
      <c r="H560" s="25" t="str">
        <f aca="false">IF($B560="","",IFERROR(IF(INDEX(명단!$B$5:$B$404,MATCH($B560,명단!$A$5:$A$404,0))="","(이름 미입력)",INDEX(명단!$B$5:$B$404,MATCH($B560,명단!$A$5:$A$404,0))),"번호 없음"))</f>
        <v/>
      </c>
      <c r="I560" s="25" t="str">
        <f aca="false">IF(AND(C560="",D560=""),"",IF(OR(C560="-",D560="-"),"측정불가",IF(AND(ISNUMBER(C560),ISNUMBER(D560)),IF(OR(C560&gt;=설정!$C$11,D560&gt;=설정!$C$12),"긴급",IF(OR(C560&gt;=설정!$C$9,D560&gt;=설정!$C$10,C560&lt;설정!$C$13),"주의","정상")),"확인필요")))</f>
        <v/>
      </c>
      <c r="J560" s="25" t="str">
        <f aca="false">IF(E560="","",IF(E560="-","측정불가",IF(NOT(ISNUMBER(E560)),"확인필요",IF(E560&lt;설정!$C$17,"긴급(저혈당)",IF(E560&gt;=설정!$C$18,"긴급(고혈당)",IF(F560="공복",IF(E560&gt;=설정!$C$15,"주의","정상"),IF(F560="식후",IF(E560&gt;=설정!$C$16,"주의","정상"),"조건확인")))))))</f>
        <v/>
      </c>
      <c r="K560" s="25" t="str">
        <f aca="false">IF(OR(I560="긴급",LEFT(J560,2)="긴급"),"★ 즉시 선생님 호출",IF(OR(I560="주의",J560="주의"),"결과상담에서 확인",IF(J560="조건확인","혈당조건(공복/식후) 선택","")))</f>
        <v/>
      </c>
      <c r="L560" s="25" t="str">
        <f aca="false">IF($B560="","",IF(COUNTIF($B$5:$B$1004,$B560)&gt;1,"중복 입력",""))</f>
        <v/>
      </c>
    </row>
    <row r="561" customFormat="false" ht="15" hidden="false" customHeight="false" outlineLevel="0" collapsed="false">
      <c r="A561" s="23"/>
      <c r="B561" s="24"/>
      <c r="C561" s="24"/>
      <c r="D561" s="24"/>
      <c r="E561" s="24"/>
      <c r="F561" s="24"/>
      <c r="G561" s="24"/>
      <c r="H561" s="25" t="str">
        <f aca="false">IF($B561="","",IFERROR(IF(INDEX(명단!$B$5:$B$404,MATCH($B561,명단!$A$5:$A$404,0))="","(이름 미입력)",INDEX(명단!$B$5:$B$404,MATCH($B561,명단!$A$5:$A$404,0))),"번호 없음"))</f>
        <v/>
      </c>
      <c r="I561" s="25" t="str">
        <f aca="false">IF(AND(C561="",D561=""),"",IF(OR(C561="-",D561="-"),"측정불가",IF(AND(ISNUMBER(C561),ISNUMBER(D561)),IF(OR(C561&gt;=설정!$C$11,D561&gt;=설정!$C$12),"긴급",IF(OR(C561&gt;=설정!$C$9,D561&gt;=설정!$C$10,C561&lt;설정!$C$13),"주의","정상")),"확인필요")))</f>
        <v/>
      </c>
      <c r="J561" s="25" t="str">
        <f aca="false">IF(E561="","",IF(E561="-","측정불가",IF(NOT(ISNUMBER(E561)),"확인필요",IF(E561&lt;설정!$C$17,"긴급(저혈당)",IF(E561&gt;=설정!$C$18,"긴급(고혈당)",IF(F561="공복",IF(E561&gt;=설정!$C$15,"주의","정상"),IF(F561="식후",IF(E561&gt;=설정!$C$16,"주의","정상"),"조건확인")))))))</f>
        <v/>
      </c>
      <c r="K561" s="25" t="str">
        <f aca="false">IF(OR(I561="긴급",LEFT(J561,2)="긴급"),"★ 즉시 선생님 호출",IF(OR(I561="주의",J561="주의"),"결과상담에서 확인",IF(J561="조건확인","혈당조건(공복/식후) 선택","")))</f>
        <v/>
      </c>
      <c r="L561" s="25" t="str">
        <f aca="false">IF($B561="","",IF(COUNTIF($B$5:$B$1004,$B561)&gt;1,"중복 입력",""))</f>
        <v/>
      </c>
    </row>
    <row r="562" customFormat="false" ht="15" hidden="false" customHeight="false" outlineLevel="0" collapsed="false">
      <c r="A562" s="23"/>
      <c r="B562" s="24"/>
      <c r="C562" s="24"/>
      <c r="D562" s="24"/>
      <c r="E562" s="24"/>
      <c r="F562" s="24"/>
      <c r="G562" s="24"/>
      <c r="H562" s="25" t="str">
        <f aca="false">IF($B562="","",IFERROR(IF(INDEX(명단!$B$5:$B$404,MATCH($B562,명단!$A$5:$A$404,0))="","(이름 미입력)",INDEX(명단!$B$5:$B$404,MATCH($B562,명단!$A$5:$A$404,0))),"번호 없음"))</f>
        <v/>
      </c>
      <c r="I562" s="25" t="str">
        <f aca="false">IF(AND(C562="",D562=""),"",IF(OR(C562="-",D562="-"),"측정불가",IF(AND(ISNUMBER(C562),ISNUMBER(D562)),IF(OR(C562&gt;=설정!$C$11,D562&gt;=설정!$C$12),"긴급",IF(OR(C562&gt;=설정!$C$9,D562&gt;=설정!$C$10,C562&lt;설정!$C$13),"주의","정상")),"확인필요")))</f>
        <v/>
      </c>
      <c r="J562" s="25" t="str">
        <f aca="false">IF(E562="","",IF(E562="-","측정불가",IF(NOT(ISNUMBER(E562)),"확인필요",IF(E562&lt;설정!$C$17,"긴급(저혈당)",IF(E562&gt;=설정!$C$18,"긴급(고혈당)",IF(F562="공복",IF(E562&gt;=설정!$C$15,"주의","정상"),IF(F562="식후",IF(E562&gt;=설정!$C$16,"주의","정상"),"조건확인")))))))</f>
        <v/>
      </c>
      <c r="K562" s="25" t="str">
        <f aca="false">IF(OR(I562="긴급",LEFT(J562,2)="긴급"),"★ 즉시 선생님 호출",IF(OR(I562="주의",J562="주의"),"결과상담에서 확인",IF(J562="조건확인","혈당조건(공복/식후) 선택","")))</f>
        <v/>
      </c>
      <c r="L562" s="25" t="str">
        <f aca="false">IF($B562="","",IF(COUNTIF($B$5:$B$1004,$B562)&gt;1,"중복 입력",""))</f>
        <v/>
      </c>
    </row>
    <row r="563" customFormat="false" ht="15" hidden="false" customHeight="false" outlineLevel="0" collapsed="false">
      <c r="A563" s="23"/>
      <c r="B563" s="24"/>
      <c r="C563" s="24"/>
      <c r="D563" s="24"/>
      <c r="E563" s="24"/>
      <c r="F563" s="24"/>
      <c r="G563" s="24"/>
      <c r="H563" s="25" t="str">
        <f aca="false">IF($B563="","",IFERROR(IF(INDEX(명단!$B$5:$B$404,MATCH($B563,명단!$A$5:$A$404,0))="","(이름 미입력)",INDEX(명단!$B$5:$B$404,MATCH($B563,명단!$A$5:$A$404,0))),"번호 없음"))</f>
        <v/>
      </c>
      <c r="I563" s="25" t="str">
        <f aca="false">IF(AND(C563="",D563=""),"",IF(OR(C563="-",D563="-"),"측정불가",IF(AND(ISNUMBER(C563),ISNUMBER(D563)),IF(OR(C563&gt;=설정!$C$11,D563&gt;=설정!$C$12),"긴급",IF(OR(C563&gt;=설정!$C$9,D563&gt;=설정!$C$10,C563&lt;설정!$C$13),"주의","정상")),"확인필요")))</f>
        <v/>
      </c>
      <c r="J563" s="25" t="str">
        <f aca="false">IF(E563="","",IF(E563="-","측정불가",IF(NOT(ISNUMBER(E563)),"확인필요",IF(E563&lt;설정!$C$17,"긴급(저혈당)",IF(E563&gt;=설정!$C$18,"긴급(고혈당)",IF(F563="공복",IF(E563&gt;=설정!$C$15,"주의","정상"),IF(F563="식후",IF(E563&gt;=설정!$C$16,"주의","정상"),"조건확인")))))))</f>
        <v/>
      </c>
      <c r="K563" s="25" t="str">
        <f aca="false">IF(OR(I563="긴급",LEFT(J563,2)="긴급"),"★ 즉시 선생님 호출",IF(OR(I563="주의",J563="주의"),"결과상담에서 확인",IF(J563="조건확인","혈당조건(공복/식후) 선택","")))</f>
        <v/>
      </c>
      <c r="L563" s="25" t="str">
        <f aca="false">IF($B563="","",IF(COUNTIF($B$5:$B$1004,$B563)&gt;1,"중복 입력",""))</f>
        <v/>
      </c>
    </row>
    <row r="564" customFormat="false" ht="15" hidden="false" customHeight="false" outlineLevel="0" collapsed="false">
      <c r="A564" s="23"/>
      <c r="B564" s="24"/>
      <c r="C564" s="24"/>
      <c r="D564" s="24"/>
      <c r="E564" s="24"/>
      <c r="F564" s="24"/>
      <c r="G564" s="24"/>
      <c r="H564" s="25" t="str">
        <f aca="false">IF($B564="","",IFERROR(IF(INDEX(명단!$B$5:$B$404,MATCH($B564,명단!$A$5:$A$404,0))="","(이름 미입력)",INDEX(명단!$B$5:$B$404,MATCH($B564,명단!$A$5:$A$404,0))),"번호 없음"))</f>
        <v/>
      </c>
      <c r="I564" s="25" t="str">
        <f aca="false">IF(AND(C564="",D564=""),"",IF(OR(C564="-",D564="-"),"측정불가",IF(AND(ISNUMBER(C564),ISNUMBER(D564)),IF(OR(C564&gt;=설정!$C$11,D564&gt;=설정!$C$12),"긴급",IF(OR(C564&gt;=설정!$C$9,D564&gt;=설정!$C$10,C564&lt;설정!$C$13),"주의","정상")),"확인필요")))</f>
        <v/>
      </c>
      <c r="J564" s="25" t="str">
        <f aca="false">IF(E564="","",IF(E564="-","측정불가",IF(NOT(ISNUMBER(E564)),"확인필요",IF(E564&lt;설정!$C$17,"긴급(저혈당)",IF(E564&gt;=설정!$C$18,"긴급(고혈당)",IF(F564="공복",IF(E564&gt;=설정!$C$15,"주의","정상"),IF(F564="식후",IF(E564&gt;=설정!$C$16,"주의","정상"),"조건확인")))))))</f>
        <v/>
      </c>
      <c r="K564" s="25" t="str">
        <f aca="false">IF(OR(I564="긴급",LEFT(J564,2)="긴급"),"★ 즉시 선생님 호출",IF(OR(I564="주의",J564="주의"),"결과상담에서 확인",IF(J564="조건확인","혈당조건(공복/식후) 선택","")))</f>
        <v/>
      </c>
      <c r="L564" s="25" t="str">
        <f aca="false">IF($B564="","",IF(COUNTIF($B$5:$B$1004,$B564)&gt;1,"중복 입력",""))</f>
        <v/>
      </c>
    </row>
    <row r="565" customFormat="false" ht="15" hidden="false" customHeight="false" outlineLevel="0" collapsed="false">
      <c r="A565" s="23"/>
      <c r="B565" s="24"/>
      <c r="C565" s="24"/>
      <c r="D565" s="24"/>
      <c r="E565" s="24"/>
      <c r="F565" s="24"/>
      <c r="G565" s="24"/>
      <c r="H565" s="25" t="str">
        <f aca="false">IF($B565="","",IFERROR(IF(INDEX(명단!$B$5:$B$404,MATCH($B565,명단!$A$5:$A$404,0))="","(이름 미입력)",INDEX(명단!$B$5:$B$404,MATCH($B565,명단!$A$5:$A$404,0))),"번호 없음"))</f>
        <v/>
      </c>
      <c r="I565" s="25" t="str">
        <f aca="false">IF(AND(C565="",D565=""),"",IF(OR(C565="-",D565="-"),"측정불가",IF(AND(ISNUMBER(C565),ISNUMBER(D565)),IF(OR(C565&gt;=설정!$C$11,D565&gt;=설정!$C$12),"긴급",IF(OR(C565&gt;=설정!$C$9,D565&gt;=설정!$C$10,C565&lt;설정!$C$13),"주의","정상")),"확인필요")))</f>
        <v/>
      </c>
      <c r="J565" s="25" t="str">
        <f aca="false">IF(E565="","",IF(E565="-","측정불가",IF(NOT(ISNUMBER(E565)),"확인필요",IF(E565&lt;설정!$C$17,"긴급(저혈당)",IF(E565&gt;=설정!$C$18,"긴급(고혈당)",IF(F565="공복",IF(E565&gt;=설정!$C$15,"주의","정상"),IF(F565="식후",IF(E565&gt;=설정!$C$16,"주의","정상"),"조건확인")))))))</f>
        <v/>
      </c>
      <c r="K565" s="25" t="str">
        <f aca="false">IF(OR(I565="긴급",LEFT(J565,2)="긴급"),"★ 즉시 선생님 호출",IF(OR(I565="주의",J565="주의"),"결과상담에서 확인",IF(J565="조건확인","혈당조건(공복/식후) 선택","")))</f>
        <v/>
      </c>
      <c r="L565" s="25" t="str">
        <f aca="false">IF($B565="","",IF(COUNTIF($B$5:$B$1004,$B565)&gt;1,"중복 입력",""))</f>
        <v/>
      </c>
    </row>
    <row r="566" customFormat="false" ht="15" hidden="false" customHeight="false" outlineLevel="0" collapsed="false">
      <c r="A566" s="23"/>
      <c r="B566" s="24"/>
      <c r="C566" s="24"/>
      <c r="D566" s="24"/>
      <c r="E566" s="24"/>
      <c r="F566" s="24"/>
      <c r="G566" s="24"/>
      <c r="H566" s="25" t="str">
        <f aca="false">IF($B566="","",IFERROR(IF(INDEX(명단!$B$5:$B$404,MATCH($B566,명단!$A$5:$A$404,0))="","(이름 미입력)",INDEX(명단!$B$5:$B$404,MATCH($B566,명단!$A$5:$A$404,0))),"번호 없음"))</f>
        <v/>
      </c>
      <c r="I566" s="25" t="str">
        <f aca="false">IF(AND(C566="",D566=""),"",IF(OR(C566="-",D566="-"),"측정불가",IF(AND(ISNUMBER(C566),ISNUMBER(D566)),IF(OR(C566&gt;=설정!$C$11,D566&gt;=설정!$C$12),"긴급",IF(OR(C566&gt;=설정!$C$9,D566&gt;=설정!$C$10,C566&lt;설정!$C$13),"주의","정상")),"확인필요")))</f>
        <v/>
      </c>
      <c r="J566" s="25" t="str">
        <f aca="false">IF(E566="","",IF(E566="-","측정불가",IF(NOT(ISNUMBER(E566)),"확인필요",IF(E566&lt;설정!$C$17,"긴급(저혈당)",IF(E566&gt;=설정!$C$18,"긴급(고혈당)",IF(F566="공복",IF(E566&gt;=설정!$C$15,"주의","정상"),IF(F566="식후",IF(E566&gt;=설정!$C$16,"주의","정상"),"조건확인")))))))</f>
        <v/>
      </c>
      <c r="K566" s="25" t="str">
        <f aca="false">IF(OR(I566="긴급",LEFT(J566,2)="긴급"),"★ 즉시 선생님 호출",IF(OR(I566="주의",J566="주의"),"결과상담에서 확인",IF(J566="조건확인","혈당조건(공복/식후) 선택","")))</f>
        <v/>
      </c>
      <c r="L566" s="25" t="str">
        <f aca="false">IF($B566="","",IF(COUNTIF($B$5:$B$1004,$B566)&gt;1,"중복 입력",""))</f>
        <v/>
      </c>
    </row>
    <row r="567" customFormat="false" ht="15" hidden="false" customHeight="false" outlineLevel="0" collapsed="false">
      <c r="A567" s="23"/>
      <c r="B567" s="24"/>
      <c r="C567" s="24"/>
      <c r="D567" s="24"/>
      <c r="E567" s="24"/>
      <c r="F567" s="24"/>
      <c r="G567" s="24"/>
      <c r="H567" s="25" t="str">
        <f aca="false">IF($B567="","",IFERROR(IF(INDEX(명단!$B$5:$B$404,MATCH($B567,명단!$A$5:$A$404,0))="","(이름 미입력)",INDEX(명단!$B$5:$B$404,MATCH($B567,명단!$A$5:$A$404,0))),"번호 없음"))</f>
        <v/>
      </c>
      <c r="I567" s="25" t="str">
        <f aca="false">IF(AND(C567="",D567=""),"",IF(OR(C567="-",D567="-"),"측정불가",IF(AND(ISNUMBER(C567),ISNUMBER(D567)),IF(OR(C567&gt;=설정!$C$11,D567&gt;=설정!$C$12),"긴급",IF(OR(C567&gt;=설정!$C$9,D567&gt;=설정!$C$10,C567&lt;설정!$C$13),"주의","정상")),"확인필요")))</f>
        <v/>
      </c>
      <c r="J567" s="25" t="str">
        <f aca="false">IF(E567="","",IF(E567="-","측정불가",IF(NOT(ISNUMBER(E567)),"확인필요",IF(E567&lt;설정!$C$17,"긴급(저혈당)",IF(E567&gt;=설정!$C$18,"긴급(고혈당)",IF(F567="공복",IF(E567&gt;=설정!$C$15,"주의","정상"),IF(F567="식후",IF(E567&gt;=설정!$C$16,"주의","정상"),"조건확인")))))))</f>
        <v/>
      </c>
      <c r="K567" s="25" t="str">
        <f aca="false">IF(OR(I567="긴급",LEFT(J567,2)="긴급"),"★ 즉시 선생님 호출",IF(OR(I567="주의",J567="주의"),"결과상담에서 확인",IF(J567="조건확인","혈당조건(공복/식후) 선택","")))</f>
        <v/>
      </c>
      <c r="L567" s="25" t="str">
        <f aca="false">IF($B567="","",IF(COUNTIF($B$5:$B$1004,$B567)&gt;1,"중복 입력",""))</f>
        <v/>
      </c>
    </row>
    <row r="568" customFormat="false" ht="15" hidden="false" customHeight="false" outlineLevel="0" collapsed="false">
      <c r="A568" s="23"/>
      <c r="B568" s="24"/>
      <c r="C568" s="24"/>
      <c r="D568" s="24"/>
      <c r="E568" s="24"/>
      <c r="F568" s="24"/>
      <c r="G568" s="24"/>
      <c r="H568" s="25" t="str">
        <f aca="false">IF($B568="","",IFERROR(IF(INDEX(명단!$B$5:$B$404,MATCH($B568,명단!$A$5:$A$404,0))="","(이름 미입력)",INDEX(명단!$B$5:$B$404,MATCH($B568,명단!$A$5:$A$404,0))),"번호 없음"))</f>
        <v/>
      </c>
      <c r="I568" s="25" t="str">
        <f aca="false">IF(AND(C568="",D568=""),"",IF(OR(C568="-",D568="-"),"측정불가",IF(AND(ISNUMBER(C568),ISNUMBER(D568)),IF(OR(C568&gt;=설정!$C$11,D568&gt;=설정!$C$12),"긴급",IF(OR(C568&gt;=설정!$C$9,D568&gt;=설정!$C$10,C568&lt;설정!$C$13),"주의","정상")),"확인필요")))</f>
        <v/>
      </c>
      <c r="J568" s="25" t="str">
        <f aca="false">IF(E568="","",IF(E568="-","측정불가",IF(NOT(ISNUMBER(E568)),"확인필요",IF(E568&lt;설정!$C$17,"긴급(저혈당)",IF(E568&gt;=설정!$C$18,"긴급(고혈당)",IF(F568="공복",IF(E568&gt;=설정!$C$15,"주의","정상"),IF(F568="식후",IF(E568&gt;=설정!$C$16,"주의","정상"),"조건확인")))))))</f>
        <v/>
      </c>
      <c r="K568" s="25" t="str">
        <f aca="false">IF(OR(I568="긴급",LEFT(J568,2)="긴급"),"★ 즉시 선생님 호출",IF(OR(I568="주의",J568="주의"),"결과상담에서 확인",IF(J568="조건확인","혈당조건(공복/식후) 선택","")))</f>
        <v/>
      </c>
      <c r="L568" s="25" t="str">
        <f aca="false">IF($B568="","",IF(COUNTIF($B$5:$B$1004,$B568)&gt;1,"중복 입력",""))</f>
        <v/>
      </c>
    </row>
    <row r="569" customFormat="false" ht="15" hidden="false" customHeight="false" outlineLevel="0" collapsed="false">
      <c r="A569" s="23"/>
      <c r="B569" s="24"/>
      <c r="C569" s="24"/>
      <c r="D569" s="24"/>
      <c r="E569" s="24"/>
      <c r="F569" s="24"/>
      <c r="G569" s="24"/>
      <c r="H569" s="25" t="str">
        <f aca="false">IF($B569="","",IFERROR(IF(INDEX(명단!$B$5:$B$404,MATCH($B569,명단!$A$5:$A$404,0))="","(이름 미입력)",INDEX(명단!$B$5:$B$404,MATCH($B569,명단!$A$5:$A$404,0))),"번호 없음"))</f>
        <v/>
      </c>
      <c r="I569" s="25" t="str">
        <f aca="false">IF(AND(C569="",D569=""),"",IF(OR(C569="-",D569="-"),"측정불가",IF(AND(ISNUMBER(C569),ISNUMBER(D569)),IF(OR(C569&gt;=설정!$C$11,D569&gt;=설정!$C$12),"긴급",IF(OR(C569&gt;=설정!$C$9,D569&gt;=설정!$C$10,C569&lt;설정!$C$13),"주의","정상")),"확인필요")))</f>
        <v/>
      </c>
      <c r="J569" s="25" t="str">
        <f aca="false">IF(E569="","",IF(E569="-","측정불가",IF(NOT(ISNUMBER(E569)),"확인필요",IF(E569&lt;설정!$C$17,"긴급(저혈당)",IF(E569&gt;=설정!$C$18,"긴급(고혈당)",IF(F569="공복",IF(E569&gt;=설정!$C$15,"주의","정상"),IF(F569="식후",IF(E569&gt;=설정!$C$16,"주의","정상"),"조건확인")))))))</f>
        <v/>
      </c>
      <c r="K569" s="25" t="str">
        <f aca="false">IF(OR(I569="긴급",LEFT(J569,2)="긴급"),"★ 즉시 선생님 호출",IF(OR(I569="주의",J569="주의"),"결과상담에서 확인",IF(J569="조건확인","혈당조건(공복/식후) 선택","")))</f>
        <v/>
      </c>
      <c r="L569" s="25" t="str">
        <f aca="false">IF($B569="","",IF(COUNTIF($B$5:$B$1004,$B569)&gt;1,"중복 입력",""))</f>
        <v/>
      </c>
    </row>
    <row r="570" customFormat="false" ht="15" hidden="false" customHeight="false" outlineLevel="0" collapsed="false">
      <c r="A570" s="23"/>
      <c r="B570" s="24"/>
      <c r="C570" s="24"/>
      <c r="D570" s="24"/>
      <c r="E570" s="24"/>
      <c r="F570" s="24"/>
      <c r="G570" s="24"/>
      <c r="H570" s="25" t="str">
        <f aca="false">IF($B570="","",IFERROR(IF(INDEX(명단!$B$5:$B$404,MATCH($B570,명단!$A$5:$A$404,0))="","(이름 미입력)",INDEX(명단!$B$5:$B$404,MATCH($B570,명단!$A$5:$A$404,0))),"번호 없음"))</f>
        <v/>
      </c>
      <c r="I570" s="25" t="str">
        <f aca="false">IF(AND(C570="",D570=""),"",IF(OR(C570="-",D570="-"),"측정불가",IF(AND(ISNUMBER(C570),ISNUMBER(D570)),IF(OR(C570&gt;=설정!$C$11,D570&gt;=설정!$C$12),"긴급",IF(OR(C570&gt;=설정!$C$9,D570&gt;=설정!$C$10,C570&lt;설정!$C$13),"주의","정상")),"확인필요")))</f>
        <v/>
      </c>
      <c r="J570" s="25" t="str">
        <f aca="false">IF(E570="","",IF(E570="-","측정불가",IF(NOT(ISNUMBER(E570)),"확인필요",IF(E570&lt;설정!$C$17,"긴급(저혈당)",IF(E570&gt;=설정!$C$18,"긴급(고혈당)",IF(F570="공복",IF(E570&gt;=설정!$C$15,"주의","정상"),IF(F570="식후",IF(E570&gt;=설정!$C$16,"주의","정상"),"조건확인")))))))</f>
        <v/>
      </c>
      <c r="K570" s="25" t="str">
        <f aca="false">IF(OR(I570="긴급",LEFT(J570,2)="긴급"),"★ 즉시 선생님 호출",IF(OR(I570="주의",J570="주의"),"결과상담에서 확인",IF(J570="조건확인","혈당조건(공복/식후) 선택","")))</f>
        <v/>
      </c>
      <c r="L570" s="25" t="str">
        <f aca="false">IF($B570="","",IF(COUNTIF($B$5:$B$1004,$B570)&gt;1,"중복 입력",""))</f>
        <v/>
      </c>
    </row>
    <row r="571" customFormat="false" ht="15" hidden="false" customHeight="false" outlineLevel="0" collapsed="false">
      <c r="A571" s="23"/>
      <c r="B571" s="24"/>
      <c r="C571" s="24"/>
      <c r="D571" s="24"/>
      <c r="E571" s="24"/>
      <c r="F571" s="24"/>
      <c r="G571" s="24"/>
      <c r="H571" s="25" t="str">
        <f aca="false">IF($B571="","",IFERROR(IF(INDEX(명단!$B$5:$B$404,MATCH($B571,명단!$A$5:$A$404,0))="","(이름 미입력)",INDEX(명단!$B$5:$B$404,MATCH($B571,명단!$A$5:$A$404,0))),"번호 없음"))</f>
        <v/>
      </c>
      <c r="I571" s="25" t="str">
        <f aca="false">IF(AND(C571="",D571=""),"",IF(OR(C571="-",D571="-"),"측정불가",IF(AND(ISNUMBER(C571),ISNUMBER(D571)),IF(OR(C571&gt;=설정!$C$11,D571&gt;=설정!$C$12),"긴급",IF(OR(C571&gt;=설정!$C$9,D571&gt;=설정!$C$10,C571&lt;설정!$C$13),"주의","정상")),"확인필요")))</f>
        <v/>
      </c>
      <c r="J571" s="25" t="str">
        <f aca="false">IF(E571="","",IF(E571="-","측정불가",IF(NOT(ISNUMBER(E571)),"확인필요",IF(E571&lt;설정!$C$17,"긴급(저혈당)",IF(E571&gt;=설정!$C$18,"긴급(고혈당)",IF(F571="공복",IF(E571&gt;=설정!$C$15,"주의","정상"),IF(F571="식후",IF(E571&gt;=설정!$C$16,"주의","정상"),"조건확인")))))))</f>
        <v/>
      </c>
      <c r="K571" s="25" t="str">
        <f aca="false">IF(OR(I571="긴급",LEFT(J571,2)="긴급"),"★ 즉시 선생님 호출",IF(OR(I571="주의",J571="주의"),"결과상담에서 확인",IF(J571="조건확인","혈당조건(공복/식후) 선택","")))</f>
        <v/>
      </c>
      <c r="L571" s="25" t="str">
        <f aca="false">IF($B571="","",IF(COUNTIF($B$5:$B$1004,$B571)&gt;1,"중복 입력",""))</f>
        <v/>
      </c>
    </row>
    <row r="572" customFormat="false" ht="15" hidden="false" customHeight="false" outlineLevel="0" collapsed="false">
      <c r="A572" s="23"/>
      <c r="B572" s="24"/>
      <c r="C572" s="24"/>
      <c r="D572" s="24"/>
      <c r="E572" s="24"/>
      <c r="F572" s="24"/>
      <c r="G572" s="24"/>
      <c r="H572" s="25" t="str">
        <f aca="false">IF($B572="","",IFERROR(IF(INDEX(명단!$B$5:$B$404,MATCH($B572,명단!$A$5:$A$404,0))="","(이름 미입력)",INDEX(명단!$B$5:$B$404,MATCH($B572,명단!$A$5:$A$404,0))),"번호 없음"))</f>
        <v/>
      </c>
      <c r="I572" s="25" t="str">
        <f aca="false">IF(AND(C572="",D572=""),"",IF(OR(C572="-",D572="-"),"측정불가",IF(AND(ISNUMBER(C572),ISNUMBER(D572)),IF(OR(C572&gt;=설정!$C$11,D572&gt;=설정!$C$12),"긴급",IF(OR(C572&gt;=설정!$C$9,D572&gt;=설정!$C$10,C572&lt;설정!$C$13),"주의","정상")),"확인필요")))</f>
        <v/>
      </c>
      <c r="J572" s="25" t="str">
        <f aca="false">IF(E572="","",IF(E572="-","측정불가",IF(NOT(ISNUMBER(E572)),"확인필요",IF(E572&lt;설정!$C$17,"긴급(저혈당)",IF(E572&gt;=설정!$C$18,"긴급(고혈당)",IF(F572="공복",IF(E572&gt;=설정!$C$15,"주의","정상"),IF(F572="식후",IF(E572&gt;=설정!$C$16,"주의","정상"),"조건확인")))))))</f>
        <v/>
      </c>
      <c r="K572" s="25" t="str">
        <f aca="false">IF(OR(I572="긴급",LEFT(J572,2)="긴급"),"★ 즉시 선생님 호출",IF(OR(I572="주의",J572="주의"),"결과상담에서 확인",IF(J572="조건확인","혈당조건(공복/식후) 선택","")))</f>
        <v/>
      </c>
      <c r="L572" s="25" t="str">
        <f aca="false">IF($B572="","",IF(COUNTIF($B$5:$B$1004,$B572)&gt;1,"중복 입력",""))</f>
        <v/>
      </c>
    </row>
    <row r="573" customFormat="false" ht="15" hidden="false" customHeight="false" outlineLevel="0" collapsed="false">
      <c r="A573" s="23"/>
      <c r="B573" s="24"/>
      <c r="C573" s="24"/>
      <c r="D573" s="24"/>
      <c r="E573" s="24"/>
      <c r="F573" s="24"/>
      <c r="G573" s="24"/>
      <c r="H573" s="25" t="str">
        <f aca="false">IF($B573="","",IFERROR(IF(INDEX(명단!$B$5:$B$404,MATCH($B573,명단!$A$5:$A$404,0))="","(이름 미입력)",INDEX(명단!$B$5:$B$404,MATCH($B573,명단!$A$5:$A$404,0))),"번호 없음"))</f>
        <v/>
      </c>
      <c r="I573" s="25" t="str">
        <f aca="false">IF(AND(C573="",D573=""),"",IF(OR(C573="-",D573="-"),"측정불가",IF(AND(ISNUMBER(C573),ISNUMBER(D573)),IF(OR(C573&gt;=설정!$C$11,D573&gt;=설정!$C$12),"긴급",IF(OR(C573&gt;=설정!$C$9,D573&gt;=설정!$C$10,C573&lt;설정!$C$13),"주의","정상")),"확인필요")))</f>
        <v/>
      </c>
      <c r="J573" s="25" t="str">
        <f aca="false">IF(E573="","",IF(E573="-","측정불가",IF(NOT(ISNUMBER(E573)),"확인필요",IF(E573&lt;설정!$C$17,"긴급(저혈당)",IF(E573&gt;=설정!$C$18,"긴급(고혈당)",IF(F573="공복",IF(E573&gt;=설정!$C$15,"주의","정상"),IF(F573="식후",IF(E573&gt;=설정!$C$16,"주의","정상"),"조건확인")))))))</f>
        <v/>
      </c>
      <c r="K573" s="25" t="str">
        <f aca="false">IF(OR(I573="긴급",LEFT(J573,2)="긴급"),"★ 즉시 선생님 호출",IF(OR(I573="주의",J573="주의"),"결과상담에서 확인",IF(J573="조건확인","혈당조건(공복/식후) 선택","")))</f>
        <v/>
      </c>
      <c r="L573" s="25" t="str">
        <f aca="false">IF($B573="","",IF(COUNTIF($B$5:$B$1004,$B573)&gt;1,"중복 입력",""))</f>
        <v/>
      </c>
    </row>
    <row r="574" customFormat="false" ht="15" hidden="false" customHeight="false" outlineLevel="0" collapsed="false">
      <c r="A574" s="23"/>
      <c r="B574" s="24"/>
      <c r="C574" s="24"/>
      <c r="D574" s="24"/>
      <c r="E574" s="24"/>
      <c r="F574" s="24"/>
      <c r="G574" s="24"/>
      <c r="H574" s="25" t="str">
        <f aca="false">IF($B574="","",IFERROR(IF(INDEX(명단!$B$5:$B$404,MATCH($B574,명단!$A$5:$A$404,0))="","(이름 미입력)",INDEX(명단!$B$5:$B$404,MATCH($B574,명단!$A$5:$A$404,0))),"번호 없음"))</f>
        <v/>
      </c>
      <c r="I574" s="25" t="str">
        <f aca="false">IF(AND(C574="",D574=""),"",IF(OR(C574="-",D574="-"),"측정불가",IF(AND(ISNUMBER(C574),ISNUMBER(D574)),IF(OR(C574&gt;=설정!$C$11,D574&gt;=설정!$C$12),"긴급",IF(OR(C574&gt;=설정!$C$9,D574&gt;=설정!$C$10,C574&lt;설정!$C$13),"주의","정상")),"확인필요")))</f>
        <v/>
      </c>
      <c r="J574" s="25" t="str">
        <f aca="false">IF(E574="","",IF(E574="-","측정불가",IF(NOT(ISNUMBER(E574)),"확인필요",IF(E574&lt;설정!$C$17,"긴급(저혈당)",IF(E574&gt;=설정!$C$18,"긴급(고혈당)",IF(F574="공복",IF(E574&gt;=설정!$C$15,"주의","정상"),IF(F574="식후",IF(E574&gt;=설정!$C$16,"주의","정상"),"조건확인")))))))</f>
        <v/>
      </c>
      <c r="K574" s="25" t="str">
        <f aca="false">IF(OR(I574="긴급",LEFT(J574,2)="긴급"),"★ 즉시 선생님 호출",IF(OR(I574="주의",J574="주의"),"결과상담에서 확인",IF(J574="조건확인","혈당조건(공복/식후) 선택","")))</f>
        <v/>
      </c>
      <c r="L574" s="25" t="str">
        <f aca="false">IF($B574="","",IF(COUNTIF($B$5:$B$1004,$B574)&gt;1,"중복 입력",""))</f>
        <v/>
      </c>
    </row>
    <row r="575" customFormat="false" ht="15" hidden="false" customHeight="false" outlineLevel="0" collapsed="false">
      <c r="A575" s="23"/>
      <c r="B575" s="24"/>
      <c r="C575" s="24"/>
      <c r="D575" s="24"/>
      <c r="E575" s="24"/>
      <c r="F575" s="24"/>
      <c r="G575" s="24"/>
      <c r="H575" s="25" t="str">
        <f aca="false">IF($B575="","",IFERROR(IF(INDEX(명단!$B$5:$B$404,MATCH($B575,명단!$A$5:$A$404,0))="","(이름 미입력)",INDEX(명단!$B$5:$B$404,MATCH($B575,명단!$A$5:$A$404,0))),"번호 없음"))</f>
        <v/>
      </c>
      <c r="I575" s="25" t="str">
        <f aca="false">IF(AND(C575="",D575=""),"",IF(OR(C575="-",D575="-"),"측정불가",IF(AND(ISNUMBER(C575),ISNUMBER(D575)),IF(OR(C575&gt;=설정!$C$11,D575&gt;=설정!$C$12),"긴급",IF(OR(C575&gt;=설정!$C$9,D575&gt;=설정!$C$10,C575&lt;설정!$C$13),"주의","정상")),"확인필요")))</f>
        <v/>
      </c>
      <c r="J575" s="25" t="str">
        <f aca="false">IF(E575="","",IF(E575="-","측정불가",IF(NOT(ISNUMBER(E575)),"확인필요",IF(E575&lt;설정!$C$17,"긴급(저혈당)",IF(E575&gt;=설정!$C$18,"긴급(고혈당)",IF(F575="공복",IF(E575&gt;=설정!$C$15,"주의","정상"),IF(F575="식후",IF(E575&gt;=설정!$C$16,"주의","정상"),"조건확인")))))))</f>
        <v/>
      </c>
      <c r="K575" s="25" t="str">
        <f aca="false">IF(OR(I575="긴급",LEFT(J575,2)="긴급"),"★ 즉시 선생님 호출",IF(OR(I575="주의",J575="주의"),"결과상담에서 확인",IF(J575="조건확인","혈당조건(공복/식후) 선택","")))</f>
        <v/>
      </c>
      <c r="L575" s="25" t="str">
        <f aca="false">IF($B575="","",IF(COUNTIF($B$5:$B$1004,$B575)&gt;1,"중복 입력",""))</f>
        <v/>
      </c>
    </row>
    <row r="576" customFormat="false" ht="15" hidden="false" customHeight="false" outlineLevel="0" collapsed="false">
      <c r="A576" s="23"/>
      <c r="B576" s="24"/>
      <c r="C576" s="24"/>
      <c r="D576" s="24"/>
      <c r="E576" s="24"/>
      <c r="F576" s="24"/>
      <c r="G576" s="24"/>
      <c r="H576" s="25" t="str">
        <f aca="false">IF($B576="","",IFERROR(IF(INDEX(명단!$B$5:$B$404,MATCH($B576,명단!$A$5:$A$404,0))="","(이름 미입력)",INDEX(명단!$B$5:$B$404,MATCH($B576,명단!$A$5:$A$404,0))),"번호 없음"))</f>
        <v/>
      </c>
      <c r="I576" s="25" t="str">
        <f aca="false">IF(AND(C576="",D576=""),"",IF(OR(C576="-",D576="-"),"측정불가",IF(AND(ISNUMBER(C576),ISNUMBER(D576)),IF(OR(C576&gt;=설정!$C$11,D576&gt;=설정!$C$12),"긴급",IF(OR(C576&gt;=설정!$C$9,D576&gt;=설정!$C$10,C576&lt;설정!$C$13),"주의","정상")),"확인필요")))</f>
        <v/>
      </c>
      <c r="J576" s="25" t="str">
        <f aca="false">IF(E576="","",IF(E576="-","측정불가",IF(NOT(ISNUMBER(E576)),"확인필요",IF(E576&lt;설정!$C$17,"긴급(저혈당)",IF(E576&gt;=설정!$C$18,"긴급(고혈당)",IF(F576="공복",IF(E576&gt;=설정!$C$15,"주의","정상"),IF(F576="식후",IF(E576&gt;=설정!$C$16,"주의","정상"),"조건확인")))))))</f>
        <v/>
      </c>
      <c r="K576" s="25" t="str">
        <f aca="false">IF(OR(I576="긴급",LEFT(J576,2)="긴급"),"★ 즉시 선생님 호출",IF(OR(I576="주의",J576="주의"),"결과상담에서 확인",IF(J576="조건확인","혈당조건(공복/식후) 선택","")))</f>
        <v/>
      </c>
      <c r="L576" s="25" t="str">
        <f aca="false">IF($B576="","",IF(COUNTIF($B$5:$B$1004,$B576)&gt;1,"중복 입력",""))</f>
        <v/>
      </c>
    </row>
    <row r="577" customFormat="false" ht="15" hidden="false" customHeight="false" outlineLevel="0" collapsed="false">
      <c r="A577" s="23"/>
      <c r="B577" s="24"/>
      <c r="C577" s="24"/>
      <c r="D577" s="24"/>
      <c r="E577" s="24"/>
      <c r="F577" s="24"/>
      <c r="G577" s="24"/>
      <c r="H577" s="25" t="str">
        <f aca="false">IF($B577="","",IFERROR(IF(INDEX(명단!$B$5:$B$404,MATCH($B577,명단!$A$5:$A$404,0))="","(이름 미입력)",INDEX(명단!$B$5:$B$404,MATCH($B577,명단!$A$5:$A$404,0))),"번호 없음"))</f>
        <v/>
      </c>
      <c r="I577" s="25" t="str">
        <f aca="false">IF(AND(C577="",D577=""),"",IF(OR(C577="-",D577="-"),"측정불가",IF(AND(ISNUMBER(C577),ISNUMBER(D577)),IF(OR(C577&gt;=설정!$C$11,D577&gt;=설정!$C$12),"긴급",IF(OR(C577&gt;=설정!$C$9,D577&gt;=설정!$C$10,C577&lt;설정!$C$13),"주의","정상")),"확인필요")))</f>
        <v/>
      </c>
      <c r="J577" s="25" t="str">
        <f aca="false">IF(E577="","",IF(E577="-","측정불가",IF(NOT(ISNUMBER(E577)),"확인필요",IF(E577&lt;설정!$C$17,"긴급(저혈당)",IF(E577&gt;=설정!$C$18,"긴급(고혈당)",IF(F577="공복",IF(E577&gt;=설정!$C$15,"주의","정상"),IF(F577="식후",IF(E577&gt;=설정!$C$16,"주의","정상"),"조건확인")))))))</f>
        <v/>
      </c>
      <c r="K577" s="25" t="str">
        <f aca="false">IF(OR(I577="긴급",LEFT(J577,2)="긴급"),"★ 즉시 선생님 호출",IF(OR(I577="주의",J577="주의"),"결과상담에서 확인",IF(J577="조건확인","혈당조건(공복/식후) 선택","")))</f>
        <v/>
      </c>
      <c r="L577" s="25" t="str">
        <f aca="false">IF($B577="","",IF(COUNTIF($B$5:$B$1004,$B577)&gt;1,"중복 입력",""))</f>
        <v/>
      </c>
    </row>
    <row r="578" customFormat="false" ht="15" hidden="false" customHeight="false" outlineLevel="0" collapsed="false">
      <c r="A578" s="23"/>
      <c r="B578" s="24"/>
      <c r="C578" s="24"/>
      <c r="D578" s="24"/>
      <c r="E578" s="24"/>
      <c r="F578" s="24"/>
      <c r="G578" s="24"/>
      <c r="H578" s="25" t="str">
        <f aca="false">IF($B578="","",IFERROR(IF(INDEX(명단!$B$5:$B$404,MATCH($B578,명단!$A$5:$A$404,0))="","(이름 미입력)",INDEX(명단!$B$5:$B$404,MATCH($B578,명단!$A$5:$A$404,0))),"번호 없음"))</f>
        <v/>
      </c>
      <c r="I578" s="25" t="str">
        <f aca="false">IF(AND(C578="",D578=""),"",IF(OR(C578="-",D578="-"),"측정불가",IF(AND(ISNUMBER(C578),ISNUMBER(D578)),IF(OR(C578&gt;=설정!$C$11,D578&gt;=설정!$C$12),"긴급",IF(OR(C578&gt;=설정!$C$9,D578&gt;=설정!$C$10,C578&lt;설정!$C$13),"주의","정상")),"확인필요")))</f>
        <v/>
      </c>
      <c r="J578" s="25" t="str">
        <f aca="false">IF(E578="","",IF(E578="-","측정불가",IF(NOT(ISNUMBER(E578)),"확인필요",IF(E578&lt;설정!$C$17,"긴급(저혈당)",IF(E578&gt;=설정!$C$18,"긴급(고혈당)",IF(F578="공복",IF(E578&gt;=설정!$C$15,"주의","정상"),IF(F578="식후",IF(E578&gt;=설정!$C$16,"주의","정상"),"조건확인")))))))</f>
        <v/>
      </c>
      <c r="K578" s="25" t="str">
        <f aca="false">IF(OR(I578="긴급",LEFT(J578,2)="긴급"),"★ 즉시 선생님 호출",IF(OR(I578="주의",J578="주의"),"결과상담에서 확인",IF(J578="조건확인","혈당조건(공복/식후) 선택","")))</f>
        <v/>
      </c>
      <c r="L578" s="25" t="str">
        <f aca="false">IF($B578="","",IF(COUNTIF($B$5:$B$1004,$B578)&gt;1,"중복 입력",""))</f>
        <v/>
      </c>
    </row>
    <row r="579" customFormat="false" ht="15" hidden="false" customHeight="false" outlineLevel="0" collapsed="false">
      <c r="A579" s="23"/>
      <c r="B579" s="24"/>
      <c r="C579" s="24"/>
      <c r="D579" s="24"/>
      <c r="E579" s="24"/>
      <c r="F579" s="24"/>
      <c r="G579" s="24"/>
      <c r="H579" s="25" t="str">
        <f aca="false">IF($B579="","",IFERROR(IF(INDEX(명단!$B$5:$B$404,MATCH($B579,명단!$A$5:$A$404,0))="","(이름 미입력)",INDEX(명단!$B$5:$B$404,MATCH($B579,명단!$A$5:$A$404,0))),"번호 없음"))</f>
        <v/>
      </c>
      <c r="I579" s="25" t="str">
        <f aca="false">IF(AND(C579="",D579=""),"",IF(OR(C579="-",D579="-"),"측정불가",IF(AND(ISNUMBER(C579),ISNUMBER(D579)),IF(OR(C579&gt;=설정!$C$11,D579&gt;=설정!$C$12),"긴급",IF(OR(C579&gt;=설정!$C$9,D579&gt;=설정!$C$10,C579&lt;설정!$C$13),"주의","정상")),"확인필요")))</f>
        <v/>
      </c>
      <c r="J579" s="25" t="str">
        <f aca="false">IF(E579="","",IF(E579="-","측정불가",IF(NOT(ISNUMBER(E579)),"확인필요",IF(E579&lt;설정!$C$17,"긴급(저혈당)",IF(E579&gt;=설정!$C$18,"긴급(고혈당)",IF(F579="공복",IF(E579&gt;=설정!$C$15,"주의","정상"),IF(F579="식후",IF(E579&gt;=설정!$C$16,"주의","정상"),"조건확인")))))))</f>
        <v/>
      </c>
      <c r="K579" s="25" t="str">
        <f aca="false">IF(OR(I579="긴급",LEFT(J579,2)="긴급"),"★ 즉시 선생님 호출",IF(OR(I579="주의",J579="주의"),"결과상담에서 확인",IF(J579="조건확인","혈당조건(공복/식후) 선택","")))</f>
        <v/>
      </c>
      <c r="L579" s="25" t="str">
        <f aca="false">IF($B579="","",IF(COUNTIF($B$5:$B$1004,$B579)&gt;1,"중복 입력",""))</f>
        <v/>
      </c>
    </row>
    <row r="580" customFormat="false" ht="15" hidden="false" customHeight="false" outlineLevel="0" collapsed="false">
      <c r="A580" s="23"/>
      <c r="B580" s="24"/>
      <c r="C580" s="24"/>
      <c r="D580" s="24"/>
      <c r="E580" s="24"/>
      <c r="F580" s="24"/>
      <c r="G580" s="24"/>
      <c r="H580" s="25" t="str">
        <f aca="false">IF($B580="","",IFERROR(IF(INDEX(명단!$B$5:$B$404,MATCH($B580,명단!$A$5:$A$404,0))="","(이름 미입력)",INDEX(명단!$B$5:$B$404,MATCH($B580,명단!$A$5:$A$404,0))),"번호 없음"))</f>
        <v/>
      </c>
      <c r="I580" s="25" t="str">
        <f aca="false">IF(AND(C580="",D580=""),"",IF(OR(C580="-",D580="-"),"측정불가",IF(AND(ISNUMBER(C580),ISNUMBER(D580)),IF(OR(C580&gt;=설정!$C$11,D580&gt;=설정!$C$12),"긴급",IF(OR(C580&gt;=설정!$C$9,D580&gt;=설정!$C$10,C580&lt;설정!$C$13),"주의","정상")),"확인필요")))</f>
        <v/>
      </c>
      <c r="J580" s="25" t="str">
        <f aca="false">IF(E580="","",IF(E580="-","측정불가",IF(NOT(ISNUMBER(E580)),"확인필요",IF(E580&lt;설정!$C$17,"긴급(저혈당)",IF(E580&gt;=설정!$C$18,"긴급(고혈당)",IF(F580="공복",IF(E580&gt;=설정!$C$15,"주의","정상"),IF(F580="식후",IF(E580&gt;=설정!$C$16,"주의","정상"),"조건확인")))))))</f>
        <v/>
      </c>
      <c r="K580" s="25" t="str">
        <f aca="false">IF(OR(I580="긴급",LEFT(J580,2)="긴급"),"★ 즉시 선생님 호출",IF(OR(I580="주의",J580="주의"),"결과상담에서 확인",IF(J580="조건확인","혈당조건(공복/식후) 선택","")))</f>
        <v/>
      </c>
      <c r="L580" s="25" t="str">
        <f aca="false">IF($B580="","",IF(COUNTIF($B$5:$B$1004,$B580)&gt;1,"중복 입력",""))</f>
        <v/>
      </c>
    </row>
    <row r="581" customFormat="false" ht="15" hidden="false" customHeight="false" outlineLevel="0" collapsed="false">
      <c r="A581" s="23"/>
      <c r="B581" s="24"/>
      <c r="C581" s="24"/>
      <c r="D581" s="24"/>
      <c r="E581" s="24"/>
      <c r="F581" s="24"/>
      <c r="G581" s="24"/>
      <c r="H581" s="25" t="str">
        <f aca="false">IF($B581="","",IFERROR(IF(INDEX(명단!$B$5:$B$404,MATCH($B581,명단!$A$5:$A$404,0))="","(이름 미입력)",INDEX(명단!$B$5:$B$404,MATCH($B581,명단!$A$5:$A$404,0))),"번호 없음"))</f>
        <v/>
      </c>
      <c r="I581" s="25" t="str">
        <f aca="false">IF(AND(C581="",D581=""),"",IF(OR(C581="-",D581="-"),"측정불가",IF(AND(ISNUMBER(C581),ISNUMBER(D581)),IF(OR(C581&gt;=설정!$C$11,D581&gt;=설정!$C$12),"긴급",IF(OR(C581&gt;=설정!$C$9,D581&gt;=설정!$C$10,C581&lt;설정!$C$13),"주의","정상")),"확인필요")))</f>
        <v/>
      </c>
      <c r="J581" s="25" t="str">
        <f aca="false">IF(E581="","",IF(E581="-","측정불가",IF(NOT(ISNUMBER(E581)),"확인필요",IF(E581&lt;설정!$C$17,"긴급(저혈당)",IF(E581&gt;=설정!$C$18,"긴급(고혈당)",IF(F581="공복",IF(E581&gt;=설정!$C$15,"주의","정상"),IF(F581="식후",IF(E581&gt;=설정!$C$16,"주의","정상"),"조건확인")))))))</f>
        <v/>
      </c>
      <c r="K581" s="25" t="str">
        <f aca="false">IF(OR(I581="긴급",LEFT(J581,2)="긴급"),"★ 즉시 선생님 호출",IF(OR(I581="주의",J581="주의"),"결과상담에서 확인",IF(J581="조건확인","혈당조건(공복/식후) 선택","")))</f>
        <v/>
      </c>
      <c r="L581" s="25" t="str">
        <f aca="false">IF($B581="","",IF(COUNTIF($B$5:$B$1004,$B581)&gt;1,"중복 입력",""))</f>
        <v/>
      </c>
    </row>
    <row r="582" customFormat="false" ht="15" hidden="false" customHeight="false" outlineLevel="0" collapsed="false">
      <c r="A582" s="23"/>
      <c r="B582" s="24"/>
      <c r="C582" s="24"/>
      <c r="D582" s="24"/>
      <c r="E582" s="24"/>
      <c r="F582" s="24"/>
      <c r="G582" s="24"/>
      <c r="H582" s="25" t="str">
        <f aca="false">IF($B582="","",IFERROR(IF(INDEX(명단!$B$5:$B$404,MATCH($B582,명단!$A$5:$A$404,0))="","(이름 미입력)",INDEX(명단!$B$5:$B$404,MATCH($B582,명단!$A$5:$A$404,0))),"번호 없음"))</f>
        <v/>
      </c>
      <c r="I582" s="25" t="str">
        <f aca="false">IF(AND(C582="",D582=""),"",IF(OR(C582="-",D582="-"),"측정불가",IF(AND(ISNUMBER(C582),ISNUMBER(D582)),IF(OR(C582&gt;=설정!$C$11,D582&gt;=설정!$C$12),"긴급",IF(OR(C582&gt;=설정!$C$9,D582&gt;=설정!$C$10,C582&lt;설정!$C$13),"주의","정상")),"확인필요")))</f>
        <v/>
      </c>
      <c r="J582" s="25" t="str">
        <f aca="false">IF(E582="","",IF(E582="-","측정불가",IF(NOT(ISNUMBER(E582)),"확인필요",IF(E582&lt;설정!$C$17,"긴급(저혈당)",IF(E582&gt;=설정!$C$18,"긴급(고혈당)",IF(F582="공복",IF(E582&gt;=설정!$C$15,"주의","정상"),IF(F582="식후",IF(E582&gt;=설정!$C$16,"주의","정상"),"조건확인")))))))</f>
        <v/>
      </c>
      <c r="K582" s="25" t="str">
        <f aca="false">IF(OR(I582="긴급",LEFT(J582,2)="긴급"),"★ 즉시 선생님 호출",IF(OR(I582="주의",J582="주의"),"결과상담에서 확인",IF(J582="조건확인","혈당조건(공복/식후) 선택","")))</f>
        <v/>
      </c>
      <c r="L582" s="25" t="str">
        <f aca="false">IF($B582="","",IF(COUNTIF($B$5:$B$1004,$B582)&gt;1,"중복 입력",""))</f>
        <v/>
      </c>
    </row>
    <row r="583" customFormat="false" ht="15" hidden="false" customHeight="false" outlineLevel="0" collapsed="false">
      <c r="A583" s="23"/>
      <c r="B583" s="24"/>
      <c r="C583" s="24"/>
      <c r="D583" s="24"/>
      <c r="E583" s="24"/>
      <c r="F583" s="24"/>
      <c r="G583" s="24"/>
      <c r="H583" s="25" t="str">
        <f aca="false">IF($B583="","",IFERROR(IF(INDEX(명단!$B$5:$B$404,MATCH($B583,명단!$A$5:$A$404,0))="","(이름 미입력)",INDEX(명단!$B$5:$B$404,MATCH($B583,명단!$A$5:$A$404,0))),"번호 없음"))</f>
        <v/>
      </c>
      <c r="I583" s="25" t="str">
        <f aca="false">IF(AND(C583="",D583=""),"",IF(OR(C583="-",D583="-"),"측정불가",IF(AND(ISNUMBER(C583),ISNUMBER(D583)),IF(OR(C583&gt;=설정!$C$11,D583&gt;=설정!$C$12),"긴급",IF(OR(C583&gt;=설정!$C$9,D583&gt;=설정!$C$10,C583&lt;설정!$C$13),"주의","정상")),"확인필요")))</f>
        <v/>
      </c>
      <c r="J583" s="25" t="str">
        <f aca="false">IF(E583="","",IF(E583="-","측정불가",IF(NOT(ISNUMBER(E583)),"확인필요",IF(E583&lt;설정!$C$17,"긴급(저혈당)",IF(E583&gt;=설정!$C$18,"긴급(고혈당)",IF(F583="공복",IF(E583&gt;=설정!$C$15,"주의","정상"),IF(F583="식후",IF(E583&gt;=설정!$C$16,"주의","정상"),"조건확인")))))))</f>
        <v/>
      </c>
      <c r="K583" s="25" t="str">
        <f aca="false">IF(OR(I583="긴급",LEFT(J583,2)="긴급"),"★ 즉시 선생님 호출",IF(OR(I583="주의",J583="주의"),"결과상담에서 확인",IF(J583="조건확인","혈당조건(공복/식후) 선택","")))</f>
        <v/>
      </c>
      <c r="L583" s="25" t="str">
        <f aca="false">IF($B583="","",IF(COUNTIF($B$5:$B$1004,$B583)&gt;1,"중복 입력",""))</f>
        <v/>
      </c>
    </row>
    <row r="584" customFormat="false" ht="15" hidden="false" customHeight="false" outlineLevel="0" collapsed="false">
      <c r="A584" s="23"/>
      <c r="B584" s="24"/>
      <c r="C584" s="24"/>
      <c r="D584" s="24"/>
      <c r="E584" s="24"/>
      <c r="F584" s="24"/>
      <c r="G584" s="24"/>
      <c r="H584" s="25" t="str">
        <f aca="false">IF($B584="","",IFERROR(IF(INDEX(명단!$B$5:$B$404,MATCH($B584,명단!$A$5:$A$404,0))="","(이름 미입력)",INDEX(명단!$B$5:$B$404,MATCH($B584,명단!$A$5:$A$404,0))),"번호 없음"))</f>
        <v/>
      </c>
      <c r="I584" s="25" t="str">
        <f aca="false">IF(AND(C584="",D584=""),"",IF(OR(C584="-",D584="-"),"측정불가",IF(AND(ISNUMBER(C584),ISNUMBER(D584)),IF(OR(C584&gt;=설정!$C$11,D584&gt;=설정!$C$12),"긴급",IF(OR(C584&gt;=설정!$C$9,D584&gt;=설정!$C$10,C584&lt;설정!$C$13),"주의","정상")),"확인필요")))</f>
        <v/>
      </c>
      <c r="J584" s="25" t="str">
        <f aca="false">IF(E584="","",IF(E584="-","측정불가",IF(NOT(ISNUMBER(E584)),"확인필요",IF(E584&lt;설정!$C$17,"긴급(저혈당)",IF(E584&gt;=설정!$C$18,"긴급(고혈당)",IF(F584="공복",IF(E584&gt;=설정!$C$15,"주의","정상"),IF(F584="식후",IF(E584&gt;=설정!$C$16,"주의","정상"),"조건확인")))))))</f>
        <v/>
      </c>
      <c r="K584" s="25" t="str">
        <f aca="false">IF(OR(I584="긴급",LEFT(J584,2)="긴급"),"★ 즉시 선생님 호출",IF(OR(I584="주의",J584="주의"),"결과상담에서 확인",IF(J584="조건확인","혈당조건(공복/식후) 선택","")))</f>
        <v/>
      </c>
      <c r="L584" s="25" t="str">
        <f aca="false">IF($B584="","",IF(COUNTIF($B$5:$B$1004,$B584)&gt;1,"중복 입력",""))</f>
        <v/>
      </c>
    </row>
    <row r="585" customFormat="false" ht="15" hidden="false" customHeight="false" outlineLevel="0" collapsed="false">
      <c r="A585" s="23"/>
      <c r="B585" s="24"/>
      <c r="C585" s="24"/>
      <c r="D585" s="24"/>
      <c r="E585" s="24"/>
      <c r="F585" s="24"/>
      <c r="G585" s="24"/>
      <c r="H585" s="25" t="str">
        <f aca="false">IF($B585="","",IFERROR(IF(INDEX(명단!$B$5:$B$404,MATCH($B585,명단!$A$5:$A$404,0))="","(이름 미입력)",INDEX(명단!$B$5:$B$404,MATCH($B585,명단!$A$5:$A$404,0))),"번호 없음"))</f>
        <v/>
      </c>
      <c r="I585" s="25" t="str">
        <f aca="false">IF(AND(C585="",D585=""),"",IF(OR(C585="-",D585="-"),"측정불가",IF(AND(ISNUMBER(C585),ISNUMBER(D585)),IF(OR(C585&gt;=설정!$C$11,D585&gt;=설정!$C$12),"긴급",IF(OR(C585&gt;=설정!$C$9,D585&gt;=설정!$C$10,C585&lt;설정!$C$13),"주의","정상")),"확인필요")))</f>
        <v/>
      </c>
      <c r="J585" s="25" t="str">
        <f aca="false">IF(E585="","",IF(E585="-","측정불가",IF(NOT(ISNUMBER(E585)),"확인필요",IF(E585&lt;설정!$C$17,"긴급(저혈당)",IF(E585&gt;=설정!$C$18,"긴급(고혈당)",IF(F585="공복",IF(E585&gt;=설정!$C$15,"주의","정상"),IF(F585="식후",IF(E585&gt;=설정!$C$16,"주의","정상"),"조건확인")))))))</f>
        <v/>
      </c>
      <c r="K585" s="25" t="str">
        <f aca="false">IF(OR(I585="긴급",LEFT(J585,2)="긴급"),"★ 즉시 선생님 호출",IF(OR(I585="주의",J585="주의"),"결과상담에서 확인",IF(J585="조건확인","혈당조건(공복/식후) 선택","")))</f>
        <v/>
      </c>
      <c r="L585" s="25" t="str">
        <f aca="false">IF($B585="","",IF(COUNTIF($B$5:$B$1004,$B585)&gt;1,"중복 입력",""))</f>
        <v/>
      </c>
    </row>
    <row r="586" customFormat="false" ht="15" hidden="false" customHeight="false" outlineLevel="0" collapsed="false">
      <c r="A586" s="23"/>
      <c r="B586" s="24"/>
      <c r="C586" s="24"/>
      <c r="D586" s="24"/>
      <c r="E586" s="24"/>
      <c r="F586" s="24"/>
      <c r="G586" s="24"/>
      <c r="H586" s="25" t="str">
        <f aca="false">IF($B586="","",IFERROR(IF(INDEX(명단!$B$5:$B$404,MATCH($B586,명단!$A$5:$A$404,0))="","(이름 미입력)",INDEX(명단!$B$5:$B$404,MATCH($B586,명단!$A$5:$A$404,0))),"번호 없음"))</f>
        <v/>
      </c>
      <c r="I586" s="25" t="str">
        <f aca="false">IF(AND(C586="",D586=""),"",IF(OR(C586="-",D586="-"),"측정불가",IF(AND(ISNUMBER(C586),ISNUMBER(D586)),IF(OR(C586&gt;=설정!$C$11,D586&gt;=설정!$C$12),"긴급",IF(OR(C586&gt;=설정!$C$9,D586&gt;=설정!$C$10,C586&lt;설정!$C$13),"주의","정상")),"확인필요")))</f>
        <v/>
      </c>
      <c r="J586" s="25" t="str">
        <f aca="false">IF(E586="","",IF(E586="-","측정불가",IF(NOT(ISNUMBER(E586)),"확인필요",IF(E586&lt;설정!$C$17,"긴급(저혈당)",IF(E586&gt;=설정!$C$18,"긴급(고혈당)",IF(F586="공복",IF(E586&gt;=설정!$C$15,"주의","정상"),IF(F586="식후",IF(E586&gt;=설정!$C$16,"주의","정상"),"조건확인")))))))</f>
        <v/>
      </c>
      <c r="K586" s="25" t="str">
        <f aca="false">IF(OR(I586="긴급",LEFT(J586,2)="긴급"),"★ 즉시 선생님 호출",IF(OR(I586="주의",J586="주의"),"결과상담에서 확인",IF(J586="조건확인","혈당조건(공복/식후) 선택","")))</f>
        <v/>
      </c>
      <c r="L586" s="25" t="str">
        <f aca="false">IF($B586="","",IF(COUNTIF($B$5:$B$1004,$B586)&gt;1,"중복 입력",""))</f>
        <v/>
      </c>
    </row>
    <row r="587" customFormat="false" ht="15" hidden="false" customHeight="false" outlineLevel="0" collapsed="false">
      <c r="A587" s="23"/>
      <c r="B587" s="24"/>
      <c r="C587" s="24"/>
      <c r="D587" s="24"/>
      <c r="E587" s="24"/>
      <c r="F587" s="24"/>
      <c r="G587" s="24"/>
      <c r="H587" s="25" t="str">
        <f aca="false">IF($B587="","",IFERROR(IF(INDEX(명단!$B$5:$B$404,MATCH($B587,명단!$A$5:$A$404,0))="","(이름 미입력)",INDEX(명단!$B$5:$B$404,MATCH($B587,명단!$A$5:$A$404,0))),"번호 없음"))</f>
        <v/>
      </c>
      <c r="I587" s="25" t="str">
        <f aca="false">IF(AND(C587="",D587=""),"",IF(OR(C587="-",D587="-"),"측정불가",IF(AND(ISNUMBER(C587),ISNUMBER(D587)),IF(OR(C587&gt;=설정!$C$11,D587&gt;=설정!$C$12),"긴급",IF(OR(C587&gt;=설정!$C$9,D587&gt;=설정!$C$10,C587&lt;설정!$C$13),"주의","정상")),"확인필요")))</f>
        <v/>
      </c>
      <c r="J587" s="25" t="str">
        <f aca="false">IF(E587="","",IF(E587="-","측정불가",IF(NOT(ISNUMBER(E587)),"확인필요",IF(E587&lt;설정!$C$17,"긴급(저혈당)",IF(E587&gt;=설정!$C$18,"긴급(고혈당)",IF(F587="공복",IF(E587&gt;=설정!$C$15,"주의","정상"),IF(F587="식후",IF(E587&gt;=설정!$C$16,"주의","정상"),"조건확인")))))))</f>
        <v/>
      </c>
      <c r="K587" s="25" t="str">
        <f aca="false">IF(OR(I587="긴급",LEFT(J587,2)="긴급"),"★ 즉시 선생님 호출",IF(OR(I587="주의",J587="주의"),"결과상담에서 확인",IF(J587="조건확인","혈당조건(공복/식후) 선택","")))</f>
        <v/>
      </c>
      <c r="L587" s="25" t="str">
        <f aca="false">IF($B587="","",IF(COUNTIF($B$5:$B$1004,$B587)&gt;1,"중복 입력",""))</f>
        <v/>
      </c>
    </row>
    <row r="588" customFormat="false" ht="15" hidden="false" customHeight="false" outlineLevel="0" collapsed="false">
      <c r="A588" s="23"/>
      <c r="B588" s="24"/>
      <c r="C588" s="24"/>
      <c r="D588" s="24"/>
      <c r="E588" s="24"/>
      <c r="F588" s="24"/>
      <c r="G588" s="24"/>
      <c r="H588" s="25" t="str">
        <f aca="false">IF($B588="","",IFERROR(IF(INDEX(명단!$B$5:$B$404,MATCH($B588,명단!$A$5:$A$404,0))="","(이름 미입력)",INDEX(명단!$B$5:$B$404,MATCH($B588,명단!$A$5:$A$404,0))),"번호 없음"))</f>
        <v/>
      </c>
      <c r="I588" s="25" t="str">
        <f aca="false">IF(AND(C588="",D588=""),"",IF(OR(C588="-",D588="-"),"측정불가",IF(AND(ISNUMBER(C588),ISNUMBER(D588)),IF(OR(C588&gt;=설정!$C$11,D588&gt;=설정!$C$12),"긴급",IF(OR(C588&gt;=설정!$C$9,D588&gt;=설정!$C$10,C588&lt;설정!$C$13),"주의","정상")),"확인필요")))</f>
        <v/>
      </c>
      <c r="J588" s="25" t="str">
        <f aca="false">IF(E588="","",IF(E588="-","측정불가",IF(NOT(ISNUMBER(E588)),"확인필요",IF(E588&lt;설정!$C$17,"긴급(저혈당)",IF(E588&gt;=설정!$C$18,"긴급(고혈당)",IF(F588="공복",IF(E588&gt;=설정!$C$15,"주의","정상"),IF(F588="식후",IF(E588&gt;=설정!$C$16,"주의","정상"),"조건확인")))))))</f>
        <v/>
      </c>
      <c r="K588" s="25" t="str">
        <f aca="false">IF(OR(I588="긴급",LEFT(J588,2)="긴급"),"★ 즉시 선생님 호출",IF(OR(I588="주의",J588="주의"),"결과상담에서 확인",IF(J588="조건확인","혈당조건(공복/식후) 선택","")))</f>
        <v/>
      </c>
      <c r="L588" s="25" t="str">
        <f aca="false">IF($B588="","",IF(COUNTIF($B$5:$B$1004,$B588)&gt;1,"중복 입력",""))</f>
        <v/>
      </c>
    </row>
    <row r="589" customFormat="false" ht="15" hidden="false" customHeight="false" outlineLevel="0" collapsed="false">
      <c r="A589" s="23"/>
      <c r="B589" s="24"/>
      <c r="C589" s="24"/>
      <c r="D589" s="24"/>
      <c r="E589" s="24"/>
      <c r="F589" s="24"/>
      <c r="G589" s="24"/>
      <c r="H589" s="25" t="str">
        <f aca="false">IF($B589="","",IFERROR(IF(INDEX(명단!$B$5:$B$404,MATCH($B589,명단!$A$5:$A$404,0))="","(이름 미입력)",INDEX(명단!$B$5:$B$404,MATCH($B589,명단!$A$5:$A$404,0))),"번호 없음"))</f>
        <v/>
      </c>
      <c r="I589" s="25" t="str">
        <f aca="false">IF(AND(C589="",D589=""),"",IF(OR(C589="-",D589="-"),"측정불가",IF(AND(ISNUMBER(C589),ISNUMBER(D589)),IF(OR(C589&gt;=설정!$C$11,D589&gt;=설정!$C$12),"긴급",IF(OR(C589&gt;=설정!$C$9,D589&gt;=설정!$C$10,C589&lt;설정!$C$13),"주의","정상")),"확인필요")))</f>
        <v/>
      </c>
      <c r="J589" s="25" t="str">
        <f aca="false">IF(E589="","",IF(E589="-","측정불가",IF(NOT(ISNUMBER(E589)),"확인필요",IF(E589&lt;설정!$C$17,"긴급(저혈당)",IF(E589&gt;=설정!$C$18,"긴급(고혈당)",IF(F589="공복",IF(E589&gt;=설정!$C$15,"주의","정상"),IF(F589="식후",IF(E589&gt;=설정!$C$16,"주의","정상"),"조건확인")))))))</f>
        <v/>
      </c>
      <c r="K589" s="25" t="str">
        <f aca="false">IF(OR(I589="긴급",LEFT(J589,2)="긴급"),"★ 즉시 선생님 호출",IF(OR(I589="주의",J589="주의"),"결과상담에서 확인",IF(J589="조건확인","혈당조건(공복/식후) 선택","")))</f>
        <v/>
      </c>
      <c r="L589" s="25" t="str">
        <f aca="false">IF($B589="","",IF(COUNTIF($B$5:$B$1004,$B589)&gt;1,"중복 입력",""))</f>
        <v/>
      </c>
    </row>
    <row r="590" customFormat="false" ht="15" hidden="false" customHeight="false" outlineLevel="0" collapsed="false">
      <c r="A590" s="23"/>
      <c r="B590" s="24"/>
      <c r="C590" s="24"/>
      <c r="D590" s="24"/>
      <c r="E590" s="24"/>
      <c r="F590" s="24"/>
      <c r="G590" s="24"/>
      <c r="H590" s="25" t="str">
        <f aca="false">IF($B590="","",IFERROR(IF(INDEX(명단!$B$5:$B$404,MATCH($B590,명단!$A$5:$A$404,0))="","(이름 미입력)",INDEX(명단!$B$5:$B$404,MATCH($B590,명단!$A$5:$A$404,0))),"번호 없음"))</f>
        <v/>
      </c>
      <c r="I590" s="25" t="str">
        <f aca="false">IF(AND(C590="",D590=""),"",IF(OR(C590="-",D590="-"),"측정불가",IF(AND(ISNUMBER(C590),ISNUMBER(D590)),IF(OR(C590&gt;=설정!$C$11,D590&gt;=설정!$C$12),"긴급",IF(OR(C590&gt;=설정!$C$9,D590&gt;=설정!$C$10,C590&lt;설정!$C$13),"주의","정상")),"확인필요")))</f>
        <v/>
      </c>
      <c r="J590" s="25" t="str">
        <f aca="false">IF(E590="","",IF(E590="-","측정불가",IF(NOT(ISNUMBER(E590)),"확인필요",IF(E590&lt;설정!$C$17,"긴급(저혈당)",IF(E590&gt;=설정!$C$18,"긴급(고혈당)",IF(F590="공복",IF(E590&gt;=설정!$C$15,"주의","정상"),IF(F590="식후",IF(E590&gt;=설정!$C$16,"주의","정상"),"조건확인")))))))</f>
        <v/>
      </c>
      <c r="K590" s="25" t="str">
        <f aca="false">IF(OR(I590="긴급",LEFT(J590,2)="긴급"),"★ 즉시 선생님 호출",IF(OR(I590="주의",J590="주의"),"결과상담에서 확인",IF(J590="조건확인","혈당조건(공복/식후) 선택","")))</f>
        <v/>
      </c>
      <c r="L590" s="25" t="str">
        <f aca="false">IF($B590="","",IF(COUNTIF($B$5:$B$1004,$B590)&gt;1,"중복 입력",""))</f>
        <v/>
      </c>
    </row>
    <row r="591" customFormat="false" ht="15" hidden="false" customHeight="false" outlineLevel="0" collapsed="false">
      <c r="A591" s="23"/>
      <c r="B591" s="24"/>
      <c r="C591" s="24"/>
      <c r="D591" s="24"/>
      <c r="E591" s="24"/>
      <c r="F591" s="24"/>
      <c r="G591" s="24"/>
      <c r="H591" s="25" t="str">
        <f aca="false">IF($B591="","",IFERROR(IF(INDEX(명단!$B$5:$B$404,MATCH($B591,명단!$A$5:$A$404,0))="","(이름 미입력)",INDEX(명단!$B$5:$B$404,MATCH($B591,명단!$A$5:$A$404,0))),"번호 없음"))</f>
        <v/>
      </c>
      <c r="I591" s="25" t="str">
        <f aca="false">IF(AND(C591="",D591=""),"",IF(OR(C591="-",D591="-"),"측정불가",IF(AND(ISNUMBER(C591),ISNUMBER(D591)),IF(OR(C591&gt;=설정!$C$11,D591&gt;=설정!$C$12),"긴급",IF(OR(C591&gt;=설정!$C$9,D591&gt;=설정!$C$10,C591&lt;설정!$C$13),"주의","정상")),"확인필요")))</f>
        <v/>
      </c>
      <c r="J591" s="25" t="str">
        <f aca="false">IF(E591="","",IF(E591="-","측정불가",IF(NOT(ISNUMBER(E591)),"확인필요",IF(E591&lt;설정!$C$17,"긴급(저혈당)",IF(E591&gt;=설정!$C$18,"긴급(고혈당)",IF(F591="공복",IF(E591&gt;=설정!$C$15,"주의","정상"),IF(F591="식후",IF(E591&gt;=설정!$C$16,"주의","정상"),"조건확인")))))))</f>
        <v/>
      </c>
      <c r="K591" s="25" t="str">
        <f aca="false">IF(OR(I591="긴급",LEFT(J591,2)="긴급"),"★ 즉시 선생님 호출",IF(OR(I591="주의",J591="주의"),"결과상담에서 확인",IF(J591="조건확인","혈당조건(공복/식후) 선택","")))</f>
        <v/>
      </c>
      <c r="L591" s="25" t="str">
        <f aca="false">IF($B591="","",IF(COUNTIF($B$5:$B$1004,$B591)&gt;1,"중복 입력",""))</f>
        <v/>
      </c>
    </row>
    <row r="592" customFormat="false" ht="15" hidden="false" customHeight="false" outlineLevel="0" collapsed="false">
      <c r="A592" s="23"/>
      <c r="B592" s="24"/>
      <c r="C592" s="24"/>
      <c r="D592" s="24"/>
      <c r="E592" s="24"/>
      <c r="F592" s="24"/>
      <c r="G592" s="24"/>
      <c r="H592" s="25" t="str">
        <f aca="false">IF($B592="","",IFERROR(IF(INDEX(명단!$B$5:$B$404,MATCH($B592,명단!$A$5:$A$404,0))="","(이름 미입력)",INDEX(명단!$B$5:$B$404,MATCH($B592,명단!$A$5:$A$404,0))),"번호 없음"))</f>
        <v/>
      </c>
      <c r="I592" s="25" t="str">
        <f aca="false">IF(AND(C592="",D592=""),"",IF(OR(C592="-",D592="-"),"측정불가",IF(AND(ISNUMBER(C592),ISNUMBER(D592)),IF(OR(C592&gt;=설정!$C$11,D592&gt;=설정!$C$12),"긴급",IF(OR(C592&gt;=설정!$C$9,D592&gt;=설정!$C$10,C592&lt;설정!$C$13),"주의","정상")),"확인필요")))</f>
        <v/>
      </c>
      <c r="J592" s="25" t="str">
        <f aca="false">IF(E592="","",IF(E592="-","측정불가",IF(NOT(ISNUMBER(E592)),"확인필요",IF(E592&lt;설정!$C$17,"긴급(저혈당)",IF(E592&gt;=설정!$C$18,"긴급(고혈당)",IF(F592="공복",IF(E592&gt;=설정!$C$15,"주의","정상"),IF(F592="식후",IF(E592&gt;=설정!$C$16,"주의","정상"),"조건확인")))))))</f>
        <v/>
      </c>
      <c r="K592" s="25" t="str">
        <f aca="false">IF(OR(I592="긴급",LEFT(J592,2)="긴급"),"★ 즉시 선생님 호출",IF(OR(I592="주의",J592="주의"),"결과상담에서 확인",IF(J592="조건확인","혈당조건(공복/식후) 선택","")))</f>
        <v/>
      </c>
      <c r="L592" s="25" t="str">
        <f aca="false">IF($B592="","",IF(COUNTIF($B$5:$B$1004,$B592)&gt;1,"중복 입력",""))</f>
        <v/>
      </c>
    </row>
    <row r="593" customFormat="false" ht="15" hidden="false" customHeight="false" outlineLevel="0" collapsed="false">
      <c r="A593" s="23"/>
      <c r="B593" s="24"/>
      <c r="C593" s="24"/>
      <c r="D593" s="24"/>
      <c r="E593" s="24"/>
      <c r="F593" s="24"/>
      <c r="G593" s="24"/>
      <c r="H593" s="25" t="str">
        <f aca="false">IF($B593="","",IFERROR(IF(INDEX(명단!$B$5:$B$404,MATCH($B593,명단!$A$5:$A$404,0))="","(이름 미입력)",INDEX(명단!$B$5:$B$404,MATCH($B593,명단!$A$5:$A$404,0))),"번호 없음"))</f>
        <v/>
      </c>
      <c r="I593" s="25" t="str">
        <f aca="false">IF(AND(C593="",D593=""),"",IF(OR(C593="-",D593="-"),"측정불가",IF(AND(ISNUMBER(C593),ISNUMBER(D593)),IF(OR(C593&gt;=설정!$C$11,D593&gt;=설정!$C$12),"긴급",IF(OR(C593&gt;=설정!$C$9,D593&gt;=설정!$C$10,C593&lt;설정!$C$13),"주의","정상")),"확인필요")))</f>
        <v/>
      </c>
      <c r="J593" s="25" t="str">
        <f aca="false">IF(E593="","",IF(E593="-","측정불가",IF(NOT(ISNUMBER(E593)),"확인필요",IF(E593&lt;설정!$C$17,"긴급(저혈당)",IF(E593&gt;=설정!$C$18,"긴급(고혈당)",IF(F593="공복",IF(E593&gt;=설정!$C$15,"주의","정상"),IF(F593="식후",IF(E593&gt;=설정!$C$16,"주의","정상"),"조건확인")))))))</f>
        <v/>
      </c>
      <c r="K593" s="25" t="str">
        <f aca="false">IF(OR(I593="긴급",LEFT(J593,2)="긴급"),"★ 즉시 선생님 호출",IF(OR(I593="주의",J593="주의"),"결과상담에서 확인",IF(J593="조건확인","혈당조건(공복/식후) 선택","")))</f>
        <v/>
      </c>
      <c r="L593" s="25" t="str">
        <f aca="false">IF($B593="","",IF(COUNTIF($B$5:$B$1004,$B593)&gt;1,"중복 입력",""))</f>
        <v/>
      </c>
    </row>
    <row r="594" customFormat="false" ht="15" hidden="false" customHeight="false" outlineLevel="0" collapsed="false">
      <c r="A594" s="23"/>
      <c r="B594" s="24"/>
      <c r="C594" s="24"/>
      <c r="D594" s="24"/>
      <c r="E594" s="24"/>
      <c r="F594" s="24"/>
      <c r="G594" s="24"/>
      <c r="H594" s="25" t="str">
        <f aca="false">IF($B594="","",IFERROR(IF(INDEX(명단!$B$5:$B$404,MATCH($B594,명단!$A$5:$A$404,0))="","(이름 미입력)",INDEX(명단!$B$5:$B$404,MATCH($B594,명단!$A$5:$A$404,0))),"번호 없음"))</f>
        <v/>
      </c>
      <c r="I594" s="25" t="str">
        <f aca="false">IF(AND(C594="",D594=""),"",IF(OR(C594="-",D594="-"),"측정불가",IF(AND(ISNUMBER(C594),ISNUMBER(D594)),IF(OR(C594&gt;=설정!$C$11,D594&gt;=설정!$C$12),"긴급",IF(OR(C594&gt;=설정!$C$9,D594&gt;=설정!$C$10,C594&lt;설정!$C$13),"주의","정상")),"확인필요")))</f>
        <v/>
      </c>
      <c r="J594" s="25" t="str">
        <f aca="false">IF(E594="","",IF(E594="-","측정불가",IF(NOT(ISNUMBER(E594)),"확인필요",IF(E594&lt;설정!$C$17,"긴급(저혈당)",IF(E594&gt;=설정!$C$18,"긴급(고혈당)",IF(F594="공복",IF(E594&gt;=설정!$C$15,"주의","정상"),IF(F594="식후",IF(E594&gt;=설정!$C$16,"주의","정상"),"조건확인")))))))</f>
        <v/>
      </c>
      <c r="K594" s="25" t="str">
        <f aca="false">IF(OR(I594="긴급",LEFT(J594,2)="긴급"),"★ 즉시 선생님 호출",IF(OR(I594="주의",J594="주의"),"결과상담에서 확인",IF(J594="조건확인","혈당조건(공복/식후) 선택","")))</f>
        <v/>
      </c>
      <c r="L594" s="25" t="str">
        <f aca="false">IF($B594="","",IF(COUNTIF($B$5:$B$1004,$B594)&gt;1,"중복 입력",""))</f>
        <v/>
      </c>
    </row>
    <row r="595" customFormat="false" ht="15" hidden="false" customHeight="false" outlineLevel="0" collapsed="false">
      <c r="A595" s="23"/>
      <c r="B595" s="24"/>
      <c r="C595" s="24"/>
      <c r="D595" s="24"/>
      <c r="E595" s="24"/>
      <c r="F595" s="24"/>
      <c r="G595" s="24"/>
      <c r="H595" s="25" t="str">
        <f aca="false">IF($B595="","",IFERROR(IF(INDEX(명단!$B$5:$B$404,MATCH($B595,명단!$A$5:$A$404,0))="","(이름 미입력)",INDEX(명단!$B$5:$B$404,MATCH($B595,명단!$A$5:$A$404,0))),"번호 없음"))</f>
        <v/>
      </c>
      <c r="I595" s="25" t="str">
        <f aca="false">IF(AND(C595="",D595=""),"",IF(OR(C595="-",D595="-"),"측정불가",IF(AND(ISNUMBER(C595),ISNUMBER(D595)),IF(OR(C595&gt;=설정!$C$11,D595&gt;=설정!$C$12),"긴급",IF(OR(C595&gt;=설정!$C$9,D595&gt;=설정!$C$10,C595&lt;설정!$C$13),"주의","정상")),"확인필요")))</f>
        <v/>
      </c>
      <c r="J595" s="25" t="str">
        <f aca="false">IF(E595="","",IF(E595="-","측정불가",IF(NOT(ISNUMBER(E595)),"확인필요",IF(E595&lt;설정!$C$17,"긴급(저혈당)",IF(E595&gt;=설정!$C$18,"긴급(고혈당)",IF(F595="공복",IF(E595&gt;=설정!$C$15,"주의","정상"),IF(F595="식후",IF(E595&gt;=설정!$C$16,"주의","정상"),"조건확인")))))))</f>
        <v/>
      </c>
      <c r="K595" s="25" t="str">
        <f aca="false">IF(OR(I595="긴급",LEFT(J595,2)="긴급"),"★ 즉시 선생님 호출",IF(OR(I595="주의",J595="주의"),"결과상담에서 확인",IF(J595="조건확인","혈당조건(공복/식후) 선택","")))</f>
        <v/>
      </c>
      <c r="L595" s="25" t="str">
        <f aca="false">IF($B595="","",IF(COUNTIF($B$5:$B$1004,$B595)&gt;1,"중복 입력",""))</f>
        <v/>
      </c>
    </row>
    <row r="596" customFormat="false" ht="15" hidden="false" customHeight="false" outlineLevel="0" collapsed="false">
      <c r="A596" s="23"/>
      <c r="B596" s="24"/>
      <c r="C596" s="24"/>
      <c r="D596" s="24"/>
      <c r="E596" s="24"/>
      <c r="F596" s="24"/>
      <c r="G596" s="24"/>
      <c r="H596" s="25" t="str">
        <f aca="false">IF($B596="","",IFERROR(IF(INDEX(명단!$B$5:$B$404,MATCH($B596,명단!$A$5:$A$404,0))="","(이름 미입력)",INDEX(명단!$B$5:$B$404,MATCH($B596,명단!$A$5:$A$404,0))),"번호 없음"))</f>
        <v/>
      </c>
      <c r="I596" s="25" t="str">
        <f aca="false">IF(AND(C596="",D596=""),"",IF(OR(C596="-",D596="-"),"측정불가",IF(AND(ISNUMBER(C596),ISNUMBER(D596)),IF(OR(C596&gt;=설정!$C$11,D596&gt;=설정!$C$12),"긴급",IF(OR(C596&gt;=설정!$C$9,D596&gt;=설정!$C$10,C596&lt;설정!$C$13),"주의","정상")),"확인필요")))</f>
        <v/>
      </c>
      <c r="J596" s="25" t="str">
        <f aca="false">IF(E596="","",IF(E596="-","측정불가",IF(NOT(ISNUMBER(E596)),"확인필요",IF(E596&lt;설정!$C$17,"긴급(저혈당)",IF(E596&gt;=설정!$C$18,"긴급(고혈당)",IF(F596="공복",IF(E596&gt;=설정!$C$15,"주의","정상"),IF(F596="식후",IF(E596&gt;=설정!$C$16,"주의","정상"),"조건확인")))))))</f>
        <v/>
      </c>
      <c r="K596" s="25" t="str">
        <f aca="false">IF(OR(I596="긴급",LEFT(J596,2)="긴급"),"★ 즉시 선생님 호출",IF(OR(I596="주의",J596="주의"),"결과상담에서 확인",IF(J596="조건확인","혈당조건(공복/식후) 선택","")))</f>
        <v/>
      </c>
      <c r="L596" s="25" t="str">
        <f aca="false">IF($B596="","",IF(COUNTIF($B$5:$B$1004,$B596)&gt;1,"중복 입력",""))</f>
        <v/>
      </c>
    </row>
    <row r="597" customFormat="false" ht="15" hidden="false" customHeight="false" outlineLevel="0" collapsed="false">
      <c r="A597" s="23"/>
      <c r="B597" s="24"/>
      <c r="C597" s="24"/>
      <c r="D597" s="24"/>
      <c r="E597" s="24"/>
      <c r="F597" s="24"/>
      <c r="G597" s="24"/>
      <c r="H597" s="25" t="str">
        <f aca="false">IF($B597="","",IFERROR(IF(INDEX(명단!$B$5:$B$404,MATCH($B597,명단!$A$5:$A$404,0))="","(이름 미입력)",INDEX(명단!$B$5:$B$404,MATCH($B597,명단!$A$5:$A$404,0))),"번호 없음"))</f>
        <v/>
      </c>
      <c r="I597" s="25" t="str">
        <f aca="false">IF(AND(C597="",D597=""),"",IF(OR(C597="-",D597="-"),"측정불가",IF(AND(ISNUMBER(C597),ISNUMBER(D597)),IF(OR(C597&gt;=설정!$C$11,D597&gt;=설정!$C$12),"긴급",IF(OR(C597&gt;=설정!$C$9,D597&gt;=설정!$C$10,C597&lt;설정!$C$13),"주의","정상")),"확인필요")))</f>
        <v/>
      </c>
      <c r="J597" s="25" t="str">
        <f aca="false">IF(E597="","",IF(E597="-","측정불가",IF(NOT(ISNUMBER(E597)),"확인필요",IF(E597&lt;설정!$C$17,"긴급(저혈당)",IF(E597&gt;=설정!$C$18,"긴급(고혈당)",IF(F597="공복",IF(E597&gt;=설정!$C$15,"주의","정상"),IF(F597="식후",IF(E597&gt;=설정!$C$16,"주의","정상"),"조건확인")))))))</f>
        <v/>
      </c>
      <c r="K597" s="25" t="str">
        <f aca="false">IF(OR(I597="긴급",LEFT(J597,2)="긴급"),"★ 즉시 선생님 호출",IF(OR(I597="주의",J597="주의"),"결과상담에서 확인",IF(J597="조건확인","혈당조건(공복/식후) 선택","")))</f>
        <v/>
      </c>
      <c r="L597" s="25" t="str">
        <f aca="false">IF($B597="","",IF(COUNTIF($B$5:$B$1004,$B597)&gt;1,"중복 입력",""))</f>
        <v/>
      </c>
    </row>
    <row r="598" customFormat="false" ht="15" hidden="false" customHeight="false" outlineLevel="0" collapsed="false">
      <c r="A598" s="23"/>
      <c r="B598" s="24"/>
      <c r="C598" s="24"/>
      <c r="D598" s="24"/>
      <c r="E598" s="24"/>
      <c r="F598" s="24"/>
      <c r="G598" s="24"/>
      <c r="H598" s="25" t="str">
        <f aca="false">IF($B598="","",IFERROR(IF(INDEX(명단!$B$5:$B$404,MATCH($B598,명단!$A$5:$A$404,0))="","(이름 미입력)",INDEX(명단!$B$5:$B$404,MATCH($B598,명단!$A$5:$A$404,0))),"번호 없음"))</f>
        <v/>
      </c>
      <c r="I598" s="25" t="str">
        <f aca="false">IF(AND(C598="",D598=""),"",IF(OR(C598="-",D598="-"),"측정불가",IF(AND(ISNUMBER(C598),ISNUMBER(D598)),IF(OR(C598&gt;=설정!$C$11,D598&gt;=설정!$C$12),"긴급",IF(OR(C598&gt;=설정!$C$9,D598&gt;=설정!$C$10,C598&lt;설정!$C$13),"주의","정상")),"확인필요")))</f>
        <v/>
      </c>
      <c r="J598" s="25" t="str">
        <f aca="false">IF(E598="","",IF(E598="-","측정불가",IF(NOT(ISNUMBER(E598)),"확인필요",IF(E598&lt;설정!$C$17,"긴급(저혈당)",IF(E598&gt;=설정!$C$18,"긴급(고혈당)",IF(F598="공복",IF(E598&gt;=설정!$C$15,"주의","정상"),IF(F598="식후",IF(E598&gt;=설정!$C$16,"주의","정상"),"조건확인")))))))</f>
        <v/>
      </c>
      <c r="K598" s="25" t="str">
        <f aca="false">IF(OR(I598="긴급",LEFT(J598,2)="긴급"),"★ 즉시 선생님 호출",IF(OR(I598="주의",J598="주의"),"결과상담에서 확인",IF(J598="조건확인","혈당조건(공복/식후) 선택","")))</f>
        <v/>
      </c>
      <c r="L598" s="25" t="str">
        <f aca="false">IF($B598="","",IF(COUNTIF($B$5:$B$1004,$B598)&gt;1,"중복 입력",""))</f>
        <v/>
      </c>
    </row>
    <row r="599" customFormat="false" ht="15" hidden="false" customHeight="false" outlineLevel="0" collapsed="false">
      <c r="A599" s="23"/>
      <c r="B599" s="24"/>
      <c r="C599" s="24"/>
      <c r="D599" s="24"/>
      <c r="E599" s="24"/>
      <c r="F599" s="24"/>
      <c r="G599" s="24"/>
      <c r="H599" s="25" t="str">
        <f aca="false">IF($B599="","",IFERROR(IF(INDEX(명단!$B$5:$B$404,MATCH($B599,명단!$A$5:$A$404,0))="","(이름 미입력)",INDEX(명단!$B$5:$B$404,MATCH($B599,명단!$A$5:$A$404,0))),"번호 없음"))</f>
        <v/>
      </c>
      <c r="I599" s="25" t="str">
        <f aca="false">IF(AND(C599="",D599=""),"",IF(OR(C599="-",D599="-"),"측정불가",IF(AND(ISNUMBER(C599),ISNUMBER(D599)),IF(OR(C599&gt;=설정!$C$11,D599&gt;=설정!$C$12),"긴급",IF(OR(C599&gt;=설정!$C$9,D599&gt;=설정!$C$10,C599&lt;설정!$C$13),"주의","정상")),"확인필요")))</f>
        <v/>
      </c>
      <c r="J599" s="25" t="str">
        <f aca="false">IF(E599="","",IF(E599="-","측정불가",IF(NOT(ISNUMBER(E599)),"확인필요",IF(E599&lt;설정!$C$17,"긴급(저혈당)",IF(E599&gt;=설정!$C$18,"긴급(고혈당)",IF(F599="공복",IF(E599&gt;=설정!$C$15,"주의","정상"),IF(F599="식후",IF(E599&gt;=설정!$C$16,"주의","정상"),"조건확인")))))))</f>
        <v/>
      </c>
      <c r="K599" s="25" t="str">
        <f aca="false">IF(OR(I599="긴급",LEFT(J599,2)="긴급"),"★ 즉시 선생님 호출",IF(OR(I599="주의",J599="주의"),"결과상담에서 확인",IF(J599="조건확인","혈당조건(공복/식후) 선택","")))</f>
        <v/>
      </c>
      <c r="L599" s="25" t="str">
        <f aca="false">IF($B599="","",IF(COUNTIF($B$5:$B$1004,$B599)&gt;1,"중복 입력",""))</f>
        <v/>
      </c>
    </row>
    <row r="600" customFormat="false" ht="15" hidden="false" customHeight="false" outlineLevel="0" collapsed="false">
      <c r="A600" s="23"/>
      <c r="B600" s="24"/>
      <c r="C600" s="24"/>
      <c r="D600" s="24"/>
      <c r="E600" s="24"/>
      <c r="F600" s="24"/>
      <c r="G600" s="24"/>
      <c r="H600" s="25" t="str">
        <f aca="false">IF($B600="","",IFERROR(IF(INDEX(명단!$B$5:$B$404,MATCH($B600,명단!$A$5:$A$404,0))="","(이름 미입력)",INDEX(명단!$B$5:$B$404,MATCH($B600,명단!$A$5:$A$404,0))),"번호 없음"))</f>
        <v/>
      </c>
      <c r="I600" s="25" t="str">
        <f aca="false">IF(AND(C600="",D600=""),"",IF(OR(C600="-",D600="-"),"측정불가",IF(AND(ISNUMBER(C600),ISNUMBER(D600)),IF(OR(C600&gt;=설정!$C$11,D600&gt;=설정!$C$12),"긴급",IF(OR(C600&gt;=설정!$C$9,D600&gt;=설정!$C$10,C600&lt;설정!$C$13),"주의","정상")),"확인필요")))</f>
        <v/>
      </c>
      <c r="J600" s="25" t="str">
        <f aca="false">IF(E600="","",IF(E600="-","측정불가",IF(NOT(ISNUMBER(E600)),"확인필요",IF(E600&lt;설정!$C$17,"긴급(저혈당)",IF(E600&gt;=설정!$C$18,"긴급(고혈당)",IF(F600="공복",IF(E600&gt;=설정!$C$15,"주의","정상"),IF(F600="식후",IF(E600&gt;=설정!$C$16,"주의","정상"),"조건확인")))))))</f>
        <v/>
      </c>
      <c r="K600" s="25" t="str">
        <f aca="false">IF(OR(I600="긴급",LEFT(J600,2)="긴급"),"★ 즉시 선생님 호출",IF(OR(I600="주의",J600="주의"),"결과상담에서 확인",IF(J600="조건확인","혈당조건(공복/식후) 선택","")))</f>
        <v/>
      </c>
      <c r="L600" s="25" t="str">
        <f aca="false">IF($B600="","",IF(COUNTIF($B$5:$B$1004,$B600)&gt;1,"중복 입력",""))</f>
        <v/>
      </c>
    </row>
    <row r="601" customFormat="false" ht="15" hidden="false" customHeight="false" outlineLevel="0" collapsed="false">
      <c r="A601" s="23"/>
      <c r="B601" s="24"/>
      <c r="C601" s="24"/>
      <c r="D601" s="24"/>
      <c r="E601" s="24"/>
      <c r="F601" s="24"/>
      <c r="G601" s="24"/>
      <c r="H601" s="25" t="str">
        <f aca="false">IF($B601="","",IFERROR(IF(INDEX(명단!$B$5:$B$404,MATCH($B601,명단!$A$5:$A$404,0))="","(이름 미입력)",INDEX(명단!$B$5:$B$404,MATCH($B601,명단!$A$5:$A$404,0))),"번호 없음"))</f>
        <v/>
      </c>
      <c r="I601" s="25" t="str">
        <f aca="false">IF(AND(C601="",D601=""),"",IF(OR(C601="-",D601="-"),"측정불가",IF(AND(ISNUMBER(C601),ISNUMBER(D601)),IF(OR(C601&gt;=설정!$C$11,D601&gt;=설정!$C$12),"긴급",IF(OR(C601&gt;=설정!$C$9,D601&gt;=설정!$C$10,C601&lt;설정!$C$13),"주의","정상")),"확인필요")))</f>
        <v/>
      </c>
      <c r="J601" s="25" t="str">
        <f aca="false">IF(E601="","",IF(E601="-","측정불가",IF(NOT(ISNUMBER(E601)),"확인필요",IF(E601&lt;설정!$C$17,"긴급(저혈당)",IF(E601&gt;=설정!$C$18,"긴급(고혈당)",IF(F601="공복",IF(E601&gt;=설정!$C$15,"주의","정상"),IF(F601="식후",IF(E601&gt;=설정!$C$16,"주의","정상"),"조건확인")))))))</f>
        <v/>
      </c>
      <c r="K601" s="25" t="str">
        <f aca="false">IF(OR(I601="긴급",LEFT(J601,2)="긴급"),"★ 즉시 선생님 호출",IF(OR(I601="주의",J601="주의"),"결과상담에서 확인",IF(J601="조건확인","혈당조건(공복/식후) 선택","")))</f>
        <v/>
      </c>
      <c r="L601" s="25" t="str">
        <f aca="false">IF($B601="","",IF(COUNTIF($B$5:$B$1004,$B601)&gt;1,"중복 입력",""))</f>
        <v/>
      </c>
    </row>
    <row r="602" customFormat="false" ht="15" hidden="false" customHeight="false" outlineLevel="0" collapsed="false">
      <c r="A602" s="23"/>
      <c r="B602" s="24"/>
      <c r="C602" s="24"/>
      <c r="D602" s="24"/>
      <c r="E602" s="24"/>
      <c r="F602" s="24"/>
      <c r="G602" s="24"/>
      <c r="H602" s="25" t="str">
        <f aca="false">IF($B602="","",IFERROR(IF(INDEX(명단!$B$5:$B$404,MATCH($B602,명단!$A$5:$A$404,0))="","(이름 미입력)",INDEX(명단!$B$5:$B$404,MATCH($B602,명단!$A$5:$A$404,0))),"번호 없음"))</f>
        <v/>
      </c>
      <c r="I602" s="25" t="str">
        <f aca="false">IF(AND(C602="",D602=""),"",IF(OR(C602="-",D602="-"),"측정불가",IF(AND(ISNUMBER(C602),ISNUMBER(D602)),IF(OR(C602&gt;=설정!$C$11,D602&gt;=설정!$C$12),"긴급",IF(OR(C602&gt;=설정!$C$9,D602&gt;=설정!$C$10,C602&lt;설정!$C$13),"주의","정상")),"확인필요")))</f>
        <v/>
      </c>
      <c r="J602" s="25" t="str">
        <f aca="false">IF(E602="","",IF(E602="-","측정불가",IF(NOT(ISNUMBER(E602)),"확인필요",IF(E602&lt;설정!$C$17,"긴급(저혈당)",IF(E602&gt;=설정!$C$18,"긴급(고혈당)",IF(F602="공복",IF(E602&gt;=설정!$C$15,"주의","정상"),IF(F602="식후",IF(E602&gt;=설정!$C$16,"주의","정상"),"조건확인")))))))</f>
        <v/>
      </c>
      <c r="K602" s="25" t="str">
        <f aca="false">IF(OR(I602="긴급",LEFT(J602,2)="긴급"),"★ 즉시 선생님 호출",IF(OR(I602="주의",J602="주의"),"결과상담에서 확인",IF(J602="조건확인","혈당조건(공복/식후) 선택","")))</f>
        <v/>
      </c>
      <c r="L602" s="25" t="str">
        <f aca="false">IF($B602="","",IF(COUNTIF($B$5:$B$1004,$B602)&gt;1,"중복 입력",""))</f>
        <v/>
      </c>
    </row>
    <row r="603" customFormat="false" ht="15" hidden="false" customHeight="false" outlineLevel="0" collapsed="false">
      <c r="A603" s="23"/>
      <c r="B603" s="24"/>
      <c r="C603" s="24"/>
      <c r="D603" s="24"/>
      <c r="E603" s="24"/>
      <c r="F603" s="24"/>
      <c r="G603" s="24"/>
      <c r="H603" s="25" t="str">
        <f aca="false">IF($B603="","",IFERROR(IF(INDEX(명단!$B$5:$B$404,MATCH($B603,명단!$A$5:$A$404,0))="","(이름 미입력)",INDEX(명단!$B$5:$B$404,MATCH($B603,명단!$A$5:$A$404,0))),"번호 없음"))</f>
        <v/>
      </c>
      <c r="I603" s="25" t="str">
        <f aca="false">IF(AND(C603="",D603=""),"",IF(OR(C603="-",D603="-"),"측정불가",IF(AND(ISNUMBER(C603),ISNUMBER(D603)),IF(OR(C603&gt;=설정!$C$11,D603&gt;=설정!$C$12),"긴급",IF(OR(C603&gt;=설정!$C$9,D603&gt;=설정!$C$10,C603&lt;설정!$C$13),"주의","정상")),"확인필요")))</f>
        <v/>
      </c>
      <c r="J603" s="25" t="str">
        <f aca="false">IF(E603="","",IF(E603="-","측정불가",IF(NOT(ISNUMBER(E603)),"확인필요",IF(E603&lt;설정!$C$17,"긴급(저혈당)",IF(E603&gt;=설정!$C$18,"긴급(고혈당)",IF(F603="공복",IF(E603&gt;=설정!$C$15,"주의","정상"),IF(F603="식후",IF(E603&gt;=설정!$C$16,"주의","정상"),"조건확인")))))))</f>
        <v/>
      </c>
      <c r="K603" s="25" t="str">
        <f aca="false">IF(OR(I603="긴급",LEFT(J603,2)="긴급"),"★ 즉시 선생님 호출",IF(OR(I603="주의",J603="주의"),"결과상담에서 확인",IF(J603="조건확인","혈당조건(공복/식후) 선택","")))</f>
        <v/>
      </c>
      <c r="L603" s="25" t="str">
        <f aca="false">IF($B603="","",IF(COUNTIF($B$5:$B$1004,$B603)&gt;1,"중복 입력",""))</f>
        <v/>
      </c>
    </row>
    <row r="604" customFormat="false" ht="15" hidden="false" customHeight="false" outlineLevel="0" collapsed="false">
      <c r="A604" s="23"/>
      <c r="B604" s="24"/>
      <c r="C604" s="24"/>
      <c r="D604" s="24"/>
      <c r="E604" s="24"/>
      <c r="F604" s="24"/>
      <c r="G604" s="24"/>
      <c r="H604" s="25" t="str">
        <f aca="false">IF($B604="","",IFERROR(IF(INDEX(명단!$B$5:$B$404,MATCH($B604,명단!$A$5:$A$404,0))="","(이름 미입력)",INDEX(명단!$B$5:$B$404,MATCH($B604,명단!$A$5:$A$404,0))),"번호 없음"))</f>
        <v/>
      </c>
      <c r="I604" s="25" t="str">
        <f aca="false">IF(AND(C604="",D604=""),"",IF(OR(C604="-",D604="-"),"측정불가",IF(AND(ISNUMBER(C604),ISNUMBER(D604)),IF(OR(C604&gt;=설정!$C$11,D604&gt;=설정!$C$12),"긴급",IF(OR(C604&gt;=설정!$C$9,D604&gt;=설정!$C$10,C604&lt;설정!$C$13),"주의","정상")),"확인필요")))</f>
        <v/>
      </c>
      <c r="J604" s="25" t="str">
        <f aca="false">IF(E604="","",IF(E604="-","측정불가",IF(NOT(ISNUMBER(E604)),"확인필요",IF(E604&lt;설정!$C$17,"긴급(저혈당)",IF(E604&gt;=설정!$C$18,"긴급(고혈당)",IF(F604="공복",IF(E604&gt;=설정!$C$15,"주의","정상"),IF(F604="식후",IF(E604&gt;=설정!$C$16,"주의","정상"),"조건확인")))))))</f>
        <v/>
      </c>
      <c r="K604" s="25" t="str">
        <f aca="false">IF(OR(I604="긴급",LEFT(J604,2)="긴급"),"★ 즉시 선생님 호출",IF(OR(I604="주의",J604="주의"),"결과상담에서 확인",IF(J604="조건확인","혈당조건(공복/식후) 선택","")))</f>
        <v/>
      </c>
      <c r="L604" s="25" t="str">
        <f aca="false">IF($B604="","",IF(COUNTIF($B$5:$B$1004,$B604)&gt;1,"중복 입력",""))</f>
        <v/>
      </c>
    </row>
    <row r="605" customFormat="false" ht="15" hidden="false" customHeight="false" outlineLevel="0" collapsed="false">
      <c r="A605" s="23"/>
      <c r="B605" s="24"/>
      <c r="C605" s="24"/>
      <c r="D605" s="24"/>
      <c r="E605" s="24"/>
      <c r="F605" s="24"/>
      <c r="G605" s="24"/>
      <c r="H605" s="25" t="str">
        <f aca="false">IF($B605="","",IFERROR(IF(INDEX(명단!$B$5:$B$404,MATCH($B605,명단!$A$5:$A$404,0))="","(이름 미입력)",INDEX(명단!$B$5:$B$404,MATCH($B605,명단!$A$5:$A$404,0))),"번호 없음"))</f>
        <v/>
      </c>
      <c r="I605" s="25" t="str">
        <f aca="false">IF(AND(C605="",D605=""),"",IF(OR(C605="-",D605="-"),"측정불가",IF(AND(ISNUMBER(C605),ISNUMBER(D605)),IF(OR(C605&gt;=설정!$C$11,D605&gt;=설정!$C$12),"긴급",IF(OR(C605&gt;=설정!$C$9,D605&gt;=설정!$C$10,C605&lt;설정!$C$13),"주의","정상")),"확인필요")))</f>
        <v/>
      </c>
      <c r="J605" s="25" t="str">
        <f aca="false">IF(E605="","",IF(E605="-","측정불가",IF(NOT(ISNUMBER(E605)),"확인필요",IF(E605&lt;설정!$C$17,"긴급(저혈당)",IF(E605&gt;=설정!$C$18,"긴급(고혈당)",IF(F605="공복",IF(E605&gt;=설정!$C$15,"주의","정상"),IF(F605="식후",IF(E605&gt;=설정!$C$16,"주의","정상"),"조건확인")))))))</f>
        <v/>
      </c>
      <c r="K605" s="25" t="str">
        <f aca="false">IF(OR(I605="긴급",LEFT(J605,2)="긴급"),"★ 즉시 선생님 호출",IF(OR(I605="주의",J605="주의"),"결과상담에서 확인",IF(J605="조건확인","혈당조건(공복/식후) 선택","")))</f>
        <v/>
      </c>
      <c r="L605" s="25" t="str">
        <f aca="false">IF($B605="","",IF(COUNTIF($B$5:$B$1004,$B605)&gt;1,"중복 입력",""))</f>
        <v/>
      </c>
    </row>
    <row r="606" customFormat="false" ht="15" hidden="false" customHeight="false" outlineLevel="0" collapsed="false">
      <c r="A606" s="23"/>
      <c r="B606" s="24"/>
      <c r="C606" s="24"/>
      <c r="D606" s="24"/>
      <c r="E606" s="24"/>
      <c r="F606" s="24"/>
      <c r="G606" s="24"/>
      <c r="H606" s="25" t="str">
        <f aca="false">IF($B606="","",IFERROR(IF(INDEX(명단!$B$5:$B$404,MATCH($B606,명단!$A$5:$A$404,0))="","(이름 미입력)",INDEX(명단!$B$5:$B$404,MATCH($B606,명단!$A$5:$A$404,0))),"번호 없음"))</f>
        <v/>
      </c>
      <c r="I606" s="25" t="str">
        <f aca="false">IF(AND(C606="",D606=""),"",IF(OR(C606="-",D606="-"),"측정불가",IF(AND(ISNUMBER(C606),ISNUMBER(D606)),IF(OR(C606&gt;=설정!$C$11,D606&gt;=설정!$C$12),"긴급",IF(OR(C606&gt;=설정!$C$9,D606&gt;=설정!$C$10,C606&lt;설정!$C$13),"주의","정상")),"확인필요")))</f>
        <v/>
      </c>
      <c r="J606" s="25" t="str">
        <f aca="false">IF(E606="","",IF(E606="-","측정불가",IF(NOT(ISNUMBER(E606)),"확인필요",IF(E606&lt;설정!$C$17,"긴급(저혈당)",IF(E606&gt;=설정!$C$18,"긴급(고혈당)",IF(F606="공복",IF(E606&gt;=설정!$C$15,"주의","정상"),IF(F606="식후",IF(E606&gt;=설정!$C$16,"주의","정상"),"조건확인")))))))</f>
        <v/>
      </c>
      <c r="K606" s="25" t="str">
        <f aca="false">IF(OR(I606="긴급",LEFT(J606,2)="긴급"),"★ 즉시 선생님 호출",IF(OR(I606="주의",J606="주의"),"결과상담에서 확인",IF(J606="조건확인","혈당조건(공복/식후) 선택","")))</f>
        <v/>
      </c>
      <c r="L606" s="25" t="str">
        <f aca="false">IF($B606="","",IF(COUNTIF($B$5:$B$1004,$B606)&gt;1,"중복 입력",""))</f>
        <v/>
      </c>
    </row>
    <row r="607" customFormat="false" ht="15" hidden="false" customHeight="false" outlineLevel="0" collapsed="false">
      <c r="A607" s="23"/>
      <c r="B607" s="24"/>
      <c r="C607" s="24"/>
      <c r="D607" s="24"/>
      <c r="E607" s="24"/>
      <c r="F607" s="24"/>
      <c r="G607" s="24"/>
      <c r="H607" s="25" t="str">
        <f aca="false">IF($B607="","",IFERROR(IF(INDEX(명단!$B$5:$B$404,MATCH($B607,명단!$A$5:$A$404,0))="","(이름 미입력)",INDEX(명단!$B$5:$B$404,MATCH($B607,명단!$A$5:$A$404,0))),"번호 없음"))</f>
        <v/>
      </c>
      <c r="I607" s="25" t="str">
        <f aca="false">IF(AND(C607="",D607=""),"",IF(OR(C607="-",D607="-"),"측정불가",IF(AND(ISNUMBER(C607),ISNUMBER(D607)),IF(OR(C607&gt;=설정!$C$11,D607&gt;=설정!$C$12),"긴급",IF(OR(C607&gt;=설정!$C$9,D607&gt;=설정!$C$10,C607&lt;설정!$C$13),"주의","정상")),"확인필요")))</f>
        <v/>
      </c>
      <c r="J607" s="25" t="str">
        <f aca="false">IF(E607="","",IF(E607="-","측정불가",IF(NOT(ISNUMBER(E607)),"확인필요",IF(E607&lt;설정!$C$17,"긴급(저혈당)",IF(E607&gt;=설정!$C$18,"긴급(고혈당)",IF(F607="공복",IF(E607&gt;=설정!$C$15,"주의","정상"),IF(F607="식후",IF(E607&gt;=설정!$C$16,"주의","정상"),"조건확인")))))))</f>
        <v/>
      </c>
      <c r="K607" s="25" t="str">
        <f aca="false">IF(OR(I607="긴급",LEFT(J607,2)="긴급"),"★ 즉시 선생님 호출",IF(OR(I607="주의",J607="주의"),"결과상담에서 확인",IF(J607="조건확인","혈당조건(공복/식후) 선택","")))</f>
        <v/>
      </c>
      <c r="L607" s="25" t="str">
        <f aca="false">IF($B607="","",IF(COUNTIF($B$5:$B$1004,$B607)&gt;1,"중복 입력",""))</f>
        <v/>
      </c>
    </row>
    <row r="608" customFormat="false" ht="15" hidden="false" customHeight="false" outlineLevel="0" collapsed="false">
      <c r="A608" s="23"/>
      <c r="B608" s="24"/>
      <c r="C608" s="24"/>
      <c r="D608" s="24"/>
      <c r="E608" s="24"/>
      <c r="F608" s="24"/>
      <c r="G608" s="24"/>
      <c r="H608" s="25" t="str">
        <f aca="false">IF($B608="","",IFERROR(IF(INDEX(명단!$B$5:$B$404,MATCH($B608,명단!$A$5:$A$404,0))="","(이름 미입력)",INDEX(명단!$B$5:$B$404,MATCH($B608,명단!$A$5:$A$404,0))),"번호 없음"))</f>
        <v/>
      </c>
      <c r="I608" s="25" t="str">
        <f aca="false">IF(AND(C608="",D608=""),"",IF(OR(C608="-",D608="-"),"측정불가",IF(AND(ISNUMBER(C608),ISNUMBER(D608)),IF(OR(C608&gt;=설정!$C$11,D608&gt;=설정!$C$12),"긴급",IF(OR(C608&gt;=설정!$C$9,D608&gt;=설정!$C$10,C608&lt;설정!$C$13),"주의","정상")),"확인필요")))</f>
        <v/>
      </c>
      <c r="J608" s="25" t="str">
        <f aca="false">IF(E608="","",IF(E608="-","측정불가",IF(NOT(ISNUMBER(E608)),"확인필요",IF(E608&lt;설정!$C$17,"긴급(저혈당)",IF(E608&gt;=설정!$C$18,"긴급(고혈당)",IF(F608="공복",IF(E608&gt;=설정!$C$15,"주의","정상"),IF(F608="식후",IF(E608&gt;=설정!$C$16,"주의","정상"),"조건확인")))))))</f>
        <v/>
      </c>
      <c r="K608" s="25" t="str">
        <f aca="false">IF(OR(I608="긴급",LEFT(J608,2)="긴급"),"★ 즉시 선생님 호출",IF(OR(I608="주의",J608="주의"),"결과상담에서 확인",IF(J608="조건확인","혈당조건(공복/식후) 선택","")))</f>
        <v/>
      </c>
      <c r="L608" s="25" t="str">
        <f aca="false">IF($B608="","",IF(COUNTIF($B$5:$B$1004,$B608)&gt;1,"중복 입력",""))</f>
        <v/>
      </c>
    </row>
    <row r="609" customFormat="false" ht="15" hidden="false" customHeight="false" outlineLevel="0" collapsed="false">
      <c r="A609" s="23"/>
      <c r="B609" s="24"/>
      <c r="C609" s="24"/>
      <c r="D609" s="24"/>
      <c r="E609" s="24"/>
      <c r="F609" s="24"/>
      <c r="G609" s="24"/>
      <c r="H609" s="25" t="str">
        <f aca="false">IF($B609="","",IFERROR(IF(INDEX(명단!$B$5:$B$404,MATCH($B609,명단!$A$5:$A$404,0))="","(이름 미입력)",INDEX(명단!$B$5:$B$404,MATCH($B609,명단!$A$5:$A$404,0))),"번호 없음"))</f>
        <v/>
      </c>
      <c r="I609" s="25" t="str">
        <f aca="false">IF(AND(C609="",D609=""),"",IF(OR(C609="-",D609="-"),"측정불가",IF(AND(ISNUMBER(C609),ISNUMBER(D609)),IF(OR(C609&gt;=설정!$C$11,D609&gt;=설정!$C$12),"긴급",IF(OR(C609&gt;=설정!$C$9,D609&gt;=설정!$C$10,C609&lt;설정!$C$13),"주의","정상")),"확인필요")))</f>
        <v/>
      </c>
      <c r="J609" s="25" t="str">
        <f aca="false">IF(E609="","",IF(E609="-","측정불가",IF(NOT(ISNUMBER(E609)),"확인필요",IF(E609&lt;설정!$C$17,"긴급(저혈당)",IF(E609&gt;=설정!$C$18,"긴급(고혈당)",IF(F609="공복",IF(E609&gt;=설정!$C$15,"주의","정상"),IF(F609="식후",IF(E609&gt;=설정!$C$16,"주의","정상"),"조건확인")))))))</f>
        <v/>
      </c>
      <c r="K609" s="25" t="str">
        <f aca="false">IF(OR(I609="긴급",LEFT(J609,2)="긴급"),"★ 즉시 선생님 호출",IF(OR(I609="주의",J609="주의"),"결과상담에서 확인",IF(J609="조건확인","혈당조건(공복/식후) 선택","")))</f>
        <v/>
      </c>
      <c r="L609" s="25" t="str">
        <f aca="false">IF($B609="","",IF(COUNTIF($B$5:$B$1004,$B609)&gt;1,"중복 입력",""))</f>
        <v/>
      </c>
    </row>
    <row r="610" customFormat="false" ht="15" hidden="false" customHeight="false" outlineLevel="0" collapsed="false">
      <c r="A610" s="23"/>
      <c r="B610" s="24"/>
      <c r="C610" s="24"/>
      <c r="D610" s="24"/>
      <c r="E610" s="24"/>
      <c r="F610" s="24"/>
      <c r="G610" s="24"/>
      <c r="H610" s="25" t="str">
        <f aca="false">IF($B610="","",IFERROR(IF(INDEX(명단!$B$5:$B$404,MATCH($B610,명단!$A$5:$A$404,0))="","(이름 미입력)",INDEX(명단!$B$5:$B$404,MATCH($B610,명단!$A$5:$A$404,0))),"번호 없음"))</f>
        <v/>
      </c>
      <c r="I610" s="25" t="str">
        <f aca="false">IF(AND(C610="",D610=""),"",IF(OR(C610="-",D610="-"),"측정불가",IF(AND(ISNUMBER(C610),ISNUMBER(D610)),IF(OR(C610&gt;=설정!$C$11,D610&gt;=설정!$C$12),"긴급",IF(OR(C610&gt;=설정!$C$9,D610&gt;=설정!$C$10,C610&lt;설정!$C$13),"주의","정상")),"확인필요")))</f>
        <v/>
      </c>
      <c r="J610" s="25" t="str">
        <f aca="false">IF(E610="","",IF(E610="-","측정불가",IF(NOT(ISNUMBER(E610)),"확인필요",IF(E610&lt;설정!$C$17,"긴급(저혈당)",IF(E610&gt;=설정!$C$18,"긴급(고혈당)",IF(F610="공복",IF(E610&gt;=설정!$C$15,"주의","정상"),IF(F610="식후",IF(E610&gt;=설정!$C$16,"주의","정상"),"조건확인")))))))</f>
        <v/>
      </c>
      <c r="K610" s="25" t="str">
        <f aca="false">IF(OR(I610="긴급",LEFT(J610,2)="긴급"),"★ 즉시 선생님 호출",IF(OR(I610="주의",J610="주의"),"결과상담에서 확인",IF(J610="조건확인","혈당조건(공복/식후) 선택","")))</f>
        <v/>
      </c>
      <c r="L610" s="25" t="str">
        <f aca="false">IF($B610="","",IF(COUNTIF($B$5:$B$1004,$B610)&gt;1,"중복 입력",""))</f>
        <v/>
      </c>
    </row>
    <row r="611" customFormat="false" ht="15" hidden="false" customHeight="false" outlineLevel="0" collapsed="false">
      <c r="A611" s="23"/>
      <c r="B611" s="24"/>
      <c r="C611" s="24"/>
      <c r="D611" s="24"/>
      <c r="E611" s="24"/>
      <c r="F611" s="24"/>
      <c r="G611" s="24"/>
      <c r="H611" s="25" t="str">
        <f aca="false">IF($B611="","",IFERROR(IF(INDEX(명단!$B$5:$B$404,MATCH($B611,명단!$A$5:$A$404,0))="","(이름 미입력)",INDEX(명단!$B$5:$B$404,MATCH($B611,명단!$A$5:$A$404,0))),"번호 없음"))</f>
        <v/>
      </c>
      <c r="I611" s="25" t="str">
        <f aca="false">IF(AND(C611="",D611=""),"",IF(OR(C611="-",D611="-"),"측정불가",IF(AND(ISNUMBER(C611),ISNUMBER(D611)),IF(OR(C611&gt;=설정!$C$11,D611&gt;=설정!$C$12),"긴급",IF(OR(C611&gt;=설정!$C$9,D611&gt;=설정!$C$10,C611&lt;설정!$C$13),"주의","정상")),"확인필요")))</f>
        <v/>
      </c>
      <c r="J611" s="25" t="str">
        <f aca="false">IF(E611="","",IF(E611="-","측정불가",IF(NOT(ISNUMBER(E611)),"확인필요",IF(E611&lt;설정!$C$17,"긴급(저혈당)",IF(E611&gt;=설정!$C$18,"긴급(고혈당)",IF(F611="공복",IF(E611&gt;=설정!$C$15,"주의","정상"),IF(F611="식후",IF(E611&gt;=설정!$C$16,"주의","정상"),"조건확인")))))))</f>
        <v/>
      </c>
      <c r="K611" s="25" t="str">
        <f aca="false">IF(OR(I611="긴급",LEFT(J611,2)="긴급"),"★ 즉시 선생님 호출",IF(OR(I611="주의",J611="주의"),"결과상담에서 확인",IF(J611="조건확인","혈당조건(공복/식후) 선택","")))</f>
        <v/>
      </c>
      <c r="L611" s="25" t="str">
        <f aca="false">IF($B611="","",IF(COUNTIF($B$5:$B$1004,$B611)&gt;1,"중복 입력",""))</f>
        <v/>
      </c>
    </row>
    <row r="612" customFormat="false" ht="15" hidden="false" customHeight="false" outlineLevel="0" collapsed="false">
      <c r="A612" s="23"/>
      <c r="B612" s="24"/>
      <c r="C612" s="24"/>
      <c r="D612" s="24"/>
      <c r="E612" s="24"/>
      <c r="F612" s="24"/>
      <c r="G612" s="24"/>
      <c r="H612" s="25" t="str">
        <f aca="false">IF($B612="","",IFERROR(IF(INDEX(명단!$B$5:$B$404,MATCH($B612,명단!$A$5:$A$404,0))="","(이름 미입력)",INDEX(명단!$B$5:$B$404,MATCH($B612,명단!$A$5:$A$404,0))),"번호 없음"))</f>
        <v/>
      </c>
      <c r="I612" s="25" t="str">
        <f aca="false">IF(AND(C612="",D612=""),"",IF(OR(C612="-",D612="-"),"측정불가",IF(AND(ISNUMBER(C612),ISNUMBER(D612)),IF(OR(C612&gt;=설정!$C$11,D612&gt;=설정!$C$12),"긴급",IF(OR(C612&gt;=설정!$C$9,D612&gt;=설정!$C$10,C612&lt;설정!$C$13),"주의","정상")),"확인필요")))</f>
        <v/>
      </c>
      <c r="J612" s="25" t="str">
        <f aca="false">IF(E612="","",IF(E612="-","측정불가",IF(NOT(ISNUMBER(E612)),"확인필요",IF(E612&lt;설정!$C$17,"긴급(저혈당)",IF(E612&gt;=설정!$C$18,"긴급(고혈당)",IF(F612="공복",IF(E612&gt;=설정!$C$15,"주의","정상"),IF(F612="식후",IF(E612&gt;=설정!$C$16,"주의","정상"),"조건확인")))))))</f>
        <v/>
      </c>
      <c r="K612" s="25" t="str">
        <f aca="false">IF(OR(I612="긴급",LEFT(J612,2)="긴급"),"★ 즉시 선생님 호출",IF(OR(I612="주의",J612="주의"),"결과상담에서 확인",IF(J612="조건확인","혈당조건(공복/식후) 선택","")))</f>
        <v/>
      </c>
      <c r="L612" s="25" t="str">
        <f aca="false">IF($B612="","",IF(COUNTIF($B$5:$B$1004,$B612)&gt;1,"중복 입력",""))</f>
        <v/>
      </c>
    </row>
    <row r="613" customFormat="false" ht="15" hidden="false" customHeight="false" outlineLevel="0" collapsed="false">
      <c r="A613" s="23"/>
      <c r="B613" s="24"/>
      <c r="C613" s="24"/>
      <c r="D613" s="24"/>
      <c r="E613" s="24"/>
      <c r="F613" s="24"/>
      <c r="G613" s="24"/>
      <c r="H613" s="25" t="str">
        <f aca="false">IF($B613="","",IFERROR(IF(INDEX(명단!$B$5:$B$404,MATCH($B613,명단!$A$5:$A$404,0))="","(이름 미입력)",INDEX(명단!$B$5:$B$404,MATCH($B613,명단!$A$5:$A$404,0))),"번호 없음"))</f>
        <v/>
      </c>
      <c r="I613" s="25" t="str">
        <f aca="false">IF(AND(C613="",D613=""),"",IF(OR(C613="-",D613="-"),"측정불가",IF(AND(ISNUMBER(C613),ISNUMBER(D613)),IF(OR(C613&gt;=설정!$C$11,D613&gt;=설정!$C$12),"긴급",IF(OR(C613&gt;=설정!$C$9,D613&gt;=설정!$C$10,C613&lt;설정!$C$13),"주의","정상")),"확인필요")))</f>
        <v/>
      </c>
      <c r="J613" s="25" t="str">
        <f aca="false">IF(E613="","",IF(E613="-","측정불가",IF(NOT(ISNUMBER(E613)),"확인필요",IF(E613&lt;설정!$C$17,"긴급(저혈당)",IF(E613&gt;=설정!$C$18,"긴급(고혈당)",IF(F613="공복",IF(E613&gt;=설정!$C$15,"주의","정상"),IF(F613="식후",IF(E613&gt;=설정!$C$16,"주의","정상"),"조건확인")))))))</f>
        <v/>
      </c>
      <c r="K613" s="25" t="str">
        <f aca="false">IF(OR(I613="긴급",LEFT(J613,2)="긴급"),"★ 즉시 선생님 호출",IF(OR(I613="주의",J613="주의"),"결과상담에서 확인",IF(J613="조건확인","혈당조건(공복/식후) 선택","")))</f>
        <v/>
      </c>
      <c r="L613" s="25" t="str">
        <f aca="false">IF($B613="","",IF(COUNTIF($B$5:$B$1004,$B613)&gt;1,"중복 입력",""))</f>
        <v/>
      </c>
    </row>
    <row r="614" customFormat="false" ht="15" hidden="false" customHeight="false" outlineLevel="0" collapsed="false">
      <c r="A614" s="23"/>
      <c r="B614" s="24"/>
      <c r="C614" s="24"/>
      <c r="D614" s="24"/>
      <c r="E614" s="24"/>
      <c r="F614" s="24"/>
      <c r="G614" s="24"/>
      <c r="H614" s="25" t="str">
        <f aca="false">IF($B614="","",IFERROR(IF(INDEX(명단!$B$5:$B$404,MATCH($B614,명단!$A$5:$A$404,0))="","(이름 미입력)",INDEX(명단!$B$5:$B$404,MATCH($B614,명단!$A$5:$A$404,0))),"번호 없음"))</f>
        <v/>
      </c>
      <c r="I614" s="25" t="str">
        <f aca="false">IF(AND(C614="",D614=""),"",IF(OR(C614="-",D614="-"),"측정불가",IF(AND(ISNUMBER(C614),ISNUMBER(D614)),IF(OR(C614&gt;=설정!$C$11,D614&gt;=설정!$C$12),"긴급",IF(OR(C614&gt;=설정!$C$9,D614&gt;=설정!$C$10,C614&lt;설정!$C$13),"주의","정상")),"확인필요")))</f>
        <v/>
      </c>
      <c r="J614" s="25" t="str">
        <f aca="false">IF(E614="","",IF(E614="-","측정불가",IF(NOT(ISNUMBER(E614)),"확인필요",IF(E614&lt;설정!$C$17,"긴급(저혈당)",IF(E614&gt;=설정!$C$18,"긴급(고혈당)",IF(F614="공복",IF(E614&gt;=설정!$C$15,"주의","정상"),IF(F614="식후",IF(E614&gt;=설정!$C$16,"주의","정상"),"조건확인")))))))</f>
        <v/>
      </c>
      <c r="K614" s="25" t="str">
        <f aca="false">IF(OR(I614="긴급",LEFT(J614,2)="긴급"),"★ 즉시 선생님 호출",IF(OR(I614="주의",J614="주의"),"결과상담에서 확인",IF(J614="조건확인","혈당조건(공복/식후) 선택","")))</f>
        <v/>
      </c>
      <c r="L614" s="25" t="str">
        <f aca="false">IF($B614="","",IF(COUNTIF($B$5:$B$1004,$B614)&gt;1,"중복 입력",""))</f>
        <v/>
      </c>
    </row>
    <row r="615" customFormat="false" ht="15" hidden="false" customHeight="false" outlineLevel="0" collapsed="false">
      <c r="A615" s="23"/>
      <c r="B615" s="24"/>
      <c r="C615" s="24"/>
      <c r="D615" s="24"/>
      <c r="E615" s="24"/>
      <c r="F615" s="24"/>
      <c r="G615" s="24"/>
      <c r="H615" s="25" t="str">
        <f aca="false">IF($B615="","",IFERROR(IF(INDEX(명단!$B$5:$B$404,MATCH($B615,명단!$A$5:$A$404,0))="","(이름 미입력)",INDEX(명단!$B$5:$B$404,MATCH($B615,명단!$A$5:$A$404,0))),"번호 없음"))</f>
        <v/>
      </c>
      <c r="I615" s="25" t="str">
        <f aca="false">IF(AND(C615="",D615=""),"",IF(OR(C615="-",D615="-"),"측정불가",IF(AND(ISNUMBER(C615),ISNUMBER(D615)),IF(OR(C615&gt;=설정!$C$11,D615&gt;=설정!$C$12),"긴급",IF(OR(C615&gt;=설정!$C$9,D615&gt;=설정!$C$10,C615&lt;설정!$C$13),"주의","정상")),"확인필요")))</f>
        <v/>
      </c>
      <c r="J615" s="25" t="str">
        <f aca="false">IF(E615="","",IF(E615="-","측정불가",IF(NOT(ISNUMBER(E615)),"확인필요",IF(E615&lt;설정!$C$17,"긴급(저혈당)",IF(E615&gt;=설정!$C$18,"긴급(고혈당)",IF(F615="공복",IF(E615&gt;=설정!$C$15,"주의","정상"),IF(F615="식후",IF(E615&gt;=설정!$C$16,"주의","정상"),"조건확인")))))))</f>
        <v/>
      </c>
      <c r="K615" s="25" t="str">
        <f aca="false">IF(OR(I615="긴급",LEFT(J615,2)="긴급"),"★ 즉시 선생님 호출",IF(OR(I615="주의",J615="주의"),"결과상담에서 확인",IF(J615="조건확인","혈당조건(공복/식후) 선택","")))</f>
        <v/>
      </c>
      <c r="L615" s="25" t="str">
        <f aca="false">IF($B615="","",IF(COUNTIF($B$5:$B$1004,$B615)&gt;1,"중복 입력",""))</f>
        <v/>
      </c>
    </row>
    <row r="616" customFormat="false" ht="15" hidden="false" customHeight="false" outlineLevel="0" collapsed="false">
      <c r="A616" s="23"/>
      <c r="B616" s="24"/>
      <c r="C616" s="24"/>
      <c r="D616" s="24"/>
      <c r="E616" s="24"/>
      <c r="F616" s="24"/>
      <c r="G616" s="24"/>
      <c r="H616" s="25" t="str">
        <f aca="false">IF($B616="","",IFERROR(IF(INDEX(명단!$B$5:$B$404,MATCH($B616,명단!$A$5:$A$404,0))="","(이름 미입력)",INDEX(명단!$B$5:$B$404,MATCH($B616,명단!$A$5:$A$404,0))),"번호 없음"))</f>
        <v/>
      </c>
      <c r="I616" s="25" t="str">
        <f aca="false">IF(AND(C616="",D616=""),"",IF(OR(C616="-",D616="-"),"측정불가",IF(AND(ISNUMBER(C616),ISNUMBER(D616)),IF(OR(C616&gt;=설정!$C$11,D616&gt;=설정!$C$12),"긴급",IF(OR(C616&gt;=설정!$C$9,D616&gt;=설정!$C$10,C616&lt;설정!$C$13),"주의","정상")),"확인필요")))</f>
        <v/>
      </c>
      <c r="J616" s="25" t="str">
        <f aca="false">IF(E616="","",IF(E616="-","측정불가",IF(NOT(ISNUMBER(E616)),"확인필요",IF(E616&lt;설정!$C$17,"긴급(저혈당)",IF(E616&gt;=설정!$C$18,"긴급(고혈당)",IF(F616="공복",IF(E616&gt;=설정!$C$15,"주의","정상"),IF(F616="식후",IF(E616&gt;=설정!$C$16,"주의","정상"),"조건확인")))))))</f>
        <v/>
      </c>
      <c r="K616" s="25" t="str">
        <f aca="false">IF(OR(I616="긴급",LEFT(J616,2)="긴급"),"★ 즉시 선생님 호출",IF(OR(I616="주의",J616="주의"),"결과상담에서 확인",IF(J616="조건확인","혈당조건(공복/식후) 선택","")))</f>
        <v/>
      </c>
      <c r="L616" s="25" t="str">
        <f aca="false">IF($B616="","",IF(COUNTIF($B$5:$B$1004,$B616)&gt;1,"중복 입력",""))</f>
        <v/>
      </c>
    </row>
    <row r="617" customFormat="false" ht="15" hidden="false" customHeight="false" outlineLevel="0" collapsed="false">
      <c r="A617" s="23"/>
      <c r="B617" s="24"/>
      <c r="C617" s="24"/>
      <c r="D617" s="24"/>
      <c r="E617" s="24"/>
      <c r="F617" s="24"/>
      <c r="G617" s="24"/>
      <c r="H617" s="25" t="str">
        <f aca="false">IF($B617="","",IFERROR(IF(INDEX(명단!$B$5:$B$404,MATCH($B617,명단!$A$5:$A$404,0))="","(이름 미입력)",INDEX(명단!$B$5:$B$404,MATCH($B617,명단!$A$5:$A$404,0))),"번호 없음"))</f>
        <v/>
      </c>
      <c r="I617" s="25" t="str">
        <f aca="false">IF(AND(C617="",D617=""),"",IF(OR(C617="-",D617="-"),"측정불가",IF(AND(ISNUMBER(C617),ISNUMBER(D617)),IF(OR(C617&gt;=설정!$C$11,D617&gt;=설정!$C$12),"긴급",IF(OR(C617&gt;=설정!$C$9,D617&gt;=설정!$C$10,C617&lt;설정!$C$13),"주의","정상")),"확인필요")))</f>
        <v/>
      </c>
      <c r="J617" s="25" t="str">
        <f aca="false">IF(E617="","",IF(E617="-","측정불가",IF(NOT(ISNUMBER(E617)),"확인필요",IF(E617&lt;설정!$C$17,"긴급(저혈당)",IF(E617&gt;=설정!$C$18,"긴급(고혈당)",IF(F617="공복",IF(E617&gt;=설정!$C$15,"주의","정상"),IF(F617="식후",IF(E617&gt;=설정!$C$16,"주의","정상"),"조건확인")))))))</f>
        <v/>
      </c>
      <c r="K617" s="25" t="str">
        <f aca="false">IF(OR(I617="긴급",LEFT(J617,2)="긴급"),"★ 즉시 선생님 호출",IF(OR(I617="주의",J617="주의"),"결과상담에서 확인",IF(J617="조건확인","혈당조건(공복/식후) 선택","")))</f>
        <v/>
      </c>
      <c r="L617" s="25" t="str">
        <f aca="false">IF($B617="","",IF(COUNTIF($B$5:$B$1004,$B617)&gt;1,"중복 입력",""))</f>
        <v/>
      </c>
    </row>
    <row r="618" customFormat="false" ht="15" hidden="false" customHeight="false" outlineLevel="0" collapsed="false">
      <c r="A618" s="23"/>
      <c r="B618" s="24"/>
      <c r="C618" s="24"/>
      <c r="D618" s="24"/>
      <c r="E618" s="24"/>
      <c r="F618" s="24"/>
      <c r="G618" s="24"/>
      <c r="H618" s="25" t="str">
        <f aca="false">IF($B618="","",IFERROR(IF(INDEX(명단!$B$5:$B$404,MATCH($B618,명단!$A$5:$A$404,0))="","(이름 미입력)",INDEX(명단!$B$5:$B$404,MATCH($B618,명단!$A$5:$A$404,0))),"번호 없음"))</f>
        <v/>
      </c>
      <c r="I618" s="25" t="str">
        <f aca="false">IF(AND(C618="",D618=""),"",IF(OR(C618="-",D618="-"),"측정불가",IF(AND(ISNUMBER(C618),ISNUMBER(D618)),IF(OR(C618&gt;=설정!$C$11,D618&gt;=설정!$C$12),"긴급",IF(OR(C618&gt;=설정!$C$9,D618&gt;=설정!$C$10,C618&lt;설정!$C$13),"주의","정상")),"확인필요")))</f>
        <v/>
      </c>
      <c r="J618" s="25" t="str">
        <f aca="false">IF(E618="","",IF(E618="-","측정불가",IF(NOT(ISNUMBER(E618)),"확인필요",IF(E618&lt;설정!$C$17,"긴급(저혈당)",IF(E618&gt;=설정!$C$18,"긴급(고혈당)",IF(F618="공복",IF(E618&gt;=설정!$C$15,"주의","정상"),IF(F618="식후",IF(E618&gt;=설정!$C$16,"주의","정상"),"조건확인")))))))</f>
        <v/>
      </c>
      <c r="K618" s="25" t="str">
        <f aca="false">IF(OR(I618="긴급",LEFT(J618,2)="긴급"),"★ 즉시 선생님 호출",IF(OR(I618="주의",J618="주의"),"결과상담에서 확인",IF(J618="조건확인","혈당조건(공복/식후) 선택","")))</f>
        <v/>
      </c>
      <c r="L618" s="25" t="str">
        <f aca="false">IF($B618="","",IF(COUNTIF($B$5:$B$1004,$B618)&gt;1,"중복 입력",""))</f>
        <v/>
      </c>
    </row>
    <row r="619" customFormat="false" ht="15" hidden="false" customHeight="false" outlineLevel="0" collapsed="false">
      <c r="A619" s="23"/>
      <c r="B619" s="24"/>
      <c r="C619" s="24"/>
      <c r="D619" s="24"/>
      <c r="E619" s="24"/>
      <c r="F619" s="24"/>
      <c r="G619" s="24"/>
      <c r="H619" s="25" t="str">
        <f aca="false">IF($B619="","",IFERROR(IF(INDEX(명단!$B$5:$B$404,MATCH($B619,명단!$A$5:$A$404,0))="","(이름 미입력)",INDEX(명단!$B$5:$B$404,MATCH($B619,명단!$A$5:$A$404,0))),"번호 없음"))</f>
        <v/>
      </c>
      <c r="I619" s="25" t="str">
        <f aca="false">IF(AND(C619="",D619=""),"",IF(OR(C619="-",D619="-"),"측정불가",IF(AND(ISNUMBER(C619),ISNUMBER(D619)),IF(OR(C619&gt;=설정!$C$11,D619&gt;=설정!$C$12),"긴급",IF(OR(C619&gt;=설정!$C$9,D619&gt;=설정!$C$10,C619&lt;설정!$C$13),"주의","정상")),"확인필요")))</f>
        <v/>
      </c>
      <c r="J619" s="25" t="str">
        <f aca="false">IF(E619="","",IF(E619="-","측정불가",IF(NOT(ISNUMBER(E619)),"확인필요",IF(E619&lt;설정!$C$17,"긴급(저혈당)",IF(E619&gt;=설정!$C$18,"긴급(고혈당)",IF(F619="공복",IF(E619&gt;=설정!$C$15,"주의","정상"),IF(F619="식후",IF(E619&gt;=설정!$C$16,"주의","정상"),"조건확인")))))))</f>
        <v/>
      </c>
      <c r="K619" s="25" t="str">
        <f aca="false">IF(OR(I619="긴급",LEFT(J619,2)="긴급"),"★ 즉시 선생님 호출",IF(OR(I619="주의",J619="주의"),"결과상담에서 확인",IF(J619="조건확인","혈당조건(공복/식후) 선택","")))</f>
        <v/>
      </c>
      <c r="L619" s="25" t="str">
        <f aca="false">IF($B619="","",IF(COUNTIF($B$5:$B$1004,$B619)&gt;1,"중복 입력",""))</f>
        <v/>
      </c>
    </row>
    <row r="620" customFormat="false" ht="15" hidden="false" customHeight="false" outlineLevel="0" collapsed="false">
      <c r="A620" s="23"/>
      <c r="B620" s="24"/>
      <c r="C620" s="24"/>
      <c r="D620" s="24"/>
      <c r="E620" s="24"/>
      <c r="F620" s="24"/>
      <c r="G620" s="24"/>
      <c r="H620" s="25" t="str">
        <f aca="false">IF($B620="","",IFERROR(IF(INDEX(명단!$B$5:$B$404,MATCH($B620,명단!$A$5:$A$404,0))="","(이름 미입력)",INDEX(명단!$B$5:$B$404,MATCH($B620,명단!$A$5:$A$404,0))),"번호 없음"))</f>
        <v/>
      </c>
      <c r="I620" s="25" t="str">
        <f aca="false">IF(AND(C620="",D620=""),"",IF(OR(C620="-",D620="-"),"측정불가",IF(AND(ISNUMBER(C620),ISNUMBER(D620)),IF(OR(C620&gt;=설정!$C$11,D620&gt;=설정!$C$12),"긴급",IF(OR(C620&gt;=설정!$C$9,D620&gt;=설정!$C$10,C620&lt;설정!$C$13),"주의","정상")),"확인필요")))</f>
        <v/>
      </c>
      <c r="J620" s="25" t="str">
        <f aca="false">IF(E620="","",IF(E620="-","측정불가",IF(NOT(ISNUMBER(E620)),"확인필요",IF(E620&lt;설정!$C$17,"긴급(저혈당)",IF(E620&gt;=설정!$C$18,"긴급(고혈당)",IF(F620="공복",IF(E620&gt;=설정!$C$15,"주의","정상"),IF(F620="식후",IF(E620&gt;=설정!$C$16,"주의","정상"),"조건확인")))))))</f>
        <v/>
      </c>
      <c r="K620" s="25" t="str">
        <f aca="false">IF(OR(I620="긴급",LEFT(J620,2)="긴급"),"★ 즉시 선생님 호출",IF(OR(I620="주의",J620="주의"),"결과상담에서 확인",IF(J620="조건확인","혈당조건(공복/식후) 선택","")))</f>
        <v/>
      </c>
      <c r="L620" s="25" t="str">
        <f aca="false">IF($B620="","",IF(COUNTIF($B$5:$B$1004,$B620)&gt;1,"중복 입력",""))</f>
        <v/>
      </c>
    </row>
    <row r="621" customFormat="false" ht="15" hidden="false" customHeight="false" outlineLevel="0" collapsed="false">
      <c r="A621" s="23"/>
      <c r="B621" s="24"/>
      <c r="C621" s="24"/>
      <c r="D621" s="24"/>
      <c r="E621" s="24"/>
      <c r="F621" s="24"/>
      <c r="G621" s="24"/>
      <c r="H621" s="25" t="str">
        <f aca="false">IF($B621="","",IFERROR(IF(INDEX(명단!$B$5:$B$404,MATCH($B621,명단!$A$5:$A$404,0))="","(이름 미입력)",INDEX(명단!$B$5:$B$404,MATCH($B621,명단!$A$5:$A$404,0))),"번호 없음"))</f>
        <v/>
      </c>
      <c r="I621" s="25" t="str">
        <f aca="false">IF(AND(C621="",D621=""),"",IF(OR(C621="-",D621="-"),"측정불가",IF(AND(ISNUMBER(C621),ISNUMBER(D621)),IF(OR(C621&gt;=설정!$C$11,D621&gt;=설정!$C$12),"긴급",IF(OR(C621&gt;=설정!$C$9,D621&gt;=설정!$C$10,C621&lt;설정!$C$13),"주의","정상")),"확인필요")))</f>
        <v/>
      </c>
      <c r="J621" s="25" t="str">
        <f aca="false">IF(E621="","",IF(E621="-","측정불가",IF(NOT(ISNUMBER(E621)),"확인필요",IF(E621&lt;설정!$C$17,"긴급(저혈당)",IF(E621&gt;=설정!$C$18,"긴급(고혈당)",IF(F621="공복",IF(E621&gt;=설정!$C$15,"주의","정상"),IF(F621="식후",IF(E621&gt;=설정!$C$16,"주의","정상"),"조건확인")))))))</f>
        <v/>
      </c>
      <c r="K621" s="25" t="str">
        <f aca="false">IF(OR(I621="긴급",LEFT(J621,2)="긴급"),"★ 즉시 선생님 호출",IF(OR(I621="주의",J621="주의"),"결과상담에서 확인",IF(J621="조건확인","혈당조건(공복/식후) 선택","")))</f>
        <v/>
      </c>
      <c r="L621" s="25" t="str">
        <f aca="false">IF($B621="","",IF(COUNTIF($B$5:$B$1004,$B621)&gt;1,"중복 입력",""))</f>
        <v/>
      </c>
    </row>
    <row r="622" customFormat="false" ht="15" hidden="false" customHeight="false" outlineLevel="0" collapsed="false">
      <c r="A622" s="23"/>
      <c r="B622" s="24"/>
      <c r="C622" s="24"/>
      <c r="D622" s="24"/>
      <c r="E622" s="24"/>
      <c r="F622" s="24"/>
      <c r="G622" s="24"/>
      <c r="H622" s="25" t="str">
        <f aca="false">IF($B622="","",IFERROR(IF(INDEX(명단!$B$5:$B$404,MATCH($B622,명단!$A$5:$A$404,0))="","(이름 미입력)",INDEX(명단!$B$5:$B$404,MATCH($B622,명단!$A$5:$A$404,0))),"번호 없음"))</f>
        <v/>
      </c>
      <c r="I622" s="25" t="str">
        <f aca="false">IF(AND(C622="",D622=""),"",IF(OR(C622="-",D622="-"),"측정불가",IF(AND(ISNUMBER(C622),ISNUMBER(D622)),IF(OR(C622&gt;=설정!$C$11,D622&gt;=설정!$C$12),"긴급",IF(OR(C622&gt;=설정!$C$9,D622&gt;=설정!$C$10,C622&lt;설정!$C$13),"주의","정상")),"확인필요")))</f>
        <v/>
      </c>
      <c r="J622" s="25" t="str">
        <f aca="false">IF(E622="","",IF(E622="-","측정불가",IF(NOT(ISNUMBER(E622)),"확인필요",IF(E622&lt;설정!$C$17,"긴급(저혈당)",IF(E622&gt;=설정!$C$18,"긴급(고혈당)",IF(F622="공복",IF(E622&gt;=설정!$C$15,"주의","정상"),IF(F622="식후",IF(E622&gt;=설정!$C$16,"주의","정상"),"조건확인")))))))</f>
        <v/>
      </c>
      <c r="K622" s="25" t="str">
        <f aca="false">IF(OR(I622="긴급",LEFT(J622,2)="긴급"),"★ 즉시 선생님 호출",IF(OR(I622="주의",J622="주의"),"결과상담에서 확인",IF(J622="조건확인","혈당조건(공복/식후) 선택","")))</f>
        <v/>
      </c>
      <c r="L622" s="25" t="str">
        <f aca="false">IF($B622="","",IF(COUNTIF($B$5:$B$1004,$B622)&gt;1,"중복 입력",""))</f>
        <v/>
      </c>
    </row>
    <row r="623" customFormat="false" ht="15" hidden="false" customHeight="false" outlineLevel="0" collapsed="false">
      <c r="A623" s="23"/>
      <c r="B623" s="24"/>
      <c r="C623" s="24"/>
      <c r="D623" s="24"/>
      <c r="E623" s="24"/>
      <c r="F623" s="24"/>
      <c r="G623" s="24"/>
      <c r="H623" s="25" t="str">
        <f aca="false">IF($B623="","",IFERROR(IF(INDEX(명단!$B$5:$B$404,MATCH($B623,명단!$A$5:$A$404,0))="","(이름 미입력)",INDEX(명단!$B$5:$B$404,MATCH($B623,명단!$A$5:$A$404,0))),"번호 없음"))</f>
        <v/>
      </c>
      <c r="I623" s="25" t="str">
        <f aca="false">IF(AND(C623="",D623=""),"",IF(OR(C623="-",D623="-"),"측정불가",IF(AND(ISNUMBER(C623),ISNUMBER(D623)),IF(OR(C623&gt;=설정!$C$11,D623&gt;=설정!$C$12),"긴급",IF(OR(C623&gt;=설정!$C$9,D623&gt;=설정!$C$10,C623&lt;설정!$C$13),"주의","정상")),"확인필요")))</f>
        <v/>
      </c>
      <c r="J623" s="25" t="str">
        <f aca="false">IF(E623="","",IF(E623="-","측정불가",IF(NOT(ISNUMBER(E623)),"확인필요",IF(E623&lt;설정!$C$17,"긴급(저혈당)",IF(E623&gt;=설정!$C$18,"긴급(고혈당)",IF(F623="공복",IF(E623&gt;=설정!$C$15,"주의","정상"),IF(F623="식후",IF(E623&gt;=설정!$C$16,"주의","정상"),"조건확인")))))))</f>
        <v/>
      </c>
      <c r="K623" s="25" t="str">
        <f aca="false">IF(OR(I623="긴급",LEFT(J623,2)="긴급"),"★ 즉시 선생님 호출",IF(OR(I623="주의",J623="주의"),"결과상담에서 확인",IF(J623="조건확인","혈당조건(공복/식후) 선택","")))</f>
        <v/>
      </c>
      <c r="L623" s="25" t="str">
        <f aca="false">IF($B623="","",IF(COUNTIF($B$5:$B$1004,$B623)&gt;1,"중복 입력",""))</f>
        <v/>
      </c>
    </row>
    <row r="624" customFormat="false" ht="15" hidden="false" customHeight="false" outlineLevel="0" collapsed="false">
      <c r="A624" s="23"/>
      <c r="B624" s="24"/>
      <c r="C624" s="24"/>
      <c r="D624" s="24"/>
      <c r="E624" s="24"/>
      <c r="F624" s="24"/>
      <c r="G624" s="24"/>
      <c r="H624" s="25" t="str">
        <f aca="false">IF($B624="","",IFERROR(IF(INDEX(명단!$B$5:$B$404,MATCH($B624,명단!$A$5:$A$404,0))="","(이름 미입력)",INDEX(명단!$B$5:$B$404,MATCH($B624,명단!$A$5:$A$404,0))),"번호 없음"))</f>
        <v/>
      </c>
      <c r="I624" s="25" t="str">
        <f aca="false">IF(AND(C624="",D624=""),"",IF(OR(C624="-",D624="-"),"측정불가",IF(AND(ISNUMBER(C624),ISNUMBER(D624)),IF(OR(C624&gt;=설정!$C$11,D624&gt;=설정!$C$12),"긴급",IF(OR(C624&gt;=설정!$C$9,D624&gt;=설정!$C$10,C624&lt;설정!$C$13),"주의","정상")),"확인필요")))</f>
        <v/>
      </c>
      <c r="J624" s="25" t="str">
        <f aca="false">IF(E624="","",IF(E624="-","측정불가",IF(NOT(ISNUMBER(E624)),"확인필요",IF(E624&lt;설정!$C$17,"긴급(저혈당)",IF(E624&gt;=설정!$C$18,"긴급(고혈당)",IF(F624="공복",IF(E624&gt;=설정!$C$15,"주의","정상"),IF(F624="식후",IF(E624&gt;=설정!$C$16,"주의","정상"),"조건확인")))))))</f>
        <v/>
      </c>
      <c r="K624" s="25" t="str">
        <f aca="false">IF(OR(I624="긴급",LEFT(J624,2)="긴급"),"★ 즉시 선생님 호출",IF(OR(I624="주의",J624="주의"),"결과상담에서 확인",IF(J624="조건확인","혈당조건(공복/식후) 선택","")))</f>
        <v/>
      </c>
      <c r="L624" s="25" t="str">
        <f aca="false">IF($B624="","",IF(COUNTIF($B$5:$B$1004,$B624)&gt;1,"중복 입력",""))</f>
        <v/>
      </c>
    </row>
    <row r="625" customFormat="false" ht="15" hidden="false" customHeight="false" outlineLevel="0" collapsed="false">
      <c r="A625" s="23"/>
      <c r="B625" s="24"/>
      <c r="C625" s="24"/>
      <c r="D625" s="24"/>
      <c r="E625" s="24"/>
      <c r="F625" s="24"/>
      <c r="G625" s="24"/>
      <c r="H625" s="25" t="str">
        <f aca="false">IF($B625="","",IFERROR(IF(INDEX(명단!$B$5:$B$404,MATCH($B625,명단!$A$5:$A$404,0))="","(이름 미입력)",INDEX(명단!$B$5:$B$404,MATCH($B625,명단!$A$5:$A$404,0))),"번호 없음"))</f>
        <v/>
      </c>
      <c r="I625" s="25" t="str">
        <f aca="false">IF(AND(C625="",D625=""),"",IF(OR(C625="-",D625="-"),"측정불가",IF(AND(ISNUMBER(C625),ISNUMBER(D625)),IF(OR(C625&gt;=설정!$C$11,D625&gt;=설정!$C$12),"긴급",IF(OR(C625&gt;=설정!$C$9,D625&gt;=설정!$C$10,C625&lt;설정!$C$13),"주의","정상")),"확인필요")))</f>
        <v/>
      </c>
      <c r="J625" s="25" t="str">
        <f aca="false">IF(E625="","",IF(E625="-","측정불가",IF(NOT(ISNUMBER(E625)),"확인필요",IF(E625&lt;설정!$C$17,"긴급(저혈당)",IF(E625&gt;=설정!$C$18,"긴급(고혈당)",IF(F625="공복",IF(E625&gt;=설정!$C$15,"주의","정상"),IF(F625="식후",IF(E625&gt;=설정!$C$16,"주의","정상"),"조건확인")))))))</f>
        <v/>
      </c>
      <c r="K625" s="25" t="str">
        <f aca="false">IF(OR(I625="긴급",LEFT(J625,2)="긴급"),"★ 즉시 선생님 호출",IF(OR(I625="주의",J625="주의"),"결과상담에서 확인",IF(J625="조건확인","혈당조건(공복/식후) 선택","")))</f>
        <v/>
      </c>
      <c r="L625" s="25" t="str">
        <f aca="false">IF($B625="","",IF(COUNTIF($B$5:$B$1004,$B625)&gt;1,"중복 입력",""))</f>
        <v/>
      </c>
    </row>
    <row r="626" customFormat="false" ht="15" hidden="false" customHeight="false" outlineLevel="0" collapsed="false">
      <c r="A626" s="23"/>
      <c r="B626" s="24"/>
      <c r="C626" s="24"/>
      <c r="D626" s="24"/>
      <c r="E626" s="24"/>
      <c r="F626" s="24"/>
      <c r="G626" s="24"/>
      <c r="H626" s="25" t="str">
        <f aca="false">IF($B626="","",IFERROR(IF(INDEX(명단!$B$5:$B$404,MATCH($B626,명단!$A$5:$A$404,0))="","(이름 미입력)",INDEX(명단!$B$5:$B$404,MATCH($B626,명단!$A$5:$A$404,0))),"번호 없음"))</f>
        <v/>
      </c>
      <c r="I626" s="25" t="str">
        <f aca="false">IF(AND(C626="",D626=""),"",IF(OR(C626="-",D626="-"),"측정불가",IF(AND(ISNUMBER(C626),ISNUMBER(D626)),IF(OR(C626&gt;=설정!$C$11,D626&gt;=설정!$C$12),"긴급",IF(OR(C626&gt;=설정!$C$9,D626&gt;=설정!$C$10,C626&lt;설정!$C$13),"주의","정상")),"확인필요")))</f>
        <v/>
      </c>
      <c r="J626" s="25" t="str">
        <f aca="false">IF(E626="","",IF(E626="-","측정불가",IF(NOT(ISNUMBER(E626)),"확인필요",IF(E626&lt;설정!$C$17,"긴급(저혈당)",IF(E626&gt;=설정!$C$18,"긴급(고혈당)",IF(F626="공복",IF(E626&gt;=설정!$C$15,"주의","정상"),IF(F626="식후",IF(E626&gt;=설정!$C$16,"주의","정상"),"조건확인")))))))</f>
        <v/>
      </c>
      <c r="K626" s="25" t="str">
        <f aca="false">IF(OR(I626="긴급",LEFT(J626,2)="긴급"),"★ 즉시 선생님 호출",IF(OR(I626="주의",J626="주의"),"결과상담에서 확인",IF(J626="조건확인","혈당조건(공복/식후) 선택","")))</f>
        <v/>
      </c>
      <c r="L626" s="25" t="str">
        <f aca="false">IF($B626="","",IF(COUNTIF($B$5:$B$1004,$B626)&gt;1,"중복 입력",""))</f>
        <v/>
      </c>
    </row>
    <row r="627" customFormat="false" ht="15" hidden="false" customHeight="false" outlineLevel="0" collapsed="false">
      <c r="A627" s="23"/>
      <c r="B627" s="24"/>
      <c r="C627" s="24"/>
      <c r="D627" s="24"/>
      <c r="E627" s="24"/>
      <c r="F627" s="24"/>
      <c r="G627" s="24"/>
      <c r="H627" s="25" t="str">
        <f aca="false">IF($B627="","",IFERROR(IF(INDEX(명단!$B$5:$B$404,MATCH($B627,명단!$A$5:$A$404,0))="","(이름 미입력)",INDEX(명단!$B$5:$B$404,MATCH($B627,명단!$A$5:$A$404,0))),"번호 없음"))</f>
        <v/>
      </c>
      <c r="I627" s="25" t="str">
        <f aca="false">IF(AND(C627="",D627=""),"",IF(OR(C627="-",D627="-"),"측정불가",IF(AND(ISNUMBER(C627),ISNUMBER(D627)),IF(OR(C627&gt;=설정!$C$11,D627&gt;=설정!$C$12),"긴급",IF(OR(C627&gt;=설정!$C$9,D627&gt;=설정!$C$10,C627&lt;설정!$C$13),"주의","정상")),"확인필요")))</f>
        <v/>
      </c>
      <c r="J627" s="25" t="str">
        <f aca="false">IF(E627="","",IF(E627="-","측정불가",IF(NOT(ISNUMBER(E627)),"확인필요",IF(E627&lt;설정!$C$17,"긴급(저혈당)",IF(E627&gt;=설정!$C$18,"긴급(고혈당)",IF(F627="공복",IF(E627&gt;=설정!$C$15,"주의","정상"),IF(F627="식후",IF(E627&gt;=설정!$C$16,"주의","정상"),"조건확인")))))))</f>
        <v/>
      </c>
      <c r="K627" s="25" t="str">
        <f aca="false">IF(OR(I627="긴급",LEFT(J627,2)="긴급"),"★ 즉시 선생님 호출",IF(OR(I627="주의",J627="주의"),"결과상담에서 확인",IF(J627="조건확인","혈당조건(공복/식후) 선택","")))</f>
        <v/>
      </c>
      <c r="L627" s="25" t="str">
        <f aca="false">IF($B627="","",IF(COUNTIF($B$5:$B$1004,$B627)&gt;1,"중복 입력",""))</f>
        <v/>
      </c>
    </row>
    <row r="628" customFormat="false" ht="15" hidden="false" customHeight="false" outlineLevel="0" collapsed="false">
      <c r="A628" s="23"/>
      <c r="B628" s="24"/>
      <c r="C628" s="24"/>
      <c r="D628" s="24"/>
      <c r="E628" s="24"/>
      <c r="F628" s="24"/>
      <c r="G628" s="24"/>
      <c r="H628" s="25" t="str">
        <f aca="false">IF($B628="","",IFERROR(IF(INDEX(명단!$B$5:$B$404,MATCH($B628,명단!$A$5:$A$404,0))="","(이름 미입력)",INDEX(명단!$B$5:$B$404,MATCH($B628,명단!$A$5:$A$404,0))),"번호 없음"))</f>
        <v/>
      </c>
      <c r="I628" s="25" t="str">
        <f aca="false">IF(AND(C628="",D628=""),"",IF(OR(C628="-",D628="-"),"측정불가",IF(AND(ISNUMBER(C628),ISNUMBER(D628)),IF(OR(C628&gt;=설정!$C$11,D628&gt;=설정!$C$12),"긴급",IF(OR(C628&gt;=설정!$C$9,D628&gt;=설정!$C$10,C628&lt;설정!$C$13),"주의","정상")),"확인필요")))</f>
        <v/>
      </c>
      <c r="J628" s="25" t="str">
        <f aca="false">IF(E628="","",IF(E628="-","측정불가",IF(NOT(ISNUMBER(E628)),"확인필요",IF(E628&lt;설정!$C$17,"긴급(저혈당)",IF(E628&gt;=설정!$C$18,"긴급(고혈당)",IF(F628="공복",IF(E628&gt;=설정!$C$15,"주의","정상"),IF(F628="식후",IF(E628&gt;=설정!$C$16,"주의","정상"),"조건확인")))))))</f>
        <v/>
      </c>
      <c r="K628" s="25" t="str">
        <f aca="false">IF(OR(I628="긴급",LEFT(J628,2)="긴급"),"★ 즉시 선생님 호출",IF(OR(I628="주의",J628="주의"),"결과상담에서 확인",IF(J628="조건확인","혈당조건(공복/식후) 선택","")))</f>
        <v/>
      </c>
      <c r="L628" s="25" t="str">
        <f aca="false">IF($B628="","",IF(COUNTIF($B$5:$B$1004,$B628)&gt;1,"중복 입력",""))</f>
        <v/>
      </c>
    </row>
    <row r="629" customFormat="false" ht="15" hidden="false" customHeight="false" outlineLevel="0" collapsed="false">
      <c r="A629" s="23"/>
      <c r="B629" s="24"/>
      <c r="C629" s="24"/>
      <c r="D629" s="24"/>
      <c r="E629" s="24"/>
      <c r="F629" s="24"/>
      <c r="G629" s="24"/>
      <c r="H629" s="25" t="str">
        <f aca="false">IF($B629="","",IFERROR(IF(INDEX(명단!$B$5:$B$404,MATCH($B629,명단!$A$5:$A$404,0))="","(이름 미입력)",INDEX(명단!$B$5:$B$404,MATCH($B629,명단!$A$5:$A$404,0))),"번호 없음"))</f>
        <v/>
      </c>
      <c r="I629" s="25" t="str">
        <f aca="false">IF(AND(C629="",D629=""),"",IF(OR(C629="-",D629="-"),"측정불가",IF(AND(ISNUMBER(C629),ISNUMBER(D629)),IF(OR(C629&gt;=설정!$C$11,D629&gt;=설정!$C$12),"긴급",IF(OR(C629&gt;=설정!$C$9,D629&gt;=설정!$C$10,C629&lt;설정!$C$13),"주의","정상")),"확인필요")))</f>
        <v/>
      </c>
      <c r="J629" s="25" t="str">
        <f aca="false">IF(E629="","",IF(E629="-","측정불가",IF(NOT(ISNUMBER(E629)),"확인필요",IF(E629&lt;설정!$C$17,"긴급(저혈당)",IF(E629&gt;=설정!$C$18,"긴급(고혈당)",IF(F629="공복",IF(E629&gt;=설정!$C$15,"주의","정상"),IF(F629="식후",IF(E629&gt;=설정!$C$16,"주의","정상"),"조건확인")))))))</f>
        <v/>
      </c>
      <c r="K629" s="25" t="str">
        <f aca="false">IF(OR(I629="긴급",LEFT(J629,2)="긴급"),"★ 즉시 선생님 호출",IF(OR(I629="주의",J629="주의"),"결과상담에서 확인",IF(J629="조건확인","혈당조건(공복/식후) 선택","")))</f>
        <v/>
      </c>
      <c r="L629" s="25" t="str">
        <f aca="false">IF($B629="","",IF(COUNTIF($B$5:$B$1004,$B629)&gt;1,"중복 입력",""))</f>
        <v/>
      </c>
    </row>
    <row r="630" customFormat="false" ht="15" hidden="false" customHeight="false" outlineLevel="0" collapsed="false">
      <c r="A630" s="23"/>
      <c r="B630" s="24"/>
      <c r="C630" s="24"/>
      <c r="D630" s="24"/>
      <c r="E630" s="24"/>
      <c r="F630" s="24"/>
      <c r="G630" s="24"/>
      <c r="H630" s="25" t="str">
        <f aca="false">IF($B630="","",IFERROR(IF(INDEX(명단!$B$5:$B$404,MATCH($B630,명단!$A$5:$A$404,0))="","(이름 미입력)",INDEX(명단!$B$5:$B$404,MATCH($B630,명단!$A$5:$A$404,0))),"번호 없음"))</f>
        <v/>
      </c>
      <c r="I630" s="25" t="str">
        <f aca="false">IF(AND(C630="",D630=""),"",IF(OR(C630="-",D630="-"),"측정불가",IF(AND(ISNUMBER(C630),ISNUMBER(D630)),IF(OR(C630&gt;=설정!$C$11,D630&gt;=설정!$C$12),"긴급",IF(OR(C630&gt;=설정!$C$9,D630&gt;=설정!$C$10,C630&lt;설정!$C$13),"주의","정상")),"확인필요")))</f>
        <v/>
      </c>
      <c r="J630" s="25" t="str">
        <f aca="false">IF(E630="","",IF(E630="-","측정불가",IF(NOT(ISNUMBER(E630)),"확인필요",IF(E630&lt;설정!$C$17,"긴급(저혈당)",IF(E630&gt;=설정!$C$18,"긴급(고혈당)",IF(F630="공복",IF(E630&gt;=설정!$C$15,"주의","정상"),IF(F630="식후",IF(E630&gt;=설정!$C$16,"주의","정상"),"조건확인")))))))</f>
        <v/>
      </c>
      <c r="K630" s="25" t="str">
        <f aca="false">IF(OR(I630="긴급",LEFT(J630,2)="긴급"),"★ 즉시 선생님 호출",IF(OR(I630="주의",J630="주의"),"결과상담에서 확인",IF(J630="조건확인","혈당조건(공복/식후) 선택","")))</f>
        <v/>
      </c>
      <c r="L630" s="25" t="str">
        <f aca="false">IF($B630="","",IF(COUNTIF($B$5:$B$1004,$B630)&gt;1,"중복 입력",""))</f>
        <v/>
      </c>
    </row>
    <row r="631" customFormat="false" ht="15" hidden="false" customHeight="false" outlineLevel="0" collapsed="false">
      <c r="A631" s="23"/>
      <c r="B631" s="24"/>
      <c r="C631" s="24"/>
      <c r="D631" s="24"/>
      <c r="E631" s="24"/>
      <c r="F631" s="24"/>
      <c r="G631" s="24"/>
      <c r="H631" s="25" t="str">
        <f aca="false">IF($B631="","",IFERROR(IF(INDEX(명단!$B$5:$B$404,MATCH($B631,명단!$A$5:$A$404,0))="","(이름 미입력)",INDEX(명단!$B$5:$B$404,MATCH($B631,명단!$A$5:$A$404,0))),"번호 없음"))</f>
        <v/>
      </c>
      <c r="I631" s="25" t="str">
        <f aca="false">IF(AND(C631="",D631=""),"",IF(OR(C631="-",D631="-"),"측정불가",IF(AND(ISNUMBER(C631),ISNUMBER(D631)),IF(OR(C631&gt;=설정!$C$11,D631&gt;=설정!$C$12),"긴급",IF(OR(C631&gt;=설정!$C$9,D631&gt;=설정!$C$10,C631&lt;설정!$C$13),"주의","정상")),"확인필요")))</f>
        <v/>
      </c>
      <c r="J631" s="25" t="str">
        <f aca="false">IF(E631="","",IF(E631="-","측정불가",IF(NOT(ISNUMBER(E631)),"확인필요",IF(E631&lt;설정!$C$17,"긴급(저혈당)",IF(E631&gt;=설정!$C$18,"긴급(고혈당)",IF(F631="공복",IF(E631&gt;=설정!$C$15,"주의","정상"),IF(F631="식후",IF(E631&gt;=설정!$C$16,"주의","정상"),"조건확인")))))))</f>
        <v/>
      </c>
      <c r="K631" s="25" t="str">
        <f aca="false">IF(OR(I631="긴급",LEFT(J631,2)="긴급"),"★ 즉시 선생님 호출",IF(OR(I631="주의",J631="주의"),"결과상담에서 확인",IF(J631="조건확인","혈당조건(공복/식후) 선택","")))</f>
        <v/>
      </c>
      <c r="L631" s="25" t="str">
        <f aca="false">IF($B631="","",IF(COUNTIF($B$5:$B$1004,$B631)&gt;1,"중복 입력",""))</f>
        <v/>
      </c>
    </row>
    <row r="632" customFormat="false" ht="15" hidden="false" customHeight="false" outlineLevel="0" collapsed="false">
      <c r="A632" s="23"/>
      <c r="B632" s="24"/>
      <c r="C632" s="24"/>
      <c r="D632" s="24"/>
      <c r="E632" s="24"/>
      <c r="F632" s="24"/>
      <c r="G632" s="24"/>
      <c r="H632" s="25" t="str">
        <f aca="false">IF($B632="","",IFERROR(IF(INDEX(명단!$B$5:$B$404,MATCH($B632,명단!$A$5:$A$404,0))="","(이름 미입력)",INDEX(명단!$B$5:$B$404,MATCH($B632,명단!$A$5:$A$404,0))),"번호 없음"))</f>
        <v/>
      </c>
      <c r="I632" s="25" t="str">
        <f aca="false">IF(AND(C632="",D632=""),"",IF(OR(C632="-",D632="-"),"측정불가",IF(AND(ISNUMBER(C632),ISNUMBER(D632)),IF(OR(C632&gt;=설정!$C$11,D632&gt;=설정!$C$12),"긴급",IF(OR(C632&gt;=설정!$C$9,D632&gt;=설정!$C$10,C632&lt;설정!$C$13),"주의","정상")),"확인필요")))</f>
        <v/>
      </c>
      <c r="J632" s="25" t="str">
        <f aca="false">IF(E632="","",IF(E632="-","측정불가",IF(NOT(ISNUMBER(E632)),"확인필요",IF(E632&lt;설정!$C$17,"긴급(저혈당)",IF(E632&gt;=설정!$C$18,"긴급(고혈당)",IF(F632="공복",IF(E632&gt;=설정!$C$15,"주의","정상"),IF(F632="식후",IF(E632&gt;=설정!$C$16,"주의","정상"),"조건확인")))))))</f>
        <v/>
      </c>
      <c r="K632" s="25" t="str">
        <f aca="false">IF(OR(I632="긴급",LEFT(J632,2)="긴급"),"★ 즉시 선생님 호출",IF(OR(I632="주의",J632="주의"),"결과상담에서 확인",IF(J632="조건확인","혈당조건(공복/식후) 선택","")))</f>
        <v/>
      </c>
      <c r="L632" s="25" t="str">
        <f aca="false">IF($B632="","",IF(COUNTIF($B$5:$B$1004,$B632)&gt;1,"중복 입력",""))</f>
        <v/>
      </c>
    </row>
    <row r="633" customFormat="false" ht="15" hidden="false" customHeight="false" outlineLevel="0" collapsed="false">
      <c r="A633" s="23"/>
      <c r="B633" s="24"/>
      <c r="C633" s="24"/>
      <c r="D633" s="24"/>
      <c r="E633" s="24"/>
      <c r="F633" s="24"/>
      <c r="G633" s="24"/>
      <c r="H633" s="25" t="str">
        <f aca="false">IF($B633="","",IFERROR(IF(INDEX(명단!$B$5:$B$404,MATCH($B633,명단!$A$5:$A$404,0))="","(이름 미입력)",INDEX(명단!$B$5:$B$404,MATCH($B633,명단!$A$5:$A$404,0))),"번호 없음"))</f>
        <v/>
      </c>
      <c r="I633" s="25" t="str">
        <f aca="false">IF(AND(C633="",D633=""),"",IF(OR(C633="-",D633="-"),"측정불가",IF(AND(ISNUMBER(C633),ISNUMBER(D633)),IF(OR(C633&gt;=설정!$C$11,D633&gt;=설정!$C$12),"긴급",IF(OR(C633&gt;=설정!$C$9,D633&gt;=설정!$C$10,C633&lt;설정!$C$13),"주의","정상")),"확인필요")))</f>
        <v/>
      </c>
      <c r="J633" s="25" t="str">
        <f aca="false">IF(E633="","",IF(E633="-","측정불가",IF(NOT(ISNUMBER(E633)),"확인필요",IF(E633&lt;설정!$C$17,"긴급(저혈당)",IF(E633&gt;=설정!$C$18,"긴급(고혈당)",IF(F633="공복",IF(E633&gt;=설정!$C$15,"주의","정상"),IF(F633="식후",IF(E633&gt;=설정!$C$16,"주의","정상"),"조건확인")))))))</f>
        <v/>
      </c>
      <c r="K633" s="25" t="str">
        <f aca="false">IF(OR(I633="긴급",LEFT(J633,2)="긴급"),"★ 즉시 선생님 호출",IF(OR(I633="주의",J633="주의"),"결과상담에서 확인",IF(J633="조건확인","혈당조건(공복/식후) 선택","")))</f>
        <v/>
      </c>
      <c r="L633" s="25" t="str">
        <f aca="false">IF($B633="","",IF(COUNTIF($B$5:$B$1004,$B633)&gt;1,"중복 입력",""))</f>
        <v/>
      </c>
    </row>
    <row r="634" customFormat="false" ht="15" hidden="false" customHeight="false" outlineLevel="0" collapsed="false">
      <c r="A634" s="23"/>
      <c r="B634" s="24"/>
      <c r="C634" s="24"/>
      <c r="D634" s="24"/>
      <c r="E634" s="24"/>
      <c r="F634" s="24"/>
      <c r="G634" s="24"/>
      <c r="H634" s="25" t="str">
        <f aca="false">IF($B634="","",IFERROR(IF(INDEX(명단!$B$5:$B$404,MATCH($B634,명단!$A$5:$A$404,0))="","(이름 미입력)",INDEX(명단!$B$5:$B$404,MATCH($B634,명단!$A$5:$A$404,0))),"번호 없음"))</f>
        <v/>
      </c>
      <c r="I634" s="25" t="str">
        <f aca="false">IF(AND(C634="",D634=""),"",IF(OR(C634="-",D634="-"),"측정불가",IF(AND(ISNUMBER(C634),ISNUMBER(D634)),IF(OR(C634&gt;=설정!$C$11,D634&gt;=설정!$C$12),"긴급",IF(OR(C634&gt;=설정!$C$9,D634&gt;=설정!$C$10,C634&lt;설정!$C$13),"주의","정상")),"확인필요")))</f>
        <v/>
      </c>
      <c r="J634" s="25" t="str">
        <f aca="false">IF(E634="","",IF(E634="-","측정불가",IF(NOT(ISNUMBER(E634)),"확인필요",IF(E634&lt;설정!$C$17,"긴급(저혈당)",IF(E634&gt;=설정!$C$18,"긴급(고혈당)",IF(F634="공복",IF(E634&gt;=설정!$C$15,"주의","정상"),IF(F634="식후",IF(E634&gt;=설정!$C$16,"주의","정상"),"조건확인")))))))</f>
        <v/>
      </c>
      <c r="K634" s="25" t="str">
        <f aca="false">IF(OR(I634="긴급",LEFT(J634,2)="긴급"),"★ 즉시 선생님 호출",IF(OR(I634="주의",J634="주의"),"결과상담에서 확인",IF(J634="조건확인","혈당조건(공복/식후) 선택","")))</f>
        <v/>
      </c>
      <c r="L634" s="25" t="str">
        <f aca="false">IF($B634="","",IF(COUNTIF($B$5:$B$1004,$B634)&gt;1,"중복 입력",""))</f>
        <v/>
      </c>
    </row>
    <row r="635" customFormat="false" ht="15" hidden="false" customHeight="false" outlineLevel="0" collapsed="false">
      <c r="A635" s="23"/>
      <c r="B635" s="24"/>
      <c r="C635" s="24"/>
      <c r="D635" s="24"/>
      <c r="E635" s="24"/>
      <c r="F635" s="24"/>
      <c r="G635" s="24"/>
      <c r="H635" s="25" t="str">
        <f aca="false">IF($B635="","",IFERROR(IF(INDEX(명단!$B$5:$B$404,MATCH($B635,명단!$A$5:$A$404,0))="","(이름 미입력)",INDEX(명단!$B$5:$B$404,MATCH($B635,명단!$A$5:$A$404,0))),"번호 없음"))</f>
        <v/>
      </c>
      <c r="I635" s="25" t="str">
        <f aca="false">IF(AND(C635="",D635=""),"",IF(OR(C635="-",D635="-"),"측정불가",IF(AND(ISNUMBER(C635),ISNUMBER(D635)),IF(OR(C635&gt;=설정!$C$11,D635&gt;=설정!$C$12),"긴급",IF(OR(C635&gt;=설정!$C$9,D635&gt;=설정!$C$10,C635&lt;설정!$C$13),"주의","정상")),"확인필요")))</f>
        <v/>
      </c>
      <c r="J635" s="25" t="str">
        <f aca="false">IF(E635="","",IF(E635="-","측정불가",IF(NOT(ISNUMBER(E635)),"확인필요",IF(E635&lt;설정!$C$17,"긴급(저혈당)",IF(E635&gt;=설정!$C$18,"긴급(고혈당)",IF(F635="공복",IF(E635&gt;=설정!$C$15,"주의","정상"),IF(F635="식후",IF(E635&gt;=설정!$C$16,"주의","정상"),"조건확인")))))))</f>
        <v/>
      </c>
      <c r="K635" s="25" t="str">
        <f aca="false">IF(OR(I635="긴급",LEFT(J635,2)="긴급"),"★ 즉시 선생님 호출",IF(OR(I635="주의",J635="주의"),"결과상담에서 확인",IF(J635="조건확인","혈당조건(공복/식후) 선택","")))</f>
        <v/>
      </c>
      <c r="L635" s="25" t="str">
        <f aca="false">IF($B635="","",IF(COUNTIF($B$5:$B$1004,$B635)&gt;1,"중복 입력",""))</f>
        <v/>
      </c>
    </row>
    <row r="636" customFormat="false" ht="15" hidden="false" customHeight="false" outlineLevel="0" collapsed="false">
      <c r="A636" s="23"/>
      <c r="B636" s="24"/>
      <c r="C636" s="24"/>
      <c r="D636" s="24"/>
      <c r="E636" s="24"/>
      <c r="F636" s="24"/>
      <c r="G636" s="24"/>
      <c r="H636" s="25" t="str">
        <f aca="false">IF($B636="","",IFERROR(IF(INDEX(명단!$B$5:$B$404,MATCH($B636,명단!$A$5:$A$404,0))="","(이름 미입력)",INDEX(명단!$B$5:$B$404,MATCH($B636,명단!$A$5:$A$404,0))),"번호 없음"))</f>
        <v/>
      </c>
      <c r="I636" s="25" t="str">
        <f aca="false">IF(AND(C636="",D636=""),"",IF(OR(C636="-",D636="-"),"측정불가",IF(AND(ISNUMBER(C636),ISNUMBER(D636)),IF(OR(C636&gt;=설정!$C$11,D636&gt;=설정!$C$12),"긴급",IF(OR(C636&gt;=설정!$C$9,D636&gt;=설정!$C$10,C636&lt;설정!$C$13),"주의","정상")),"확인필요")))</f>
        <v/>
      </c>
      <c r="J636" s="25" t="str">
        <f aca="false">IF(E636="","",IF(E636="-","측정불가",IF(NOT(ISNUMBER(E636)),"확인필요",IF(E636&lt;설정!$C$17,"긴급(저혈당)",IF(E636&gt;=설정!$C$18,"긴급(고혈당)",IF(F636="공복",IF(E636&gt;=설정!$C$15,"주의","정상"),IF(F636="식후",IF(E636&gt;=설정!$C$16,"주의","정상"),"조건확인")))))))</f>
        <v/>
      </c>
      <c r="K636" s="25" t="str">
        <f aca="false">IF(OR(I636="긴급",LEFT(J636,2)="긴급"),"★ 즉시 선생님 호출",IF(OR(I636="주의",J636="주의"),"결과상담에서 확인",IF(J636="조건확인","혈당조건(공복/식후) 선택","")))</f>
        <v/>
      </c>
      <c r="L636" s="25" t="str">
        <f aca="false">IF($B636="","",IF(COUNTIF($B$5:$B$1004,$B636)&gt;1,"중복 입력",""))</f>
        <v/>
      </c>
    </row>
    <row r="637" customFormat="false" ht="15" hidden="false" customHeight="false" outlineLevel="0" collapsed="false">
      <c r="A637" s="23"/>
      <c r="B637" s="24"/>
      <c r="C637" s="24"/>
      <c r="D637" s="24"/>
      <c r="E637" s="24"/>
      <c r="F637" s="24"/>
      <c r="G637" s="24"/>
      <c r="H637" s="25" t="str">
        <f aca="false">IF($B637="","",IFERROR(IF(INDEX(명단!$B$5:$B$404,MATCH($B637,명단!$A$5:$A$404,0))="","(이름 미입력)",INDEX(명단!$B$5:$B$404,MATCH($B637,명단!$A$5:$A$404,0))),"번호 없음"))</f>
        <v/>
      </c>
      <c r="I637" s="25" t="str">
        <f aca="false">IF(AND(C637="",D637=""),"",IF(OR(C637="-",D637="-"),"측정불가",IF(AND(ISNUMBER(C637),ISNUMBER(D637)),IF(OR(C637&gt;=설정!$C$11,D637&gt;=설정!$C$12),"긴급",IF(OR(C637&gt;=설정!$C$9,D637&gt;=설정!$C$10,C637&lt;설정!$C$13),"주의","정상")),"확인필요")))</f>
        <v/>
      </c>
      <c r="J637" s="25" t="str">
        <f aca="false">IF(E637="","",IF(E637="-","측정불가",IF(NOT(ISNUMBER(E637)),"확인필요",IF(E637&lt;설정!$C$17,"긴급(저혈당)",IF(E637&gt;=설정!$C$18,"긴급(고혈당)",IF(F637="공복",IF(E637&gt;=설정!$C$15,"주의","정상"),IF(F637="식후",IF(E637&gt;=설정!$C$16,"주의","정상"),"조건확인")))))))</f>
        <v/>
      </c>
      <c r="K637" s="25" t="str">
        <f aca="false">IF(OR(I637="긴급",LEFT(J637,2)="긴급"),"★ 즉시 선생님 호출",IF(OR(I637="주의",J637="주의"),"결과상담에서 확인",IF(J637="조건확인","혈당조건(공복/식후) 선택","")))</f>
        <v/>
      </c>
      <c r="L637" s="25" t="str">
        <f aca="false">IF($B637="","",IF(COUNTIF($B$5:$B$1004,$B637)&gt;1,"중복 입력",""))</f>
        <v/>
      </c>
    </row>
    <row r="638" customFormat="false" ht="15" hidden="false" customHeight="false" outlineLevel="0" collapsed="false">
      <c r="A638" s="23"/>
      <c r="B638" s="24"/>
      <c r="C638" s="24"/>
      <c r="D638" s="24"/>
      <c r="E638" s="24"/>
      <c r="F638" s="24"/>
      <c r="G638" s="24"/>
      <c r="H638" s="25" t="str">
        <f aca="false">IF($B638="","",IFERROR(IF(INDEX(명단!$B$5:$B$404,MATCH($B638,명단!$A$5:$A$404,0))="","(이름 미입력)",INDEX(명단!$B$5:$B$404,MATCH($B638,명단!$A$5:$A$404,0))),"번호 없음"))</f>
        <v/>
      </c>
      <c r="I638" s="25" t="str">
        <f aca="false">IF(AND(C638="",D638=""),"",IF(OR(C638="-",D638="-"),"측정불가",IF(AND(ISNUMBER(C638),ISNUMBER(D638)),IF(OR(C638&gt;=설정!$C$11,D638&gt;=설정!$C$12),"긴급",IF(OR(C638&gt;=설정!$C$9,D638&gt;=설정!$C$10,C638&lt;설정!$C$13),"주의","정상")),"확인필요")))</f>
        <v/>
      </c>
      <c r="J638" s="25" t="str">
        <f aca="false">IF(E638="","",IF(E638="-","측정불가",IF(NOT(ISNUMBER(E638)),"확인필요",IF(E638&lt;설정!$C$17,"긴급(저혈당)",IF(E638&gt;=설정!$C$18,"긴급(고혈당)",IF(F638="공복",IF(E638&gt;=설정!$C$15,"주의","정상"),IF(F638="식후",IF(E638&gt;=설정!$C$16,"주의","정상"),"조건확인")))))))</f>
        <v/>
      </c>
      <c r="K638" s="25" t="str">
        <f aca="false">IF(OR(I638="긴급",LEFT(J638,2)="긴급"),"★ 즉시 선생님 호출",IF(OR(I638="주의",J638="주의"),"결과상담에서 확인",IF(J638="조건확인","혈당조건(공복/식후) 선택","")))</f>
        <v/>
      </c>
      <c r="L638" s="25" t="str">
        <f aca="false">IF($B638="","",IF(COUNTIF($B$5:$B$1004,$B638)&gt;1,"중복 입력",""))</f>
        <v/>
      </c>
    </row>
    <row r="639" customFormat="false" ht="15" hidden="false" customHeight="false" outlineLevel="0" collapsed="false">
      <c r="A639" s="23"/>
      <c r="B639" s="24"/>
      <c r="C639" s="24"/>
      <c r="D639" s="24"/>
      <c r="E639" s="24"/>
      <c r="F639" s="24"/>
      <c r="G639" s="24"/>
      <c r="H639" s="25" t="str">
        <f aca="false">IF($B639="","",IFERROR(IF(INDEX(명단!$B$5:$B$404,MATCH($B639,명단!$A$5:$A$404,0))="","(이름 미입력)",INDEX(명단!$B$5:$B$404,MATCH($B639,명단!$A$5:$A$404,0))),"번호 없음"))</f>
        <v/>
      </c>
      <c r="I639" s="25" t="str">
        <f aca="false">IF(AND(C639="",D639=""),"",IF(OR(C639="-",D639="-"),"측정불가",IF(AND(ISNUMBER(C639),ISNUMBER(D639)),IF(OR(C639&gt;=설정!$C$11,D639&gt;=설정!$C$12),"긴급",IF(OR(C639&gt;=설정!$C$9,D639&gt;=설정!$C$10,C639&lt;설정!$C$13),"주의","정상")),"확인필요")))</f>
        <v/>
      </c>
      <c r="J639" s="25" t="str">
        <f aca="false">IF(E639="","",IF(E639="-","측정불가",IF(NOT(ISNUMBER(E639)),"확인필요",IF(E639&lt;설정!$C$17,"긴급(저혈당)",IF(E639&gt;=설정!$C$18,"긴급(고혈당)",IF(F639="공복",IF(E639&gt;=설정!$C$15,"주의","정상"),IF(F639="식후",IF(E639&gt;=설정!$C$16,"주의","정상"),"조건확인")))))))</f>
        <v/>
      </c>
      <c r="K639" s="25" t="str">
        <f aca="false">IF(OR(I639="긴급",LEFT(J639,2)="긴급"),"★ 즉시 선생님 호출",IF(OR(I639="주의",J639="주의"),"결과상담에서 확인",IF(J639="조건확인","혈당조건(공복/식후) 선택","")))</f>
        <v/>
      </c>
      <c r="L639" s="25" t="str">
        <f aca="false">IF($B639="","",IF(COUNTIF($B$5:$B$1004,$B639)&gt;1,"중복 입력",""))</f>
        <v/>
      </c>
    </row>
    <row r="640" customFormat="false" ht="15" hidden="false" customHeight="false" outlineLevel="0" collapsed="false">
      <c r="A640" s="23"/>
      <c r="B640" s="24"/>
      <c r="C640" s="24"/>
      <c r="D640" s="24"/>
      <c r="E640" s="24"/>
      <c r="F640" s="24"/>
      <c r="G640" s="24"/>
      <c r="H640" s="25" t="str">
        <f aca="false">IF($B640="","",IFERROR(IF(INDEX(명단!$B$5:$B$404,MATCH($B640,명단!$A$5:$A$404,0))="","(이름 미입력)",INDEX(명단!$B$5:$B$404,MATCH($B640,명단!$A$5:$A$404,0))),"번호 없음"))</f>
        <v/>
      </c>
      <c r="I640" s="25" t="str">
        <f aca="false">IF(AND(C640="",D640=""),"",IF(OR(C640="-",D640="-"),"측정불가",IF(AND(ISNUMBER(C640),ISNUMBER(D640)),IF(OR(C640&gt;=설정!$C$11,D640&gt;=설정!$C$12),"긴급",IF(OR(C640&gt;=설정!$C$9,D640&gt;=설정!$C$10,C640&lt;설정!$C$13),"주의","정상")),"확인필요")))</f>
        <v/>
      </c>
      <c r="J640" s="25" t="str">
        <f aca="false">IF(E640="","",IF(E640="-","측정불가",IF(NOT(ISNUMBER(E640)),"확인필요",IF(E640&lt;설정!$C$17,"긴급(저혈당)",IF(E640&gt;=설정!$C$18,"긴급(고혈당)",IF(F640="공복",IF(E640&gt;=설정!$C$15,"주의","정상"),IF(F640="식후",IF(E640&gt;=설정!$C$16,"주의","정상"),"조건확인")))))))</f>
        <v/>
      </c>
      <c r="K640" s="25" t="str">
        <f aca="false">IF(OR(I640="긴급",LEFT(J640,2)="긴급"),"★ 즉시 선생님 호출",IF(OR(I640="주의",J640="주의"),"결과상담에서 확인",IF(J640="조건확인","혈당조건(공복/식후) 선택","")))</f>
        <v/>
      </c>
      <c r="L640" s="25" t="str">
        <f aca="false">IF($B640="","",IF(COUNTIF($B$5:$B$1004,$B640)&gt;1,"중복 입력",""))</f>
        <v/>
      </c>
    </row>
    <row r="641" customFormat="false" ht="15" hidden="false" customHeight="false" outlineLevel="0" collapsed="false">
      <c r="A641" s="23"/>
      <c r="B641" s="24"/>
      <c r="C641" s="24"/>
      <c r="D641" s="24"/>
      <c r="E641" s="24"/>
      <c r="F641" s="24"/>
      <c r="G641" s="24"/>
      <c r="H641" s="25" t="str">
        <f aca="false">IF($B641="","",IFERROR(IF(INDEX(명단!$B$5:$B$404,MATCH($B641,명단!$A$5:$A$404,0))="","(이름 미입력)",INDEX(명단!$B$5:$B$404,MATCH($B641,명단!$A$5:$A$404,0))),"번호 없음"))</f>
        <v/>
      </c>
      <c r="I641" s="25" t="str">
        <f aca="false">IF(AND(C641="",D641=""),"",IF(OR(C641="-",D641="-"),"측정불가",IF(AND(ISNUMBER(C641),ISNUMBER(D641)),IF(OR(C641&gt;=설정!$C$11,D641&gt;=설정!$C$12),"긴급",IF(OR(C641&gt;=설정!$C$9,D641&gt;=설정!$C$10,C641&lt;설정!$C$13),"주의","정상")),"확인필요")))</f>
        <v/>
      </c>
      <c r="J641" s="25" t="str">
        <f aca="false">IF(E641="","",IF(E641="-","측정불가",IF(NOT(ISNUMBER(E641)),"확인필요",IF(E641&lt;설정!$C$17,"긴급(저혈당)",IF(E641&gt;=설정!$C$18,"긴급(고혈당)",IF(F641="공복",IF(E641&gt;=설정!$C$15,"주의","정상"),IF(F641="식후",IF(E641&gt;=설정!$C$16,"주의","정상"),"조건확인")))))))</f>
        <v/>
      </c>
      <c r="K641" s="25" t="str">
        <f aca="false">IF(OR(I641="긴급",LEFT(J641,2)="긴급"),"★ 즉시 선생님 호출",IF(OR(I641="주의",J641="주의"),"결과상담에서 확인",IF(J641="조건확인","혈당조건(공복/식후) 선택","")))</f>
        <v/>
      </c>
      <c r="L641" s="25" t="str">
        <f aca="false">IF($B641="","",IF(COUNTIF($B$5:$B$1004,$B641)&gt;1,"중복 입력",""))</f>
        <v/>
      </c>
    </row>
    <row r="642" customFormat="false" ht="15" hidden="false" customHeight="false" outlineLevel="0" collapsed="false">
      <c r="A642" s="23"/>
      <c r="B642" s="24"/>
      <c r="C642" s="24"/>
      <c r="D642" s="24"/>
      <c r="E642" s="24"/>
      <c r="F642" s="24"/>
      <c r="G642" s="24"/>
      <c r="H642" s="25" t="str">
        <f aca="false">IF($B642="","",IFERROR(IF(INDEX(명단!$B$5:$B$404,MATCH($B642,명단!$A$5:$A$404,0))="","(이름 미입력)",INDEX(명단!$B$5:$B$404,MATCH($B642,명단!$A$5:$A$404,0))),"번호 없음"))</f>
        <v/>
      </c>
      <c r="I642" s="25" t="str">
        <f aca="false">IF(AND(C642="",D642=""),"",IF(OR(C642="-",D642="-"),"측정불가",IF(AND(ISNUMBER(C642),ISNUMBER(D642)),IF(OR(C642&gt;=설정!$C$11,D642&gt;=설정!$C$12),"긴급",IF(OR(C642&gt;=설정!$C$9,D642&gt;=설정!$C$10,C642&lt;설정!$C$13),"주의","정상")),"확인필요")))</f>
        <v/>
      </c>
      <c r="J642" s="25" t="str">
        <f aca="false">IF(E642="","",IF(E642="-","측정불가",IF(NOT(ISNUMBER(E642)),"확인필요",IF(E642&lt;설정!$C$17,"긴급(저혈당)",IF(E642&gt;=설정!$C$18,"긴급(고혈당)",IF(F642="공복",IF(E642&gt;=설정!$C$15,"주의","정상"),IF(F642="식후",IF(E642&gt;=설정!$C$16,"주의","정상"),"조건확인")))))))</f>
        <v/>
      </c>
      <c r="K642" s="25" t="str">
        <f aca="false">IF(OR(I642="긴급",LEFT(J642,2)="긴급"),"★ 즉시 선생님 호출",IF(OR(I642="주의",J642="주의"),"결과상담에서 확인",IF(J642="조건확인","혈당조건(공복/식후) 선택","")))</f>
        <v/>
      </c>
      <c r="L642" s="25" t="str">
        <f aca="false">IF($B642="","",IF(COUNTIF($B$5:$B$1004,$B642)&gt;1,"중복 입력",""))</f>
        <v/>
      </c>
    </row>
    <row r="643" customFormat="false" ht="15" hidden="false" customHeight="false" outlineLevel="0" collapsed="false">
      <c r="A643" s="23"/>
      <c r="B643" s="24"/>
      <c r="C643" s="24"/>
      <c r="D643" s="24"/>
      <c r="E643" s="24"/>
      <c r="F643" s="24"/>
      <c r="G643" s="24"/>
      <c r="H643" s="25" t="str">
        <f aca="false">IF($B643="","",IFERROR(IF(INDEX(명단!$B$5:$B$404,MATCH($B643,명단!$A$5:$A$404,0))="","(이름 미입력)",INDEX(명단!$B$5:$B$404,MATCH($B643,명단!$A$5:$A$404,0))),"번호 없음"))</f>
        <v/>
      </c>
      <c r="I643" s="25" t="str">
        <f aca="false">IF(AND(C643="",D643=""),"",IF(OR(C643="-",D643="-"),"측정불가",IF(AND(ISNUMBER(C643),ISNUMBER(D643)),IF(OR(C643&gt;=설정!$C$11,D643&gt;=설정!$C$12),"긴급",IF(OR(C643&gt;=설정!$C$9,D643&gt;=설정!$C$10,C643&lt;설정!$C$13),"주의","정상")),"확인필요")))</f>
        <v/>
      </c>
      <c r="J643" s="25" t="str">
        <f aca="false">IF(E643="","",IF(E643="-","측정불가",IF(NOT(ISNUMBER(E643)),"확인필요",IF(E643&lt;설정!$C$17,"긴급(저혈당)",IF(E643&gt;=설정!$C$18,"긴급(고혈당)",IF(F643="공복",IF(E643&gt;=설정!$C$15,"주의","정상"),IF(F643="식후",IF(E643&gt;=설정!$C$16,"주의","정상"),"조건확인")))))))</f>
        <v/>
      </c>
      <c r="K643" s="25" t="str">
        <f aca="false">IF(OR(I643="긴급",LEFT(J643,2)="긴급"),"★ 즉시 선생님 호출",IF(OR(I643="주의",J643="주의"),"결과상담에서 확인",IF(J643="조건확인","혈당조건(공복/식후) 선택","")))</f>
        <v/>
      </c>
      <c r="L643" s="25" t="str">
        <f aca="false">IF($B643="","",IF(COUNTIF($B$5:$B$1004,$B643)&gt;1,"중복 입력",""))</f>
        <v/>
      </c>
    </row>
    <row r="644" customFormat="false" ht="15" hidden="false" customHeight="false" outlineLevel="0" collapsed="false">
      <c r="A644" s="23"/>
      <c r="B644" s="24"/>
      <c r="C644" s="24"/>
      <c r="D644" s="24"/>
      <c r="E644" s="24"/>
      <c r="F644" s="24"/>
      <c r="G644" s="24"/>
      <c r="H644" s="25" t="str">
        <f aca="false">IF($B644="","",IFERROR(IF(INDEX(명단!$B$5:$B$404,MATCH($B644,명단!$A$5:$A$404,0))="","(이름 미입력)",INDEX(명단!$B$5:$B$404,MATCH($B644,명단!$A$5:$A$404,0))),"번호 없음"))</f>
        <v/>
      </c>
      <c r="I644" s="25" t="str">
        <f aca="false">IF(AND(C644="",D644=""),"",IF(OR(C644="-",D644="-"),"측정불가",IF(AND(ISNUMBER(C644),ISNUMBER(D644)),IF(OR(C644&gt;=설정!$C$11,D644&gt;=설정!$C$12),"긴급",IF(OR(C644&gt;=설정!$C$9,D644&gt;=설정!$C$10,C644&lt;설정!$C$13),"주의","정상")),"확인필요")))</f>
        <v/>
      </c>
      <c r="J644" s="25" t="str">
        <f aca="false">IF(E644="","",IF(E644="-","측정불가",IF(NOT(ISNUMBER(E644)),"확인필요",IF(E644&lt;설정!$C$17,"긴급(저혈당)",IF(E644&gt;=설정!$C$18,"긴급(고혈당)",IF(F644="공복",IF(E644&gt;=설정!$C$15,"주의","정상"),IF(F644="식후",IF(E644&gt;=설정!$C$16,"주의","정상"),"조건확인")))))))</f>
        <v/>
      </c>
      <c r="K644" s="25" t="str">
        <f aca="false">IF(OR(I644="긴급",LEFT(J644,2)="긴급"),"★ 즉시 선생님 호출",IF(OR(I644="주의",J644="주의"),"결과상담에서 확인",IF(J644="조건확인","혈당조건(공복/식후) 선택","")))</f>
        <v/>
      </c>
      <c r="L644" s="25" t="str">
        <f aca="false">IF($B644="","",IF(COUNTIF($B$5:$B$1004,$B644)&gt;1,"중복 입력",""))</f>
        <v/>
      </c>
    </row>
    <row r="645" customFormat="false" ht="15" hidden="false" customHeight="false" outlineLevel="0" collapsed="false">
      <c r="A645" s="23"/>
      <c r="B645" s="24"/>
      <c r="C645" s="24"/>
      <c r="D645" s="24"/>
      <c r="E645" s="24"/>
      <c r="F645" s="24"/>
      <c r="G645" s="24"/>
      <c r="H645" s="25" t="str">
        <f aca="false">IF($B645="","",IFERROR(IF(INDEX(명단!$B$5:$B$404,MATCH($B645,명단!$A$5:$A$404,0))="","(이름 미입력)",INDEX(명단!$B$5:$B$404,MATCH($B645,명단!$A$5:$A$404,0))),"번호 없음"))</f>
        <v/>
      </c>
      <c r="I645" s="25" t="str">
        <f aca="false">IF(AND(C645="",D645=""),"",IF(OR(C645="-",D645="-"),"측정불가",IF(AND(ISNUMBER(C645),ISNUMBER(D645)),IF(OR(C645&gt;=설정!$C$11,D645&gt;=설정!$C$12),"긴급",IF(OR(C645&gt;=설정!$C$9,D645&gt;=설정!$C$10,C645&lt;설정!$C$13),"주의","정상")),"확인필요")))</f>
        <v/>
      </c>
      <c r="J645" s="25" t="str">
        <f aca="false">IF(E645="","",IF(E645="-","측정불가",IF(NOT(ISNUMBER(E645)),"확인필요",IF(E645&lt;설정!$C$17,"긴급(저혈당)",IF(E645&gt;=설정!$C$18,"긴급(고혈당)",IF(F645="공복",IF(E645&gt;=설정!$C$15,"주의","정상"),IF(F645="식후",IF(E645&gt;=설정!$C$16,"주의","정상"),"조건확인")))))))</f>
        <v/>
      </c>
      <c r="K645" s="25" t="str">
        <f aca="false">IF(OR(I645="긴급",LEFT(J645,2)="긴급"),"★ 즉시 선생님 호출",IF(OR(I645="주의",J645="주의"),"결과상담에서 확인",IF(J645="조건확인","혈당조건(공복/식후) 선택","")))</f>
        <v/>
      </c>
      <c r="L645" s="25" t="str">
        <f aca="false">IF($B645="","",IF(COUNTIF($B$5:$B$1004,$B645)&gt;1,"중복 입력",""))</f>
        <v/>
      </c>
    </row>
    <row r="646" customFormat="false" ht="15" hidden="false" customHeight="false" outlineLevel="0" collapsed="false">
      <c r="A646" s="23"/>
      <c r="B646" s="24"/>
      <c r="C646" s="24"/>
      <c r="D646" s="24"/>
      <c r="E646" s="24"/>
      <c r="F646" s="24"/>
      <c r="G646" s="24"/>
      <c r="H646" s="25" t="str">
        <f aca="false">IF($B646="","",IFERROR(IF(INDEX(명단!$B$5:$B$404,MATCH($B646,명단!$A$5:$A$404,0))="","(이름 미입력)",INDEX(명단!$B$5:$B$404,MATCH($B646,명단!$A$5:$A$404,0))),"번호 없음"))</f>
        <v/>
      </c>
      <c r="I646" s="25" t="str">
        <f aca="false">IF(AND(C646="",D646=""),"",IF(OR(C646="-",D646="-"),"측정불가",IF(AND(ISNUMBER(C646),ISNUMBER(D646)),IF(OR(C646&gt;=설정!$C$11,D646&gt;=설정!$C$12),"긴급",IF(OR(C646&gt;=설정!$C$9,D646&gt;=설정!$C$10,C646&lt;설정!$C$13),"주의","정상")),"확인필요")))</f>
        <v/>
      </c>
      <c r="J646" s="25" t="str">
        <f aca="false">IF(E646="","",IF(E646="-","측정불가",IF(NOT(ISNUMBER(E646)),"확인필요",IF(E646&lt;설정!$C$17,"긴급(저혈당)",IF(E646&gt;=설정!$C$18,"긴급(고혈당)",IF(F646="공복",IF(E646&gt;=설정!$C$15,"주의","정상"),IF(F646="식후",IF(E646&gt;=설정!$C$16,"주의","정상"),"조건확인")))))))</f>
        <v/>
      </c>
      <c r="K646" s="25" t="str">
        <f aca="false">IF(OR(I646="긴급",LEFT(J646,2)="긴급"),"★ 즉시 선생님 호출",IF(OR(I646="주의",J646="주의"),"결과상담에서 확인",IF(J646="조건확인","혈당조건(공복/식후) 선택","")))</f>
        <v/>
      </c>
      <c r="L646" s="25" t="str">
        <f aca="false">IF($B646="","",IF(COUNTIF($B$5:$B$1004,$B646)&gt;1,"중복 입력",""))</f>
        <v/>
      </c>
    </row>
    <row r="647" customFormat="false" ht="15" hidden="false" customHeight="false" outlineLevel="0" collapsed="false">
      <c r="A647" s="23"/>
      <c r="B647" s="24"/>
      <c r="C647" s="24"/>
      <c r="D647" s="24"/>
      <c r="E647" s="24"/>
      <c r="F647" s="24"/>
      <c r="G647" s="24"/>
      <c r="H647" s="25" t="str">
        <f aca="false">IF($B647="","",IFERROR(IF(INDEX(명단!$B$5:$B$404,MATCH($B647,명단!$A$5:$A$404,0))="","(이름 미입력)",INDEX(명단!$B$5:$B$404,MATCH($B647,명단!$A$5:$A$404,0))),"번호 없음"))</f>
        <v/>
      </c>
      <c r="I647" s="25" t="str">
        <f aca="false">IF(AND(C647="",D647=""),"",IF(OR(C647="-",D647="-"),"측정불가",IF(AND(ISNUMBER(C647),ISNUMBER(D647)),IF(OR(C647&gt;=설정!$C$11,D647&gt;=설정!$C$12),"긴급",IF(OR(C647&gt;=설정!$C$9,D647&gt;=설정!$C$10,C647&lt;설정!$C$13),"주의","정상")),"확인필요")))</f>
        <v/>
      </c>
      <c r="J647" s="25" t="str">
        <f aca="false">IF(E647="","",IF(E647="-","측정불가",IF(NOT(ISNUMBER(E647)),"확인필요",IF(E647&lt;설정!$C$17,"긴급(저혈당)",IF(E647&gt;=설정!$C$18,"긴급(고혈당)",IF(F647="공복",IF(E647&gt;=설정!$C$15,"주의","정상"),IF(F647="식후",IF(E647&gt;=설정!$C$16,"주의","정상"),"조건확인")))))))</f>
        <v/>
      </c>
      <c r="K647" s="25" t="str">
        <f aca="false">IF(OR(I647="긴급",LEFT(J647,2)="긴급"),"★ 즉시 선생님 호출",IF(OR(I647="주의",J647="주의"),"결과상담에서 확인",IF(J647="조건확인","혈당조건(공복/식후) 선택","")))</f>
        <v/>
      </c>
      <c r="L647" s="25" t="str">
        <f aca="false">IF($B647="","",IF(COUNTIF($B$5:$B$1004,$B647)&gt;1,"중복 입력",""))</f>
        <v/>
      </c>
    </row>
    <row r="648" customFormat="false" ht="15" hidden="false" customHeight="false" outlineLevel="0" collapsed="false">
      <c r="A648" s="23"/>
      <c r="B648" s="24"/>
      <c r="C648" s="24"/>
      <c r="D648" s="24"/>
      <c r="E648" s="24"/>
      <c r="F648" s="24"/>
      <c r="G648" s="24"/>
      <c r="H648" s="25" t="str">
        <f aca="false">IF($B648="","",IFERROR(IF(INDEX(명단!$B$5:$B$404,MATCH($B648,명단!$A$5:$A$404,0))="","(이름 미입력)",INDEX(명단!$B$5:$B$404,MATCH($B648,명단!$A$5:$A$404,0))),"번호 없음"))</f>
        <v/>
      </c>
      <c r="I648" s="25" t="str">
        <f aca="false">IF(AND(C648="",D648=""),"",IF(OR(C648="-",D648="-"),"측정불가",IF(AND(ISNUMBER(C648),ISNUMBER(D648)),IF(OR(C648&gt;=설정!$C$11,D648&gt;=설정!$C$12),"긴급",IF(OR(C648&gt;=설정!$C$9,D648&gt;=설정!$C$10,C648&lt;설정!$C$13),"주의","정상")),"확인필요")))</f>
        <v/>
      </c>
      <c r="J648" s="25" t="str">
        <f aca="false">IF(E648="","",IF(E648="-","측정불가",IF(NOT(ISNUMBER(E648)),"확인필요",IF(E648&lt;설정!$C$17,"긴급(저혈당)",IF(E648&gt;=설정!$C$18,"긴급(고혈당)",IF(F648="공복",IF(E648&gt;=설정!$C$15,"주의","정상"),IF(F648="식후",IF(E648&gt;=설정!$C$16,"주의","정상"),"조건확인")))))))</f>
        <v/>
      </c>
      <c r="K648" s="25" t="str">
        <f aca="false">IF(OR(I648="긴급",LEFT(J648,2)="긴급"),"★ 즉시 선생님 호출",IF(OR(I648="주의",J648="주의"),"결과상담에서 확인",IF(J648="조건확인","혈당조건(공복/식후) 선택","")))</f>
        <v/>
      </c>
      <c r="L648" s="25" t="str">
        <f aca="false">IF($B648="","",IF(COUNTIF($B$5:$B$1004,$B648)&gt;1,"중복 입력",""))</f>
        <v/>
      </c>
    </row>
    <row r="649" customFormat="false" ht="15" hidden="false" customHeight="false" outlineLevel="0" collapsed="false">
      <c r="A649" s="23"/>
      <c r="B649" s="24"/>
      <c r="C649" s="24"/>
      <c r="D649" s="24"/>
      <c r="E649" s="24"/>
      <c r="F649" s="24"/>
      <c r="G649" s="24"/>
      <c r="H649" s="25" t="str">
        <f aca="false">IF($B649="","",IFERROR(IF(INDEX(명단!$B$5:$B$404,MATCH($B649,명단!$A$5:$A$404,0))="","(이름 미입력)",INDEX(명단!$B$5:$B$404,MATCH($B649,명단!$A$5:$A$404,0))),"번호 없음"))</f>
        <v/>
      </c>
      <c r="I649" s="25" t="str">
        <f aca="false">IF(AND(C649="",D649=""),"",IF(OR(C649="-",D649="-"),"측정불가",IF(AND(ISNUMBER(C649),ISNUMBER(D649)),IF(OR(C649&gt;=설정!$C$11,D649&gt;=설정!$C$12),"긴급",IF(OR(C649&gt;=설정!$C$9,D649&gt;=설정!$C$10,C649&lt;설정!$C$13),"주의","정상")),"확인필요")))</f>
        <v/>
      </c>
      <c r="J649" s="25" t="str">
        <f aca="false">IF(E649="","",IF(E649="-","측정불가",IF(NOT(ISNUMBER(E649)),"확인필요",IF(E649&lt;설정!$C$17,"긴급(저혈당)",IF(E649&gt;=설정!$C$18,"긴급(고혈당)",IF(F649="공복",IF(E649&gt;=설정!$C$15,"주의","정상"),IF(F649="식후",IF(E649&gt;=설정!$C$16,"주의","정상"),"조건확인")))))))</f>
        <v/>
      </c>
      <c r="K649" s="25" t="str">
        <f aca="false">IF(OR(I649="긴급",LEFT(J649,2)="긴급"),"★ 즉시 선생님 호출",IF(OR(I649="주의",J649="주의"),"결과상담에서 확인",IF(J649="조건확인","혈당조건(공복/식후) 선택","")))</f>
        <v/>
      </c>
      <c r="L649" s="25" t="str">
        <f aca="false">IF($B649="","",IF(COUNTIF($B$5:$B$1004,$B649)&gt;1,"중복 입력",""))</f>
        <v/>
      </c>
    </row>
    <row r="650" customFormat="false" ht="15" hidden="false" customHeight="false" outlineLevel="0" collapsed="false">
      <c r="A650" s="23"/>
      <c r="B650" s="24"/>
      <c r="C650" s="24"/>
      <c r="D650" s="24"/>
      <c r="E650" s="24"/>
      <c r="F650" s="24"/>
      <c r="G650" s="24"/>
      <c r="H650" s="25" t="str">
        <f aca="false">IF($B650="","",IFERROR(IF(INDEX(명단!$B$5:$B$404,MATCH($B650,명단!$A$5:$A$404,0))="","(이름 미입력)",INDEX(명단!$B$5:$B$404,MATCH($B650,명단!$A$5:$A$404,0))),"번호 없음"))</f>
        <v/>
      </c>
      <c r="I650" s="25" t="str">
        <f aca="false">IF(AND(C650="",D650=""),"",IF(OR(C650="-",D650="-"),"측정불가",IF(AND(ISNUMBER(C650),ISNUMBER(D650)),IF(OR(C650&gt;=설정!$C$11,D650&gt;=설정!$C$12),"긴급",IF(OR(C650&gt;=설정!$C$9,D650&gt;=설정!$C$10,C650&lt;설정!$C$13),"주의","정상")),"확인필요")))</f>
        <v/>
      </c>
      <c r="J650" s="25" t="str">
        <f aca="false">IF(E650="","",IF(E650="-","측정불가",IF(NOT(ISNUMBER(E650)),"확인필요",IF(E650&lt;설정!$C$17,"긴급(저혈당)",IF(E650&gt;=설정!$C$18,"긴급(고혈당)",IF(F650="공복",IF(E650&gt;=설정!$C$15,"주의","정상"),IF(F650="식후",IF(E650&gt;=설정!$C$16,"주의","정상"),"조건확인")))))))</f>
        <v/>
      </c>
      <c r="K650" s="25" t="str">
        <f aca="false">IF(OR(I650="긴급",LEFT(J650,2)="긴급"),"★ 즉시 선생님 호출",IF(OR(I650="주의",J650="주의"),"결과상담에서 확인",IF(J650="조건확인","혈당조건(공복/식후) 선택","")))</f>
        <v/>
      </c>
      <c r="L650" s="25" t="str">
        <f aca="false">IF($B650="","",IF(COUNTIF($B$5:$B$1004,$B650)&gt;1,"중복 입력",""))</f>
        <v/>
      </c>
    </row>
    <row r="651" customFormat="false" ht="15" hidden="false" customHeight="false" outlineLevel="0" collapsed="false">
      <c r="A651" s="23"/>
      <c r="B651" s="24"/>
      <c r="C651" s="24"/>
      <c r="D651" s="24"/>
      <c r="E651" s="24"/>
      <c r="F651" s="24"/>
      <c r="G651" s="24"/>
      <c r="H651" s="25" t="str">
        <f aca="false">IF($B651="","",IFERROR(IF(INDEX(명단!$B$5:$B$404,MATCH($B651,명단!$A$5:$A$404,0))="","(이름 미입력)",INDEX(명단!$B$5:$B$404,MATCH($B651,명단!$A$5:$A$404,0))),"번호 없음"))</f>
        <v/>
      </c>
      <c r="I651" s="25" t="str">
        <f aca="false">IF(AND(C651="",D651=""),"",IF(OR(C651="-",D651="-"),"측정불가",IF(AND(ISNUMBER(C651),ISNUMBER(D651)),IF(OR(C651&gt;=설정!$C$11,D651&gt;=설정!$C$12),"긴급",IF(OR(C651&gt;=설정!$C$9,D651&gt;=설정!$C$10,C651&lt;설정!$C$13),"주의","정상")),"확인필요")))</f>
        <v/>
      </c>
      <c r="J651" s="25" t="str">
        <f aca="false">IF(E651="","",IF(E651="-","측정불가",IF(NOT(ISNUMBER(E651)),"확인필요",IF(E651&lt;설정!$C$17,"긴급(저혈당)",IF(E651&gt;=설정!$C$18,"긴급(고혈당)",IF(F651="공복",IF(E651&gt;=설정!$C$15,"주의","정상"),IF(F651="식후",IF(E651&gt;=설정!$C$16,"주의","정상"),"조건확인")))))))</f>
        <v/>
      </c>
      <c r="K651" s="25" t="str">
        <f aca="false">IF(OR(I651="긴급",LEFT(J651,2)="긴급"),"★ 즉시 선생님 호출",IF(OR(I651="주의",J651="주의"),"결과상담에서 확인",IF(J651="조건확인","혈당조건(공복/식후) 선택","")))</f>
        <v/>
      </c>
      <c r="L651" s="25" t="str">
        <f aca="false">IF($B651="","",IF(COUNTIF($B$5:$B$1004,$B651)&gt;1,"중복 입력",""))</f>
        <v/>
      </c>
    </row>
    <row r="652" customFormat="false" ht="15" hidden="false" customHeight="false" outlineLevel="0" collapsed="false">
      <c r="A652" s="23"/>
      <c r="B652" s="24"/>
      <c r="C652" s="24"/>
      <c r="D652" s="24"/>
      <c r="E652" s="24"/>
      <c r="F652" s="24"/>
      <c r="G652" s="24"/>
      <c r="H652" s="25" t="str">
        <f aca="false">IF($B652="","",IFERROR(IF(INDEX(명단!$B$5:$B$404,MATCH($B652,명단!$A$5:$A$404,0))="","(이름 미입력)",INDEX(명단!$B$5:$B$404,MATCH($B652,명단!$A$5:$A$404,0))),"번호 없음"))</f>
        <v/>
      </c>
      <c r="I652" s="25" t="str">
        <f aca="false">IF(AND(C652="",D652=""),"",IF(OR(C652="-",D652="-"),"측정불가",IF(AND(ISNUMBER(C652),ISNUMBER(D652)),IF(OR(C652&gt;=설정!$C$11,D652&gt;=설정!$C$12),"긴급",IF(OR(C652&gt;=설정!$C$9,D652&gt;=설정!$C$10,C652&lt;설정!$C$13),"주의","정상")),"확인필요")))</f>
        <v/>
      </c>
      <c r="J652" s="25" t="str">
        <f aca="false">IF(E652="","",IF(E652="-","측정불가",IF(NOT(ISNUMBER(E652)),"확인필요",IF(E652&lt;설정!$C$17,"긴급(저혈당)",IF(E652&gt;=설정!$C$18,"긴급(고혈당)",IF(F652="공복",IF(E652&gt;=설정!$C$15,"주의","정상"),IF(F652="식후",IF(E652&gt;=설정!$C$16,"주의","정상"),"조건확인")))))))</f>
        <v/>
      </c>
      <c r="K652" s="25" t="str">
        <f aca="false">IF(OR(I652="긴급",LEFT(J652,2)="긴급"),"★ 즉시 선생님 호출",IF(OR(I652="주의",J652="주의"),"결과상담에서 확인",IF(J652="조건확인","혈당조건(공복/식후) 선택","")))</f>
        <v/>
      </c>
      <c r="L652" s="25" t="str">
        <f aca="false">IF($B652="","",IF(COUNTIF($B$5:$B$1004,$B652)&gt;1,"중복 입력",""))</f>
        <v/>
      </c>
    </row>
    <row r="653" customFormat="false" ht="15" hidden="false" customHeight="false" outlineLevel="0" collapsed="false">
      <c r="A653" s="23"/>
      <c r="B653" s="24"/>
      <c r="C653" s="24"/>
      <c r="D653" s="24"/>
      <c r="E653" s="24"/>
      <c r="F653" s="24"/>
      <c r="G653" s="24"/>
      <c r="H653" s="25" t="str">
        <f aca="false">IF($B653="","",IFERROR(IF(INDEX(명단!$B$5:$B$404,MATCH($B653,명단!$A$5:$A$404,0))="","(이름 미입력)",INDEX(명단!$B$5:$B$404,MATCH($B653,명단!$A$5:$A$404,0))),"번호 없음"))</f>
        <v/>
      </c>
      <c r="I653" s="25" t="str">
        <f aca="false">IF(AND(C653="",D653=""),"",IF(OR(C653="-",D653="-"),"측정불가",IF(AND(ISNUMBER(C653),ISNUMBER(D653)),IF(OR(C653&gt;=설정!$C$11,D653&gt;=설정!$C$12),"긴급",IF(OR(C653&gt;=설정!$C$9,D653&gt;=설정!$C$10,C653&lt;설정!$C$13),"주의","정상")),"확인필요")))</f>
        <v/>
      </c>
      <c r="J653" s="25" t="str">
        <f aca="false">IF(E653="","",IF(E653="-","측정불가",IF(NOT(ISNUMBER(E653)),"확인필요",IF(E653&lt;설정!$C$17,"긴급(저혈당)",IF(E653&gt;=설정!$C$18,"긴급(고혈당)",IF(F653="공복",IF(E653&gt;=설정!$C$15,"주의","정상"),IF(F653="식후",IF(E653&gt;=설정!$C$16,"주의","정상"),"조건확인")))))))</f>
        <v/>
      </c>
      <c r="K653" s="25" t="str">
        <f aca="false">IF(OR(I653="긴급",LEFT(J653,2)="긴급"),"★ 즉시 선생님 호출",IF(OR(I653="주의",J653="주의"),"결과상담에서 확인",IF(J653="조건확인","혈당조건(공복/식후) 선택","")))</f>
        <v/>
      </c>
      <c r="L653" s="25" t="str">
        <f aca="false">IF($B653="","",IF(COUNTIF($B$5:$B$1004,$B653)&gt;1,"중복 입력",""))</f>
        <v/>
      </c>
    </row>
    <row r="654" customFormat="false" ht="15" hidden="false" customHeight="false" outlineLevel="0" collapsed="false">
      <c r="A654" s="23"/>
      <c r="B654" s="24"/>
      <c r="C654" s="24"/>
      <c r="D654" s="24"/>
      <c r="E654" s="24"/>
      <c r="F654" s="24"/>
      <c r="G654" s="24"/>
      <c r="H654" s="25" t="str">
        <f aca="false">IF($B654="","",IFERROR(IF(INDEX(명단!$B$5:$B$404,MATCH($B654,명단!$A$5:$A$404,0))="","(이름 미입력)",INDEX(명단!$B$5:$B$404,MATCH($B654,명단!$A$5:$A$404,0))),"번호 없음"))</f>
        <v/>
      </c>
      <c r="I654" s="25" t="str">
        <f aca="false">IF(AND(C654="",D654=""),"",IF(OR(C654="-",D654="-"),"측정불가",IF(AND(ISNUMBER(C654),ISNUMBER(D654)),IF(OR(C654&gt;=설정!$C$11,D654&gt;=설정!$C$12),"긴급",IF(OR(C654&gt;=설정!$C$9,D654&gt;=설정!$C$10,C654&lt;설정!$C$13),"주의","정상")),"확인필요")))</f>
        <v/>
      </c>
      <c r="J654" s="25" t="str">
        <f aca="false">IF(E654="","",IF(E654="-","측정불가",IF(NOT(ISNUMBER(E654)),"확인필요",IF(E654&lt;설정!$C$17,"긴급(저혈당)",IF(E654&gt;=설정!$C$18,"긴급(고혈당)",IF(F654="공복",IF(E654&gt;=설정!$C$15,"주의","정상"),IF(F654="식후",IF(E654&gt;=설정!$C$16,"주의","정상"),"조건확인")))))))</f>
        <v/>
      </c>
      <c r="K654" s="25" t="str">
        <f aca="false">IF(OR(I654="긴급",LEFT(J654,2)="긴급"),"★ 즉시 선생님 호출",IF(OR(I654="주의",J654="주의"),"결과상담에서 확인",IF(J654="조건확인","혈당조건(공복/식후) 선택","")))</f>
        <v/>
      </c>
      <c r="L654" s="25" t="str">
        <f aca="false">IF($B654="","",IF(COUNTIF($B$5:$B$1004,$B654)&gt;1,"중복 입력",""))</f>
        <v/>
      </c>
    </row>
    <row r="655" customFormat="false" ht="15" hidden="false" customHeight="false" outlineLevel="0" collapsed="false">
      <c r="A655" s="23"/>
      <c r="B655" s="24"/>
      <c r="C655" s="24"/>
      <c r="D655" s="24"/>
      <c r="E655" s="24"/>
      <c r="F655" s="24"/>
      <c r="G655" s="24"/>
      <c r="H655" s="25" t="str">
        <f aca="false">IF($B655="","",IFERROR(IF(INDEX(명단!$B$5:$B$404,MATCH($B655,명단!$A$5:$A$404,0))="","(이름 미입력)",INDEX(명단!$B$5:$B$404,MATCH($B655,명단!$A$5:$A$404,0))),"번호 없음"))</f>
        <v/>
      </c>
      <c r="I655" s="25" t="str">
        <f aca="false">IF(AND(C655="",D655=""),"",IF(OR(C655="-",D655="-"),"측정불가",IF(AND(ISNUMBER(C655),ISNUMBER(D655)),IF(OR(C655&gt;=설정!$C$11,D655&gt;=설정!$C$12),"긴급",IF(OR(C655&gt;=설정!$C$9,D655&gt;=설정!$C$10,C655&lt;설정!$C$13),"주의","정상")),"확인필요")))</f>
        <v/>
      </c>
      <c r="J655" s="25" t="str">
        <f aca="false">IF(E655="","",IF(E655="-","측정불가",IF(NOT(ISNUMBER(E655)),"확인필요",IF(E655&lt;설정!$C$17,"긴급(저혈당)",IF(E655&gt;=설정!$C$18,"긴급(고혈당)",IF(F655="공복",IF(E655&gt;=설정!$C$15,"주의","정상"),IF(F655="식후",IF(E655&gt;=설정!$C$16,"주의","정상"),"조건확인")))))))</f>
        <v/>
      </c>
      <c r="K655" s="25" t="str">
        <f aca="false">IF(OR(I655="긴급",LEFT(J655,2)="긴급"),"★ 즉시 선생님 호출",IF(OR(I655="주의",J655="주의"),"결과상담에서 확인",IF(J655="조건확인","혈당조건(공복/식후) 선택","")))</f>
        <v/>
      </c>
      <c r="L655" s="25" t="str">
        <f aca="false">IF($B655="","",IF(COUNTIF($B$5:$B$1004,$B655)&gt;1,"중복 입력",""))</f>
        <v/>
      </c>
    </row>
    <row r="656" customFormat="false" ht="15" hidden="false" customHeight="false" outlineLevel="0" collapsed="false">
      <c r="A656" s="23"/>
      <c r="B656" s="24"/>
      <c r="C656" s="24"/>
      <c r="D656" s="24"/>
      <c r="E656" s="24"/>
      <c r="F656" s="24"/>
      <c r="G656" s="24"/>
      <c r="H656" s="25" t="str">
        <f aca="false">IF($B656="","",IFERROR(IF(INDEX(명단!$B$5:$B$404,MATCH($B656,명단!$A$5:$A$404,0))="","(이름 미입력)",INDEX(명단!$B$5:$B$404,MATCH($B656,명단!$A$5:$A$404,0))),"번호 없음"))</f>
        <v/>
      </c>
      <c r="I656" s="25" t="str">
        <f aca="false">IF(AND(C656="",D656=""),"",IF(OR(C656="-",D656="-"),"측정불가",IF(AND(ISNUMBER(C656),ISNUMBER(D656)),IF(OR(C656&gt;=설정!$C$11,D656&gt;=설정!$C$12),"긴급",IF(OR(C656&gt;=설정!$C$9,D656&gt;=설정!$C$10,C656&lt;설정!$C$13),"주의","정상")),"확인필요")))</f>
        <v/>
      </c>
      <c r="J656" s="25" t="str">
        <f aca="false">IF(E656="","",IF(E656="-","측정불가",IF(NOT(ISNUMBER(E656)),"확인필요",IF(E656&lt;설정!$C$17,"긴급(저혈당)",IF(E656&gt;=설정!$C$18,"긴급(고혈당)",IF(F656="공복",IF(E656&gt;=설정!$C$15,"주의","정상"),IF(F656="식후",IF(E656&gt;=설정!$C$16,"주의","정상"),"조건확인")))))))</f>
        <v/>
      </c>
      <c r="K656" s="25" t="str">
        <f aca="false">IF(OR(I656="긴급",LEFT(J656,2)="긴급"),"★ 즉시 선생님 호출",IF(OR(I656="주의",J656="주의"),"결과상담에서 확인",IF(J656="조건확인","혈당조건(공복/식후) 선택","")))</f>
        <v/>
      </c>
      <c r="L656" s="25" t="str">
        <f aca="false">IF($B656="","",IF(COUNTIF($B$5:$B$1004,$B656)&gt;1,"중복 입력",""))</f>
        <v/>
      </c>
    </row>
    <row r="657" customFormat="false" ht="15" hidden="false" customHeight="false" outlineLevel="0" collapsed="false">
      <c r="A657" s="23"/>
      <c r="B657" s="24"/>
      <c r="C657" s="24"/>
      <c r="D657" s="24"/>
      <c r="E657" s="24"/>
      <c r="F657" s="24"/>
      <c r="G657" s="24"/>
      <c r="H657" s="25" t="str">
        <f aca="false">IF($B657="","",IFERROR(IF(INDEX(명단!$B$5:$B$404,MATCH($B657,명단!$A$5:$A$404,0))="","(이름 미입력)",INDEX(명단!$B$5:$B$404,MATCH($B657,명단!$A$5:$A$404,0))),"번호 없음"))</f>
        <v/>
      </c>
      <c r="I657" s="25" t="str">
        <f aca="false">IF(AND(C657="",D657=""),"",IF(OR(C657="-",D657="-"),"측정불가",IF(AND(ISNUMBER(C657),ISNUMBER(D657)),IF(OR(C657&gt;=설정!$C$11,D657&gt;=설정!$C$12),"긴급",IF(OR(C657&gt;=설정!$C$9,D657&gt;=설정!$C$10,C657&lt;설정!$C$13),"주의","정상")),"확인필요")))</f>
        <v/>
      </c>
      <c r="J657" s="25" t="str">
        <f aca="false">IF(E657="","",IF(E657="-","측정불가",IF(NOT(ISNUMBER(E657)),"확인필요",IF(E657&lt;설정!$C$17,"긴급(저혈당)",IF(E657&gt;=설정!$C$18,"긴급(고혈당)",IF(F657="공복",IF(E657&gt;=설정!$C$15,"주의","정상"),IF(F657="식후",IF(E657&gt;=설정!$C$16,"주의","정상"),"조건확인")))))))</f>
        <v/>
      </c>
      <c r="K657" s="25" t="str">
        <f aca="false">IF(OR(I657="긴급",LEFT(J657,2)="긴급"),"★ 즉시 선생님 호출",IF(OR(I657="주의",J657="주의"),"결과상담에서 확인",IF(J657="조건확인","혈당조건(공복/식후) 선택","")))</f>
        <v/>
      </c>
      <c r="L657" s="25" t="str">
        <f aca="false">IF($B657="","",IF(COUNTIF($B$5:$B$1004,$B657)&gt;1,"중복 입력",""))</f>
        <v/>
      </c>
    </row>
    <row r="658" customFormat="false" ht="15" hidden="false" customHeight="false" outlineLevel="0" collapsed="false">
      <c r="A658" s="23"/>
      <c r="B658" s="24"/>
      <c r="C658" s="24"/>
      <c r="D658" s="24"/>
      <c r="E658" s="24"/>
      <c r="F658" s="24"/>
      <c r="G658" s="24"/>
      <c r="H658" s="25" t="str">
        <f aca="false">IF($B658="","",IFERROR(IF(INDEX(명단!$B$5:$B$404,MATCH($B658,명단!$A$5:$A$404,0))="","(이름 미입력)",INDEX(명단!$B$5:$B$404,MATCH($B658,명단!$A$5:$A$404,0))),"번호 없음"))</f>
        <v/>
      </c>
      <c r="I658" s="25" t="str">
        <f aca="false">IF(AND(C658="",D658=""),"",IF(OR(C658="-",D658="-"),"측정불가",IF(AND(ISNUMBER(C658),ISNUMBER(D658)),IF(OR(C658&gt;=설정!$C$11,D658&gt;=설정!$C$12),"긴급",IF(OR(C658&gt;=설정!$C$9,D658&gt;=설정!$C$10,C658&lt;설정!$C$13),"주의","정상")),"확인필요")))</f>
        <v/>
      </c>
      <c r="J658" s="25" t="str">
        <f aca="false">IF(E658="","",IF(E658="-","측정불가",IF(NOT(ISNUMBER(E658)),"확인필요",IF(E658&lt;설정!$C$17,"긴급(저혈당)",IF(E658&gt;=설정!$C$18,"긴급(고혈당)",IF(F658="공복",IF(E658&gt;=설정!$C$15,"주의","정상"),IF(F658="식후",IF(E658&gt;=설정!$C$16,"주의","정상"),"조건확인")))))))</f>
        <v/>
      </c>
      <c r="K658" s="25" t="str">
        <f aca="false">IF(OR(I658="긴급",LEFT(J658,2)="긴급"),"★ 즉시 선생님 호출",IF(OR(I658="주의",J658="주의"),"결과상담에서 확인",IF(J658="조건확인","혈당조건(공복/식후) 선택","")))</f>
        <v/>
      </c>
      <c r="L658" s="25" t="str">
        <f aca="false">IF($B658="","",IF(COUNTIF($B$5:$B$1004,$B658)&gt;1,"중복 입력",""))</f>
        <v/>
      </c>
    </row>
    <row r="659" customFormat="false" ht="15" hidden="false" customHeight="false" outlineLevel="0" collapsed="false">
      <c r="A659" s="23"/>
      <c r="B659" s="24"/>
      <c r="C659" s="24"/>
      <c r="D659" s="24"/>
      <c r="E659" s="24"/>
      <c r="F659" s="24"/>
      <c r="G659" s="24"/>
      <c r="H659" s="25" t="str">
        <f aca="false">IF($B659="","",IFERROR(IF(INDEX(명단!$B$5:$B$404,MATCH($B659,명단!$A$5:$A$404,0))="","(이름 미입력)",INDEX(명단!$B$5:$B$404,MATCH($B659,명단!$A$5:$A$404,0))),"번호 없음"))</f>
        <v/>
      </c>
      <c r="I659" s="25" t="str">
        <f aca="false">IF(AND(C659="",D659=""),"",IF(OR(C659="-",D659="-"),"측정불가",IF(AND(ISNUMBER(C659),ISNUMBER(D659)),IF(OR(C659&gt;=설정!$C$11,D659&gt;=설정!$C$12),"긴급",IF(OR(C659&gt;=설정!$C$9,D659&gt;=설정!$C$10,C659&lt;설정!$C$13),"주의","정상")),"확인필요")))</f>
        <v/>
      </c>
      <c r="J659" s="25" t="str">
        <f aca="false">IF(E659="","",IF(E659="-","측정불가",IF(NOT(ISNUMBER(E659)),"확인필요",IF(E659&lt;설정!$C$17,"긴급(저혈당)",IF(E659&gt;=설정!$C$18,"긴급(고혈당)",IF(F659="공복",IF(E659&gt;=설정!$C$15,"주의","정상"),IF(F659="식후",IF(E659&gt;=설정!$C$16,"주의","정상"),"조건확인")))))))</f>
        <v/>
      </c>
      <c r="K659" s="25" t="str">
        <f aca="false">IF(OR(I659="긴급",LEFT(J659,2)="긴급"),"★ 즉시 선생님 호출",IF(OR(I659="주의",J659="주의"),"결과상담에서 확인",IF(J659="조건확인","혈당조건(공복/식후) 선택","")))</f>
        <v/>
      </c>
      <c r="L659" s="25" t="str">
        <f aca="false">IF($B659="","",IF(COUNTIF($B$5:$B$1004,$B659)&gt;1,"중복 입력",""))</f>
        <v/>
      </c>
    </row>
    <row r="660" customFormat="false" ht="15" hidden="false" customHeight="false" outlineLevel="0" collapsed="false">
      <c r="A660" s="23"/>
      <c r="B660" s="24"/>
      <c r="C660" s="24"/>
      <c r="D660" s="24"/>
      <c r="E660" s="24"/>
      <c r="F660" s="24"/>
      <c r="G660" s="24"/>
      <c r="H660" s="25" t="str">
        <f aca="false">IF($B660="","",IFERROR(IF(INDEX(명단!$B$5:$B$404,MATCH($B660,명단!$A$5:$A$404,0))="","(이름 미입력)",INDEX(명단!$B$5:$B$404,MATCH($B660,명단!$A$5:$A$404,0))),"번호 없음"))</f>
        <v/>
      </c>
      <c r="I660" s="25" t="str">
        <f aca="false">IF(AND(C660="",D660=""),"",IF(OR(C660="-",D660="-"),"측정불가",IF(AND(ISNUMBER(C660),ISNUMBER(D660)),IF(OR(C660&gt;=설정!$C$11,D660&gt;=설정!$C$12),"긴급",IF(OR(C660&gt;=설정!$C$9,D660&gt;=설정!$C$10,C660&lt;설정!$C$13),"주의","정상")),"확인필요")))</f>
        <v/>
      </c>
      <c r="J660" s="25" t="str">
        <f aca="false">IF(E660="","",IF(E660="-","측정불가",IF(NOT(ISNUMBER(E660)),"확인필요",IF(E660&lt;설정!$C$17,"긴급(저혈당)",IF(E660&gt;=설정!$C$18,"긴급(고혈당)",IF(F660="공복",IF(E660&gt;=설정!$C$15,"주의","정상"),IF(F660="식후",IF(E660&gt;=설정!$C$16,"주의","정상"),"조건확인")))))))</f>
        <v/>
      </c>
      <c r="K660" s="25" t="str">
        <f aca="false">IF(OR(I660="긴급",LEFT(J660,2)="긴급"),"★ 즉시 선생님 호출",IF(OR(I660="주의",J660="주의"),"결과상담에서 확인",IF(J660="조건확인","혈당조건(공복/식후) 선택","")))</f>
        <v/>
      </c>
      <c r="L660" s="25" t="str">
        <f aca="false">IF($B660="","",IF(COUNTIF($B$5:$B$1004,$B660)&gt;1,"중복 입력",""))</f>
        <v/>
      </c>
    </row>
    <row r="661" customFormat="false" ht="15" hidden="false" customHeight="false" outlineLevel="0" collapsed="false">
      <c r="A661" s="23"/>
      <c r="B661" s="24"/>
      <c r="C661" s="24"/>
      <c r="D661" s="24"/>
      <c r="E661" s="24"/>
      <c r="F661" s="24"/>
      <c r="G661" s="24"/>
      <c r="H661" s="25" t="str">
        <f aca="false">IF($B661="","",IFERROR(IF(INDEX(명단!$B$5:$B$404,MATCH($B661,명단!$A$5:$A$404,0))="","(이름 미입력)",INDEX(명단!$B$5:$B$404,MATCH($B661,명단!$A$5:$A$404,0))),"번호 없음"))</f>
        <v/>
      </c>
      <c r="I661" s="25" t="str">
        <f aca="false">IF(AND(C661="",D661=""),"",IF(OR(C661="-",D661="-"),"측정불가",IF(AND(ISNUMBER(C661),ISNUMBER(D661)),IF(OR(C661&gt;=설정!$C$11,D661&gt;=설정!$C$12),"긴급",IF(OR(C661&gt;=설정!$C$9,D661&gt;=설정!$C$10,C661&lt;설정!$C$13),"주의","정상")),"확인필요")))</f>
        <v/>
      </c>
      <c r="J661" s="25" t="str">
        <f aca="false">IF(E661="","",IF(E661="-","측정불가",IF(NOT(ISNUMBER(E661)),"확인필요",IF(E661&lt;설정!$C$17,"긴급(저혈당)",IF(E661&gt;=설정!$C$18,"긴급(고혈당)",IF(F661="공복",IF(E661&gt;=설정!$C$15,"주의","정상"),IF(F661="식후",IF(E661&gt;=설정!$C$16,"주의","정상"),"조건확인")))))))</f>
        <v/>
      </c>
      <c r="K661" s="25" t="str">
        <f aca="false">IF(OR(I661="긴급",LEFT(J661,2)="긴급"),"★ 즉시 선생님 호출",IF(OR(I661="주의",J661="주의"),"결과상담에서 확인",IF(J661="조건확인","혈당조건(공복/식후) 선택","")))</f>
        <v/>
      </c>
      <c r="L661" s="25" t="str">
        <f aca="false">IF($B661="","",IF(COUNTIF($B$5:$B$1004,$B661)&gt;1,"중복 입력",""))</f>
        <v/>
      </c>
    </row>
    <row r="662" customFormat="false" ht="15" hidden="false" customHeight="false" outlineLevel="0" collapsed="false">
      <c r="A662" s="23"/>
      <c r="B662" s="24"/>
      <c r="C662" s="24"/>
      <c r="D662" s="24"/>
      <c r="E662" s="24"/>
      <c r="F662" s="24"/>
      <c r="G662" s="24"/>
      <c r="H662" s="25" t="str">
        <f aca="false">IF($B662="","",IFERROR(IF(INDEX(명단!$B$5:$B$404,MATCH($B662,명단!$A$5:$A$404,0))="","(이름 미입력)",INDEX(명단!$B$5:$B$404,MATCH($B662,명단!$A$5:$A$404,0))),"번호 없음"))</f>
        <v/>
      </c>
      <c r="I662" s="25" t="str">
        <f aca="false">IF(AND(C662="",D662=""),"",IF(OR(C662="-",D662="-"),"측정불가",IF(AND(ISNUMBER(C662),ISNUMBER(D662)),IF(OR(C662&gt;=설정!$C$11,D662&gt;=설정!$C$12),"긴급",IF(OR(C662&gt;=설정!$C$9,D662&gt;=설정!$C$10,C662&lt;설정!$C$13),"주의","정상")),"확인필요")))</f>
        <v/>
      </c>
      <c r="J662" s="25" t="str">
        <f aca="false">IF(E662="","",IF(E662="-","측정불가",IF(NOT(ISNUMBER(E662)),"확인필요",IF(E662&lt;설정!$C$17,"긴급(저혈당)",IF(E662&gt;=설정!$C$18,"긴급(고혈당)",IF(F662="공복",IF(E662&gt;=설정!$C$15,"주의","정상"),IF(F662="식후",IF(E662&gt;=설정!$C$16,"주의","정상"),"조건확인")))))))</f>
        <v/>
      </c>
      <c r="K662" s="25" t="str">
        <f aca="false">IF(OR(I662="긴급",LEFT(J662,2)="긴급"),"★ 즉시 선생님 호출",IF(OR(I662="주의",J662="주의"),"결과상담에서 확인",IF(J662="조건확인","혈당조건(공복/식후) 선택","")))</f>
        <v/>
      </c>
      <c r="L662" s="25" t="str">
        <f aca="false">IF($B662="","",IF(COUNTIF($B$5:$B$1004,$B662)&gt;1,"중복 입력",""))</f>
        <v/>
      </c>
    </row>
    <row r="663" customFormat="false" ht="15" hidden="false" customHeight="false" outlineLevel="0" collapsed="false">
      <c r="A663" s="23"/>
      <c r="B663" s="24"/>
      <c r="C663" s="24"/>
      <c r="D663" s="24"/>
      <c r="E663" s="24"/>
      <c r="F663" s="24"/>
      <c r="G663" s="24"/>
      <c r="H663" s="25" t="str">
        <f aca="false">IF($B663="","",IFERROR(IF(INDEX(명단!$B$5:$B$404,MATCH($B663,명단!$A$5:$A$404,0))="","(이름 미입력)",INDEX(명단!$B$5:$B$404,MATCH($B663,명단!$A$5:$A$404,0))),"번호 없음"))</f>
        <v/>
      </c>
      <c r="I663" s="25" t="str">
        <f aca="false">IF(AND(C663="",D663=""),"",IF(OR(C663="-",D663="-"),"측정불가",IF(AND(ISNUMBER(C663),ISNUMBER(D663)),IF(OR(C663&gt;=설정!$C$11,D663&gt;=설정!$C$12),"긴급",IF(OR(C663&gt;=설정!$C$9,D663&gt;=설정!$C$10,C663&lt;설정!$C$13),"주의","정상")),"확인필요")))</f>
        <v/>
      </c>
      <c r="J663" s="25" t="str">
        <f aca="false">IF(E663="","",IF(E663="-","측정불가",IF(NOT(ISNUMBER(E663)),"확인필요",IF(E663&lt;설정!$C$17,"긴급(저혈당)",IF(E663&gt;=설정!$C$18,"긴급(고혈당)",IF(F663="공복",IF(E663&gt;=설정!$C$15,"주의","정상"),IF(F663="식후",IF(E663&gt;=설정!$C$16,"주의","정상"),"조건확인")))))))</f>
        <v/>
      </c>
      <c r="K663" s="25" t="str">
        <f aca="false">IF(OR(I663="긴급",LEFT(J663,2)="긴급"),"★ 즉시 선생님 호출",IF(OR(I663="주의",J663="주의"),"결과상담에서 확인",IF(J663="조건확인","혈당조건(공복/식후) 선택","")))</f>
        <v/>
      </c>
      <c r="L663" s="25" t="str">
        <f aca="false">IF($B663="","",IF(COUNTIF($B$5:$B$1004,$B663)&gt;1,"중복 입력",""))</f>
        <v/>
      </c>
    </row>
    <row r="664" customFormat="false" ht="15" hidden="false" customHeight="false" outlineLevel="0" collapsed="false">
      <c r="A664" s="23"/>
      <c r="B664" s="24"/>
      <c r="C664" s="24"/>
      <c r="D664" s="24"/>
      <c r="E664" s="24"/>
      <c r="F664" s="24"/>
      <c r="G664" s="24"/>
      <c r="H664" s="25" t="str">
        <f aca="false">IF($B664="","",IFERROR(IF(INDEX(명단!$B$5:$B$404,MATCH($B664,명단!$A$5:$A$404,0))="","(이름 미입력)",INDEX(명단!$B$5:$B$404,MATCH($B664,명단!$A$5:$A$404,0))),"번호 없음"))</f>
        <v/>
      </c>
      <c r="I664" s="25" t="str">
        <f aca="false">IF(AND(C664="",D664=""),"",IF(OR(C664="-",D664="-"),"측정불가",IF(AND(ISNUMBER(C664),ISNUMBER(D664)),IF(OR(C664&gt;=설정!$C$11,D664&gt;=설정!$C$12),"긴급",IF(OR(C664&gt;=설정!$C$9,D664&gt;=설정!$C$10,C664&lt;설정!$C$13),"주의","정상")),"확인필요")))</f>
        <v/>
      </c>
      <c r="J664" s="25" t="str">
        <f aca="false">IF(E664="","",IF(E664="-","측정불가",IF(NOT(ISNUMBER(E664)),"확인필요",IF(E664&lt;설정!$C$17,"긴급(저혈당)",IF(E664&gt;=설정!$C$18,"긴급(고혈당)",IF(F664="공복",IF(E664&gt;=설정!$C$15,"주의","정상"),IF(F664="식후",IF(E664&gt;=설정!$C$16,"주의","정상"),"조건확인")))))))</f>
        <v/>
      </c>
      <c r="K664" s="25" t="str">
        <f aca="false">IF(OR(I664="긴급",LEFT(J664,2)="긴급"),"★ 즉시 선생님 호출",IF(OR(I664="주의",J664="주의"),"결과상담에서 확인",IF(J664="조건확인","혈당조건(공복/식후) 선택","")))</f>
        <v/>
      </c>
      <c r="L664" s="25" t="str">
        <f aca="false">IF($B664="","",IF(COUNTIF($B$5:$B$1004,$B664)&gt;1,"중복 입력",""))</f>
        <v/>
      </c>
    </row>
    <row r="665" customFormat="false" ht="15" hidden="false" customHeight="false" outlineLevel="0" collapsed="false">
      <c r="A665" s="23"/>
      <c r="B665" s="24"/>
      <c r="C665" s="24"/>
      <c r="D665" s="24"/>
      <c r="E665" s="24"/>
      <c r="F665" s="24"/>
      <c r="G665" s="24"/>
      <c r="H665" s="25" t="str">
        <f aca="false">IF($B665="","",IFERROR(IF(INDEX(명단!$B$5:$B$404,MATCH($B665,명단!$A$5:$A$404,0))="","(이름 미입력)",INDEX(명단!$B$5:$B$404,MATCH($B665,명단!$A$5:$A$404,0))),"번호 없음"))</f>
        <v/>
      </c>
      <c r="I665" s="25" t="str">
        <f aca="false">IF(AND(C665="",D665=""),"",IF(OR(C665="-",D665="-"),"측정불가",IF(AND(ISNUMBER(C665),ISNUMBER(D665)),IF(OR(C665&gt;=설정!$C$11,D665&gt;=설정!$C$12),"긴급",IF(OR(C665&gt;=설정!$C$9,D665&gt;=설정!$C$10,C665&lt;설정!$C$13),"주의","정상")),"확인필요")))</f>
        <v/>
      </c>
      <c r="J665" s="25" t="str">
        <f aca="false">IF(E665="","",IF(E665="-","측정불가",IF(NOT(ISNUMBER(E665)),"확인필요",IF(E665&lt;설정!$C$17,"긴급(저혈당)",IF(E665&gt;=설정!$C$18,"긴급(고혈당)",IF(F665="공복",IF(E665&gt;=설정!$C$15,"주의","정상"),IF(F665="식후",IF(E665&gt;=설정!$C$16,"주의","정상"),"조건확인")))))))</f>
        <v/>
      </c>
      <c r="K665" s="25" t="str">
        <f aca="false">IF(OR(I665="긴급",LEFT(J665,2)="긴급"),"★ 즉시 선생님 호출",IF(OR(I665="주의",J665="주의"),"결과상담에서 확인",IF(J665="조건확인","혈당조건(공복/식후) 선택","")))</f>
        <v/>
      </c>
      <c r="L665" s="25" t="str">
        <f aca="false">IF($B665="","",IF(COUNTIF($B$5:$B$1004,$B665)&gt;1,"중복 입력",""))</f>
        <v/>
      </c>
    </row>
    <row r="666" customFormat="false" ht="15" hidden="false" customHeight="false" outlineLevel="0" collapsed="false">
      <c r="A666" s="23"/>
      <c r="B666" s="24"/>
      <c r="C666" s="24"/>
      <c r="D666" s="24"/>
      <c r="E666" s="24"/>
      <c r="F666" s="24"/>
      <c r="G666" s="24"/>
      <c r="H666" s="25" t="str">
        <f aca="false">IF($B666="","",IFERROR(IF(INDEX(명단!$B$5:$B$404,MATCH($B666,명단!$A$5:$A$404,0))="","(이름 미입력)",INDEX(명단!$B$5:$B$404,MATCH($B666,명단!$A$5:$A$404,0))),"번호 없음"))</f>
        <v/>
      </c>
      <c r="I666" s="25" t="str">
        <f aca="false">IF(AND(C666="",D666=""),"",IF(OR(C666="-",D666="-"),"측정불가",IF(AND(ISNUMBER(C666),ISNUMBER(D666)),IF(OR(C666&gt;=설정!$C$11,D666&gt;=설정!$C$12),"긴급",IF(OR(C666&gt;=설정!$C$9,D666&gt;=설정!$C$10,C666&lt;설정!$C$13),"주의","정상")),"확인필요")))</f>
        <v/>
      </c>
      <c r="J666" s="25" t="str">
        <f aca="false">IF(E666="","",IF(E666="-","측정불가",IF(NOT(ISNUMBER(E666)),"확인필요",IF(E666&lt;설정!$C$17,"긴급(저혈당)",IF(E666&gt;=설정!$C$18,"긴급(고혈당)",IF(F666="공복",IF(E666&gt;=설정!$C$15,"주의","정상"),IF(F666="식후",IF(E666&gt;=설정!$C$16,"주의","정상"),"조건확인")))))))</f>
        <v/>
      </c>
      <c r="K666" s="25" t="str">
        <f aca="false">IF(OR(I666="긴급",LEFT(J666,2)="긴급"),"★ 즉시 선생님 호출",IF(OR(I666="주의",J666="주의"),"결과상담에서 확인",IF(J666="조건확인","혈당조건(공복/식후) 선택","")))</f>
        <v/>
      </c>
      <c r="L666" s="25" t="str">
        <f aca="false">IF($B666="","",IF(COUNTIF($B$5:$B$1004,$B666)&gt;1,"중복 입력",""))</f>
        <v/>
      </c>
    </row>
    <row r="667" customFormat="false" ht="15" hidden="false" customHeight="false" outlineLevel="0" collapsed="false">
      <c r="A667" s="23"/>
      <c r="B667" s="24"/>
      <c r="C667" s="24"/>
      <c r="D667" s="24"/>
      <c r="E667" s="24"/>
      <c r="F667" s="24"/>
      <c r="G667" s="24"/>
      <c r="H667" s="25" t="str">
        <f aca="false">IF($B667="","",IFERROR(IF(INDEX(명단!$B$5:$B$404,MATCH($B667,명단!$A$5:$A$404,0))="","(이름 미입력)",INDEX(명단!$B$5:$B$404,MATCH($B667,명단!$A$5:$A$404,0))),"번호 없음"))</f>
        <v/>
      </c>
      <c r="I667" s="25" t="str">
        <f aca="false">IF(AND(C667="",D667=""),"",IF(OR(C667="-",D667="-"),"측정불가",IF(AND(ISNUMBER(C667),ISNUMBER(D667)),IF(OR(C667&gt;=설정!$C$11,D667&gt;=설정!$C$12),"긴급",IF(OR(C667&gt;=설정!$C$9,D667&gt;=설정!$C$10,C667&lt;설정!$C$13),"주의","정상")),"확인필요")))</f>
        <v/>
      </c>
      <c r="J667" s="25" t="str">
        <f aca="false">IF(E667="","",IF(E667="-","측정불가",IF(NOT(ISNUMBER(E667)),"확인필요",IF(E667&lt;설정!$C$17,"긴급(저혈당)",IF(E667&gt;=설정!$C$18,"긴급(고혈당)",IF(F667="공복",IF(E667&gt;=설정!$C$15,"주의","정상"),IF(F667="식후",IF(E667&gt;=설정!$C$16,"주의","정상"),"조건확인")))))))</f>
        <v/>
      </c>
      <c r="K667" s="25" t="str">
        <f aca="false">IF(OR(I667="긴급",LEFT(J667,2)="긴급"),"★ 즉시 선생님 호출",IF(OR(I667="주의",J667="주의"),"결과상담에서 확인",IF(J667="조건확인","혈당조건(공복/식후) 선택","")))</f>
        <v/>
      </c>
      <c r="L667" s="25" t="str">
        <f aca="false">IF($B667="","",IF(COUNTIF($B$5:$B$1004,$B667)&gt;1,"중복 입력",""))</f>
        <v/>
      </c>
    </row>
    <row r="668" customFormat="false" ht="15" hidden="false" customHeight="false" outlineLevel="0" collapsed="false">
      <c r="A668" s="23"/>
      <c r="B668" s="24"/>
      <c r="C668" s="24"/>
      <c r="D668" s="24"/>
      <c r="E668" s="24"/>
      <c r="F668" s="24"/>
      <c r="G668" s="24"/>
      <c r="H668" s="25" t="str">
        <f aca="false">IF($B668="","",IFERROR(IF(INDEX(명단!$B$5:$B$404,MATCH($B668,명단!$A$5:$A$404,0))="","(이름 미입력)",INDEX(명단!$B$5:$B$404,MATCH($B668,명단!$A$5:$A$404,0))),"번호 없음"))</f>
        <v/>
      </c>
      <c r="I668" s="25" t="str">
        <f aca="false">IF(AND(C668="",D668=""),"",IF(OR(C668="-",D668="-"),"측정불가",IF(AND(ISNUMBER(C668),ISNUMBER(D668)),IF(OR(C668&gt;=설정!$C$11,D668&gt;=설정!$C$12),"긴급",IF(OR(C668&gt;=설정!$C$9,D668&gt;=설정!$C$10,C668&lt;설정!$C$13),"주의","정상")),"확인필요")))</f>
        <v/>
      </c>
      <c r="J668" s="25" t="str">
        <f aca="false">IF(E668="","",IF(E668="-","측정불가",IF(NOT(ISNUMBER(E668)),"확인필요",IF(E668&lt;설정!$C$17,"긴급(저혈당)",IF(E668&gt;=설정!$C$18,"긴급(고혈당)",IF(F668="공복",IF(E668&gt;=설정!$C$15,"주의","정상"),IF(F668="식후",IF(E668&gt;=설정!$C$16,"주의","정상"),"조건확인")))))))</f>
        <v/>
      </c>
      <c r="K668" s="25" t="str">
        <f aca="false">IF(OR(I668="긴급",LEFT(J668,2)="긴급"),"★ 즉시 선생님 호출",IF(OR(I668="주의",J668="주의"),"결과상담에서 확인",IF(J668="조건확인","혈당조건(공복/식후) 선택","")))</f>
        <v/>
      </c>
      <c r="L668" s="25" t="str">
        <f aca="false">IF($B668="","",IF(COUNTIF($B$5:$B$1004,$B668)&gt;1,"중복 입력",""))</f>
        <v/>
      </c>
    </row>
    <row r="669" customFormat="false" ht="15" hidden="false" customHeight="false" outlineLevel="0" collapsed="false">
      <c r="A669" s="23"/>
      <c r="B669" s="24"/>
      <c r="C669" s="24"/>
      <c r="D669" s="24"/>
      <c r="E669" s="24"/>
      <c r="F669" s="24"/>
      <c r="G669" s="24"/>
      <c r="H669" s="25" t="str">
        <f aca="false">IF($B669="","",IFERROR(IF(INDEX(명단!$B$5:$B$404,MATCH($B669,명단!$A$5:$A$404,0))="","(이름 미입력)",INDEX(명단!$B$5:$B$404,MATCH($B669,명단!$A$5:$A$404,0))),"번호 없음"))</f>
        <v/>
      </c>
      <c r="I669" s="25" t="str">
        <f aca="false">IF(AND(C669="",D669=""),"",IF(OR(C669="-",D669="-"),"측정불가",IF(AND(ISNUMBER(C669),ISNUMBER(D669)),IF(OR(C669&gt;=설정!$C$11,D669&gt;=설정!$C$12),"긴급",IF(OR(C669&gt;=설정!$C$9,D669&gt;=설정!$C$10,C669&lt;설정!$C$13),"주의","정상")),"확인필요")))</f>
        <v/>
      </c>
      <c r="J669" s="25" t="str">
        <f aca="false">IF(E669="","",IF(E669="-","측정불가",IF(NOT(ISNUMBER(E669)),"확인필요",IF(E669&lt;설정!$C$17,"긴급(저혈당)",IF(E669&gt;=설정!$C$18,"긴급(고혈당)",IF(F669="공복",IF(E669&gt;=설정!$C$15,"주의","정상"),IF(F669="식후",IF(E669&gt;=설정!$C$16,"주의","정상"),"조건확인")))))))</f>
        <v/>
      </c>
      <c r="K669" s="25" t="str">
        <f aca="false">IF(OR(I669="긴급",LEFT(J669,2)="긴급"),"★ 즉시 선생님 호출",IF(OR(I669="주의",J669="주의"),"결과상담에서 확인",IF(J669="조건확인","혈당조건(공복/식후) 선택","")))</f>
        <v/>
      </c>
      <c r="L669" s="25" t="str">
        <f aca="false">IF($B669="","",IF(COUNTIF($B$5:$B$1004,$B669)&gt;1,"중복 입력",""))</f>
        <v/>
      </c>
    </row>
    <row r="670" customFormat="false" ht="15" hidden="false" customHeight="false" outlineLevel="0" collapsed="false">
      <c r="A670" s="23"/>
      <c r="B670" s="24"/>
      <c r="C670" s="24"/>
      <c r="D670" s="24"/>
      <c r="E670" s="24"/>
      <c r="F670" s="24"/>
      <c r="G670" s="24"/>
      <c r="H670" s="25" t="str">
        <f aca="false">IF($B670="","",IFERROR(IF(INDEX(명단!$B$5:$B$404,MATCH($B670,명단!$A$5:$A$404,0))="","(이름 미입력)",INDEX(명단!$B$5:$B$404,MATCH($B670,명단!$A$5:$A$404,0))),"번호 없음"))</f>
        <v/>
      </c>
      <c r="I670" s="25" t="str">
        <f aca="false">IF(AND(C670="",D670=""),"",IF(OR(C670="-",D670="-"),"측정불가",IF(AND(ISNUMBER(C670),ISNUMBER(D670)),IF(OR(C670&gt;=설정!$C$11,D670&gt;=설정!$C$12),"긴급",IF(OR(C670&gt;=설정!$C$9,D670&gt;=설정!$C$10,C670&lt;설정!$C$13),"주의","정상")),"확인필요")))</f>
        <v/>
      </c>
      <c r="J670" s="25" t="str">
        <f aca="false">IF(E670="","",IF(E670="-","측정불가",IF(NOT(ISNUMBER(E670)),"확인필요",IF(E670&lt;설정!$C$17,"긴급(저혈당)",IF(E670&gt;=설정!$C$18,"긴급(고혈당)",IF(F670="공복",IF(E670&gt;=설정!$C$15,"주의","정상"),IF(F670="식후",IF(E670&gt;=설정!$C$16,"주의","정상"),"조건확인")))))))</f>
        <v/>
      </c>
      <c r="K670" s="25" t="str">
        <f aca="false">IF(OR(I670="긴급",LEFT(J670,2)="긴급"),"★ 즉시 선생님 호출",IF(OR(I670="주의",J670="주의"),"결과상담에서 확인",IF(J670="조건확인","혈당조건(공복/식후) 선택","")))</f>
        <v/>
      </c>
      <c r="L670" s="25" t="str">
        <f aca="false">IF($B670="","",IF(COUNTIF($B$5:$B$1004,$B670)&gt;1,"중복 입력",""))</f>
        <v/>
      </c>
    </row>
    <row r="671" customFormat="false" ht="15" hidden="false" customHeight="false" outlineLevel="0" collapsed="false">
      <c r="A671" s="23"/>
      <c r="B671" s="24"/>
      <c r="C671" s="24"/>
      <c r="D671" s="24"/>
      <c r="E671" s="24"/>
      <c r="F671" s="24"/>
      <c r="G671" s="24"/>
      <c r="H671" s="25" t="str">
        <f aca="false">IF($B671="","",IFERROR(IF(INDEX(명단!$B$5:$B$404,MATCH($B671,명단!$A$5:$A$404,0))="","(이름 미입력)",INDEX(명단!$B$5:$B$404,MATCH($B671,명단!$A$5:$A$404,0))),"번호 없음"))</f>
        <v/>
      </c>
      <c r="I671" s="25" t="str">
        <f aca="false">IF(AND(C671="",D671=""),"",IF(OR(C671="-",D671="-"),"측정불가",IF(AND(ISNUMBER(C671),ISNUMBER(D671)),IF(OR(C671&gt;=설정!$C$11,D671&gt;=설정!$C$12),"긴급",IF(OR(C671&gt;=설정!$C$9,D671&gt;=설정!$C$10,C671&lt;설정!$C$13),"주의","정상")),"확인필요")))</f>
        <v/>
      </c>
      <c r="J671" s="25" t="str">
        <f aca="false">IF(E671="","",IF(E671="-","측정불가",IF(NOT(ISNUMBER(E671)),"확인필요",IF(E671&lt;설정!$C$17,"긴급(저혈당)",IF(E671&gt;=설정!$C$18,"긴급(고혈당)",IF(F671="공복",IF(E671&gt;=설정!$C$15,"주의","정상"),IF(F671="식후",IF(E671&gt;=설정!$C$16,"주의","정상"),"조건확인")))))))</f>
        <v/>
      </c>
      <c r="K671" s="25" t="str">
        <f aca="false">IF(OR(I671="긴급",LEFT(J671,2)="긴급"),"★ 즉시 선생님 호출",IF(OR(I671="주의",J671="주의"),"결과상담에서 확인",IF(J671="조건확인","혈당조건(공복/식후) 선택","")))</f>
        <v/>
      </c>
      <c r="L671" s="25" t="str">
        <f aca="false">IF($B671="","",IF(COUNTIF($B$5:$B$1004,$B671)&gt;1,"중복 입력",""))</f>
        <v/>
      </c>
    </row>
    <row r="672" customFormat="false" ht="15" hidden="false" customHeight="false" outlineLevel="0" collapsed="false">
      <c r="A672" s="23"/>
      <c r="B672" s="24"/>
      <c r="C672" s="24"/>
      <c r="D672" s="24"/>
      <c r="E672" s="24"/>
      <c r="F672" s="24"/>
      <c r="G672" s="24"/>
      <c r="H672" s="25" t="str">
        <f aca="false">IF($B672="","",IFERROR(IF(INDEX(명단!$B$5:$B$404,MATCH($B672,명단!$A$5:$A$404,0))="","(이름 미입력)",INDEX(명단!$B$5:$B$404,MATCH($B672,명단!$A$5:$A$404,0))),"번호 없음"))</f>
        <v/>
      </c>
      <c r="I672" s="25" t="str">
        <f aca="false">IF(AND(C672="",D672=""),"",IF(OR(C672="-",D672="-"),"측정불가",IF(AND(ISNUMBER(C672),ISNUMBER(D672)),IF(OR(C672&gt;=설정!$C$11,D672&gt;=설정!$C$12),"긴급",IF(OR(C672&gt;=설정!$C$9,D672&gt;=설정!$C$10,C672&lt;설정!$C$13),"주의","정상")),"확인필요")))</f>
        <v/>
      </c>
      <c r="J672" s="25" t="str">
        <f aca="false">IF(E672="","",IF(E672="-","측정불가",IF(NOT(ISNUMBER(E672)),"확인필요",IF(E672&lt;설정!$C$17,"긴급(저혈당)",IF(E672&gt;=설정!$C$18,"긴급(고혈당)",IF(F672="공복",IF(E672&gt;=설정!$C$15,"주의","정상"),IF(F672="식후",IF(E672&gt;=설정!$C$16,"주의","정상"),"조건확인")))))))</f>
        <v/>
      </c>
      <c r="K672" s="25" t="str">
        <f aca="false">IF(OR(I672="긴급",LEFT(J672,2)="긴급"),"★ 즉시 선생님 호출",IF(OR(I672="주의",J672="주의"),"결과상담에서 확인",IF(J672="조건확인","혈당조건(공복/식후) 선택","")))</f>
        <v/>
      </c>
      <c r="L672" s="25" t="str">
        <f aca="false">IF($B672="","",IF(COUNTIF($B$5:$B$1004,$B672)&gt;1,"중복 입력",""))</f>
        <v/>
      </c>
    </row>
    <row r="673" customFormat="false" ht="15" hidden="false" customHeight="false" outlineLevel="0" collapsed="false">
      <c r="A673" s="23"/>
      <c r="B673" s="24"/>
      <c r="C673" s="24"/>
      <c r="D673" s="24"/>
      <c r="E673" s="24"/>
      <c r="F673" s="24"/>
      <c r="G673" s="24"/>
      <c r="H673" s="25" t="str">
        <f aca="false">IF($B673="","",IFERROR(IF(INDEX(명단!$B$5:$B$404,MATCH($B673,명단!$A$5:$A$404,0))="","(이름 미입력)",INDEX(명단!$B$5:$B$404,MATCH($B673,명단!$A$5:$A$404,0))),"번호 없음"))</f>
        <v/>
      </c>
      <c r="I673" s="25" t="str">
        <f aca="false">IF(AND(C673="",D673=""),"",IF(OR(C673="-",D673="-"),"측정불가",IF(AND(ISNUMBER(C673),ISNUMBER(D673)),IF(OR(C673&gt;=설정!$C$11,D673&gt;=설정!$C$12),"긴급",IF(OR(C673&gt;=설정!$C$9,D673&gt;=설정!$C$10,C673&lt;설정!$C$13),"주의","정상")),"확인필요")))</f>
        <v/>
      </c>
      <c r="J673" s="25" t="str">
        <f aca="false">IF(E673="","",IF(E673="-","측정불가",IF(NOT(ISNUMBER(E673)),"확인필요",IF(E673&lt;설정!$C$17,"긴급(저혈당)",IF(E673&gt;=설정!$C$18,"긴급(고혈당)",IF(F673="공복",IF(E673&gt;=설정!$C$15,"주의","정상"),IF(F673="식후",IF(E673&gt;=설정!$C$16,"주의","정상"),"조건확인")))))))</f>
        <v/>
      </c>
      <c r="K673" s="25" t="str">
        <f aca="false">IF(OR(I673="긴급",LEFT(J673,2)="긴급"),"★ 즉시 선생님 호출",IF(OR(I673="주의",J673="주의"),"결과상담에서 확인",IF(J673="조건확인","혈당조건(공복/식후) 선택","")))</f>
        <v/>
      </c>
      <c r="L673" s="25" t="str">
        <f aca="false">IF($B673="","",IF(COUNTIF($B$5:$B$1004,$B673)&gt;1,"중복 입력",""))</f>
        <v/>
      </c>
    </row>
    <row r="674" customFormat="false" ht="15" hidden="false" customHeight="false" outlineLevel="0" collapsed="false">
      <c r="A674" s="23"/>
      <c r="B674" s="24"/>
      <c r="C674" s="24"/>
      <c r="D674" s="24"/>
      <c r="E674" s="24"/>
      <c r="F674" s="24"/>
      <c r="G674" s="24"/>
      <c r="H674" s="25" t="str">
        <f aca="false">IF($B674="","",IFERROR(IF(INDEX(명단!$B$5:$B$404,MATCH($B674,명단!$A$5:$A$404,0))="","(이름 미입력)",INDEX(명단!$B$5:$B$404,MATCH($B674,명단!$A$5:$A$404,0))),"번호 없음"))</f>
        <v/>
      </c>
      <c r="I674" s="25" t="str">
        <f aca="false">IF(AND(C674="",D674=""),"",IF(OR(C674="-",D674="-"),"측정불가",IF(AND(ISNUMBER(C674),ISNUMBER(D674)),IF(OR(C674&gt;=설정!$C$11,D674&gt;=설정!$C$12),"긴급",IF(OR(C674&gt;=설정!$C$9,D674&gt;=설정!$C$10,C674&lt;설정!$C$13),"주의","정상")),"확인필요")))</f>
        <v/>
      </c>
      <c r="J674" s="25" t="str">
        <f aca="false">IF(E674="","",IF(E674="-","측정불가",IF(NOT(ISNUMBER(E674)),"확인필요",IF(E674&lt;설정!$C$17,"긴급(저혈당)",IF(E674&gt;=설정!$C$18,"긴급(고혈당)",IF(F674="공복",IF(E674&gt;=설정!$C$15,"주의","정상"),IF(F674="식후",IF(E674&gt;=설정!$C$16,"주의","정상"),"조건확인")))))))</f>
        <v/>
      </c>
      <c r="K674" s="25" t="str">
        <f aca="false">IF(OR(I674="긴급",LEFT(J674,2)="긴급"),"★ 즉시 선생님 호출",IF(OR(I674="주의",J674="주의"),"결과상담에서 확인",IF(J674="조건확인","혈당조건(공복/식후) 선택","")))</f>
        <v/>
      </c>
      <c r="L674" s="25" t="str">
        <f aca="false">IF($B674="","",IF(COUNTIF($B$5:$B$1004,$B674)&gt;1,"중복 입력",""))</f>
        <v/>
      </c>
    </row>
    <row r="675" customFormat="false" ht="15" hidden="false" customHeight="false" outlineLevel="0" collapsed="false">
      <c r="A675" s="23"/>
      <c r="B675" s="24"/>
      <c r="C675" s="24"/>
      <c r="D675" s="24"/>
      <c r="E675" s="24"/>
      <c r="F675" s="24"/>
      <c r="G675" s="24"/>
      <c r="H675" s="25" t="str">
        <f aca="false">IF($B675="","",IFERROR(IF(INDEX(명단!$B$5:$B$404,MATCH($B675,명단!$A$5:$A$404,0))="","(이름 미입력)",INDEX(명단!$B$5:$B$404,MATCH($B675,명단!$A$5:$A$404,0))),"번호 없음"))</f>
        <v/>
      </c>
      <c r="I675" s="25" t="str">
        <f aca="false">IF(AND(C675="",D675=""),"",IF(OR(C675="-",D675="-"),"측정불가",IF(AND(ISNUMBER(C675),ISNUMBER(D675)),IF(OR(C675&gt;=설정!$C$11,D675&gt;=설정!$C$12),"긴급",IF(OR(C675&gt;=설정!$C$9,D675&gt;=설정!$C$10,C675&lt;설정!$C$13),"주의","정상")),"확인필요")))</f>
        <v/>
      </c>
      <c r="J675" s="25" t="str">
        <f aca="false">IF(E675="","",IF(E675="-","측정불가",IF(NOT(ISNUMBER(E675)),"확인필요",IF(E675&lt;설정!$C$17,"긴급(저혈당)",IF(E675&gt;=설정!$C$18,"긴급(고혈당)",IF(F675="공복",IF(E675&gt;=설정!$C$15,"주의","정상"),IF(F675="식후",IF(E675&gt;=설정!$C$16,"주의","정상"),"조건확인")))))))</f>
        <v/>
      </c>
      <c r="K675" s="25" t="str">
        <f aca="false">IF(OR(I675="긴급",LEFT(J675,2)="긴급"),"★ 즉시 선생님 호출",IF(OR(I675="주의",J675="주의"),"결과상담에서 확인",IF(J675="조건확인","혈당조건(공복/식후) 선택","")))</f>
        <v/>
      </c>
      <c r="L675" s="25" t="str">
        <f aca="false">IF($B675="","",IF(COUNTIF($B$5:$B$1004,$B675)&gt;1,"중복 입력",""))</f>
        <v/>
      </c>
    </row>
    <row r="676" customFormat="false" ht="15" hidden="false" customHeight="false" outlineLevel="0" collapsed="false">
      <c r="A676" s="23"/>
      <c r="B676" s="24"/>
      <c r="C676" s="24"/>
      <c r="D676" s="24"/>
      <c r="E676" s="24"/>
      <c r="F676" s="24"/>
      <c r="G676" s="24"/>
      <c r="H676" s="25" t="str">
        <f aca="false">IF($B676="","",IFERROR(IF(INDEX(명단!$B$5:$B$404,MATCH($B676,명단!$A$5:$A$404,0))="","(이름 미입력)",INDEX(명단!$B$5:$B$404,MATCH($B676,명단!$A$5:$A$404,0))),"번호 없음"))</f>
        <v/>
      </c>
      <c r="I676" s="25" t="str">
        <f aca="false">IF(AND(C676="",D676=""),"",IF(OR(C676="-",D676="-"),"측정불가",IF(AND(ISNUMBER(C676),ISNUMBER(D676)),IF(OR(C676&gt;=설정!$C$11,D676&gt;=설정!$C$12),"긴급",IF(OR(C676&gt;=설정!$C$9,D676&gt;=설정!$C$10,C676&lt;설정!$C$13),"주의","정상")),"확인필요")))</f>
        <v/>
      </c>
      <c r="J676" s="25" t="str">
        <f aca="false">IF(E676="","",IF(E676="-","측정불가",IF(NOT(ISNUMBER(E676)),"확인필요",IF(E676&lt;설정!$C$17,"긴급(저혈당)",IF(E676&gt;=설정!$C$18,"긴급(고혈당)",IF(F676="공복",IF(E676&gt;=설정!$C$15,"주의","정상"),IF(F676="식후",IF(E676&gt;=설정!$C$16,"주의","정상"),"조건확인")))))))</f>
        <v/>
      </c>
      <c r="K676" s="25" t="str">
        <f aca="false">IF(OR(I676="긴급",LEFT(J676,2)="긴급"),"★ 즉시 선생님 호출",IF(OR(I676="주의",J676="주의"),"결과상담에서 확인",IF(J676="조건확인","혈당조건(공복/식후) 선택","")))</f>
        <v/>
      </c>
      <c r="L676" s="25" t="str">
        <f aca="false">IF($B676="","",IF(COUNTIF($B$5:$B$1004,$B676)&gt;1,"중복 입력",""))</f>
        <v/>
      </c>
    </row>
    <row r="677" customFormat="false" ht="15" hidden="false" customHeight="false" outlineLevel="0" collapsed="false">
      <c r="A677" s="23"/>
      <c r="B677" s="24"/>
      <c r="C677" s="24"/>
      <c r="D677" s="24"/>
      <c r="E677" s="24"/>
      <c r="F677" s="24"/>
      <c r="G677" s="24"/>
      <c r="H677" s="25" t="str">
        <f aca="false">IF($B677="","",IFERROR(IF(INDEX(명단!$B$5:$B$404,MATCH($B677,명단!$A$5:$A$404,0))="","(이름 미입력)",INDEX(명단!$B$5:$B$404,MATCH($B677,명단!$A$5:$A$404,0))),"번호 없음"))</f>
        <v/>
      </c>
      <c r="I677" s="25" t="str">
        <f aca="false">IF(AND(C677="",D677=""),"",IF(OR(C677="-",D677="-"),"측정불가",IF(AND(ISNUMBER(C677),ISNUMBER(D677)),IF(OR(C677&gt;=설정!$C$11,D677&gt;=설정!$C$12),"긴급",IF(OR(C677&gt;=설정!$C$9,D677&gt;=설정!$C$10,C677&lt;설정!$C$13),"주의","정상")),"확인필요")))</f>
        <v/>
      </c>
      <c r="J677" s="25" t="str">
        <f aca="false">IF(E677="","",IF(E677="-","측정불가",IF(NOT(ISNUMBER(E677)),"확인필요",IF(E677&lt;설정!$C$17,"긴급(저혈당)",IF(E677&gt;=설정!$C$18,"긴급(고혈당)",IF(F677="공복",IF(E677&gt;=설정!$C$15,"주의","정상"),IF(F677="식후",IF(E677&gt;=설정!$C$16,"주의","정상"),"조건확인")))))))</f>
        <v/>
      </c>
      <c r="K677" s="25" t="str">
        <f aca="false">IF(OR(I677="긴급",LEFT(J677,2)="긴급"),"★ 즉시 선생님 호출",IF(OR(I677="주의",J677="주의"),"결과상담에서 확인",IF(J677="조건확인","혈당조건(공복/식후) 선택","")))</f>
        <v/>
      </c>
      <c r="L677" s="25" t="str">
        <f aca="false">IF($B677="","",IF(COUNTIF($B$5:$B$1004,$B677)&gt;1,"중복 입력",""))</f>
        <v/>
      </c>
    </row>
    <row r="678" customFormat="false" ht="15" hidden="false" customHeight="false" outlineLevel="0" collapsed="false">
      <c r="A678" s="23"/>
      <c r="B678" s="24"/>
      <c r="C678" s="24"/>
      <c r="D678" s="24"/>
      <c r="E678" s="24"/>
      <c r="F678" s="24"/>
      <c r="G678" s="24"/>
      <c r="H678" s="25" t="str">
        <f aca="false">IF($B678="","",IFERROR(IF(INDEX(명단!$B$5:$B$404,MATCH($B678,명단!$A$5:$A$404,0))="","(이름 미입력)",INDEX(명단!$B$5:$B$404,MATCH($B678,명단!$A$5:$A$404,0))),"번호 없음"))</f>
        <v/>
      </c>
      <c r="I678" s="25" t="str">
        <f aca="false">IF(AND(C678="",D678=""),"",IF(OR(C678="-",D678="-"),"측정불가",IF(AND(ISNUMBER(C678),ISNUMBER(D678)),IF(OR(C678&gt;=설정!$C$11,D678&gt;=설정!$C$12),"긴급",IF(OR(C678&gt;=설정!$C$9,D678&gt;=설정!$C$10,C678&lt;설정!$C$13),"주의","정상")),"확인필요")))</f>
        <v/>
      </c>
      <c r="J678" s="25" t="str">
        <f aca="false">IF(E678="","",IF(E678="-","측정불가",IF(NOT(ISNUMBER(E678)),"확인필요",IF(E678&lt;설정!$C$17,"긴급(저혈당)",IF(E678&gt;=설정!$C$18,"긴급(고혈당)",IF(F678="공복",IF(E678&gt;=설정!$C$15,"주의","정상"),IF(F678="식후",IF(E678&gt;=설정!$C$16,"주의","정상"),"조건확인")))))))</f>
        <v/>
      </c>
      <c r="K678" s="25" t="str">
        <f aca="false">IF(OR(I678="긴급",LEFT(J678,2)="긴급"),"★ 즉시 선생님 호출",IF(OR(I678="주의",J678="주의"),"결과상담에서 확인",IF(J678="조건확인","혈당조건(공복/식후) 선택","")))</f>
        <v/>
      </c>
      <c r="L678" s="25" t="str">
        <f aca="false">IF($B678="","",IF(COUNTIF($B$5:$B$1004,$B678)&gt;1,"중복 입력",""))</f>
        <v/>
      </c>
    </row>
    <row r="679" customFormat="false" ht="15" hidden="false" customHeight="false" outlineLevel="0" collapsed="false">
      <c r="A679" s="23"/>
      <c r="B679" s="24"/>
      <c r="C679" s="24"/>
      <c r="D679" s="24"/>
      <c r="E679" s="24"/>
      <c r="F679" s="24"/>
      <c r="G679" s="24"/>
      <c r="H679" s="25" t="str">
        <f aca="false">IF($B679="","",IFERROR(IF(INDEX(명단!$B$5:$B$404,MATCH($B679,명단!$A$5:$A$404,0))="","(이름 미입력)",INDEX(명단!$B$5:$B$404,MATCH($B679,명단!$A$5:$A$404,0))),"번호 없음"))</f>
        <v/>
      </c>
      <c r="I679" s="25" t="str">
        <f aca="false">IF(AND(C679="",D679=""),"",IF(OR(C679="-",D679="-"),"측정불가",IF(AND(ISNUMBER(C679),ISNUMBER(D679)),IF(OR(C679&gt;=설정!$C$11,D679&gt;=설정!$C$12),"긴급",IF(OR(C679&gt;=설정!$C$9,D679&gt;=설정!$C$10,C679&lt;설정!$C$13),"주의","정상")),"확인필요")))</f>
        <v/>
      </c>
      <c r="J679" s="25" t="str">
        <f aca="false">IF(E679="","",IF(E679="-","측정불가",IF(NOT(ISNUMBER(E679)),"확인필요",IF(E679&lt;설정!$C$17,"긴급(저혈당)",IF(E679&gt;=설정!$C$18,"긴급(고혈당)",IF(F679="공복",IF(E679&gt;=설정!$C$15,"주의","정상"),IF(F679="식후",IF(E679&gt;=설정!$C$16,"주의","정상"),"조건확인")))))))</f>
        <v/>
      </c>
      <c r="K679" s="25" t="str">
        <f aca="false">IF(OR(I679="긴급",LEFT(J679,2)="긴급"),"★ 즉시 선생님 호출",IF(OR(I679="주의",J679="주의"),"결과상담에서 확인",IF(J679="조건확인","혈당조건(공복/식후) 선택","")))</f>
        <v/>
      </c>
      <c r="L679" s="25" t="str">
        <f aca="false">IF($B679="","",IF(COUNTIF($B$5:$B$1004,$B679)&gt;1,"중복 입력",""))</f>
        <v/>
      </c>
    </row>
    <row r="680" customFormat="false" ht="15" hidden="false" customHeight="false" outlineLevel="0" collapsed="false">
      <c r="A680" s="23"/>
      <c r="B680" s="24"/>
      <c r="C680" s="24"/>
      <c r="D680" s="24"/>
      <c r="E680" s="24"/>
      <c r="F680" s="24"/>
      <c r="G680" s="24"/>
      <c r="H680" s="25" t="str">
        <f aca="false">IF($B680="","",IFERROR(IF(INDEX(명단!$B$5:$B$404,MATCH($B680,명단!$A$5:$A$404,0))="","(이름 미입력)",INDEX(명단!$B$5:$B$404,MATCH($B680,명단!$A$5:$A$404,0))),"번호 없음"))</f>
        <v/>
      </c>
      <c r="I680" s="25" t="str">
        <f aca="false">IF(AND(C680="",D680=""),"",IF(OR(C680="-",D680="-"),"측정불가",IF(AND(ISNUMBER(C680),ISNUMBER(D680)),IF(OR(C680&gt;=설정!$C$11,D680&gt;=설정!$C$12),"긴급",IF(OR(C680&gt;=설정!$C$9,D680&gt;=설정!$C$10,C680&lt;설정!$C$13),"주의","정상")),"확인필요")))</f>
        <v/>
      </c>
      <c r="J680" s="25" t="str">
        <f aca="false">IF(E680="","",IF(E680="-","측정불가",IF(NOT(ISNUMBER(E680)),"확인필요",IF(E680&lt;설정!$C$17,"긴급(저혈당)",IF(E680&gt;=설정!$C$18,"긴급(고혈당)",IF(F680="공복",IF(E680&gt;=설정!$C$15,"주의","정상"),IF(F680="식후",IF(E680&gt;=설정!$C$16,"주의","정상"),"조건확인")))))))</f>
        <v/>
      </c>
      <c r="K680" s="25" t="str">
        <f aca="false">IF(OR(I680="긴급",LEFT(J680,2)="긴급"),"★ 즉시 선생님 호출",IF(OR(I680="주의",J680="주의"),"결과상담에서 확인",IF(J680="조건확인","혈당조건(공복/식후) 선택","")))</f>
        <v/>
      </c>
      <c r="L680" s="25" t="str">
        <f aca="false">IF($B680="","",IF(COUNTIF($B$5:$B$1004,$B680)&gt;1,"중복 입력",""))</f>
        <v/>
      </c>
    </row>
    <row r="681" customFormat="false" ht="15" hidden="false" customHeight="false" outlineLevel="0" collapsed="false">
      <c r="A681" s="23"/>
      <c r="B681" s="24"/>
      <c r="C681" s="24"/>
      <c r="D681" s="24"/>
      <c r="E681" s="24"/>
      <c r="F681" s="24"/>
      <c r="G681" s="24"/>
      <c r="H681" s="25" t="str">
        <f aca="false">IF($B681="","",IFERROR(IF(INDEX(명단!$B$5:$B$404,MATCH($B681,명단!$A$5:$A$404,0))="","(이름 미입력)",INDEX(명단!$B$5:$B$404,MATCH($B681,명단!$A$5:$A$404,0))),"번호 없음"))</f>
        <v/>
      </c>
      <c r="I681" s="25" t="str">
        <f aca="false">IF(AND(C681="",D681=""),"",IF(OR(C681="-",D681="-"),"측정불가",IF(AND(ISNUMBER(C681),ISNUMBER(D681)),IF(OR(C681&gt;=설정!$C$11,D681&gt;=설정!$C$12),"긴급",IF(OR(C681&gt;=설정!$C$9,D681&gt;=설정!$C$10,C681&lt;설정!$C$13),"주의","정상")),"확인필요")))</f>
        <v/>
      </c>
      <c r="J681" s="25" t="str">
        <f aca="false">IF(E681="","",IF(E681="-","측정불가",IF(NOT(ISNUMBER(E681)),"확인필요",IF(E681&lt;설정!$C$17,"긴급(저혈당)",IF(E681&gt;=설정!$C$18,"긴급(고혈당)",IF(F681="공복",IF(E681&gt;=설정!$C$15,"주의","정상"),IF(F681="식후",IF(E681&gt;=설정!$C$16,"주의","정상"),"조건확인")))))))</f>
        <v/>
      </c>
      <c r="K681" s="25" t="str">
        <f aca="false">IF(OR(I681="긴급",LEFT(J681,2)="긴급"),"★ 즉시 선생님 호출",IF(OR(I681="주의",J681="주의"),"결과상담에서 확인",IF(J681="조건확인","혈당조건(공복/식후) 선택","")))</f>
        <v/>
      </c>
      <c r="L681" s="25" t="str">
        <f aca="false">IF($B681="","",IF(COUNTIF($B$5:$B$1004,$B681)&gt;1,"중복 입력",""))</f>
        <v/>
      </c>
    </row>
    <row r="682" customFormat="false" ht="15" hidden="false" customHeight="false" outlineLevel="0" collapsed="false">
      <c r="A682" s="23"/>
      <c r="B682" s="24"/>
      <c r="C682" s="24"/>
      <c r="D682" s="24"/>
      <c r="E682" s="24"/>
      <c r="F682" s="24"/>
      <c r="G682" s="24"/>
      <c r="H682" s="25" t="str">
        <f aca="false">IF($B682="","",IFERROR(IF(INDEX(명단!$B$5:$B$404,MATCH($B682,명단!$A$5:$A$404,0))="","(이름 미입력)",INDEX(명단!$B$5:$B$404,MATCH($B682,명단!$A$5:$A$404,0))),"번호 없음"))</f>
        <v/>
      </c>
      <c r="I682" s="25" t="str">
        <f aca="false">IF(AND(C682="",D682=""),"",IF(OR(C682="-",D682="-"),"측정불가",IF(AND(ISNUMBER(C682),ISNUMBER(D682)),IF(OR(C682&gt;=설정!$C$11,D682&gt;=설정!$C$12),"긴급",IF(OR(C682&gt;=설정!$C$9,D682&gt;=설정!$C$10,C682&lt;설정!$C$13),"주의","정상")),"확인필요")))</f>
        <v/>
      </c>
      <c r="J682" s="25" t="str">
        <f aca="false">IF(E682="","",IF(E682="-","측정불가",IF(NOT(ISNUMBER(E682)),"확인필요",IF(E682&lt;설정!$C$17,"긴급(저혈당)",IF(E682&gt;=설정!$C$18,"긴급(고혈당)",IF(F682="공복",IF(E682&gt;=설정!$C$15,"주의","정상"),IF(F682="식후",IF(E682&gt;=설정!$C$16,"주의","정상"),"조건확인")))))))</f>
        <v/>
      </c>
      <c r="K682" s="25" t="str">
        <f aca="false">IF(OR(I682="긴급",LEFT(J682,2)="긴급"),"★ 즉시 선생님 호출",IF(OR(I682="주의",J682="주의"),"결과상담에서 확인",IF(J682="조건확인","혈당조건(공복/식후) 선택","")))</f>
        <v/>
      </c>
      <c r="L682" s="25" t="str">
        <f aca="false">IF($B682="","",IF(COUNTIF($B$5:$B$1004,$B682)&gt;1,"중복 입력",""))</f>
        <v/>
      </c>
    </row>
    <row r="683" customFormat="false" ht="15" hidden="false" customHeight="false" outlineLevel="0" collapsed="false">
      <c r="A683" s="23"/>
      <c r="B683" s="24"/>
      <c r="C683" s="24"/>
      <c r="D683" s="24"/>
      <c r="E683" s="24"/>
      <c r="F683" s="24"/>
      <c r="G683" s="24"/>
      <c r="H683" s="25" t="str">
        <f aca="false">IF($B683="","",IFERROR(IF(INDEX(명단!$B$5:$B$404,MATCH($B683,명단!$A$5:$A$404,0))="","(이름 미입력)",INDEX(명단!$B$5:$B$404,MATCH($B683,명단!$A$5:$A$404,0))),"번호 없음"))</f>
        <v/>
      </c>
      <c r="I683" s="25" t="str">
        <f aca="false">IF(AND(C683="",D683=""),"",IF(OR(C683="-",D683="-"),"측정불가",IF(AND(ISNUMBER(C683),ISNUMBER(D683)),IF(OR(C683&gt;=설정!$C$11,D683&gt;=설정!$C$12),"긴급",IF(OR(C683&gt;=설정!$C$9,D683&gt;=설정!$C$10,C683&lt;설정!$C$13),"주의","정상")),"확인필요")))</f>
        <v/>
      </c>
      <c r="J683" s="25" t="str">
        <f aca="false">IF(E683="","",IF(E683="-","측정불가",IF(NOT(ISNUMBER(E683)),"확인필요",IF(E683&lt;설정!$C$17,"긴급(저혈당)",IF(E683&gt;=설정!$C$18,"긴급(고혈당)",IF(F683="공복",IF(E683&gt;=설정!$C$15,"주의","정상"),IF(F683="식후",IF(E683&gt;=설정!$C$16,"주의","정상"),"조건확인")))))))</f>
        <v/>
      </c>
      <c r="K683" s="25" t="str">
        <f aca="false">IF(OR(I683="긴급",LEFT(J683,2)="긴급"),"★ 즉시 선생님 호출",IF(OR(I683="주의",J683="주의"),"결과상담에서 확인",IF(J683="조건확인","혈당조건(공복/식후) 선택","")))</f>
        <v/>
      </c>
      <c r="L683" s="25" t="str">
        <f aca="false">IF($B683="","",IF(COUNTIF($B$5:$B$1004,$B683)&gt;1,"중복 입력",""))</f>
        <v/>
      </c>
    </row>
    <row r="684" customFormat="false" ht="15" hidden="false" customHeight="false" outlineLevel="0" collapsed="false">
      <c r="A684" s="23"/>
      <c r="B684" s="24"/>
      <c r="C684" s="24"/>
      <c r="D684" s="24"/>
      <c r="E684" s="24"/>
      <c r="F684" s="24"/>
      <c r="G684" s="24"/>
      <c r="H684" s="25" t="str">
        <f aca="false">IF($B684="","",IFERROR(IF(INDEX(명단!$B$5:$B$404,MATCH($B684,명단!$A$5:$A$404,0))="","(이름 미입력)",INDEX(명단!$B$5:$B$404,MATCH($B684,명단!$A$5:$A$404,0))),"번호 없음"))</f>
        <v/>
      </c>
      <c r="I684" s="25" t="str">
        <f aca="false">IF(AND(C684="",D684=""),"",IF(OR(C684="-",D684="-"),"측정불가",IF(AND(ISNUMBER(C684),ISNUMBER(D684)),IF(OR(C684&gt;=설정!$C$11,D684&gt;=설정!$C$12),"긴급",IF(OR(C684&gt;=설정!$C$9,D684&gt;=설정!$C$10,C684&lt;설정!$C$13),"주의","정상")),"확인필요")))</f>
        <v/>
      </c>
      <c r="J684" s="25" t="str">
        <f aca="false">IF(E684="","",IF(E684="-","측정불가",IF(NOT(ISNUMBER(E684)),"확인필요",IF(E684&lt;설정!$C$17,"긴급(저혈당)",IF(E684&gt;=설정!$C$18,"긴급(고혈당)",IF(F684="공복",IF(E684&gt;=설정!$C$15,"주의","정상"),IF(F684="식후",IF(E684&gt;=설정!$C$16,"주의","정상"),"조건확인")))))))</f>
        <v/>
      </c>
      <c r="K684" s="25" t="str">
        <f aca="false">IF(OR(I684="긴급",LEFT(J684,2)="긴급"),"★ 즉시 선생님 호출",IF(OR(I684="주의",J684="주의"),"결과상담에서 확인",IF(J684="조건확인","혈당조건(공복/식후) 선택","")))</f>
        <v/>
      </c>
      <c r="L684" s="25" t="str">
        <f aca="false">IF($B684="","",IF(COUNTIF($B$5:$B$1004,$B684)&gt;1,"중복 입력",""))</f>
        <v/>
      </c>
    </row>
    <row r="685" customFormat="false" ht="15" hidden="false" customHeight="false" outlineLevel="0" collapsed="false">
      <c r="A685" s="23"/>
      <c r="B685" s="24"/>
      <c r="C685" s="24"/>
      <c r="D685" s="24"/>
      <c r="E685" s="24"/>
      <c r="F685" s="24"/>
      <c r="G685" s="24"/>
      <c r="H685" s="25" t="str">
        <f aca="false">IF($B685="","",IFERROR(IF(INDEX(명단!$B$5:$B$404,MATCH($B685,명단!$A$5:$A$404,0))="","(이름 미입력)",INDEX(명단!$B$5:$B$404,MATCH($B685,명단!$A$5:$A$404,0))),"번호 없음"))</f>
        <v/>
      </c>
      <c r="I685" s="25" t="str">
        <f aca="false">IF(AND(C685="",D685=""),"",IF(OR(C685="-",D685="-"),"측정불가",IF(AND(ISNUMBER(C685),ISNUMBER(D685)),IF(OR(C685&gt;=설정!$C$11,D685&gt;=설정!$C$12),"긴급",IF(OR(C685&gt;=설정!$C$9,D685&gt;=설정!$C$10,C685&lt;설정!$C$13),"주의","정상")),"확인필요")))</f>
        <v/>
      </c>
      <c r="J685" s="25" t="str">
        <f aca="false">IF(E685="","",IF(E685="-","측정불가",IF(NOT(ISNUMBER(E685)),"확인필요",IF(E685&lt;설정!$C$17,"긴급(저혈당)",IF(E685&gt;=설정!$C$18,"긴급(고혈당)",IF(F685="공복",IF(E685&gt;=설정!$C$15,"주의","정상"),IF(F685="식후",IF(E685&gt;=설정!$C$16,"주의","정상"),"조건확인")))))))</f>
        <v/>
      </c>
      <c r="K685" s="25" t="str">
        <f aca="false">IF(OR(I685="긴급",LEFT(J685,2)="긴급"),"★ 즉시 선생님 호출",IF(OR(I685="주의",J685="주의"),"결과상담에서 확인",IF(J685="조건확인","혈당조건(공복/식후) 선택","")))</f>
        <v/>
      </c>
      <c r="L685" s="25" t="str">
        <f aca="false">IF($B685="","",IF(COUNTIF($B$5:$B$1004,$B685)&gt;1,"중복 입력",""))</f>
        <v/>
      </c>
    </row>
    <row r="686" customFormat="false" ht="15" hidden="false" customHeight="false" outlineLevel="0" collapsed="false">
      <c r="A686" s="23"/>
      <c r="B686" s="24"/>
      <c r="C686" s="24"/>
      <c r="D686" s="24"/>
      <c r="E686" s="24"/>
      <c r="F686" s="24"/>
      <c r="G686" s="24"/>
      <c r="H686" s="25" t="str">
        <f aca="false">IF($B686="","",IFERROR(IF(INDEX(명단!$B$5:$B$404,MATCH($B686,명단!$A$5:$A$404,0))="","(이름 미입력)",INDEX(명단!$B$5:$B$404,MATCH($B686,명단!$A$5:$A$404,0))),"번호 없음"))</f>
        <v/>
      </c>
      <c r="I686" s="25" t="str">
        <f aca="false">IF(AND(C686="",D686=""),"",IF(OR(C686="-",D686="-"),"측정불가",IF(AND(ISNUMBER(C686),ISNUMBER(D686)),IF(OR(C686&gt;=설정!$C$11,D686&gt;=설정!$C$12),"긴급",IF(OR(C686&gt;=설정!$C$9,D686&gt;=설정!$C$10,C686&lt;설정!$C$13),"주의","정상")),"확인필요")))</f>
        <v/>
      </c>
      <c r="J686" s="25" t="str">
        <f aca="false">IF(E686="","",IF(E686="-","측정불가",IF(NOT(ISNUMBER(E686)),"확인필요",IF(E686&lt;설정!$C$17,"긴급(저혈당)",IF(E686&gt;=설정!$C$18,"긴급(고혈당)",IF(F686="공복",IF(E686&gt;=설정!$C$15,"주의","정상"),IF(F686="식후",IF(E686&gt;=설정!$C$16,"주의","정상"),"조건확인")))))))</f>
        <v/>
      </c>
      <c r="K686" s="25" t="str">
        <f aca="false">IF(OR(I686="긴급",LEFT(J686,2)="긴급"),"★ 즉시 선생님 호출",IF(OR(I686="주의",J686="주의"),"결과상담에서 확인",IF(J686="조건확인","혈당조건(공복/식후) 선택","")))</f>
        <v/>
      </c>
      <c r="L686" s="25" t="str">
        <f aca="false">IF($B686="","",IF(COUNTIF($B$5:$B$1004,$B686)&gt;1,"중복 입력",""))</f>
        <v/>
      </c>
    </row>
    <row r="687" customFormat="false" ht="15" hidden="false" customHeight="false" outlineLevel="0" collapsed="false">
      <c r="A687" s="23"/>
      <c r="B687" s="24"/>
      <c r="C687" s="24"/>
      <c r="D687" s="24"/>
      <c r="E687" s="24"/>
      <c r="F687" s="24"/>
      <c r="G687" s="24"/>
      <c r="H687" s="25" t="str">
        <f aca="false">IF($B687="","",IFERROR(IF(INDEX(명단!$B$5:$B$404,MATCH($B687,명단!$A$5:$A$404,0))="","(이름 미입력)",INDEX(명단!$B$5:$B$404,MATCH($B687,명단!$A$5:$A$404,0))),"번호 없음"))</f>
        <v/>
      </c>
      <c r="I687" s="25" t="str">
        <f aca="false">IF(AND(C687="",D687=""),"",IF(OR(C687="-",D687="-"),"측정불가",IF(AND(ISNUMBER(C687),ISNUMBER(D687)),IF(OR(C687&gt;=설정!$C$11,D687&gt;=설정!$C$12),"긴급",IF(OR(C687&gt;=설정!$C$9,D687&gt;=설정!$C$10,C687&lt;설정!$C$13),"주의","정상")),"확인필요")))</f>
        <v/>
      </c>
      <c r="J687" s="25" t="str">
        <f aca="false">IF(E687="","",IF(E687="-","측정불가",IF(NOT(ISNUMBER(E687)),"확인필요",IF(E687&lt;설정!$C$17,"긴급(저혈당)",IF(E687&gt;=설정!$C$18,"긴급(고혈당)",IF(F687="공복",IF(E687&gt;=설정!$C$15,"주의","정상"),IF(F687="식후",IF(E687&gt;=설정!$C$16,"주의","정상"),"조건확인")))))))</f>
        <v/>
      </c>
      <c r="K687" s="25" t="str">
        <f aca="false">IF(OR(I687="긴급",LEFT(J687,2)="긴급"),"★ 즉시 선생님 호출",IF(OR(I687="주의",J687="주의"),"결과상담에서 확인",IF(J687="조건확인","혈당조건(공복/식후) 선택","")))</f>
        <v/>
      </c>
      <c r="L687" s="25" t="str">
        <f aca="false">IF($B687="","",IF(COUNTIF($B$5:$B$1004,$B687)&gt;1,"중복 입력",""))</f>
        <v/>
      </c>
    </row>
    <row r="688" customFormat="false" ht="15" hidden="false" customHeight="false" outlineLevel="0" collapsed="false">
      <c r="A688" s="23"/>
      <c r="B688" s="24"/>
      <c r="C688" s="24"/>
      <c r="D688" s="24"/>
      <c r="E688" s="24"/>
      <c r="F688" s="24"/>
      <c r="G688" s="24"/>
      <c r="H688" s="25" t="str">
        <f aca="false">IF($B688="","",IFERROR(IF(INDEX(명단!$B$5:$B$404,MATCH($B688,명단!$A$5:$A$404,0))="","(이름 미입력)",INDEX(명단!$B$5:$B$404,MATCH($B688,명단!$A$5:$A$404,0))),"번호 없음"))</f>
        <v/>
      </c>
      <c r="I688" s="25" t="str">
        <f aca="false">IF(AND(C688="",D688=""),"",IF(OR(C688="-",D688="-"),"측정불가",IF(AND(ISNUMBER(C688),ISNUMBER(D688)),IF(OR(C688&gt;=설정!$C$11,D688&gt;=설정!$C$12),"긴급",IF(OR(C688&gt;=설정!$C$9,D688&gt;=설정!$C$10,C688&lt;설정!$C$13),"주의","정상")),"확인필요")))</f>
        <v/>
      </c>
      <c r="J688" s="25" t="str">
        <f aca="false">IF(E688="","",IF(E688="-","측정불가",IF(NOT(ISNUMBER(E688)),"확인필요",IF(E688&lt;설정!$C$17,"긴급(저혈당)",IF(E688&gt;=설정!$C$18,"긴급(고혈당)",IF(F688="공복",IF(E688&gt;=설정!$C$15,"주의","정상"),IF(F688="식후",IF(E688&gt;=설정!$C$16,"주의","정상"),"조건확인")))))))</f>
        <v/>
      </c>
      <c r="K688" s="25" t="str">
        <f aca="false">IF(OR(I688="긴급",LEFT(J688,2)="긴급"),"★ 즉시 선생님 호출",IF(OR(I688="주의",J688="주의"),"결과상담에서 확인",IF(J688="조건확인","혈당조건(공복/식후) 선택","")))</f>
        <v/>
      </c>
      <c r="L688" s="25" t="str">
        <f aca="false">IF($B688="","",IF(COUNTIF($B$5:$B$1004,$B688)&gt;1,"중복 입력",""))</f>
        <v/>
      </c>
    </row>
    <row r="689" customFormat="false" ht="15" hidden="false" customHeight="false" outlineLevel="0" collapsed="false">
      <c r="A689" s="23"/>
      <c r="B689" s="24"/>
      <c r="C689" s="24"/>
      <c r="D689" s="24"/>
      <c r="E689" s="24"/>
      <c r="F689" s="24"/>
      <c r="G689" s="24"/>
      <c r="H689" s="25" t="str">
        <f aca="false">IF($B689="","",IFERROR(IF(INDEX(명단!$B$5:$B$404,MATCH($B689,명단!$A$5:$A$404,0))="","(이름 미입력)",INDEX(명단!$B$5:$B$404,MATCH($B689,명단!$A$5:$A$404,0))),"번호 없음"))</f>
        <v/>
      </c>
      <c r="I689" s="25" t="str">
        <f aca="false">IF(AND(C689="",D689=""),"",IF(OR(C689="-",D689="-"),"측정불가",IF(AND(ISNUMBER(C689),ISNUMBER(D689)),IF(OR(C689&gt;=설정!$C$11,D689&gt;=설정!$C$12),"긴급",IF(OR(C689&gt;=설정!$C$9,D689&gt;=설정!$C$10,C689&lt;설정!$C$13),"주의","정상")),"확인필요")))</f>
        <v/>
      </c>
      <c r="J689" s="25" t="str">
        <f aca="false">IF(E689="","",IF(E689="-","측정불가",IF(NOT(ISNUMBER(E689)),"확인필요",IF(E689&lt;설정!$C$17,"긴급(저혈당)",IF(E689&gt;=설정!$C$18,"긴급(고혈당)",IF(F689="공복",IF(E689&gt;=설정!$C$15,"주의","정상"),IF(F689="식후",IF(E689&gt;=설정!$C$16,"주의","정상"),"조건확인")))))))</f>
        <v/>
      </c>
      <c r="K689" s="25" t="str">
        <f aca="false">IF(OR(I689="긴급",LEFT(J689,2)="긴급"),"★ 즉시 선생님 호출",IF(OR(I689="주의",J689="주의"),"결과상담에서 확인",IF(J689="조건확인","혈당조건(공복/식후) 선택","")))</f>
        <v/>
      </c>
      <c r="L689" s="25" t="str">
        <f aca="false">IF($B689="","",IF(COUNTIF($B$5:$B$1004,$B689)&gt;1,"중복 입력",""))</f>
        <v/>
      </c>
    </row>
    <row r="690" customFormat="false" ht="15" hidden="false" customHeight="false" outlineLevel="0" collapsed="false">
      <c r="A690" s="23"/>
      <c r="B690" s="24"/>
      <c r="C690" s="24"/>
      <c r="D690" s="24"/>
      <c r="E690" s="24"/>
      <c r="F690" s="24"/>
      <c r="G690" s="24"/>
      <c r="H690" s="25" t="str">
        <f aca="false">IF($B690="","",IFERROR(IF(INDEX(명단!$B$5:$B$404,MATCH($B690,명단!$A$5:$A$404,0))="","(이름 미입력)",INDEX(명단!$B$5:$B$404,MATCH($B690,명단!$A$5:$A$404,0))),"번호 없음"))</f>
        <v/>
      </c>
      <c r="I690" s="25" t="str">
        <f aca="false">IF(AND(C690="",D690=""),"",IF(OR(C690="-",D690="-"),"측정불가",IF(AND(ISNUMBER(C690),ISNUMBER(D690)),IF(OR(C690&gt;=설정!$C$11,D690&gt;=설정!$C$12),"긴급",IF(OR(C690&gt;=설정!$C$9,D690&gt;=설정!$C$10,C690&lt;설정!$C$13),"주의","정상")),"확인필요")))</f>
        <v/>
      </c>
      <c r="J690" s="25" t="str">
        <f aca="false">IF(E690="","",IF(E690="-","측정불가",IF(NOT(ISNUMBER(E690)),"확인필요",IF(E690&lt;설정!$C$17,"긴급(저혈당)",IF(E690&gt;=설정!$C$18,"긴급(고혈당)",IF(F690="공복",IF(E690&gt;=설정!$C$15,"주의","정상"),IF(F690="식후",IF(E690&gt;=설정!$C$16,"주의","정상"),"조건확인")))))))</f>
        <v/>
      </c>
      <c r="K690" s="25" t="str">
        <f aca="false">IF(OR(I690="긴급",LEFT(J690,2)="긴급"),"★ 즉시 선생님 호출",IF(OR(I690="주의",J690="주의"),"결과상담에서 확인",IF(J690="조건확인","혈당조건(공복/식후) 선택","")))</f>
        <v/>
      </c>
      <c r="L690" s="25" t="str">
        <f aca="false">IF($B690="","",IF(COUNTIF($B$5:$B$1004,$B690)&gt;1,"중복 입력",""))</f>
        <v/>
      </c>
    </row>
    <row r="691" customFormat="false" ht="15" hidden="false" customHeight="false" outlineLevel="0" collapsed="false">
      <c r="A691" s="23"/>
      <c r="B691" s="24"/>
      <c r="C691" s="24"/>
      <c r="D691" s="24"/>
      <c r="E691" s="24"/>
      <c r="F691" s="24"/>
      <c r="G691" s="24"/>
      <c r="H691" s="25" t="str">
        <f aca="false">IF($B691="","",IFERROR(IF(INDEX(명단!$B$5:$B$404,MATCH($B691,명단!$A$5:$A$404,0))="","(이름 미입력)",INDEX(명단!$B$5:$B$404,MATCH($B691,명단!$A$5:$A$404,0))),"번호 없음"))</f>
        <v/>
      </c>
      <c r="I691" s="25" t="str">
        <f aca="false">IF(AND(C691="",D691=""),"",IF(OR(C691="-",D691="-"),"측정불가",IF(AND(ISNUMBER(C691),ISNUMBER(D691)),IF(OR(C691&gt;=설정!$C$11,D691&gt;=설정!$C$12),"긴급",IF(OR(C691&gt;=설정!$C$9,D691&gt;=설정!$C$10,C691&lt;설정!$C$13),"주의","정상")),"확인필요")))</f>
        <v/>
      </c>
      <c r="J691" s="25" t="str">
        <f aca="false">IF(E691="","",IF(E691="-","측정불가",IF(NOT(ISNUMBER(E691)),"확인필요",IF(E691&lt;설정!$C$17,"긴급(저혈당)",IF(E691&gt;=설정!$C$18,"긴급(고혈당)",IF(F691="공복",IF(E691&gt;=설정!$C$15,"주의","정상"),IF(F691="식후",IF(E691&gt;=설정!$C$16,"주의","정상"),"조건확인")))))))</f>
        <v/>
      </c>
      <c r="K691" s="25" t="str">
        <f aca="false">IF(OR(I691="긴급",LEFT(J691,2)="긴급"),"★ 즉시 선생님 호출",IF(OR(I691="주의",J691="주의"),"결과상담에서 확인",IF(J691="조건확인","혈당조건(공복/식후) 선택","")))</f>
        <v/>
      </c>
      <c r="L691" s="25" t="str">
        <f aca="false">IF($B691="","",IF(COUNTIF($B$5:$B$1004,$B691)&gt;1,"중복 입력",""))</f>
        <v/>
      </c>
    </row>
    <row r="692" customFormat="false" ht="15" hidden="false" customHeight="false" outlineLevel="0" collapsed="false">
      <c r="A692" s="23"/>
      <c r="B692" s="24"/>
      <c r="C692" s="24"/>
      <c r="D692" s="24"/>
      <c r="E692" s="24"/>
      <c r="F692" s="24"/>
      <c r="G692" s="24"/>
      <c r="H692" s="25" t="str">
        <f aca="false">IF($B692="","",IFERROR(IF(INDEX(명단!$B$5:$B$404,MATCH($B692,명단!$A$5:$A$404,0))="","(이름 미입력)",INDEX(명단!$B$5:$B$404,MATCH($B692,명단!$A$5:$A$404,0))),"번호 없음"))</f>
        <v/>
      </c>
      <c r="I692" s="25" t="str">
        <f aca="false">IF(AND(C692="",D692=""),"",IF(OR(C692="-",D692="-"),"측정불가",IF(AND(ISNUMBER(C692),ISNUMBER(D692)),IF(OR(C692&gt;=설정!$C$11,D692&gt;=설정!$C$12),"긴급",IF(OR(C692&gt;=설정!$C$9,D692&gt;=설정!$C$10,C692&lt;설정!$C$13),"주의","정상")),"확인필요")))</f>
        <v/>
      </c>
      <c r="J692" s="25" t="str">
        <f aca="false">IF(E692="","",IF(E692="-","측정불가",IF(NOT(ISNUMBER(E692)),"확인필요",IF(E692&lt;설정!$C$17,"긴급(저혈당)",IF(E692&gt;=설정!$C$18,"긴급(고혈당)",IF(F692="공복",IF(E692&gt;=설정!$C$15,"주의","정상"),IF(F692="식후",IF(E692&gt;=설정!$C$16,"주의","정상"),"조건확인")))))))</f>
        <v/>
      </c>
      <c r="K692" s="25" t="str">
        <f aca="false">IF(OR(I692="긴급",LEFT(J692,2)="긴급"),"★ 즉시 선생님 호출",IF(OR(I692="주의",J692="주의"),"결과상담에서 확인",IF(J692="조건확인","혈당조건(공복/식후) 선택","")))</f>
        <v/>
      </c>
      <c r="L692" s="25" t="str">
        <f aca="false">IF($B692="","",IF(COUNTIF($B$5:$B$1004,$B692)&gt;1,"중복 입력",""))</f>
        <v/>
      </c>
    </row>
    <row r="693" customFormat="false" ht="15" hidden="false" customHeight="false" outlineLevel="0" collapsed="false">
      <c r="A693" s="23"/>
      <c r="B693" s="24"/>
      <c r="C693" s="24"/>
      <c r="D693" s="24"/>
      <c r="E693" s="24"/>
      <c r="F693" s="24"/>
      <c r="G693" s="24"/>
      <c r="H693" s="25" t="str">
        <f aca="false">IF($B693="","",IFERROR(IF(INDEX(명단!$B$5:$B$404,MATCH($B693,명단!$A$5:$A$404,0))="","(이름 미입력)",INDEX(명단!$B$5:$B$404,MATCH($B693,명단!$A$5:$A$404,0))),"번호 없음"))</f>
        <v/>
      </c>
      <c r="I693" s="25" t="str">
        <f aca="false">IF(AND(C693="",D693=""),"",IF(OR(C693="-",D693="-"),"측정불가",IF(AND(ISNUMBER(C693),ISNUMBER(D693)),IF(OR(C693&gt;=설정!$C$11,D693&gt;=설정!$C$12),"긴급",IF(OR(C693&gt;=설정!$C$9,D693&gt;=설정!$C$10,C693&lt;설정!$C$13),"주의","정상")),"확인필요")))</f>
        <v/>
      </c>
      <c r="J693" s="25" t="str">
        <f aca="false">IF(E693="","",IF(E693="-","측정불가",IF(NOT(ISNUMBER(E693)),"확인필요",IF(E693&lt;설정!$C$17,"긴급(저혈당)",IF(E693&gt;=설정!$C$18,"긴급(고혈당)",IF(F693="공복",IF(E693&gt;=설정!$C$15,"주의","정상"),IF(F693="식후",IF(E693&gt;=설정!$C$16,"주의","정상"),"조건확인")))))))</f>
        <v/>
      </c>
      <c r="K693" s="25" t="str">
        <f aca="false">IF(OR(I693="긴급",LEFT(J693,2)="긴급"),"★ 즉시 선생님 호출",IF(OR(I693="주의",J693="주의"),"결과상담에서 확인",IF(J693="조건확인","혈당조건(공복/식후) 선택","")))</f>
        <v/>
      </c>
      <c r="L693" s="25" t="str">
        <f aca="false">IF($B693="","",IF(COUNTIF($B$5:$B$1004,$B693)&gt;1,"중복 입력",""))</f>
        <v/>
      </c>
    </row>
    <row r="694" customFormat="false" ht="15" hidden="false" customHeight="false" outlineLevel="0" collapsed="false">
      <c r="A694" s="23"/>
      <c r="B694" s="24"/>
      <c r="C694" s="24"/>
      <c r="D694" s="24"/>
      <c r="E694" s="24"/>
      <c r="F694" s="24"/>
      <c r="G694" s="24"/>
      <c r="H694" s="25" t="str">
        <f aca="false">IF($B694="","",IFERROR(IF(INDEX(명단!$B$5:$B$404,MATCH($B694,명단!$A$5:$A$404,0))="","(이름 미입력)",INDEX(명단!$B$5:$B$404,MATCH($B694,명단!$A$5:$A$404,0))),"번호 없음"))</f>
        <v/>
      </c>
      <c r="I694" s="25" t="str">
        <f aca="false">IF(AND(C694="",D694=""),"",IF(OR(C694="-",D694="-"),"측정불가",IF(AND(ISNUMBER(C694),ISNUMBER(D694)),IF(OR(C694&gt;=설정!$C$11,D694&gt;=설정!$C$12),"긴급",IF(OR(C694&gt;=설정!$C$9,D694&gt;=설정!$C$10,C694&lt;설정!$C$13),"주의","정상")),"확인필요")))</f>
        <v/>
      </c>
      <c r="J694" s="25" t="str">
        <f aca="false">IF(E694="","",IF(E694="-","측정불가",IF(NOT(ISNUMBER(E694)),"확인필요",IF(E694&lt;설정!$C$17,"긴급(저혈당)",IF(E694&gt;=설정!$C$18,"긴급(고혈당)",IF(F694="공복",IF(E694&gt;=설정!$C$15,"주의","정상"),IF(F694="식후",IF(E694&gt;=설정!$C$16,"주의","정상"),"조건확인")))))))</f>
        <v/>
      </c>
      <c r="K694" s="25" t="str">
        <f aca="false">IF(OR(I694="긴급",LEFT(J694,2)="긴급"),"★ 즉시 선생님 호출",IF(OR(I694="주의",J694="주의"),"결과상담에서 확인",IF(J694="조건확인","혈당조건(공복/식후) 선택","")))</f>
        <v/>
      </c>
      <c r="L694" s="25" t="str">
        <f aca="false">IF($B694="","",IF(COUNTIF($B$5:$B$1004,$B694)&gt;1,"중복 입력",""))</f>
        <v/>
      </c>
    </row>
    <row r="695" customFormat="false" ht="15" hidden="false" customHeight="false" outlineLevel="0" collapsed="false">
      <c r="A695" s="23"/>
      <c r="B695" s="24"/>
      <c r="C695" s="24"/>
      <c r="D695" s="24"/>
      <c r="E695" s="24"/>
      <c r="F695" s="24"/>
      <c r="G695" s="24"/>
      <c r="H695" s="25" t="str">
        <f aca="false">IF($B695="","",IFERROR(IF(INDEX(명단!$B$5:$B$404,MATCH($B695,명단!$A$5:$A$404,0))="","(이름 미입력)",INDEX(명단!$B$5:$B$404,MATCH($B695,명단!$A$5:$A$404,0))),"번호 없음"))</f>
        <v/>
      </c>
      <c r="I695" s="25" t="str">
        <f aca="false">IF(AND(C695="",D695=""),"",IF(OR(C695="-",D695="-"),"측정불가",IF(AND(ISNUMBER(C695),ISNUMBER(D695)),IF(OR(C695&gt;=설정!$C$11,D695&gt;=설정!$C$12),"긴급",IF(OR(C695&gt;=설정!$C$9,D695&gt;=설정!$C$10,C695&lt;설정!$C$13),"주의","정상")),"확인필요")))</f>
        <v/>
      </c>
      <c r="J695" s="25" t="str">
        <f aca="false">IF(E695="","",IF(E695="-","측정불가",IF(NOT(ISNUMBER(E695)),"확인필요",IF(E695&lt;설정!$C$17,"긴급(저혈당)",IF(E695&gt;=설정!$C$18,"긴급(고혈당)",IF(F695="공복",IF(E695&gt;=설정!$C$15,"주의","정상"),IF(F695="식후",IF(E695&gt;=설정!$C$16,"주의","정상"),"조건확인")))))))</f>
        <v/>
      </c>
      <c r="K695" s="25" t="str">
        <f aca="false">IF(OR(I695="긴급",LEFT(J695,2)="긴급"),"★ 즉시 선생님 호출",IF(OR(I695="주의",J695="주의"),"결과상담에서 확인",IF(J695="조건확인","혈당조건(공복/식후) 선택","")))</f>
        <v/>
      </c>
      <c r="L695" s="25" t="str">
        <f aca="false">IF($B695="","",IF(COUNTIF($B$5:$B$1004,$B695)&gt;1,"중복 입력",""))</f>
        <v/>
      </c>
    </row>
    <row r="696" customFormat="false" ht="15" hidden="false" customHeight="false" outlineLevel="0" collapsed="false">
      <c r="A696" s="23"/>
      <c r="B696" s="24"/>
      <c r="C696" s="24"/>
      <c r="D696" s="24"/>
      <c r="E696" s="24"/>
      <c r="F696" s="24"/>
      <c r="G696" s="24"/>
      <c r="H696" s="25" t="str">
        <f aca="false">IF($B696="","",IFERROR(IF(INDEX(명단!$B$5:$B$404,MATCH($B696,명단!$A$5:$A$404,0))="","(이름 미입력)",INDEX(명단!$B$5:$B$404,MATCH($B696,명단!$A$5:$A$404,0))),"번호 없음"))</f>
        <v/>
      </c>
      <c r="I696" s="25" t="str">
        <f aca="false">IF(AND(C696="",D696=""),"",IF(OR(C696="-",D696="-"),"측정불가",IF(AND(ISNUMBER(C696),ISNUMBER(D696)),IF(OR(C696&gt;=설정!$C$11,D696&gt;=설정!$C$12),"긴급",IF(OR(C696&gt;=설정!$C$9,D696&gt;=설정!$C$10,C696&lt;설정!$C$13),"주의","정상")),"확인필요")))</f>
        <v/>
      </c>
      <c r="J696" s="25" t="str">
        <f aca="false">IF(E696="","",IF(E696="-","측정불가",IF(NOT(ISNUMBER(E696)),"확인필요",IF(E696&lt;설정!$C$17,"긴급(저혈당)",IF(E696&gt;=설정!$C$18,"긴급(고혈당)",IF(F696="공복",IF(E696&gt;=설정!$C$15,"주의","정상"),IF(F696="식후",IF(E696&gt;=설정!$C$16,"주의","정상"),"조건확인")))))))</f>
        <v/>
      </c>
      <c r="K696" s="25" t="str">
        <f aca="false">IF(OR(I696="긴급",LEFT(J696,2)="긴급"),"★ 즉시 선생님 호출",IF(OR(I696="주의",J696="주의"),"결과상담에서 확인",IF(J696="조건확인","혈당조건(공복/식후) 선택","")))</f>
        <v/>
      </c>
      <c r="L696" s="25" t="str">
        <f aca="false">IF($B696="","",IF(COUNTIF($B$5:$B$1004,$B696)&gt;1,"중복 입력",""))</f>
        <v/>
      </c>
    </row>
    <row r="697" customFormat="false" ht="15" hidden="false" customHeight="false" outlineLevel="0" collapsed="false">
      <c r="A697" s="23"/>
      <c r="B697" s="24"/>
      <c r="C697" s="24"/>
      <c r="D697" s="24"/>
      <c r="E697" s="24"/>
      <c r="F697" s="24"/>
      <c r="G697" s="24"/>
      <c r="H697" s="25" t="str">
        <f aca="false">IF($B697="","",IFERROR(IF(INDEX(명단!$B$5:$B$404,MATCH($B697,명단!$A$5:$A$404,0))="","(이름 미입력)",INDEX(명단!$B$5:$B$404,MATCH($B697,명단!$A$5:$A$404,0))),"번호 없음"))</f>
        <v/>
      </c>
      <c r="I697" s="25" t="str">
        <f aca="false">IF(AND(C697="",D697=""),"",IF(OR(C697="-",D697="-"),"측정불가",IF(AND(ISNUMBER(C697),ISNUMBER(D697)),IF(OR(C697&gt;=설정!$C$11,D697&gt;=설정!$C$12),"긴급",IF(OR(C697&gt;=설정!$C$9,D697&gt;=설정!$C$10,C697&lt;설정!$C$13),"주의","정상")),"확인필요")))</f>
        <v/>
      </c>
      <c r="J697" s="25" t="str">
        <f aca="false">IF(E697="","",IF(E697="-","측정불가",IF(NOT(ISNUMBER(E697)),"확인필요",IF(E697&lt;설정!$C$17,"긴급(저혈당)",IF(E697&gt;=설정!$C$18,"긴급(고혈당)",IF(F697="공복",IF(E697&gt;=설정!$C$15,"주의","정상"),IF(F697="식후",IF(E697&gt;=설정!$C$16,"주의","정상"),"조건확인")))))))</f>
        <v/>
      </c>
      <c r="K697" s="25" t="str">
        <f aca="false">IF(OR(I697="긴급",LEFT(J697,2)="긴급"),"★ 즉시 선생님 호출",IF(OR(I697="주의",J697="주의"),"결과상담에서 확인",IF(J697="조건확인","혈당조건(공복/식후) 선택","")))</f>
        <v/>
      </c>
      <c r="L697" s="25" t="str">
        <f aca="false">IF($B697="","",IF(COUNTIF($B$5:$B$1004,$B697)&gt;1,"중복 입력",""))</f>
        <v/>
      </c>
    </row>
    <row r="698" customFormat="false" ht="15" hidden="false" customHeight="false" outlineLevel="0" collapsed="false">
      <c r="A698" s="23"/>
      <c r="B698" s="24"/>
      <c r="C698" s="24"/>
      <c r="D698" s="24"/>
      <c r="E698" s="24"/>
      <c r="F698" s="24"/>
      <c r="G698" s="24"/>
      <c r="H698" s="25" t="str">
        <f aca="false">IF($B698="","",IFERROR(IF(INDEX(명단!$B$5:$B$404,MATCH($B698,명단!$A$5:$A$404,0))="","(이름 미입력)",INDEX(명단!$B$5:$B$404,MATCH($B698,명단!$A$5:$A$404,0))),"번호 없음"))</f>
        <v/>
      </c>
      <c r="I698" s="25" t="str">
        <f aca="false">IF(AND(C698="",D698=""),"",IF(OR(C698="-",D698="-"),"측정불가",IF(AND(ISNUMBER(C698),ISNUMBER(D698)),IF(OR(C698&gt;=설정!$C$11,D698&gt;=설정!$C$12),"긴급",IF(OR(C698&gt;=설정!$C$9,D698&gt;=설정!$C$10,C698&lt;설정!$C$13),"주의","정상")),"확인필요")))</f>
        <v/>
      </c>
      <c r="J698" s="25" t="str">
        <f aca="false">IF(E698="","",IF(E698="-","측정불가",IF(NOT(ISNUMBER(E698)),"확인필요",IF(E698&lt;설정!$C$17,"긴급(저혈당)",IF(E698&gt;=설정!$C$18,"긴급(고혈당)",IF(F698="공복",IF(E698&gt;=설정!$C$15,"주의","정상"),IF(F698="식후",IF(E698&gt;=설정!$C$16,"주의","정상"),"조건확인")))))))</f>
        <v/>
      </c>
      <c r="K698" s="25" t="str">
        <f aca="false">IF(OR(I698="긴급",LEFT(J698,2)="긴급"),"★ 즉시 선생님 호출",IF(OR(I698="주의",J698="주의"),"결과상담에서 확인",IF(J698="조건확인","혈당조건(공복/식후) 선택","")))</f>
        <v/>
      </c>
      <c r="L698" s="25" t="str">
        <f aca="false">IF($B698="","",IF(COUNTIF($B$5:$B$1004,$B698)&gt;1,"중복 입력",""))</f>
        <v/>
      </c>
    </row>
    <row r="699" customFormat="false" ht="15" hidden="false" customHeight="false" outlineLevel="0" collapsed="false">
      <c r="A699" s="23"/>
      <c r="B699" s="24"/>
      <c r="C699" s="24"/>
      <c r="D699" s="24"/>
      <c r="E699" s="24"/>
      <c r="F699" s="24"/>
      <c r="G699" s="24"/>
      <c r="H699" s="25" t="str">
        <f aca="false">IF($B699="","",IFERROR(IF(INDEX(명단!$B$5:$B$404,MATCH($B699,명단!$A$5:$A$404,0))="","(이름 미입력)",INDEX(명단!$B$5:$B$404,MATCH($B699,명단!$A$5:$A$404,0))),"번호 없음"))</f>
        <v/>
      </c>
      <c r="I699" s="25" t="str">
        <f aca="false">IF(AND(C699="",D699=""),"",IF(OR(C699="-",D699="-"),"측정불가",IF(AND(ISNUMBER(C699),ISNUMBER(D699)),IF(OR(C699&gt;=설정!$C$11,D699&gt;=설정!$C$12),"긴급",IF(OR(C699&gt;=설정!$C$9,D699&gt;=설정!$C$10,C699&lt;설정!$C$13),"주의","정상")),"확인필요")))</f>
        <v/>
      </c>
      <c r="J699" s="25" t="str">
        <f aca="false">IF(E699="","",IF(E699="-","측정불가",IF(NOT(ISNUMBER(E699)),"확인필요",IF(E699&lt;설정!$C$17,"긴급(저혈당)",IF(E699&gt;=설정!$C$18,"긴급(고혈당)",IF(F699="공복",IF(E699&gt;=설정!$C$15,"주의","정상"),IF(F699="식후",IF(E699&gt;=설정!$C$16,"주의","정상"),"조건확인")))))))</f>
        <v/>
      </c>
      <c r="K699" s="25" t="str">
        <f aca="false">IF(OR(I699="긴급",LEFT(J699,2)="긴급"),"★ 즉시 선생님 호출",IF(OR(I699="주의",J699="주의"),"결과상담에서 확인",IF(J699="조건확인","혈당조건(공복/식후) 선택","")))</f>
        <v/>
      </c>
      <c r="L699" s="25" t="str">
        <f aca="false">IF($B699="","",IF(COUNTIF($B$5:$B$1004,$B699)&gt;1,"중복 입력",""))</f>
        <v/>
      </c>
    </row>
    <row r="700" customFormat="false" ht="15" hidden="false" customHeight="false" outlineLevel="0" collapsed="false">
      <c r="A700" s="23"/>
      <c r="B700" s="24"/>
      <c r="C700" s="24"/>
      <c r="D700" s="24"/>
      <c r="E700" s="24"/>
      <c r="F700" s="24"/>
      <c r="G700" s="24"/>
      <c r="H700" s="25" t="str">
        <f aca="false">IF($B700="","",IFERROR(IF(INDEX(명단!$B$5:$B$404,MATCH($B700,명단!$A$5:$A$404,0))="","(이름 미입력)",INDEX(명단!$B$5:$B$404,MATCH($B700,명단!$A$5:$A$404,0))),"번호 없음"))</f>
        <v/>
      </c>
      <c r="I700" s="25" t="str">
        <f aca="false">IF(AND(C700="",D700=""),"",IF(OR(C700="-",D700="-"),"측정불가",IF(AND(ISNUMBER(C700),ISNUMBER(D700)),IF(OR(C700&gt;=설정!$C$11,D700&gt;=설정!$C$12),"긴급",IF(OR(C700&gt;=설정!$C$9,D700&gt;=설정!$C$10,C700&lt;설정!$C$13),"주의","정상")),"확인필요")))</f>
        <v/>
      </c>
      <c r="J700" s="25" t="str">
        <f aca="false">IF(E700="","",IF(E700="-","측정불가",IF(NOT(ISNUMBER(E700)),"확인필요",IF(E700&lt;설정!$C$17,"긴급(저혈당)",IF(E700&gt;=설정!$C$18,"긴급(고혈당)",IF(F700="공복",IF(E700&gt;=설정!$C$15,"주의","정상"),IF(F700="식후",IF(E700&gt;=설정!$C$16,"주의","정상"),"조건확인")))))))</f>
        <v/>
      </c>
      <c r="K700" s="25" t="str">
        <f aca="false">IF(OR(I700="긴급",LEFT(J700,2)="긴급"),"★ 즉시 선생님 호출",IF(OR(I700="주의",J700="주의"),"결과상담에서 확인",IF(J700="조건확인","혈당조건(공복/식후) 선택","")))</f>
        <v/>
      </c>
      <c r="L700" s="25" t="str">
        <f aca="false">IF($B700="","",IF(COUNTIF($B$5:$B$1004,$B700)&gt;1,"중복 입력",""))</f>
        <v/>
      </c>
    </row>
    <row r="701" customFormat="false" ht="15" hidden="false" customHeight="false" outlineLevel="0" collapsed="false">
      <c r="A701" s="23"/>
      <c r="B701" s="24"/>
      <c r="C701" s="24"/>
      <c r="D701" s="24"/>
      <c r="E701" s="24"/>
      <c r="F701" s="24"/>
      <c r="G701" s="24"/>
      <c r="H701" s="25" t="str">
        <f aca="false">IF($B701="","",IFERROR(IF(INDEX(명단!$B$5:$B$404,MATCH($B701,명단!$A$5:$A$404,0))="","(이름 미입력)",INDEX(명단!$B$5:$B$404,MATCH($B701,명단!$A$5:$A$404,0))),"번호 없음"))</f>
        <v/>
      </c>
      <c r="I701" s="25" t="str">
        <f aca="false">IF(AND(C701="",D701=""),"",IF(OR(C701="-",D701="-"),"측정불가",IF(AND(ISNUMBER(C701),ISNUMBER(D701)),IF(OR(C701&gt;=설정!$C$11,D701&gt;=설정!$C$12),"긴급",IF(OR(C701&gt;=설정!$C$9,D701&gt;=설정!$C$10,C701&lt;설정!$C$13),"주의","정상")),"확인필요")))</f>
        <v/>
      </c>
      <c r="J701" s="25" t="str">
        <f aca="false">IF(E701="","",IF(E701="-","측정불가",IF(NOT(ISNUMBER(E701)),"확인필요",IF(E701&lt;설정!$C$17,"긴급(저혈당)",IF(E701&gt;=설정!$C$18,"긴급(고혈당)",IF(F701="공복",IF(E701&gt;=설정!$C$15,"주의","정상"),IF(F701="식후",IF(E701&gt;=설정!$C$16,"주의","정상"),"조건확인")))))))</f>
        <v/>
      </c>
      <c r="K701" s="25" t="str">
        <f aca="false">IF(OR(I701="긴급",LEFT(J701,2)="긴급"),"★ 즉시 선생님 호출",IF(OR(I701="주의",J701="주의"),"결과상담에서 확인",IF(J701="조건확인","혈당조건(공복/식후) 선택","")))</f>
        <v/>
      </c>
      <c r="L701" s="25" t="str">
        <f aca="false">IF($B701="","",IF(COUNTIF($B$5:$B$1004,$B701)&gt;1,"중복 입력",""))</f>
        <v/>
      </c>
    </row>
    <row r="702" customFormat="false" ht="15" hidden="false" customHeight="false" outlineLevel="0" collapsed="false">
      <c r="A702" s="23"/>
      <c r="B702" s="24"/>
      <c r="C702" s="24"/>
      <c r="D702" s="24"/>
      <c r="E702" s="24"/>
      <c r="F702" s="24"/>
      <c r="G702" s="24"/>
      <c r="H702" s="25" t="str">
        <f aca="false">IF($B702="","",IFERROR(IF(INDEX(명단!$B$5:$B$404,MATCH($B702,명단!$A$5:$A$404,0))="","(이름 미입력)",INDEX(명단!$B$5:$B$404,MATCH($B702,명단!$A$5:$A$404,0))),"번호 없음"))</f>
        <v/>
      </c>
      <c r="I702" s="25" t="str">
        <f aca="false">IF(AND(C702="",D702=""),"",IF(OR(C702="-",D702="-"),"측정불가",IF(AND(ISNUMBER(C702),ISNUMBER(D702)),IF(OR(C702&gt;=설정!$C$11,D702&gt;=설정!$C$12),"긴급",IF(OR(C702&gt;=설정!$C$9,D702&gt;=설정!$C$10,C702&lt;설정!$C$13),"주의","정상")),"확인필요")))</f>
        <v/>
      </c>
      <c r="J702" s="25" t="str">
        <f aca="false">IF(E702="","",IF(E702="-","측정불가",IF(NOT(ISNUMBER(E702)),"확인필요",IF(E702&lt;설정!$C$17,"긴급(저혈당)",IF(E702&gt;=설정!$C$18,"긴급(고혈당)",IF(F702="공복",IF(E702&gt;=설정!$C$15,"주의","정상"),IF(F702="식후",IF(E702&gt;=설정!$C$16,"주의","정상"),"조건확인")))))))</f>
        <v/>
      </c>
      <c r="K702" s="25" t="str">
        <f aca="false">IF(OR(I702="긴급",LEFT(J702,2)="긴급"),"★ 즉시 선생님 호출",IF(OR(I702="주의",J702="주의"),"결과상담에서 확인",IF(J702="조건확인","혈당조건(공복/식후) 선택","")))</f>
        <v/>
      </c>
      <c r="L702" s="25" t="str">
        <f aca="false">IF($B702="","",IF(COUNTIF($B$5:$B$1004,$B702)&gt;1,"중복 입력",""))</f>
        <v/>
      </c>
    </row>
    <row r="703" customFormat="false" ht="15" hidden="false" customHeight="false" outlineLevel="0" collapsed="false">
      <c r="A703" s="23"/>
      <c r="B703" s="24"/>
      <c r="C703" s="24"/>
      <c r="D703" s="24"/>
      <c r="E703" s="24"/>
      <c r="F703" s="24"/>
      <c r="G703" s="24"/>
      <c r="H703" s="25" t="str">
        <f aca="false">IF($B703="","",IFERROR(IF(INDEX(명단!$B$5:$B$404,MATCH($B703,명단!$A$5:$A$404,0))="","(이름 미입력)",INDEX(명단!$B$5:$B$404,MATCH($B703,명단!$A$5:$A$404,0))),"번호 없음"))</f>
        <v/>
      </c>
      <c r="I703" s="25" t="str">
        <f aca="false">IF(AND(C703="",D703=""),"",IF(OR(C703="-",D703="-"),"측정불가",IF(AND(ISNUMBER(C703),ISNUMBER(D703)),IF(OR(C703&gt;=설정!$C$11,D703&gt;=설정!$C$12),"긴급",IF(OR(C703&gt;=설정!$C$9,D703&gt;=설정!$C$10,C703&lt;설정!$C$13),"주의","정상")),"확인필요")))</f>
        <v/>
      </c>
      <c r="J703" s="25" t="str">
        <f aca="false">IF(E703="","",IF(E703="-","측정불가",IF(NOT(ISNUMBER(E703)),"확인필요",IF(E703&lt;설정!$C$17,"긴급(저혈당)",IF(E703&gt;=설정!$C$18,"긴급(고혈당)",IF(F703="공복",IF(E703&gt;=설정!$C$15,"주의","정상"),IF(F703="식후",IF(E703&gt;=설정!$C$16,"주의","정상"),"조건확인")))))))</f>
        <v/>
      </c>
      <c r="K703" s="25" t="str">
        <f aca="false">IF(OR(I703="긴급",LEFT(J703,2)="긴급"),"★ 즉시 선생님 호출",IF(OR(I703="주의",J703="주의"),"결과상담에서 확인",IF(J703="조건확인","혈당조건(공복/식후) 선택","")))</f>
        <v/>
      </c>
      <c r="L703" s="25" t="str">
        <f aca="false">IF($B703="","",IF(COUNTIF($B$5:$B$1004,$B703)&gt;1,"중복 입력",""))</f>
        <v/>
      </c>
    </row>
    <row r="704" customFormat="false" ht="15" hidden="false" customHeight="false" outlineLevel="0" collapsed="false">
      <c r="A704" s="23"/>
      <c r="B704" s="24"/>
      <c r="C704" s="24"/>
      <c r="D704" s="24"/>
      <c r="E704" s="24"/>
      <c r="F704" s="24"/>
      <c r="G704" s="24"/>
      <c r="H704" s="25" t="str">
        <f aca="false">IF($B704="","",IFERROR(IF(INDEX(명단!$B$5:$B$404,MATCH($B704,명단!$A$5:$A$404,0))="","(이름 미입력)",INDEX(명단!$B$5:$B$404,MATCH($B704,명단!$A$5:$A$404,0))),"번호 없음"))</f>
        <v/>
      </c>
      <c r="I704" s="25" t="str">
        <f aca="false">IF(AND(C704="",D704=""),"",IF(OR(C704="-",D704="-"),"측정불가",IF(AND(ISNUMBER(C704),ISNUMBER(D704)),IF(OR(C704&gt;=설정!$C$11,D704&gt;=설정!$C$12),"긴급",IF(OR(C704&gt;=설정!$C$9,D704&gt;=설정!$C$10,C704&lt;설정!$C$13),"주의","정상")),"확인필요")))</f>
        <v/>
      </c>
      <c r="J704" s="25" t="str">
        <f aca="false">IF(E704="","",IF(E704="-","측정불가",IF(NOT(ISNUMBER(E704)),"확인필요",IF(E704&lt;설정!$C$17,"긴급(저혈당)",IF(E704&gt;=설정!$C$18,"긴급(고혈당)",IF(F704="공복",IF(E704&gt;=설정!$C$15,"주의","정상"),IF(F704="식후",IF(E704&gt;=설정!$C$16,"주의","정상"),"조건확인")))))))</f>
        <v/>
      </c>
      <c r="K704" s="25" t="str">
        <f aca="false">IF(OR(I704="긴급",LEFT(J704,2)="긴급"),"★ 즉시 선생님 호출",IF(OR(I704="주의",J704="주의"),"결과상담에서 확인",IF(J704="조건확인","혈당조건(공복/식후) 선택","")))</f>
        <v/>
      </c>
      <c r="L704" s="25" t="str">
        <f aca="false">IF($B704="","",IF(COUNTIF($B$5:$B$1004,$B704)&gt;1,"중복 입력",""))</f>
        <v/>
      </c>
    </row>
    <row r="705" customFormat="false" ht="15" hidden="false" customHeight="false" outlineLevel="0" collapsed="false">
      <c r="A705" s="23"/>
      <c r="B705" s="24"/>
      <c r="C705" s="24"/>
      <c r="D705" s="24"/>
      <c r="E705" s="24"/>
      <c r="F705" s="24"/>
      <c r="G705" s="24"/>
      <c r="H705" s="25" t="str">
        <f aca="false">IF($B705="","",IFERROR(IF(INDEX(명단!$B$5:$B$404,MATCH($B705,명단!$A$5:$A$404,0))="","(이름 미입력)",INDEX(명단!$B$5:$B$404,MATCH($B705,명단!$A$5:$A$404,0))),"번호 없음"))</f>
        <v/>
      </c>
      <c r="I705" s="25" t="str">
        <f aca="false">IF(AND(C705="",D705=""),"",IF(OR(C705="-",D705="-"),"측정불가",IF(AND(ISNUMBER(C705),ISNUMBER(D705)),IF(OR(C705&gt;=설정!$C$11,D705&gt;=설정!$C$12),"긴급",IF(OR(C705&gt;=설정!$C$9,D705&gt;=설정!$C$10,C705&lt;설정!$C$13),"주의","정상")),"확인필요")))</f>
        <v/>
      </c>
      <c r="J705" s="25" t="str">
        <f aca="false">IF(E705="","",IF(E705="-","측정불가",IF(NOT(ISNUMBER(E705)),"확인필요",IF(E705&lt;설정!$C$17,"긴급(저혈당)",IF(E705&gt;=설정!$C$18,"긴급(고혈당)",IF(F705="공복",IF(E705&gt;=설정!$C$15,"주의","정상"),IF(F705="식후",IF(E705&gt;=설정!$C$16,"주의","정상"),"조건확인")))))))</f>
        <v/>
      </c>
      <c r="K705" s="25" t="str">
        <f aca="false">IF(OR(I705="긴급",LEFT(J705,2)="긴급"),"★ 즉시 선생님 호출",IF(OR(I705="주의",J705="주의"),"결과상담에서 확인",IF(J705="조건확인","혈당조건(공복/식후) 선택","")))</f>
        <v/>
      </c>
      <c r="L705" s="25" t="str">
        <f aca="false">IF($B705="","",IF(COUNTIF($B$5:$B$1004,$B705)&gt;1,"중복 입력",""))</f>
        <v/>
      </c>
    </row>
    <row r="706" customFormat="false" ht="15" hidden="false" customHeight="false" outlineLevel="0" collapsed="false">
      <c r="A706" s="23"/>
      <c r="B706" s="24"/>
      <c r="C706" s="24"/>
      <c r="D706" s="24"/>
      <c r="E706" s="24"/>
      <c r="F706" s="24"/>
      <c r="G706" s="24"/>
      <c r="H706" s="25" t="str">
        <f aca="false">IF($B706="","",IFERROR(IF(INDEX(명단!$B$5:$B$404,MATCH($B706,명단!$A$5:$A$404,0))="","(이름 미입력)",INDEX(명단!$B$5:$B$404,MATCH($B706,명단!$A$5:$A$404,0))),"번호 없음"))</f>
        <v/>
      </c>
      <c r="I706" s="25" t="str">
        <f aca="false">IF(AND(C706="",D706=""),"",IF(OR(C706="-",D706="-"),"측정불가",IF(AND(ISNUMBER(C706),ISNUMBER(D706)),IF(OR(C706&gt;=설정!$C$11,D706&gt;=설정!$C$12),"긴급",IF(OR(C706&gt;=설정!$C$9,D706&gt;=설정!$C$10,C706&lt;설정!$C$13),"주의","정상")),"확인필요")))</f>
        <v/>
      </c>
      <c r="J706" s="25" t="str">
        <f aca="false">IF(E706="","",IF(E706="-","측정불가",IF(NOT(ISNUMBER(E706)),"확인필요",IF(E706&lt;설정!$C$17,"긴급(저혈당)",IF(E706&gt;=설정!$C$18,"긴급(고혈당)",IF(F706="공복",IF(E706&gt;=설정!$C$15,"주의","정상"),IF(F706="식후",IF(E706&gt;=설정!$C$16,"주의","정상"),"조건확인")))))))</f>
        <v/>
      </c>
      <c r="K706" s="25" t="str">
        <f aca="false">IF(OR(I706="긴급",LEFT(J706,2)="긴급"),"★ 즉시 선생님 호출",IF(OR(I706="주의",J706="주의"),"결과상담에서 확인",IF(J706="조건확인","혈당조건(공복/식후) 선택","")))</f>
        <v/>
      </c>
      <c r="L706" s="25" t="str">
        <f aca="false">IF($B706="","",IF(COUNTIF($B$5:$B$1004,$B706)&gt;1,"중복 입력",""))</f>
        <v/>
      </c>
    </row>
    <row r="707" customFormat="false" ht="15" hidden="false" customHeight="false" outlineLevel="0" collapsed="false">
      <c r="A707" s="23"/>
      <c r="B707" s="24"/>
      <c r="C707" s="24"/>
      <c r="D707" s="24"/>
      <c r="E707" s="24"/>
      <c r="F707" s="24"/>
      <c r="G707" s="24"/>
      <c r="H707" s="25" t="str">
        <f aca="false">IF($B707="","",IFERROR(IF(INDEX(명단!$B$5:$B$404,MATCH($B707,명단!$A$5:$A$404,0))="","(이름 미입력)",INDEX(명단!$B$5:$B$404,MATCH($B707,명단!$A$5:$A$404,0))),"번호 없음"))</f>
        <v/>
      </c>
      <c r="I707" s="25" t="str">
        <f aca="false">IF(AND(C707="",D707=""),"",IF(OR(C707="-",D707="-"),"측정불가",IF(AND(ISNUMBER(C707),ISNUMBER(D707)),IF(OR(C707&gt;=설정!$C$11,D707&gt;=설정!$C$12),"긴급",IF(OR(C707&gt;=설정!$C$9,D707&gt;=설정!$C$10,C707&lt;설정!$C$13),"주의","정상")),"확인필요")))</f>
        <v/>
      </c>
      <c r="J707" s="25" t="str">
        <f aca="false">IF(E707="","",IF(E707="-","측정불가",IF(NOT(ISNUMBER(E707)),"확인필요",IF(E707&lt;설정!$C$17,"긴급(저혈당)",IF(E707&gt;=설정!$C$18,"긴급(고혈당)",IF(F707="공복",IF(E707&gt;=설정!$C$15,"주의","정상"),IF(F707="식후",IF(E707&gt;=설정!$C$16,"주의","정상"),"조건확인")))))))</f>
        <v/>
      </c>
      <c r="K707" s="25" t="str">
        <f aca="false">IF(OR(I707="긴급",LEFT(J707,2)="긴급"),"★ 즉시 선생님 호출",IF(OR(I707="주의",J707="주의"),"결과상담에서 확인",IF(J707="조건확인","혈당조건(공복/식후) 선택","")))</f>
        <v/>
      </c>
      <c r="L707" s="25" t="str">
        <f aca="false">IF($B707="","",IF(COUNTIF($B$5:$B$1004,$B707)&gt;1,"중복 입력",""))</f>
        <v/>
      </c>
    </row>
    <row r="708" customFormat="false" ht="15" hidden="false" customHeight="false" outlineLevel="0" collapsed="false">
      <c r="A708" s="23"/>
      <c r="B708" s="24"/>
      <c r="C708" s="24"/>
      <c r="D708" s="24"/>
      <c r="E708" s="24"/>
      <c r="F708" s="24"/>
      <c r="G708" s="24"/>
      <c r="H708" s="25" t="str">
        <f aca="false">IF($B708="","",IFERROR(IF(INDEX(명단!$B$5:$B$404,MATCH($B708,명단!$A$5:$A$404,0))="","(이름 미입력)",INDEX(명단!$B$5:$B$404,MATCH($B708,명단!$A$5:$A$404,0))),"번호 없음"))</f>
        <v/>
      </c>
      <c r="I708" s="25" t="str">
        <f aca="false">IF(AND(C708="",D708=""),"",IF(OR(C708="-",D708="-"),"측정불가",IF(AND(ISNUMBER(C708),ISNUMBER(D708)),IF(OR(C708&gt;=설정!$C$11,D708&gt;=설정!$C$12),"긴급",IF(OR(C708&gt;=설정!$C$9,D708&gt;=설정!$C$10,C708&lt;설정!$C$13),"주의","정상")),"확인필요")))</f>
        <v/>
      </c>
      <c r="J708" s="25" t="str">
        <f aca="false">IF(E708="","",IF(E708="-","측정불가",IF(NOT(ISNUMBER(E708)),"확인필요",IF(E708&lt;설정!$C$17,"긴급(저혈당)",IF(E708&gt;=설정!$C$18,"긴급(고혈당)",IF(F708="공복",IF(E708&gt;=설정!$C$15,"주의","정상"),IF(F708="식후",IF(E708&gt;=설정!$C$16,"주의","정상"),"조건확인")))))))</f>
        <v/>
      </c>
      <c r="K708" s="25" t="str">
        <f aca="false">IF(OR(I708="긴급",LEFT(J708,2)="긴급"),"★ 즉시 선생님 호출",IF(OR(I708="주의",J708="주의"),"결과상담에서 확인",IF(J708="조건확인","혈당조건(공복/식후) 선택","")))</f>
        <v/>
      </c>
      <c r="L708" s="25" t="str">
        <f aca="false">IF($B708="","",IF(COUNTIF($B$5:$B$1004,$B708)&gt;1,"중복 입력",""))</f>
        <v/>
      </c>
    </row>
    <row r="709" customFormat="false" ht="15" hidden="false" customHeight="false" outlineLevel="0" collapsed="false">
      <c r="A709" s="23"/>
      <c r="B709" s="24"/>
      <c r="C709" s="24"/>
      <c r="D709" s="24"/>
      <c r="E709" s="24"/>
      <c r="F709" s="24"/>
      <c r="G709" s="24"/>
      <c r="H709" s="25" t="str">
        <f aca="false">IF($B709="","",IFERROR(IF(INDEX(명단!$B$5:$B$404,MATCH($B709,명단!$A$5:$A$404,0))="","(이름 미입력)",INDEX(명단!$B$5:$B$404,MATCH($B709,명단!$A$5:$A$404,0))),"번호 없음"))</f>
        <v/>
      </c>
      <c r="I709" s="25" t="str">
        <f aca="false">IF(AND(C709="",D709=""),"",IF(OR(C709="-",D709="-"),"측정불가",IF(AND(ISNUMBER(C709),ISNUMBER(D709)),IF(OR(C709&gt;=설정!$C$11,D709&gt;=설정!$C$12),"긴급",IF(OR(C709&gt;=설정!$C$9,D709&gt;=설정!$C$10,C709&lt;설정!$C$13),"주의","정상")),"확인필요")))</f>
        <v/>
      </c>
      <c r="J709" s="25" t="str">
        <f aca="false">IF(E709="","",IF(E709="-","측정불가",IF(NOT(ISNUMBER(E709)),"확인필요",IF(E709&lt;설정!$C$17,"긴급(저혈당)",IF(E709&gt;=설정!$C$18,"긴급(고혈당)",IF(F709="공복",IF(E709&gt;=설정!$C$15,"주의","정상"),IF(F709="식후",IF(E709&gt;=설정!$C$16,"주의","정상"),"조건확인")))))))</f>
        <v/>
      </c>
      <c r="K709" s="25" t="str">
        <f aca="false">IF(OR(I709="긴급",LEFT(J709,2)="긴급"),"★ 즉시 선생님 호출",IF(OR(I709="주의",J709="주의"),"결과상담에서 확인",IF(J709="조건확인","혈당조건(공복/식후) 선택","")))</f>
        <v/>
      </c>
      <c r="L709" s="25" t="str">
        <f aca="false">IF($B709="","",IF(COUNTIF($B$5:$B$1004,$B709)&gt;1,"중복 입력",""))</f>
        <v/>
      </c>
    </row>
    <row r="710" customFormat="false" ht="15" hidden="false" customHeight="false" outlineLevel="0" collapsed="false">
      <c r="A710" s="23"/>
      <c r="B710" s="24"/>
      <c r="C710" s="24"/>
      <c r="D710" s="24"/>
      <c r="E710" s="24"/>
      <c r="F710" s="24"/>
      <c r="G710" s="24"/>
      <c r="H710" s="25" t="str">
        <f aca="false">IF($B710="","",IFERROR(IF(INDEX(명단!$B$5:$B$404,MATCH($B710,명단!$A$5:$A$404,0))="","(이름 미입력)",INDEX(명단!$B$5:$B$404,MATCH($B710,명단!$A$5:$A$404,0))),"번호 없음"))</f>
        <v/>
      </c>
      <c r="I710" s="25" t="str">
        <f aca="false">IF(AND(C710="",D710=""),"",IF(OR(C710="-",D710="-"),"측정불가",IF(AND(ISNUMBER(C710),ISNUMBER(D710)),IF(OR(C710&gt;=설정!$C$11,D710&gt;=설정!$C$12),"긴급",IF(OR(C710&gt;=설정!$C$9,D710&gt;=설정!$C$10,C710&lt;설정!$C$13),"주의","정상")),"확인필요")))</f>
        <v/>
      </c>
      <c r="J710" s="25" t="str">
        <f aca="false">IF(E710="","",IF(E710="-","측정불가",IF(NOT(ISNUMBER(E710)),"확인필요",IF(E710&lt;설정!$C$17,"긴급(저혈당)",IF(E710&gt;=설정!$C$18,"긴급(고혈당)",IF(F710="공복",IF(E710&gt;=설정!$C$15,"주의","정상"),IF(F710="식후",IF(E710&gt;=설정!$C$16,"주의","정상"),"조건확인")))))))</f>
        <v/>
      </c>
      <c r="K710" s="25" t="str">
        <f aca="false">IF(OR(I710="긴급",LEFT(J710,2)="긴급"),"★ 즉시 선생님 호출",IF(OR(I710="주의",J710="주의"),"결과상담에서 확인",IF(J710="조건확인","혈당조건(공복/식후) 선택","")))</f>
        <v/>
      </c>
      <c r="L710" s="25" t="str">
        <f aca="false">IF($B710="","",IF(COUNTIF($B$5:$B$1004,$B710)&gt;1,"중복 입력",""))</f>
        <v/>
      </c>
    </row>
    <row r="711" customFormat="false" ht="15" hidden="false" customHeight="false" outlineLevel="0" collapsed="false">
      <c r="A711" s="23"/>
      <c r="B711" s="24"/>
      <c r="C711" s="24"/>
      <c r="D711" s="24"/>
      <c r="E711" s="24"/>
      <c r="F711" s="24"/>
      <c r="G711" s="24"/>
      <c r="H711" s="25" t="str">
        <f aca="false">IF($B711="","",IFERROR(IF(INDEX(명단!$B$5:$B$404,MATCH($B711,명단!$A$5:$A$404,0))="","(이름 미입력)",INDEX(명단!$B$5:$B$404,MATCH($B711,명단!$A$5:$A$404,0))),"번호 없음"))</f>
        <v/>
      </c>
      <c r="I711" s="25" t="str">
        <f aca="false">IF(AND(C711="",D711=""),"",IF(OR(C711="-",D711="-"),"측정불가",IF(AND(ISNUMBER(C711),ISNUMBER(D711)),IF(OR(C711&gt;=설정!$C$11,D711&gt;=설정!$C$12),"긴급",IF(OR(C711&gt;=설정!$C$9,D711&gt;=설정!$C$10,C711&lt;설정!$C$13),"주의","정상")),"확인필요")))</f>
        <v/>
      </c>
      <c r="J711" s="25" t="str">
        <f aca="false">IF(E711="","",IF(E711="-","측정불가",IF(NOT(ISNUMBER(E711)),"확인필요",IF(E711&lt;설정!$C$17,"긴급(저혈당)",IF(E711&gt;=설정!$C$18,"긴급(고혈당)",IF(F711="공복",IF(E711&gt;=설정!$C$15,"주의","정상"),IF(F711="식후",IF(E711&gt;=설정!$C$16,"주의","정상"),"조건확인")))))))</f>
        <v/>
      </c>
      <c r="K711" s="25" t="str">
        <f aca="false">IF(OR(I711="긴급",LEFT(J711,2)="긴급"),"★ 즉시 선생님 호출",IF(OR(I711="주의",J711="주의"),"결과상담에서 확인",IF(J711="조건확인","혈당조건(공복/식후) 선택","")))</f>
        <v/>
      </c>
      <c r="L711" s="25" t="str">
        <f aca="false">IF($B711="","",IF(COUNTIF($B$5:$B$1004,$B711)&gt;1,"중복 입력",""))</f>
        <v/>
      </c>
    </row>
    <row r="712" customFormat="false" ht="15" hidden="false" customHeight="false" outlineLevel="0" collapsed="false">
      <c r="A712" s="23"/>
      <c r="B712" s="24"/>
      <c r="C712" s="24"/>
      <c r="D712" s="24"/>
      <c r="E712" s="24"/>
      <c r="F712" s="24"/>
      <c r="G712" s="24"/>
      <c r="H712" s="25" t="str">
        <f aca="false">IF($B712="","",IFERROR(IF(INDEX(명단!$B$5:$B$404,MATCH($B712,명단!$A$5:$A$404,0))="","(이름 미입력)",INDEX(명단!$B$5:$B$404,MATCH($B712,명단!$A$5:$A$404,0))),"번호 없음"))</f>
        <v/>
      </c>
      <c r="I712" s="25" t="str">
        <f aca="false">IF(AND(C712="",D712=""),"",IF(OR(C712="-",D712="-"),"측정불가",IF(AND(ISNUMBER(C712),ISNUMBER(D712)),IF(OR(C712&gt;=설정!$C$11,D712&gt;=설정!$C$12),"긴급",IF(OR(C712&gt;=설정!$C$9,D712&gt;=설정!$C$10,C712&lt;설정!$C$13),"주의","정상")),"확인필요")))</f>
        <v/>
      </c>
      <c r="J712" s="25" t="str">
        <f aca="false">IF(E712="","",IF(E712="-","측정불가",IF(NOT(ISNUMBER(E712)),"확인필요",IF(E712&lt;설정!$C$17,"긴급(저혈당)",IF(E712&gt;=설정!$C$18,"긴급(고혈당)",IF(F712="공복",IF(E712&gt;=설정!$C$15,"주의","정상"),IF(F712="식후",IF(E712&gt;=설정!$C$16,"주의","정상"),"조건확인")))))))</f>
        <v/>
      </c>
      <c r="K712" s="25" t="str">
        <f aca="false">IF(OR(I712="긴급",LEFT(J712,2)="긴급"),"★ 즉시 선생님 호출",IF(OR(I712="주의",J712="주의"),"결과상담에서 확인",IF(J712="조건확인","혈당조건(공복/식후) 선택","")))</f>
        <v/>
      </c>
      <c r="L712" s="25" t="str">
        <f aca="false">IF($B712="","",IF(COUNTIF($B$5:$B$1004,$B712)&gt;1,"중복 입력",""))</f>
        <v/>
      </c>
    </row>
    <row r="713" customFormat="false" ht="15" hidden="false" customHeight="false" outlineLevel="0" collapsed="false">
      <c r="A713" s="23"/>
      <c r="B713" s="24"/>
      <c r="C713" s="24"/>
      <c r="D713" s="24"/>
      <c r="E713" s="24"/>
      <c r="F713" s="24"/>
      <c r="G713" s="24"/>
      <c r="H713" s="25" t="str">
        <f aca="false">IF($B713="","",IFERROR(IF(INDEX(명단!$B$5:$B$404,MATCH($B713,명단!$A$5:$A$404,0))="","(이름 미입력)",INDEX(명단!$B$5:$B$404,MATCH($B713,명단!$A$5:$A$404,0))),"번호 없음"))</f>
        <v/>
      </c>
      <c r="I713" s="25" t="str">
        <f aca="false">IF(AND(C713="",D713=""),"",IF(OR(C713="-",D713="-"),"측정불가",IF(AND(ISNUMBER(C713),ISNUMBER(D713)),IF(OR(C713&gt;=설정!$C$11,D713&gt;=설정!$C$12),"긴급",IF(OR(C713&gt;=설정!$C$9,D713&gt;=설정!$C$10,C713&lt;설정!$C$13),"주의","정상")),"확인필요")))</f>
        <v/>
      </c>
      <c r="J713" s="25" t="str">
        <f aca="false">IF(E713="","",IF(E713="-","측정불가",IF(NOT(ISNUMBER(E713)),"확인필요",IF(E713&lt;설정!$C$17,"긴급(저혈당)",IF(E713&gt;=설정!$C$18,"긴급(고혈당)",IF(F713="공복",IF(E713&gt;=설정!$C$15,"주의","정상"),IF(F713="식후",IF(E713&gt;=설정!$C$16,"주의","정상"),"조건확인")))))))</f>
        <v/>
      </c>
      <c r="K713" s="25" t="str">
        <f aca="false">IF(OR(I713="긴급",LEFT(J713,2)="긴급"),"★ 즉시 선생님 호출",IF(OR(I713="주의",J713="주의"),"결과상담에서 확인",IF(J713="조건확인","혈당조건(공복/식후) 선택","")))</f>
        <v/>
      </c>
      <c r="L713" s="25" t="str">
        <f aca="false">IF($B713="","",IF(COUNTIF($B$5:$B$1004,$B713)&gt;1,"중복 입력",""))</f>
        <v/>
      </c>
    </row>
    <row r="714" customFormat="false" ht="15" hidden="false" customHeight="false" outlineLevel="0" collapsed="false">
      <c r="A714" s="23"/>
      <c r="B714" s="24"/>
      <c r="C714" s="24"/>
      <c r="D714" s="24"/>
      <c r="E714" s="24"/>
      <c r="F714" s="24"/>
      <c r="G714" s="24"/>
      <c r="H714" s="25" t="str">
        <f aca="false">IF($B714="","",IFERROR(IF(INDEX(명단!$B$5:$B$404,MATCH($B714,명단!$A$5:$A$404,0))="","(이름 미입력)",INDEX(명단!$B$5:$B$404,MATCH($B714,명단!$A$5:$A$404,0))),"번호 없음"))</f>
        <v/>
      </c>
      <c r="I714" s="25" t="str">
        <f aca="false">IF(AND(C714="",D714=""),"",IF(OR(C714="-",D714="-"),"측정불가",IF(AND(ISNUMBER(C714),ISNUMBER(D714)),IF(OR(C714&gt;=설정!$C$11,D714&gt;=설정!$C$12),"긴급",IF(OR(C714&gt;=설정!$C$9,D714&gt;=설정!$C$10,C714&lt;설정!$C$13),"주의","정상")),"확인필요")))</f>
        <v/>
      </c>
      <c r="J714" s="25" t="str">
        <f aca="false">IF(E714="","",IF(E714="-","측정불가",IF(NOT(ISNUMBER(E714)),"확인필요",IF(E714&lt;설정!$C$17,"긴급(저혈당)",IF(E714&gt;=설정!$C$18,"긴급(고혈당)",IF(F714="공복",IF(E714&gt;=설정!$C$15,"주의","정상"),IF(F714="식후",IF(E714&gt;=설정!$C$16,"주의","정상"),"조건확인")))))))</f>
        <v/>
      </c>
      <c r="K714" s="25" t="str">
        <f aca="false">IF(OR(I714="긴급",LEFT(J714,2)="긴급"),"★ 즉시 선생님 호출",IF(OR(I714="주의",J714="주의"),"결과상담에서 확인",IF(J714="조건확인","혈당조건(공복/식후) 선택","")))</f>
        <v/>
      </c>
      <c r="L714" s="25" t="str">
        <f aca="false">IF($B714="","",IF(COUNTIF($B$5:$B$1004,$B714)&gt;1,"중복 입력",""))</f>
        <v/>
      </c>
    </row>
    <row r="715" customFormat="false" ht="15" hidden="false" customHeight="false" outlineLevel="0" collapsed="false">
      <c r="A715" s="23"/>
      <c r="B715" s="24"/>
      <c r="C715" s="24"/>
      <c r="D715" s="24"/>
      <c r="E715" s="24"/>
      <c r="F715" s="24"/>
      <c r="G715" s="24"/>
      <c r="H715" s="25" t="str">
        <f aca="false">IF($B715="","",IFERROR(IF(INDEX(명단!$B$5:$B$404,MATCH($B715,명단!$A$5:$A$404,0))="","(이름 미입력)",INDEX(명단!$B$5:$B$404,MATCH($B715,명단!$A$5:$A$404,0))),"번호 없음"))</f>
        <v/>
      </c>
      <c r="I715" s="25" t="str">
        <f aca="false">IF(AND(C715="",D715=""),"",IF(OR(C715="-",D715="-"),"측정불가",IF(AND(ISNUMBER(C715),ISNUMBER(D715)),IF(OR(C715&gt;=설정!$C$11,D715&gt;=설정!$C$12),"긴급",IF(OR(C715&gt;=설정!$C$9,D715&gt;=설정!$C$10,C715&lt;설정!$C$13),"주의","정상")),"확인필요")))</f>
        <v/>
      </c>
      <c r="J715" s="25" t="str">
        <f aca="false">IF(E715="","",IF(E715="-","측정불가",IF(NOT(ISNUMBER(E715)),"확인필요",IF(E715&lt;설정!$C$17,"긴급(저혈당)",IF(E715&gt;=설정!$C$18,"긴급(고혈당)",IF(F715="공복",IF(E715&gt;=설정!$C$15,"주의","정상"),IF(F715="식후",IF(E715&gt;=설정!$C$16,"주의","정상"),"조건확인")))))))</f>
        <v/>
      </c>
      <c r="K715" s="25" t="str">
        <f aca="false">IF(OR(I715="긴급",LEFT(J715,2)="긴급"),"★ 즉시 선생님 호출",IF(OR(I715="주의",J715="주의"),"결과상담에서 확인",IF(J715="조건확인","혈당조건(공복/식후) 선택","")))</f>
        <v/>
      </c>
      <c r="L715" s="25" t="str">
        <f aca="false">IF($B715="","",IF(COUNTIF($B$5:$B$1004,$B715)&gt;1,"중복 입력",""))</f>
        <v/>
      </c>
    </row>
    <row r="716" customFormat="false" ht="15" hidden="false" customHeight="false" outlineLevel="0" collapsed="false">
      <c r="A716" s="23"/>
      <c r="B716" s="24"/>
      <c r="C716" s="24"/>
      <c r="D716" s="24"/>
      <c r="E716" s="24"/>
      <c r="F716" s="24"/>
      <c r="G716" s="24"/>
      <c r="H716" s="25" t="str">
        <f aca="false">IF($B716="","",IFERROR(IF(INDEX(명단!$B$5:$B$404,MATCH($B716,명단!$A$5:$A$404,0))="","(이름 미입력)",INDEX(명단!$B$5:$B$404,MATCH($B716,명단!$A$5:$A$404,0))),"번호 없음"))</f>
        <v/>
      </c>
      <c r="I716" s="25" t="str">
        <f aca="false">IF(AND(C716="",D716=""),"",IF(OR(C716="-",D716="-"),"측정불가",IF(AND(ISNUMBER(C716),ISNUMBER(D716)),IF(OR(C716&gt;=설정!$C$11,D716&gt;=설정!$C$12),"긴급",IF(OR(C716&gt;=설정!$C$9,D716&gt;=설정!$C$10,C716&lt;설정!$C$13),"주의","정상")),"확인필요")))</f>
        <v/>
      </c>
      <c r="J716" s="25" t="str">
        <f aca="false">IF(E716="","",IF(E716="-","측정불가",IF(NOT(ISNUMBER(E716)),"확인필요",IF(E716&lt;설정!$C$17,"긴급(저혈당)",IF(E716&gt;=설정!$C$18,"긴급(고혈당)",IF(F716="공복",IF(E716&gt;=설정!$C$15,"주의","정상"),IF(F716="식후",IF(E716&gt;=설정!$C$16,"주의","정상"),"조건확인")))))))</f>
        <v/>
      </c>
      <c r="K716" s="25" t="str">
        <f aca="false">IF(OR(I716="긴급",LEFT(J716,2)="긴급"),"★ 즉시 선생님 호출",IF(OR(I716="주의",J716="주의"),"결과상담에서 확인",IF(J716="조건확인","혈당조건(공복/식후) 선택","")))</f>
        <v/>
      </c>
      <c r="L716" s="25" t="str">
        <f aca="false">IF($B716="","",IF(COUNTIF($B$5:$B$1004,$B716)&gt;1,"중복 입력",""))</f>
        <v/>
      </c>
    </row>
    <row r="717" customFormat="false" ht="15" hidden="false" customHeight="false" outlineLevel="0" collapsed="false">
      <c r="A717" s="23"/>
      <c r="B717" s="24"/>
      <c r="C717" s="24"/>
      <c r="D717" s="24"/>
      <c r="E717" s="24"/>
      <c r="F717" s="24"/>
      <c r="G717" s="24"/>
      <c r="H717" s="25" t="str">
        <f aca="false">IF($B717="","",IFERROR(IF(INDEX(명단!$B$5:$B$404,MATCH($B717,명단!$A$5:$A$404,0))="","(이름 미입력)",INDEX(명단!$B$5:$B$404,MATCH($B717,명단!$A$5:$A$404,0))),"번호 없음"))</f>
        <v/>
      </c>
      <c r="I717" s="25" t="str">
        <f aca="false">IF(AND(C717="",D717=""),"",IF(OR(C717="-",D717="-"),"측정불가",IF(AND(ISNUMBER(C717),ISNUMBER(D717)),IF(OR(C717&gt;=설정!$C$11,D717&gt;=설정!$C$12),"긴급",IF(OR(C717&gt;=설정!$C$9,D717&gt;=설정!$C$10,C717&lt;설정!$C$13),"주의","정상")),"확인필요")))</f>
        <v/>
      </c>
      <c r="J717" s="25" t="str">
        <f aca="false">IF(E717="","",IF(E717="-","측정불가",IF(NOT(ISNUMBER(E717)),"확인필요",IF(E717&lt;설정!$C$17,"긴급(저혈당)",IF(E717&gt;=설정!$C$18,"긴급(고혈당)",IF(F717="공복",IF(E717&gt;=설정!$C$15,"주의","정상"),IF(F717="식후",IF(E717&gt;=설정!$C$16,"주의","정상"),"조건확인")))))))</f>
        <v/>
      </c>
      <c r="K717" s="25" t="str">
        <f aca="false">IF(OR(I717="긴급",LEFT(J717,2)="긴급"),"★ 즉시 선생님 호출",IF(OR(I717="주의",J717="주의"),"결과상담에서 확인",IF(J717="조건확인","혈당조건(공복/식후) 선택","")))</f>
        <v/>
      </c>
      <c r="L717" s="25" t="str">
        <f aca="false">IF($B717="","",IF(COUNTIF($B$5:$B$1004,$B717)&gt;1,"중복 입력",""))</f>
        <v/>
      </c>
    </row>
    <row r="718" customFormat="false" ht="15" hidden="false" customHeight="false" outlineLevel="0" collapsed="false">
      <c r="A718" s="23"/>
      <c r="B718" s="24"/>
      <c r="C718" s="24"/>
      <c r="D718" s="24"/>
      <c r="E718" s="24"/>
      <c r="F718" s="24"/>
      <c r="G718" s="24"/>
      <c r="H718" s="25" t="str">
        <f aca="false">IF($B718="","",IFERROR(IF(INDEX(명단!$B$5:$B$404,MATCH($B718,명단!$A$5:$A$404,0))="","(이름 미입력)",INDEX(명단!$B$5:$B$404,MATCH($B718,명단!$A$5:$A$404,0))),"번호 없음"))</f>
        <v/>
      </c>
      <c r="I718" s="25" t="str">
        <f aca="false">IF(AND(C718="",D718=""),"",IF(OR(C718="-",D718="-"),"측정불가",IF(AND(ISNUMBER(C718),ISNUMBER(D718)),IF(OR(C718&gt;=설정!$C$11,D718&gt;=설정!$C$12),"긴급",IF(OR(C718&gt;=설정!$C$9,D718&gt;=설정!$C$10,C718&lt;설정!$C$13),"주의","정상")),"확인필요")))</f>
        <v/>
      </c>
      <c r="J718" s="25" t="str">
        <f aca="false">IF(E718="","",IF(E718="-","측정불가",IF(NOT(ISNUMBER(E718)),"확인필요",IF(E718&lt;설정!$C$17,"긴급(저혈당)",IF(E718&gt;=설정!$C$18,"긴급(고혈당)",IF(F718="공복",IF(E718&gt;=설정!$C$15,"주의","정상"),IF(F718="식후",IF(E718&gt;=설정!$C$16,"주의","정상"),"조건확인")))))))</f>
        <v/>
      </c>
      <c r="K718" s="25" t="str">
        <f aca="false">IF(OR(I718="긴급",LEFT(J718,2)="긴급"),"★ 즉시 선생님 호출",IF(OR(I718="주의",J718="주의"),"결과상담에서 확인",IF(J718="조건확인","혈당조건(공복/식후) 선택","")))</f>
        <v/>
      </c>
      <c r="L718" s="25" t="str">
        <f aca="false">IF($B718="","",IF(COUNTIF($B$5:$B$1004,$B718)&gt;1,"중복 입력",""))</f>
        <v/>
      </c>
    </row>
    <row r="719" customFormat="false" ht="15" hidden="false" customHeight="false" outlineLevel="0" collapsed="false">
      <c r="A719" s="23"/>
      <c r="B719" s="24"/>
      <c r="C719" s="24"/>
      <c r="D719" s="24"/>
      <c r="E719" s="24"/>
      <c r="F719" s="24"/>
      <c r="G719" s="24"/>
      <c r="H719" s="25" t="str">
        <f aca="false">IF($B719="","",IFERROR(IF(INDEX(명단!$B$5:$B$404,MATCH($B719,명단!$A$5:$A$404,0))="","(이름 미입력)",INDEX(명단!$B$5:$B$404,MATCH($B719,명단!$A$5:$A$404,0))),"번호 없음"))</f>
        <v/>
      </c>
      <c r="I719" s="25" t="str">
        <f aca="false">IF(AND(C719="",D719=""),"",IF(OR(C719="-",D719="-"),"측정불가",IF(AND(ISNUMBER(C719),ISNUMBER(D719)),IF(OR(C719&gt;=설정!$C$11,D719&gt;=설정!$C$12),"긴급",IF(OR(C719&gt;=설정!$C$9,D719&gt;=설정!$C$10,C719&lt;설정!$C$13),"주의","정상")),"확인필요")))</f>
        <v/>
      </c>
      <c r="J719" s="25" t="str">
        <f aca="false">IF(E719="","",IF(E719="-","측정불가",IF(NOT(ISNUMBER(E719)),"확인필요",IF(E719&lt;설정!$C$17,"긴급(저혈당)",IF(E719&gt;=설정!$C$18,"긴급(고혈당)",IF(F719="공복",IF(E719&gt;=설정!$C$15,"주의","정상"),IF(F719="식후",IF(E719&gt;=설정!$C$16,"주의","정상"),"조건확인")))))))</f>
        <v/>
      </c>
      <c r="K719" s="25" t="str">
        <f aca="false">IF(OR(I719="긴급",LEFT(J719,2)="긴급"),"★ 즉시 선생님 호출",IF(OR(I719="주의",J719="주의"),"결과상담에서 확인",IF(J719="조건확인","혈당조건(공복/식후) 선택","")))</f>
        <v/>
      </c>
      <c r="L719" s="25" t="str">
        <f aca="false">IF($B719="","",IF(COUNTIF($B$5:$B$1004,$B719)&gt;1,"중복 입력",""))</f>
        <v/>
      </c>
    </row>
    <row r="720" customFormat="false" ht="15" hidden="false" customHeight="false" outlineLevel="0" collapsed="false">
      <c r="A720" s="23"/>
      <c r="B720" s="24"/>
      <c r="C720" s="24"/>
      <c r="D720" s="24"/>
      <c r="E720" s="24"/>
      <c r="F720" s="24"/>
      <c r="G720" s="24"/>
      <c r="H720" s="25" t="str">
        <f aca="false">IF($B720="","",IFERROR(IF(INDEX(명단!$B$5:$B$404,MATCH($B720,명단!$A$5:$A$404,0))="","(이름 미입력)",INDEX(명단!$B$5:$B$404,MATCH($B720,명단!$A$5:$A$404,0))),"번호 없음"))</f>
        <v/>
      </c>
      <c r="I720" s="25" t="str">
        <f aca="false">IF(AND(C720="",D720=""),"",IF(OR(C720="-",D720="-"),"측정불가",IF(AND(ISNUMBER(C720),ISNUMBER(D720)),IF(OR(C720&gt;=설정!$C$11,D720&gt;=설정!$C$12),"긴급",IF(OR(C720&gt;=설정!$C$9,D720&gt;=설정!$C$10,C720&lt;설정!$C$13),"주의","정상")),"확인필요")))</f>
        <v/>
      </c>
      <c r="J720" s="25" t="str">
        <f aca="false">IF(E720="","",IF(E720="-","측정불가",IF(NOT(ISNUMBER(E720)),"확인필요",IF(E720&lt;설정!$C$17,"긴급(저혈당)",IF(E720&gt;=설정!$C$18,"긴급(고혈당)",IF(F720="공복",IF(E720&gt;=설정!$C$15,"주의","정상"),IF(F720="식후",IF(E720&gt;=설정!$C$16,"주의","정상"),"조건확인")))))))</f>
        <v/>
      </c>
      <c r="K720" s="25" t="str">
        <f aca="false">IF(OR(I720="긴급",LEFT(J720,2)="긴급"),"★ 즉시 선생님 호출",IF(OR(I720="주의",J720="주의"),"결과상담에서 확인",IF(J720="조건확인","혈당조건(공복/식후) 선택","")))</f>
        <v/>
      </c>
      <c r="L720" s="25" t="str">
        <f aca="false">IF($B720="","",IF(COUNTIF($B$5:$B$1004,$B720)&gt;1,"중복 입력",""))</f>
        <v/>
      </c>
    </row>
    <row r="721" customFormat="false" ht="15" hidden="false" customHeight="false" outlineLevel="0" collapsed="false">
      <c r="A721" s="23"/>
      <c r="B721" s="24"/>
      <c r="C721" s="24"/>
      <c r="D721" s="24"/>
      <c r="E721" s="24"/>
      <c r="F721" s="24"/>
      <c r="G721" s="24"/>
      <c r="H721" s="25" t="str">
        <f aca="false">IF($B721="","",IFERROR(IF(INDEX(명단!$B$5:$B$404,MATCH($B721,명단!$A$5:$A$404,0))="","(이름 미입력)",INDEX(명단!$B$5:$B$404,MATCH($B721,명단!$A$5:$A$404,0))),"번호 없음"))</f>
        <v/>
      </c>
      <c r="I721" s="25" t="str">
        <f aca="false">IF(AND(C721="",D721=""),"",IF(OR(C721="-",D721="-"),"측정불가",IF(AND(ISNUMBER(C721),ISNUMBER(D721)),IF(OR(C721&gt;=설정!$C$11,D721&gt;=설정!$C$12),"긴급",IF(OR(C721&gt;=설정!$C$9,D721&gt;=설정!$C$10,C721&lt;설정!$C$13),"주의","정상")),"확인필요")))</f>
        <v/>
      </c>
      <c r="J721" s="25" t="str">
        <f aca="false">IF(E721="","",IF(E721="-","측정불가",IF(NOT(ISNUMBER(E721)),"확인필요",IF(E721&lt;설정!$C$17,"긴급(저혈당)",IF(E721&gt;=설정!$C$18,"긴급(고혈당)",IF(F721="공복",IF(E721&gt;=설정!$C$15,"주의","정상"),IF(F721="식후",IF(E721&gt;=설정!$C$16,"주의","정상"),"조건확인")))))))</f>
        <v/>
      </c>
      <c r="K721" s="25" t="str">
        <f aca="false">IF(OR(I721="긴급",LEFT(J721,2)="긴급"),"★ 즉시 선생님 호출",IF(OR(I721="주의",J721="주의"),"결과상담에서 확인",IF(J721="조건확인","혈당조건(공복/식후) 선택","")))</f>
        <v/>
      </c>
      <c r="L721" s="25" t="str">
        <f aca="false">IF($B721="","",IF(COUNTIF($B$5:$B$1004,$B721)&gt;1,"중복 입력",""))</f>
        <v/>
      </c>
    </row>
    <row r="722" customFormat="false" ht="15" hidden="false" customHeight="false" outlineLevel="0" collapsed="false">
      <c r="A722" s="23"/>
      <c r="B722" s="24"/>
      <c r="C722" s="24"/>
      <c r="D722" s="24"/>
      <c r="E722" s="24"/>
      <c r="F722" s="24"/>
      <c r="G722" s="24"/>
      <c r="H722" s="25" t="str">
        <f aca="false">IF($B722="","",IFERROR(IF(INDEX(명단!$B$5:$B$404,MATCH($B722,명단!$A$5:$A$404,0))="","(이름 미입력)",INDEX(명단!$B$5:$B$404,MATCH($B722,명단!$A$5:$A$404,0))),"번호 없음"))</f>
        <v/>
      </c>
      <c r="I722" s="25" t="str">
        <f aca="false">IF(AND(C722="",D722=""),"",IF(OR(C722="-",D722="-"),"측정불가",IF(AND(ISNUMBER(C722),ISNUMBER(D722)),IF(OR(C722&gt;=설정!$C$11,D722&gt;=설정!$C$12),"긴급",IF(OR(C722&gt;=설정!$C$9,D722&gt;=설정!$C$10,C722&lt;설정!$C$13),"주의","정상")),"확인필요")))</f>
        <v/>
      </c>
      <c r="J722" s="25" t="str">
        <f aca="false">IF(E722="","",IF(E722="-","측정불가",IF(NOT(ISNUMBER(E722)),"확인필요",IF(E722&lt;설정!$C$17,"긴급(저혈당)",IF(E722&gt;=설정!$C$18,"긴급(고혈당)",IF(F722="공복",IF(E722&gt;=설정!$C$15,"주의","정상"),IF(F722="식후",IF(E722&gt;=설정!$C$16,"주의","정상"),"조건확인")))))))</f>
        <v/>
      </c>
      <c r="K722" s="25" t="str">
        <f aca="false">IF(OR(I722="긴급",LEFT(J722,2)="긴급"),"★ 즉시 선생님 호출",IF(OR(I722="주의",J722="주의"),"결과상담에서 확인",IF(J722="조건확인","혈당조건(공복/식후) 선택","")))</f>
        <v/>
      </c>
      <c r="L722" s="25" t="str">
        <f aca="false">IF($B722="","",IF(COUNTIF($B$5:$B$1004,$B722)&gt;1,"중복 입력",""))</f>
        <v/>
      </c>
    </row>
    <row r="723" customFormat="false" ht="15" hidden="false" customHeight="false" outlineLevel="0" collapsed="false">
      <c r="A723" s="23"/>
      <c r="B723" s="24"/>
      <c r="C723" s="24"/>
      <c r="D723" s="24"/>
      <c r="E723" s="24"/>
      <c r="F723" s="24"/>
      <c r="G723" s="24"/>
      <c r="H723" s="25" t="str">
        <f aca="false">IF($B723="","",IFERROR(IF(INDEX(명단!$B$5:$B$404,MATCH($B723,명단!$A$5:$A$404,0))="","(이름 미입력)",INDEX(명단!$B$5:$B$404,MATCH($B723,명단!$A$5:$A$404,0))),"번호 없음"))</f>
        <v/>
      </c>
      <c r="I723" s="25" t="str">
        <f aca="false">IF(AND(C723="",D723=""),"",IF(OR(C723="-",D723="-"),"측정불가",IF(AND(ISNUMBER(C723),ISNUMBER(D723)),IF(OR(C723&gt;=설정!$C$11,D723&gt;=설정!$C$12),"긴급",IF(OR(C723&gt;=설정!$C$9,D723&gt;=설정!$C$10,C723&lt;설정!$C$13),"주의","정상")),"확인필요")))</f>
        <v/>
      </c>
      <c r="J723" s="25" t="str">
        <f aca="false">IF(E723="","",IF(E723="-","측정불가",IF(NOT(ISNUMBER(E723)),"확인필요",IF(E723&lt;설정!$C$17,"긴급(저혈당)",IF(E723&gt;=설정!$C$18,"긴급(고혈당)",IF(F723="공복",IF(E723&gt;=설정!$C$15,"주의","정상"),IF(F723="식후",IF(E723&gt;=설정!$C$16,"주의","정상"),"조건확인")))))))</f>
        <v/>
      </c>
      <c r="K723" s="25" t="str">
        <f aca="false">IF(OR(I723="긴급",LEFT(J723,2)="긴급"),"★ 즉시 선생님 호출",IF(OR(I723="주의",J723="주의"),"결과상담에서 확인",IF(J723="조건확인","혈당조건(공복/식후) 선택","")))</f>
        <v/>
      </c>
      <c r="L723" s="25" t="str">
        <f aca="false">IF($B723="","",IF(COUNTIF($B$5:$B$1004,$B723)&gt;1,"중복 입력",""))</f>
        <v/>
      </c>
    </row>
    <row r="724" customFormat="false" ht="15" hidden="false" customHeight="false" outlineLevel="0" collapsed="false">
      <c r="A724" s="23"/>
      <c r="B724" s="24"/>
      <c r="C724" s="24"/>
      <c r="D724" s="24"/>
      <c r="E724" s="24"/>
      <c r="F724" s="24"/>
      <c r="G724" s="24"/>
      <c r="H724" s="25" t="str">
        <f aca="false">IF($B724="","",IFERROR(IF(INDEX(명단!$B$5:$B$404,MATCH($B724,명단!$A$5:$A$404,0))="","(이름 미입력)",INDEX(명단!$B$5:$B$404,MATCH($B724,명단!$A$5:$A$404,0))),"번호 없음"))</f>
        <v/>
      </c>
      <c r="I724" s="25" t="str">
        <f aca="false">IF(AND(C724="",D724=""),"",IF(OR(C724="-",D724="-"),"측정불가",IF(AND(ISNUMBER(C724),ISNUMBER(D724)),IF(OR(C724&gt;=설정!$C$11,D724&gt;=설정!$C$12),"긴급",IF(OR(C724&gt;=설정!$C$9,D724&gt;=설정!$C$10,C724&lt;설정!$C$13),"주의","정상")),"확인필요")))</f>
        <v/>
      </c>
      <c r="J724" s="25" t="str">
        <f aca="false">IF(E724="","",IF(E724="-","측정불가",IF(NOT(ISNUMBER(E724)),"확인필요",IF(E724&lt;설정!$C$17,"긴급(저혈당)",IF(E724&gt;=설정!$C$18,"긴급(고혈당)",IF(F724="공복",IF(E724&gt;=설정!$C$15,"주의","정상"),IF(F724="식후",IF(E724&gt;=설정!$C$16,"주의","정상"),"조건확인")))))))</f>
        <v/>
      </c>
      <c r="K724" s="25" t="str">
        <f aca="false">IF(OR(I724="긴급",LEFT(J724,2)="긴급"),"★ 즉시 선생님 호출",IF(OR(I724="주의",J724="주의"),"결과상담에서 확인",IF(J724="조건확인","혈당조건(공복/식후) 선택","")))</f>
        <v/>
      </c>
      <c r="L724" s="25" t="str">
        <f aca="false">IF($B724="","",IF(COUNTIF($B$5:$B$1004,$B724)&gt;1,"중복 입력",""))</f>
        <v/>
      </c>
    </row>
    <row r="725" customFormat="false" ht="15" hidden="false" customHeight="false" outlineLevel="0" collapsed="false">
      <c r="A725" s="23"/>
      <c r="B725" s="24"/>
      <c r="C725" s="24"/>
      <c r="D725" s="24"/>
      <c r="E725" s="24"/>
      <c r="F725" s="24"/>
      <c r="G725" s="24"/>
      <c r="H725" s="25" t="str">
        <f aca="false">IF($B725="","",IFERROR(IF(INDEX(명단!$B$5:$B$404,MATCH($B725,명단!$A$5:$A$404,0))="","(이름 미입력)",INDEX(명단!$B$5:$B$404,MATCH($B725,명단!$A$5:$A$404,0))),"번호 없음"))</f>
        <v/>
      </c>
      <c r="I725" s="25" t="str">
        <f aca="false">IF(AND(C725="",D725=""),"",IF(OR(C725="-",D725="-"),"측정불가",IF(AND(ISNUMBER(C725),ISNUMBER(D725)),IF(OR(C725&gt;=설정!$C$11,D725&gt;=설정!$C$12),"긴급",IF(OR(C725&gt;=설정!$C$9,D725&gt;=설정!$C$10,C725&lt;설정!$C$13),"주의","정상")),"확인필요")))</f>
        <v/>
      </c>
      <c r="J725" s="25" t="str">
        <f aca="false">IF(E725="","",IF(E725="-","측정불가",IF(NOT(ISNUMBER(E725)),"확인필요",IF(E725&lt;설정!$C$17,"긴급(저혈당)",IF(E725&gt;=설정!$C$18,"긴급(고혈당)",IF(F725="공복",IF(E725&gt;=설정!$C$15,"주의","정상"),IF(F725="식후",IF(E725&gt;=설정!$C$16,"주의","정상"),"조건확인")))))))</f>
        <v/>
      </c>
      <c r="K725" s="25" t="str">
        <f aca="false">IF(OR(I725="긴급",LEFT(J725,2)="긴급"),"★ 즉시 선생님 호출",IF(OR(I725="주의",J725="주의"),"결과상담에서 확인",IF(J725="조건확인","혈당조건(공복/식후) 선택","")))</f>
        <v/>
      </c>
      <c r="L725" s="25" t="str">
        <f aca="false">IF($B725="","",IF(COUNTIF($B$5:$B$1004,$B725)&gt;1,"중복 입력",""))</f>
        <v/>
      </c>
    </row>
    <row r="726" customFormat="false" ht="15" hidden="false" customHeight="false" outlineLevel="0" collapsed="false">
      <c r="A726" s="23"/>
      <c r="B726" s="24"/>
      <c r="C726" s="24"/>
      <c r="D726" s="24"/>
      <c r="E726" s="24"/>
      <c r="F726" s="24"/>
      <c r="G726" s="24"/>
      <c r="H726" s="25" t="str">
        <f aca="false">IF($B726="","",IFERROR(IF(INDEX(명단!$B$5:$B$404,MATCH($B726,명단!$A$5:$A$404,0))="","(이름 미입력)",INDEX(명단!$B$5:$B$404,MATCH($B726,명단!$A$5:$A$404,0))),"번호 없음"))</f>
        <v/>
      </c>
      <c r="I726" s="25" t="str">
        <f aca="false">IF(AND(C726="",D726=""),"",IF(OR(C726="-",D726="-"),"측정불가",IF(AND(ISNUMBER(C726),ISNUMBER(D726)),IF(OR(C726&gt;=설정!$C$11,D726&gt;=설정!$C$12),"긴급",IF(OR(C726&gt;=설정!$C$9,D726&gt;=설정!$C$10,C726&lt;설정!$C$13),"주의","정상")),"확인필요")))</f>
        <v/>
      </c>
      <c r="J726" s="25" t="str">
        <f aca="false">IF(E726="","",IF(E726="-","측정불가",IF(NOT(ISNUMBER(E726)),"확인필요",IF(E726&lt;설정!$C$17,"긴급(저혈당)",IF(E726&gt;=설정!$C$18,"긴급(고혈당)",IF(F726="공복",IF(E726&gt;=설정!$C$15,"주의","정상"),IF(F726="식후",IF(E726&gt;=설정!$C$16,"주의","정상"),"조건확인")))))))</f>
        <v/>
      </c>
      <c r="K726" s="25" t="str">
        <f aca="false">IF(OR(I726="긴급",LEFT(J726,2)="긴급"),"★ 즉시 선생님 호출",IF(OR(I726="주의",J726="주의"),"결과상담에서 확인",IF(J726="조건확인","혈당조건(공복/식후) 선택","")))</f>
        <v/>
      </c>
      <c r="L726" s="25" t="str">
        <f aca="false">IF($B726="","",IF(COUNTIF($B$5:$B$1004,$B726)&gt;1,"중복 입력",""))</f>
        <v/>
      </c>
    </row>
    <row r="727" customFormat="false" ht="15" hidden="false" customHeight="false" outlineLevel="0" collapsed="false">
      <c r="A727" s="23"/>
      <c r="B727" s="24"/>
      <c r="C727" s="24"/>
      <c r="D727" s="24"/>
      <c r="E727" s="24"/>
      <c r="F727" s="24"/>
      <c r="G727" s="24"/>
      <c r="H727" s="25" t="str">
        <f aca="false">IF($B727="","",IFERROR(IF(INDEX(명단!$B$5:$B$404,MATCH($B727,명단!$A$5:$A$404,0))="","(이름 미입력)",INDEX(명단!$B$5:$B$404,MATCH($B727,명단!$A$5:$A$404,0))),"번호 없음"))</f>
        <v/>
      </c>
      <c r="I727" s="25" t="str">
        <f aca="false">IF(AND(C727="",D727=""),"",IF(OR(C727="-",D727="-"),"측정불가",IF(AND(ISNUMBER(C727),ISNUMBER(D727)),IF(OR(C727&gt;=설정!$C$11,D727&gt;=설정!$C$12),"긴급",IF(OR(C727&gt;=설정!$C$9,D727&gt;=설정!$C$10,C727&lt;설정!$C$13),"주의","정상")),"확인필요")))</f>
        <v/>
      </c>
      <c r="J727" s="25" t="str">
        <f aca="false">IF(E727="","",IF(E727="-","측정불가",IF(NOT(ISNUMBER(E727)),"확인필요",IF(E727&lt;설정!$C$17,"긴급(저혈당)",IF(E727&gt;=설정!$C$18,"긴급(고혈당)",IF(F727="공복",IF(E727&gt;=설정!$C$15,"주의","정상"),IF(F727="식후",IF(E727&gt;=설정!$C$16,"주의","정상"),"조건확인")))))))</f>
        <v/>
      </c>
      <c r="K727" s="25" t="str">
        <f aca="false">IF(OR(I727="긴급",LEFT(J727,2)="긴급"),"★ 즉시 선생님 호출",IF(OR(I727="주의",J727="주의"),"결과상담에서 확인",IF(J727="조건확인","혈당조건(공복/식후) 선택","")))</f>
        <v/>
      </c>
      <c r="L727" s="25" t="str">
        <f aca="false">IF($B727="","",IF(COUNTIF($B$5:$B$1004,$B727)&gt;1,"중복 입력",""))</f>
        <v/>
      </c>
    </row>
    <row r="728" customFormat="false" ht="15" hidden="false" customHeight="false" outlineLevel="0" collapsed="false">
      <c r="A728" s="23"/>
      <c r="B728" s="24"/>
      <c r="C728" s="24"/>
      <c r="D728" s="24"/>
      <c r="E728" s="24"/>
      <c r="F728" s="24"/>
      <c r="G728" s="24"/>
      <c r="H728" s="25" t="str">
        <f aca="false">IF($B728="","",IFERROR(IF(INDEX(명단!$B$5:$B$404,MATCH($B728,명단!$A$5:$A$404,0))="","(이름 미입력)",INDEX(명단!$B$5:$B$404,MATCH($B728,명단!$A$5:$A$404,0))),"번호 없음"))</f>
        <v/>
      </c>
      <c r="I728" s="25" t="str">
        <f aca="false">IF(AND(C728="",D728=""),"",IF(OR(C728="-",D728="-"),"측정불가",IF(AND(ISNUMBER(C728),ISNUMBER(D728)),IF(OR(C728&gt;=설정!$C$11,D728&gt;=설정!$C$12),"긴급",IF(OR(C728&gt;=설정!$C$9,D728&gt;=설정!$C$10,C728&lt;설정!$C$13),"주의","정상")),"확인필요")))</f>
        <v/>
      </c>
      <c r="J728" s="25" t="str">
        <f aca="false">IF(E728="","",IF(E728="-","측정불가",IF(NOT(ISNUMBER(E728)),"확인필요",IF(E728&lt;설정!$C$17,"긴급(저혈당)",IF(E728&gt;=설정!$C$18,"긴급(고혈당)",IF(F728="공복",IF(E728&gt;=설정!$C$15,"주의","정상"),IF(F728="식후",IF(E728&gt;=설정!$C$16,"주의","정상"),"조건확인")))))))</f>
        <v/>
      </c>
      <c r="K728" s="25" t="str">
        <f aca="false">IF(OR(I728="긴급",LEFT(J728,2)="긴급"),"★ 즉시 선생님 호출",IF(OR(I728="주의",J728="주의"),"결과상담에서 확인",IF(J728="조건확인","혈당조건(공복/식후) 선택","")))</f>
        <v/>
      </c>
      <c r="L728" s="25" t="str">
        <f aca="false">IF($B728="","",IF(COUNTIF($B$5:$B$1004,$B728)&gt;1,"중복 입력",""))</f>
        <v/>
      </c>
    </row>
    <row r="729" customFormat="false" ht="15" hidden="false" customHeight="false" outlineLevel="0" collapsed="false">
      <c r="A729" s="23"/>
      <c r="B729" s="24"/>
      <c r="C729" s="24"/>
      <c r="D729" s="24"/>
      <c r="E729" s="24"/>
      <c r="F729" s="24"/>
      <c r="G729" s="24"/>
      <c r="H729" s="25" t="str">
        <f aca="false">IF($B729="","",IFERROR(IF(INDEX(명단!$B$5:$B$404,MATCH($B729,명단!$A$5:$A$404,0))="","(이름 미입력)",INDEX(명단!$B$5:$B$404,MATCH($B729,명단!$A$5:$A$404,0))),"번호 없음"))</f>
        <v/>
      </c>
      <c r="I729" s="25" t="str">
        <f aca="false">IF(AND(C729="",D729=""),"",IF(OR(C729="-",D729="-"),"측정불가",IF(AND(ISNUMBER(C729),ISNUMBER(D729)),IF(OR(C729&gt;=설정!$C$11,D729&gt;=설정!$C$12),"긴급",IF(OR(C729&gt;=설정!$C$9,D729&gt;=설정!$C$10,C729&lt;설정!$C$13),"주의","정상")),"확인필요")))</f>
        <v/>
      </c>
      <c r="J729" s="25" t="str">
        <f aca="false">IF(E729="","",IF(E729="-","측정불가",IF(NOT(ISNUMBER(E729)),"확인필요",IF(E729&lt;설정!$C$17,"긴급(저혈당)",IF(E729&gt;=설정!$C$18,"긴급(고혈당)",IF(F729="공복",IF(E729&gt;=설정!$C$15,"주의","정상"),IF(F729="식후",IF(E729&gt;=설정!$C$16,"주의","정상"),"조건확인")))))))</f>
        <v/>
      </c>
      <c r="K729" s="25" t="str">
        <f aca="false">IF(OR(I729="긴급",LEFT(J729,2)="긴급"),"★ 즉시 선생님 호출",IF(OR(I729="주의",J729="주의"),"결과상담에서 확인",IF(J729="조건확인","혈당조건(공복/식후) 선택","")))</f>
        <v/>
      </c>
      <c r="L729" s="25" t="str">
        <f aca="false">IF($B729="","",IF(COUNTIF($B$5:$B$1004,$B729)&gt;1,"중복 입력",""))</f>
        <v/>
      </c>
    </row>
    <row r="730" customFormat="false" ht="15" hidden="false" customHeight="false" outlineLevel="0" collapsed="false">
      <c r="A730" s="23"/>
      <c r="B730" s="24"/>
      <c r="C730" s="24"/>
      <c r="D730" s="24"/>
      <c r="E730" s="24"/>
      <c r="F730" s="24"/>
      <c r="G730" s="24"/>
      <c r="H730" s="25" t="str">
        <f aca="false">IF($B730="","",IFERROR(IF(INDEX(명단!$B$5:$B$404,MATCH($B730,명단!$A$5:$A$404,0))="","(이름 미입력)",INDEX(명단!$B$5:$B$404,MATCH($B730,명단!$A$5:$A$404,0))),"번호 없음"))</f>
        <v/>
      </c>
      <c r="I730" s="25" t="str">
        <f aca="false">IF(AND(C730="",D730=""),"",IF(OR(C730="-",D730="-"),"측정불가",IF(AND(ISNUMBER(C730),ISNUMBER(D730)),IF(OR(C730&gt;=설정!$C$11,D730&gt;=설정!$C$12),"긴급",IF(OR(C730&gt;=설정!$C$9,D730&gt;=설정!$C$10,C730&lt;설정!$C$13),"주의","정상")),"확인필요")))</f>
        <v/>
      </c>
      <c r="J730" s="25" t="str">
        <f aca="false">IF(E730="","",IF(E730="-","측정불가",IF(NOT(ISNUMBER(E730)),"확인필요",IF(E730&lt;설정!$C$17,"긴급(저혈당)",IF(E730&gt;=설정!$C$18,"긴급(고혈당)",IF(F730="공복",IF(E730&gt;=설정!$C$15,"주의","정상"),IF(F730="식후",IF(E730&gt;=설정!$C$16,"주의","정상"),"조건확인")))))))</f>
        <v/>
      </c>
      <c r="K730" s="25" t="str">
        <f aca="false">IF(OR(I730="긴급",LEFT(J730,2)="긴급"),"★ 즉시 선생님 호출",IF(OR(I730="주의",J730="주의"),"결과상담에서 확인",IF(J730="조건확인","혈당조건(공복/식후) 선택","")))</f>
        <v/>
      </c>
      <c r="L730" s="25" t="str">
        <f aca="false">IF($B730="","",IF(COUNTIF($B$5:$B$1004,$B730)&gt;1,"중복 입력",""))</f>
        <v/>
      </c>
    </row>
    <row r="731" customFormat="false" ht="15" hidden="false" customHeight="false" outlineLevel="0" collapsed="false">
      <c r="A731" s="23"/>
      <c r="B731" s="24"/>
      <c r="C731" s="24"/>
      <c r="D731" s="24"/>
      <c r="E731" s="24"/>
      <c r="F731" s="24"/>
      <c r="G731" s="24"/>
      <c r="H731" s="25" t="str">
        <f aca="false">IF($B731="","",IFERROR(IF(INDEX(명단!$B$5:$B$404,MATCH($B731,명단!$A$5:$A$404,0))="","(이름 미입력)",INDEX(명단!$B$5:$B$404,MATCH($B731,명단!$A$5:$A$404,0))),"번호 없음"))</f>
        <v/>
      </c>
      <c r="I731" s="25" t="str">
        <f aca="false">IF(AND(C731="",D731=""),"",IF(OR(C731="-",D731="-"),"측정불가",IF(AND(ISNUMBER(C731),ISNUMBER(D731)),IF(OR(C731&gt;=설정!$C$11,D731&gt;=설정!$C$12),"긴급",IF(OR(C731&gt;=설정!$C$9,D731&gt;=설정!$C$10,C731&lt;설정!$C$13),"주의","정상")),"확인필요")))</f>
        <v/>
      </c>
      <c r="J731" s="25" t="str">
        <f aca="false">IF(E731="","",IF(E731="-","측정불가",IF(NOT(ISNUMBER(E731)),"확인필요",IF(E731&lt;설정!$C$17,"긴급(저혈당)",IF(E731&gt;=설정!$C$18,"긴급(고혈당)",IF(F731="공복",IF(E731&gt;=설정!$C$15,"주의","정상"),IF(F731="식후",IF(E731&gt;=설정!$C$16,"주의","정상"),"조건확인")))))))</f>
        <v/>
      </c>
      <c r="K731" s="25" t="str">
        <f aca="false">IF(OR(I731="긴급",LEFT(J731,2)="긴급"),"★ 즉시 선생님 호출",IF(OR(I731="주의",J731="주의"),"결과상담에서 확인",IF(J731="조건확인","혈당조건(공복/식후) 선택","")))</f>
        <v/>
      </c>
      <c r="L731" s="25" t="str">
        <f aca="false">IF($B731="","",IF(COUNTIF($B$5:$B$1004,$B731)&gt;1,"중복 입력",""))</f>
        <v/>
      </c>
    </row>
    <row r="732" customFormat="false" ht="15" hidden="false" customHeight="false" outlineLevel="0" collapsed="false">
      <c r="A732" s="23"/>
      <c r="B732" s="24"/>
      <c r="C732" s="24"/>
      <c r="D732" s="24"/>
      <c r="E732" s="24"/>
      <c r="F732" s="24"/>
      <c r="G732" s="24"/>
      <c r="H732" s="25" t="str">
        <f aca="false">IF($B732="","",IFERROR(IF(INDEX(명단!$B$5:$B$404,MATCH($B732,명단!$A$5:$A$404,0))="","(이름 미입력)",INDEX(명단!$B$5:$B$404,MATCH($B732,명단!$A$5:$A$404,0))),"번호 없음"))</f>
        <v/>
      </c>
      <c r="I732" s="25" t="str">
        <f aca="false">IF(AND(C732="",D732=""),"",IF(OR(C732="-",D732="-"),"측정불가",IF(AND(ISNUMBER(C732),ISNUMBER(D732)),IF(OR(C732&gt;=설정!$C$11,D732&gt;=설정!$C$12),"긴급",IF(OR(C732&gt;=설정!$C$9,D732&gt;=설정!$C$10,C732&lt;설정!$C$13),"주의","정상")),"확인필요")))</f>
        <v/>
      </c>
      <c r="J732" s="25" t="str">
        <f aca="false">IF(E732="","",IF(E732="-","측정불가",IF(NOT(ISNUMBER(E732)),"확인필요",IF(E732&lt;설정!$C$17,"긴급(저혈당)",IF(E732&gt;=설정!$C$18,"긴급(고혈당)",IF(F732="공복",IF(E732&gt;=설정!$C$15,"주의","정상"),IF(F732="식후",IF(E732&gt;=설정!$C$16,"주의","정상"),"조건확인")))))))</f>
        <v/>
      </c>
      <c r="K732" s="25" t="str">
        <f aca="false">IF(OR(I732="긴급",LEFT(J732,2)="긴급"),"★ 즉시 선생님 호출",IF(OR(I732="주의",J732="주의"),"결과상담에서 확인",IF(J732="조건확인","혈당조건(공복/식후) 선택","")))</f>
        <v/>
      </c>
      <c r="L732" s="25" t="str">
        <f aca="false">IF($B732="","",IF(COUNTIF($B$5:$B$1004,$B732)&gt;1,"중복 입력",""))</f>
        <v/>
      </c>
    </row>
    <row r="733" customFormat="false" ht="15" hidden="false" customHeight="false" outlineLevel="0" collapsed="false">
      <c r="A733" s="23"/>
      <c r="B733" s="24"/>
      <c r="C733" s="24"/>
      <c r="D733" s="24"/>
      <c r="E733" s="24"/>
      <c r="F733" s="24"/>
      <c r="G733" s="24"/>
      <c r="H733" s="25" t="str">
        <f aca="false">IF($B733="","",IFERROR(IF(INDEX(명단!$B$5:$B$404,MATCH($B733,명단!$A$5:$A$404,0))="","(이름 미입력)",INDEX(명단!$B$5:$B$404,MATCH($B733,명단!$A$5:$A$404,0))),"번호 없음"))</f>
        <v/>
      </c>
      <c r="I733" s="25" t="str">
        <f aca="false">IF(AND(C733="",D733=""),"",IF(OR(C733="-",D733="-"),"측정불가",IF(AND(ISNUMBER(C733),ISNUMBER(D733)),IF(OR(C733&gt;=설정!$C$11,D733&gt;=설정!$C$12),"긴급",IF(OR(C733&gt;=설정!$C$9,D733&gt;=설정!$C$10,C733&lt;설정!$C$13),"주의","정상")),"확인필요")))</f>
        <v/>
      </c>
      <c r="J733" s="25" t="str">
        <f aca="false">IF(E733="","",IF(E733="-","측정불가",IF(NOT(ISNUMBER(E733)),"확인필요",IF(E733&lt;설정!$C$17,"긴급(저혈당)",IF(E733&gt;=설정!$C$18,"긴급(고혈당)",IF(F733="공복",IF(E733&gt;=설정!$C$15,"주의","정상"),IF(F733="식후",IF(E733&gt;=설정!$C$16,"주의","정상"),"조건확인")))))))</f>
        <v/>
      </c>
      <c r="K733" s="25" t="str">
        <f aca="false">IF(OR(I733="긴급",LEFT(J733,2)="긴급"),"★ 즉시 선생님 호출",IF(OR(I733="주의",J733="주의"),"결과상담에서 확인",IF(J733="조건확인","혈당조건(공복/식후) 선택","")))</f>
        <v/>
      </c>
      <c r="L733" s="25" t="str">
        <f aca="false">IF($B733="","",IF(COUNTIF($B$5:$B$1004,$B733)&gt;1,"중복 입력",""))</f>
        <v/>
      </c>
    </row>
    <row r="734" customFormat="false" ht="15" hidden="false" customHeight="false" outlineLevel="0" collapsed="false">
      <c r="A734" s="23"/>
      <c r="B734" s="24"/>
      <c r="C734" s="24"/>
      <c r="D734" s="24"/>
      <c r="E734" s="24"/>
      <c r="F734" s="24"/>
      <c r="G734" s="24"/>
      <c r="H734" s="25" t="str">
        <f aca="false">IF($B734="","",IFERROR(IF(INDEX(명단!$B$5:$B$404,MATCH($B734,명단!$A$5:$A$404,0))="","(이름 미입력)",INDEX(명단!$B$5:$B$404,MATCH($B734,명단!$A$5:$A$404,0))),"번호 없음"))</f>
        <v/>
      </c>
      <c r="I734" s="25" t="str">
        <f aca="false">IF(AND(C734="",D734=""),"",IF(OR(C734="-",D734="-"),"측정불가",IF(AND(ISNUMBER(C734),ISNUMBER(D734)),IF(OR(C734&gt;=설정!$C$11,D734&gt;=설정!$C$12),"긴급",IF(OR(C734&gt;=설정!$C$9,D734&gt;=설정!$C$10,C734&lt;설정!$C$13),"주의","정상")),"확인필요")))</f>
        <v/>
      </c>
      <c r="J734" s="25" t="str">
        <f aca="false">IF(E734="","",IF(E734="-","측정불가",IF(NOT(ISNUMBER(E734)),"확인필요",IF(E734&lt;설정!$C$17,"긴급(저혈당)",IF(E734&gt;=설정!$C$18,"긴급(고혈당)",IF(F734="공복",IF(E734&gt;=설정!$C$15,"주의","정상"),IF(F734="식후",IF(E734&gt;=설정!$C$16,"주의","정상"),"조건확인")))))))</f>
        <v/>
      </c>
      <c r="K734" s="25" t="str">
        <f aca="false">IF(OR(I734="긴급",LEFT(J734,2)="긴급"),"★ 즉시 선생님 호출",IF(OR(I734="주의",J734="주의"),"결과상담에서 확인",IF(J734="조건확인","혈당조건(공복/식후) 선택","")))</f>
        <v/>
      </c>
      <c r="L734" s="25" t="str">
        <f aca="false">IF($B734="","",IF(COUNTIF($B$5:$B$1004,$B734)&gt;1,"중복 입력",""))</f>
        <v/>
      </c>
    </row>
    <row r="735" customFormat="false" ht="15" hidden="false" customHeight="false" outlineLevel="0" collapsed="false">
      <c r="A735" s="23"/>
      <c r="B735" s="24"/>
      <c r="C735" s="24"/>
      <c r="D735" s="24"/>
      <c r="E735" s="24"/>
      <c r="F735" s="24"/>
      <c r="G735" s="24"/>
      <c r="H735" s="25" t="str">
        <f aca="false">IF($B735="","",IFERROR(IF(INDEX(명단!$B$5:$B$404,MATCH($B735,명단!$A$5:$A$404,0))="","(이름 미입력)",INDEX(명단!$B$5:$B$404,MATCH($B735,명단!$A$5:$A$404,0))),"번호 없음"))</f>
        <v/>
      </c>
      <c r="I735" s="25" t="str">
        <f aca="false">IF(AND(C735="",D735=""),"",IF(OR(C735="-",D735="-"),"측정불가",IF(AND(ISNUMBER(C735),ISNUMBER(D735)),IF(OR(C735&gt;=설정!$C$11,D735&gt;=설정!$C$12),"긴급",IF(OR(C735&gt;=설정!$C$9,D735&gt;=설정!$C$10,C735&lt;설정!$C$13),"주의","정상")),"확인필요")))</f>
        <v/>
      </c>
      <c r="J735" s="25" t="str">
        <f aca="false">IF(E735="","",IF(E735="-","측정불가",IF(NOT(ISNUMBER(E735)),"확인필요",IF(E735&lt;설정!$C$17,"긴급(저혈당)",IF(E735&gt;=설정!$C$18,"긴급(고혈당)",IF(F735="공복",IF(E735&gt;=설정!$C$15,"주의","정상"),IF(F735="식후",IF(E735&gt;=설정!$C$16,"주의","정상"),"조건확인")))))))</f>
        <v/>
      </c>
      <c r="K735" s="25" t="str">
        <f aca="false">IF(OR(I735="긴급",LEFT(J735,2)="긴급"),"★ 즉시 선생님 호출",IF(OR(I735="주의",J735="주의"),"결과상담에서 확인",IF(J735="조건확인","혈당조건(공복/식후) 선택","")))</f>
        <v/>
      </c>
      <c r="L735" s="25" t="str">
        <f aca="false">IF($B735="","",IF(COUNTIF($B$5:$B$1004,$B735)&gt;1,"중복 입력",""))</f>
        <v/>
      </c>
    </row>
    <row r="736" customFormat="false" ht="15" hidden="false" customHeight="false" outlineLevel="0" collapsed="false">
      <c r="A736" s="23"/>
      <c r="B736" s="24"/>
      <c r="C736" s="24"/>
      <c r="D736" s="24"/>
      <c r="E736" s="24"/>
      <c r="F736" s="24"/>
      <c r="G736" s="24"/>
      <c r="H736" s="25" t="str">
        <f aca="false">IF($B736="","",IFERROR(IF(INDEX(명단!$B$5:$B$404,MATCH($B736,명단!$A$5:$A$404,0))="","(이름 미입력)",INDEX(명단!$B$5:$B$404,MATCH($B736,명단!$A$5:$A$404,0))),"번호 없음"))</f>
        <v/>
      </c>
      <c r="I736" s="25" t="str">
        <f aca="false">IF(AND(C736="",D736=""),"",IF(OR(C736="-",D736="-"),"측정불가",IF(AND(ISNUMBER(C736),ISNUMBER(D736)),IF(OR(C736&gt;=설정!$C$11,D736&gt;=설정!$C$12),"긴급",IF(OR(C736&gt;=설정!$C$9,D736&gt;=설정!$C$10,C736&lt;설정!$C$13),"주의","정상")),"확인필요")))</f>
        <v/>
      </c>
      <c r="J736" s="25" t="str">
        <f aca="false">IF(E736="","",IF(E736="-","측정불가",IF(NOT(ISNUMBER(E736)),"확인필요",IF(E736&lt;설정!$C$17,"긴급(저혈당)",IF(E736&gt;=설정!$C$18,"긴급(고혈당)",IF(F736="공복",IF(E736&gt;=설정!$C$15,"주의","정상"),IF(F736="식후",IF(E736&gt;=설정!$C$16,"주의","정상"),"조건확인")))))))</f>
        <v/>
      </c>
      <c r="K736" s="25" t="str">
        <f aca="false">IF(OR(I736="긴급",LEFT(J736,2)="긴급"),"★ 즉시 선생님 호출",IF(OR(I736="주의",J736="주의"),"결과상담에서 확인",IF(J736="조건확인","혈당조건(공복/식후) 선택","")))</f>
        <v/>
      </c>
      <c r="L736" s="25" t="str">
        <f aca="false">IF($B736="","",IF(COUNTIF($B$5:$B$1004,$B736)&gt;1,"중복 입력",""))</f>
        <v/>
      </c>
    </row>
    <row r="737" customFormat="false" ht="15" hidden="false" customHeight="false" outlineLevel="0" collapsed="false">
      <c r="A737" s="23"/>
      <c r="B737" s="24"/>
      <c r="C737" s="24"/>
      <c r="D737" s="24"/>
      <c r="E737" s="24"/>
      <c r="F737" s="24"/>
      <c r="G737" s="24"/>
      <c r="H737" s="25" t="str">
        <f aca="false">IF($B737="","",IFERROR(IF(INDEX(명단!$B$5:$B$404,MATCH($B737,명단!$A$5:$A$404,0))="","(이름 미입력)",INDEX(명단!$B$5:$B$404,MATCH($B737,명단!$A$5:$A$404,0))),"번호 없음"))</f>
        <v/>
      </c>
      <c r="I737" s="25" t="str">
        <f aca="false">IF(AND(C737="",D737=""),"",IF(OR(C737="-",D737="-"),"측정불가",IF(AND(ISNUMBER(C737),ISNUMBER(D737)),IF(OR(C737&gt;=설정!$C$11,D737&gt;=설정!$C$12),"긴급",IF(OR(C737&gt;=설정!$C$9,D737&gt;=설정!$C$10,C737&lt;설정!$C$13),"주의","정상")),"확인필요")))</f>
        <v/>
      </c>
      <c r="J737" s="25" t="str">
        <f aca="false">IF(E737="","",IF(E737="-","측정불가",IF(NOT(ISNUMBER(E737)),"확인필요",IF(E737&lt;설정!$C$17,"긴급(저혈당)",IF(E737&gt;=설정!$C$18,"긴급(고혈당)",IF(F737="공복",IF(E737&gt;=설정!$C$15,"주의","정상"),IF(F737="식후",IF(E737&gt;=설정!$C$16,"주의","정상"),"조건확인")))))))</f>
        <v/>
      </c>
      <c r="K737" s="25" t="str">
        <f aca="false">IF(OR(I737="긴급",LEFT(J737,2)="긴급"),"★ 즉시 선생님 호출",IF(OR(I737="주의",J737="주의"),"결과상담에서 확인",IF(J737="조건확인","혈당조건(공복/식후) 선택","")))</f>
        <v/>
      </c>
      <c r="L737" s="25" t="str">
        <f aca="false">IF($B737="","",IF(COUNTIF($B$5:$B$1004,$B737)&gt;1,"중복 입력",""))</f>
        <v/>
      </c>
    </row>
    <row r="738" customFormat="false" ht="15" hidden="false" customHeight="false" outlineLevel="0" collapsed="false">
      <c r="A738" s="23"/>
      <c r="B738" s="24"/>
      <c r="C738" s="24"/>
      <c r="D738" s="24"/>
      <c r="E738" s="24"/>
      <c r="F738" s="24"/>
      <c r="G738" s="24"/>
      <c r="H738" s="25" t="str">
        <f aca="false">IF($B738="","",IFERROR(IF(INDEX(명단!$B$5:$B$404,MATCH($B738,명단!$A$5:$A$404,0))="","(이름 미입력)",INDEX(명단!$B$5:$B$404,MATCH($B738,명단!$A$5:$A$404,0))),"번호 없음"))</f>
        <v/>
      </c>
      <c r="I738" s="25" t="str">
        <f aca="false">IF(AND(C738="",D738=""),"",IF(OR(C738="-",D738="-"),"측정불가",IF(AND(ISNUMBER(C738),ISNUMBER(D738)),IF(OR(C738&gt;=설정!$C$11,D738&gt;=설정!$C$12),"긴급",IF(OR(C738&gt;=설정!$C$9,D738&gt;=설정!$C$10,C738&lt;설정!$C$13),"주의","정상")),"확인필요")))</f>
        <v/>
      </c>
      <c r="J738" s="25" t="str">
        <f aca="false">IF(E738="","",IF(E738="-","측정불가",IF(NOT(ISNUMBER(E738)),"확인필요",IF(E738&lt;설정!$C$17,"긴급(저혈당)",IF(E738&gt;=설정!$C$18,"긴급(고혈당)",IF(F738="공복",IF(E738&gt;=설정!$C$15,"주의","정상"),IF(F738="식후",IF(E738&gt;=설정!$C$16,"주의","정상"),"조건확인")))))))</f>
        <v/>
      </c>
      <c r="K738" s="25" t="str">
        <f aca="false">IF(OR(I738="긴급",LEFT(J738,2)="긴급"),"★ 즉시 선생님 호출",IF(OR(I738="주의",J738="주의"),"결과상담에서 확인",IF(J738="조건확인","혈당조건(공복/식후) 선택","")))</f>
        <v/>
      </c>
      <c r="L738" s="25" t="str">
        <f aca="false">IF($B738="","",IF(COUNTIF($B$5:$B$1004,$B738)&gt;1,"중복 입력",""))</f>
        <v/>
      </c>
    </row>
    <row r="739" customFormat="false" ht="15" hidden="false" customHeight="false" outlineLevel="0" collapsed="false">
      <c r="A739" s="23"/>
      <c r="B739" s="24"/>
      <c r="C739" s="24"/>
      <c r="D739" s="24"/>
      <c r="E739" s="24"/>
      <c r="F739" s="24"/>
      <c r="G739" s="24"/>
      <c r="H739" s="25" t="str">
        <f aca="false">IF($B739="","",IFERROR(IF(INDEX(명단!$B$5:$B$404,MATCH($B739,명단!$A$5:$A$404,0))="","(이름 미입력)",INDEX(명단!$B$5:$B$404,MATCH($B739,명단!$A$5:$A$404,0))),"번호 없음"))</f>
        <v/>
      </c>
      <c r="I739" s="25" t="str">
        <f aca="false">IF(AND(C739="",D739=""),"",IF(OR(C739="-",D739="-"),"측정불가",IF(AND(ISNUMBER(C739),ISNUMBER(D739)),IF(OR(C739&gt;=설정!$C$11,D739&gt;=설정!$C$12),"긴급",IF(OR(C739&gt;=설정!$C$9,D739&gt;=설정!$C$10,C739&lt;설정!$C$13),"주의","정상")),"확인필요")))</f>
        <v/>
      </c>
      <c r="J739" s="25" t="str">
        <f aca="false">IF(E739="","",IF(E739="-","측정불가",IF(NOT(ISNUMBER(E739)),"확인필요",IF(E739&lt;설정!$C$17,"긴급(저혈당)",IF(E739&gt;=설정!$C$18,"긴급(고혈당)",IF(F739="공복",IF(E739&gt;=설정!$C$15,"주의","정상"),IF(F739="식후",IF(E739&gt;=설정!$C$16,"주의","정상"),"조건확인")))))))</f>
        <v/>
      </c>
      <c r="K739" s="25" t="str">
        <f aca="false">IF(OR(I739="긴급",LEFT(J739,2)="긴급"),"★ 즉시 선생님 호출",IF(OR(I739="주의",J739="주의"),"결과상담에서 확인",IF(J739="조건확인","혈당조건(공복/식후) 선택","")))</f>
        <v/>
      </c>
      <c r="L739" s="25" t="str">
        <f aca="false">IF($B739="","",IF(COUNTIF($B$5:$B$1004,$B739)&gt;1,"중복 입력",""))</f>
        <v/>
      </c>
    </row>
    <row r="740" customFormat="false" ht="15" hidden="false" customHeight="false" outlineLevel="0" collapsed="false">
      <c r="A740" s="23"/>
      <c r="B740" s="24"/>
      <c r="C740" s="24"/>
      <c r="D740" s="24"/>
      <c r="E740" s="24"/>
      <c r="F740" s="24"/>
      <c r="G740" s="24"/>
      <c r="H740" s="25" t="str">
        <f aca="false">IF($B740="","",IFERROR(IF(INDEX(명단!$B$5:$B$404,MATCH($B740,명단!$A$5:$A$404,0))="","(이름 미입력)",INDEX(명단!$B$5:$B$404,MATCH($B740,명단!$A$5:$A$404,0))),"번호 없음"))</f>
        <v/>
      </c>
      <c r="I740" s="25" t="str">
        <f aca="false">IF(AND(C740="",D740=""),"",IF(OR(C740="-",D740="-"),"측정불가",IF(AND(ISNUMBER(C740),ISNUMBER(D740)),IF(OR(C740&gt;=설정!$C$11,D740&gt;=설정!$C$12),"긴급",IF(OR(C740&gt;=설정!$C$9,D740&gt;=설정!$C$10,C740&lt;설정!$C$13),"주의","정상")),"확인필요")))</f>
        <v/>
      </c>
      <c r="J740" s="25" t="str">
        <f aca="false">IF(E740="","",IF(E740="-","측정불가",IF(NOT(ISNUMBER(E740)),"확인필요",IF(E740&lt;설정!$C$17,"긴급(저혈당)",IF(E740&gt;=설정!$C$18,"긴급(고혈당)",IF(F740="공복",IF(E740&gt;=설정!$C$15,"주의","정상"),IF(F740="식후",IF(E740&gt;=설정!$C$16,"주의","정상"),"조건확인")))))))</f>
        <v/>
      </c>
      <c r="K740" s="25" t="str">
        <f aca="false">IF(OR(I740="긴급",LEFT(J740,2)="긴급"),"★ 즉시 선생님 호출",IF(OR(I740="주의",J740="주의"),"결과상담에서 확인",IF(J740="조건확인","혈당조건(공복/식후) 선택","")))</f>
        <v/>
      </c>
      <c r="L740" s="25" t="str">
        <f aca="false">IF($B740="","",IF(COUNTIF($B$5:$B$1004,$B740)&gt;1,"중복 입력",""))</f>
        <v/>
      </c>
    </row>
    <row r="741" customFormat="false" ht="15" hidden="false" customHeight="false" outlineLevel="0" collapsed="false">
      <c r="A741" s="23"/>
      <c r="B741" s="24"/>
      <c r="C741" s="24"/>
      <c r="D741" s="24"/>
      <c r="E741" s="24"/>
      <c r="F741" s="24"/>
      <c r="G741" s="24"/>
      <c r="H741" s="25" t="str">
        <f aca="false">IF($B741="","",IFERROR(IF(INDEX(명단!$B$5:$B$404,MATCH($B741,명단!$A$5:$A$404,0))="","(이름 미입력)",INDEX(명단!$B$5:$B$404,MATCH($B741,명단!$A$5:$A$404,0))),"번호 없음"))</f>
        <v/>
      </c>
      <c r="I741" s="25" t="str">
        <f aca="false">IF(AND(C741="",D741=""),"",IF(OR(C741="-",D741="-"),"측정불가",IF(AND(ISNUMBER(C741),ISNUMBER(D741)),IF(OR(C741&gt;=설정!$C$11,D741&gt;=설정!$C$12),"긴급",IF(OR(C741&gt;=설정!$C$9,D741&gt;=설정!$C$10,C741&lt;설정!$C$13),"주의","정상")),"확인필요")))</f>
        <v/>
      </c>
      <c r="J741" s="25" t="str">
        <f aca="false">IF(E741="","",IF(E741="-","측정불가",IF(NOT(ISNUMBER(E741)),"확인필요",IF(E741&lt;설정!$C$17,"긴급(저혈당)",IF(E741&gt;=설정!$C$18,"긴급(고혈당)",IF(F741="공복",IF(E741&gt;=설정!$C$15,"주의","정상"),IF(F741="식후",IF(E741&gt;=설정!$C$16,"주의","정상"),"조건확인")))))))</f>
        <v/>
      </c>
      <c r="K741" s="25" t="str">
        <f aca="false">IF(OR(I741="긴급",LEFT(J741,2)="긴급"),"★ 즉시 선생님 호출",IF(OR(I741="주의",J741="주의"),"결과상담에서 확인",IF(J741="조건확인","혈당조건(공복/식후) 선택","")))</f>
        <v/>
      </c>
      <c r="L741" s="25" t="str">
        <f aca="false">IF($B741="","",IF(COUNTIF($B$5:$B$1004,$B741)&gt;1,"중복 입력",""))</f>
        <v/>
      </c>
    </row>
    <row r="742" customFormat="false" ht="15" hidden="false" customHeight="false" outlineLevel="0" collapsed="false">
      <c r="A742" s="23"/>
      <c r="B742" s="24"/>
      <c r="C742" s="24"/>
      <c r="D742" s="24"/>
      <c r="E742" s="24"/>
      <c r="F742" s="24"/>
      <c r="G742" s="24"/>
      <c r="H742" s="25" t="str">
        <f aca="false">IF($B742="","",IFERROR(IF(INDEX(명단!$B$5:$B$404,MATCH($B742,명단!$A$5:$A$404,0))="","(이름 미입력)",INDEX(명단!$B$5:$B$404,MATCH($B742,명단!$A$5:$A$404,0))),"번호 없음"))</f>
        <v/>
      </c>
      <c r="I742" s="25" t="str">
        <f aca="false">IF(AND(C742="",D742=""),"",IF(OR(C742="-",D742="-"),"측정불가",IF(AND(ISNUMBER(C742),ISNUMBER(D742)),IF(OR(C742&gt;=설정!$C$11,D742&gt;=설정!$C$12),"긴급",IF(OR(C742&gt;=설정!$C$9,D742&gt;=설정!$C$10,C742&lt;설정!$C$13),"주의","정상")),"확인필요")))</f>
        <v/>
      </c>
      <c r="J742" s="25" t="str">
        <f aca="false">IF(E742="","",IF(E742="-","측정불가",IF(NOT(ISNUMBER(E742)),"확인필요",IF(E742&lt;설정!$C$17,"긴급(저혈당)",IF(E742&gt;=설정!$C$18,"긴급(고혈당)",IF(F742="공복",IF(E742&gt;=설정!$C$15,"주의","정상"),IF(F742="식후",IF(E742&gt;=설정!$C$16,"주의","정상"),"조건확인")))))))</f>
        <v/>
      </c>
      <c r="K742" s="25" t="str">
        <f aca="false">IF(OR(I742="긴급",LEFT(J742,2)="긴급"),"★ 즉시 선생님 호출",IF(OR(I742="주의",J742="주의"),"결과상담에서 확인",IF(J742="조건확인","혈당조건(공복/식후) 선택","")))</f>
        <v/>
      </c>
      <c r="L742" s="25" t="str">
        <f aca="false">IF($B742="","",IF(COUNTIF($B$5:$B$1004,$B742)&gt;1,"중복 입력",""))</f>
        <v/>
      </c>
    </row>
    <row r="743" customFormat="false" ht="15" hidden="false" customHeight="false" outlineLevel="0" collapsed="false">
      <c r="A743" s="23"/>
      <c r="B743" s="24"/>
      <c r="C743" s="24"/>
      <c r="D743" s="24"/>
      <c r="E743" s="24"/>
      <c r="F743" s="24"/>
      <c r="G743" s="24"/>
      <c r="H743" s="25" t="str">
        <f aca="false">IF($B743="","",IFERROR(IF(INDEX(명단!$B$5:$B$404,MATCH($B743,명단!$A$5:$A$404,0))="","(이름 미입력)",INDEX(명단!$B$5:$B$404,MATCH($B743,명단!$A$5:$A$404,0))),"번호 없음"))</f>
        <v/>
      </c>
      <c r="I743" s="25" t="str">
        <f aca="false">IF(AND(C743="",D743=""),"",IF(OR(C743="-",D743="-"),"측정불가",IF(AND(ISNUMBER(C743),ISNUMBER(D743)),IF(OR(C743&gt;=설정!$C$11,D743&gt;=설정!$C$12),"긴급",IF(OR(C743&gt;=설정!$C$9,D743&gt;=설정!$C$10,C743&lt;설정!$C$13),"주의","정상")),"확인필요")))</f>
        <v/>
      </c>
      <c r="J743" s="25" t="str">
        <f aca="false">IF(E743="","",IF(E743="-","측정불가",IF(NOT(ISNUMBER(E743)),"확인필요",IF(E743&lt;설정!$C$17,"긴급(저혈당)",IF(E743&gt;=설정!$C$18,"긴급(고혈당)",IF(F743="공복",IF(E743&gt;=설정!$C$15,"주의","정상"),IF(F743="식후",IF(E743&gt;=설정!$C$16,"주의","정상"),"조건확인")))))))</f>
        <v/>
      </c>
      <c r="K743" s="25" t="str">
        <f aca="false">IF(OR(I743="긴급",LEFT(J743,2)="긴급"),"★ 즉시 선생님 호출",IF(OR(I743="주의",J743="주의"),"결과상담에서 확인",IF(J743="조건확인","혈당조건(공복/식후) 선택","")))</f>
        <v/>
      </c>
      <c r="L743" s="25" t="str">
        <f aca="false">IF($B743="","",IF(COUNTIF($B$5:$B$1004,$B743)&gt;1,"중복 입력",""))</f>
        <v/>
      </c>
    </row>
    <row r="744" customFormat="false" ht="15" hidden="false" customHeight="false" outlineLevel="0" collapsed="false">
      <c r="A744" s="23"/>
      <c r="B744" s="24"/>
      <c r="C744" s="24"/>
      <c r="D744" s="24"/>
      <c r="E744" s="24"/>
      <c r="F744" s="24"/>
      <c r="G744" s="24"/>
      <c r="H744" s="25" t="str">
        <f aca="false">IF($B744="","",IFERROR(IF(INDEX(명단!$B$5:$B$404,MATCH($B744,명단!$A$5:$A$404,0))="","(이름 미입력)",INDEX(명단!$B$5:$B$404,MATCH($B744,명단!$A$5:$A$404,0))),"번호 없음"))</f>
        <v/>
      </c>
      <c r="I744" s="25" t="str">
        <f aca="false">IF(AND(C744="",D744=""),"",IF(OR(C744="-",D744="-"),"측정불가",IF(AND(ISNUMBER(C744),ISNUMBER(D744)),IF(OR(C744&gt;=설정!$C$11,D744&gt;=설정!$C$12),"긴급",IF(OR(C744&gt;=설정!$C$9,D744&gt;=설정!$C$10,C744&lt;설정!$C$13),"주의","정상")),"확인필요")))</f>
        <v/>
      </c>
      <c r="J744" s="25" t="str">
        <f aca="false">IF(E744="","",IF(E744="-","측정불가",IF(NOT(ISNUMBER(E744)),"확인필요",IF(E744&lt;설정!$C$17,"긴급(저혈당)",IF(E744&gt;=설정!$C$18,"긴급(고혈당)",IF(F744="공복",IF(E744&gt;=설정!$C$15,"주의","정상"),IF(F744="식후",IF(E744&gt;=설정!$C$16,"주의","정상"),"조건확인")))))))</f>
        <v/>
      </c>
      <c r="K744" s="25" t="str">
        <f aca="false">IF(OR(I744="긴급",LEFT(J744,2)="긴급"),"★ 즉시 선생님 호출",IF(OR(I744="주의",J744="주의"),"결과상담에서 확인",IF(J744="조건확인","혈당조건(공복/식후) 선택","")))</f>
        <v/>
      </c>
      <c r="L744" s="25" t="str">
        <f aca="false">IF($B744="","",IF(COUNTIF($B$5:$B$1004,$B744)&gt;1,"중복 입력",""))</f>
        <v/>
      </c>
    </row>
    <row r="745" customFormat="false" ht="15" hidden="false" customHeight="false" outlineLevel="0" collapsed="false">
      <c r="A745" s="23"/>
      <c r="B745" s="24"/>
      <c r="C745" s="24"/>
      <c r="D745" s="24"/>
      <c r="E745" s="24"/>
      <c r="F745" s="24"/>
      <c r="G745" s="24"/>
      <c r="H745" s="25" t="str">
        <f aca="false">IF($B745="","",IFERROR(IF(INDEX(명단!$B$5:$B$404,MATCH($B745,명단!$A$5:$A$404,0))="","(이름 미입력)",INDEX(명단!$B$5:$B$404,MATCH($B745,명단!$A$5:$A$404,0))),"번호 없음"))</f>
        <v/>
      </c>
      <c r="I745" s="25" t="str">
        <f aca="false">IF(AND(C745="",D745=""),"",IF(OR(C745="-",D745="-"),"측정불가",IF(AND(ISNUMBER(C745),ISNUMBER(D745)),IF(OR(C745&gt;=설정!$C$11,D745&gt;=설정!$C$12),"긴급",IF(OR(C745&gt;=설정!$C$9,D745&gt;=설정!$C$10,C745&lt;설정!$C$13),"주의","정상")),"확인필요")))</f>
        <v/>
      </c>
      <c r="J745" s="25" t="str">
        <f aca="false">IF(E745="","",IF(E745="-","측정불가",IF(NOT(ISNUMBER(E745)),"확인필요",IF(E745&lt;설정!$C$17,"긴급(저혈당)",IF(E745&gt;=설정!$C$18,"긴급(고혈당)",IF(F745="공복",IF(E745&gt;=설정!$C$15,"주의","정상"),IF(F745="식후",IF(E745&gt;=설정!$C$16,"주의","정상"),"조건확인")))))))</f>
        <v/>
      </c>
      <c r="K745" s="25" t="str">
        <f aca="false">IF(OR(I745="긴급",LEFT(J745,2)="긴급"),"★ 즉시 선생님 호출",IF(OR(I745="주의",J745="주의"),"결과상담에서 확인",IF(J745="조건확인","혈당조건(공복/식후) 선택","")))</f>
        <v/>
      </c>
      <c r="L745" s="25" t="str">
        <f aca="false">IF($B745="","",IF(COUNTIF($B$5:$B$1004,$B745)&gt;1,"중복 입력",""))</f>
        <v/>
      </c>
    </row>
    <row r="746" customFormat="false" ht="15" hidden="false" customHeight="false" outlineLevel="0" collapsed="false">
      <c r="A746" s="23"/>
      <c r="B746" s="24"/>
      <c r="C746" s="24"/>
      <c r="D746" s="24"/>
      <c r="E746" s="24"/>
      <c r="F746" s="24"/>
      <c r="G746" s="24"/>
      <c r="H746" s="25" t="str">
        <f aca="false">IF($B746="","",IFERROR(IF(INDEX(명단!$B$5:$B$404,MATCH($B746,명단!$A$5:$A$404,0))="","(이름 미입력)",INDEX(명단!$B$5:$B$404,MATCH($B746,명단!$A$5:$A$404,0))),"번호 없음"))</f>
        <v/>
      </c>
      <c r="I746" s="25" t="str">
        <f aca="false">IF(AND(C746="",D746=""),"",IF(OR(C746="-",D746="-"),"측정불가",IF(AND(ISNUMBER(C746),ISNUMBER(D746)),IF(OR(C746&gt;=설정!$C$11,D746&gt;=설정!$C$12),"긴급",IF(OR(C746&gt;=설정!$C$9,D746&gt;=설정!$C$10,C746&lt;설정!$C$13),"주의","정상")),"확인필요")))</f>
        <v/>
      </c>
      <c r="J746" s="25" t="str">
        <f aca="false">IF(E746="","",IF(E746="-","측정불가",IF(NOT(ISNUMBER(E746)),"확인필요",IF(E746&lt;설정!$C$17,"긴급(저혈당)",IF(E746&gt;=설정!$C$18,"긴급(고혈당)",IF(F746="공복",IF(E746&gt;=설정!$C$15,"주의","정상"),IF(F746="식후",IF(E746&gt;=설정!$C$16,"주의","정상"),"조건확인")))))))</f>
        <v/>
      </c>
      <c r="K746" s="25" t="str">
        <f aca="false">IF(OR(I746="긴급",LEFT(J746,2)="긴급"),"★ 즉시 선생님 호출",IF(OR(I746="주의",J746="주의"),"결과상담에서 확인",IF(J746="조건확인","혈당조건(공복/식후) 선택","")))</f>
        <v/>
      </c>
      <c r="L746" s="25" t="str">
        <f aca="false">IF($B746="","",IF(COUNTIF($B$5:$B$1004,$B746)&gt;1,"중복 입력",""))</f>
        <v/>
      </c>
    </row>
    <row r="747" customFormat="false" ht="15" hidden="false" customHeight="false" outlineLevel="0" collapsed="false">
      <c r="A747" s="23"/>
      <c r="B747" s="24"/>
      <c r="C747" s="24"/>
      <c r="D747" s="24"/>
      <c r="E747" s="24"/>
      <c r="F747" s="24"/>
      <c r="G747" s="24"/>
      <c r="H747" s="25" t="str">
        <f aca="false">IF($B747="","",IFERROR(IF(INDEX(명단!$B$5:$B$404,MATCH($B747,명단!$A$5:$A$404,0))="","(이름 미입력)",INDEX(명단!$B$5:$B$404,MATCH($B747,명단!$A$5:$A$404,0))),"번호 없음"))</f>
        <v/>
      </c>
      <c r="I747" s="25" t="str">
        <f aca="false">IF(AND(C747="",D747=""),"",IF(OR(C747="-",D747="-"),"측정불가",IF(AND(ISNUMBER(C747),ISNUMBER(D747)),IF(OR(C747&gt;=설정!$C$11,D747&gt;=설정!$C$12),"긴급",IF(OR(C747&gt;=설정!$C$9,D747&gt;=설정!$C$10,C747&lt;설정!$C$13),"주의","정상")),"확인필요")))</f>
        <v/>
      </c>
      <c r="J747" s="25" t="str">
        <f aca="false">IF(E747="","",IF(E747="-","측정불가",IF(NOT(ISNUMBER(E747)),"확인필요",IF(E747&lt;설정!$C$17,"긴급(저혈당)",IF(E747&gt;=설정!$C$18,"긴급(고혈당)",IF(F747="공복",IF(E747&gt;=설정!$C$15,"주의","정상"),IF(F747="식후",IF(E747&gt;=설정!$C$16,"주의","정상"),"조건확인")))))))</f>
        <v/>
      </c>
      <c r="K747" s="25" t="str">
        <f aca="false">IF(OR(I747="긴급",LEFT(J747,2)="긴급"),"★ 즉시 선생님 호출",IF(OR(I747="주의",J747="주의"),"결과상담에서 확인",IF(J747="조건확인","혈당조건(공복/식후) 선택","")))</f>
        <v/>
      </c>
      <c r="L747" s="25" t="str">
        <f aca="false">IF($B747="","",IF(COUNTIF($B$5:$B$1004,$B747)&gt;1,"중복 입력",""))</f>
        <v/>
      </c>
    </row>
    <row r="748" customFormat="false" ht="15" hidden="false" customHeight="false" outlineLevel="0" collapsed="false">
      <c r="A748" s="23"/>
      <c r="B748" s="24"/>
      <c r="C748" s="24"/>
      <c r="D748" s="24"/>
      <c r="E748" s="24"/>
      <c r="F748" s="24"/>
      <c r="G748" s="24"/>
      <c r="H748" s="25" t="str">
        <f aca="false">IF($B748="","",IFERROR(IF(INDEX(명단!$B$5:$B$404,MATCH($B748,명단!$A$5:$A$404,0))="","(이름 미입력)",INDEX(명단!$B$5:$B$404,MATCH($B748,명단!$A$5:$A$404,0))),"번호 없음"))</f>
        <v/>
      </c>
      <c r="I748" s="25" t="str">
        <f aca="false">IF(AND(C748="",D748=""),"",IF(OR(C748="-",D748="-"),"측정불가",IF(AND(ISNUMBER(C748),ISNUMBER(D748)),IF(OR(C748&gt;=설정!$C$11,D748&gt;=설정!$C$12),"긴급",IF(OR(C748&gt;=설정!$C$9,D748&gt;=설정!$C$10,C748&lt;설정!$C$13),"주의","정상")),"확인필요")))</f>
        <v/>
      </c>
      <c r="J748" s="25" t="str">
        <f aca="false">IF(E748="","",IF(E748="-","측정불가",IF(NOT(ISNUMBER(E748)),"확인필요",IF(E748&lt;설정!$C$17,"긴급(저혈당)",IF(E748&gt;=설정!$C$18,"긴급(고혈당)",IF(F748="공복",IF(E748&gt;=설정!$C$15,"주의","정상"),IF(F748="식후",IF(E748&gt;=설정!$C$16,"주의","정상"),"조건확인")))))))</f>
        <v/>
      </c>
      <c r="K748" s="25" t="str">
        <f aca="false">IF(OR(I748="긴급",LEFT(J748,2)="긴급"),"★ 즉시 선생님 호출",IF(OR(I748="주의",J748="주의"),"결과상담에서 확인",IF(J748="조건확인","혈당조건(공복/식후) 선택","")))</f>
        <v/>
      </c>
      <c r="L748" s="25" t="str">
        <f aca="false">IF($B748="","",IF(COUNTIF($B$5:$B$1004,$B748)&gt;1,"중복 입력",""))</f>
        <v/>
      </c>
    </row>
    <row r="749" customFormat="false" ht="15" hidden="false" customHeight="false" outlineLevel="0" collapsed="false">
      <c r="A749" s="23"/>
      <c r="B749" s="24"/>
      <c r="C749" s="24"/>
      <c r="D749" s="24"/>
      <c r="E749" s="24"/>
      <c r="F749" s="24"/>
      <c r="G749" s="24"/>
      <c r="H749" s="25" t="str">
        <f aca="false">IF($B749="","",IFERROR(IF(INDEX(명단!$B$5:$B$404,MATCH($B749,명단!$A$5:$A$404,0))="","(이름 미입력)",INDEX(명단!$B$5:$B$404,MATCH($B749,명단!$A$5:$A$404,0))),"번호 없음"))</f>
        <v/>
      </c>
      <c r="I749" s="25" t="str">
        <f aca="false">IF(AND(C749="",D749=""),"",IF(OR(C749="-",D749="-"),"측정불가",IF(AND(ISNUMBER(C749),ISNUMBER(D749)),IF(OR(C749&gt;=설정!$C$11,D749&gt;=설정!$C$12),"긴급",IF(OR(C749&gt;=설정!$C$9,D749&gt;=설정!$C$10,C749&lt;설정!$C$13),"주의","정상")),"확인필요")))</f>
        <v/>
      </c>
      <c r="J749" s="25" t="str">
        <f aca="false">IF(E749="","",IF(E749="-","측정불가",IF(NOT(ISNUMBER(E749)),"확인필요",IF(E749&lt;설정!$C$17,"긴급(저혈당)",IF(E749&gt;=설정!$C$18,"긴급(고혈당)",IF(F749="공복",IF(E749&gt;=설정!$C$15,"주의","정상"),IF(F749="식후",IF(E749&gt;=설정!$C$16,"주의","정상"),"조건확인")))))))</f>
        <v/>
      </c>
      <c r="K749" s="25" t="str">
        <f aca="false">IF(OR(I749="긴급",LEFT(J749,2)="긴급"),"★ 즉시 선생님 호출",IF(OR(I749="주의",J749="주의"),"결과상담에서 확인",IF(J749="조건확인","혈당조건(공복/식후) 선택","")))</f>
        <v/>
      </c>
      <c r="L749" s="25" t="str">
        <f aca="false">IF($B749="","",IF(COUNTIF($B$5:$B$1004,$B749)&gt;1,"중복 입력",""))</f>
        <v/>
      </c>
    </row>
    <row r="750" customFormat="false" ht="15" hidden="false" customHeight="false" outlineLevel="0" collapsed="false">
      <c r="A750" s="23"/>
      <c r="B750" s="24"/>
      <c r="C750" s="24"/>
      <c r="D750" s="24"/>
      <c r="E750" s="24"/>
      <c r="F750" s="24"/>
      <c r="G750" s="24"/>
      <c r="H750" s="25" t="str">
        <f aca="false">IF($B750="","",IFERROR(IF(INDEX(명단!$B$5:$B$404,MATCH($B750,명단!$A$5:$A$404,0))="","(이름 미입력)",INDEX(명단!$B$5:$B$404,MATCH($B750,명단!$A$5:$A$404,0))),"번호 없음"))</f>
        <v/>
      </c>
      <c r="I750" s="25" t="str">
        <f aca="false">IF(AND(C750="",D750=""),"",IF(OR(C750="-",D750="-"),"측정불가",IF(AND(ISNUMBER(C750),ISNUMBER(D750)),IF(OR(C750&gt;=설정!$C$11,D750&gt;=설정!$C$12),"긴급",IF(OR(C750&gt;=설정!$C$9,D750&gt;=설정!$C$10,C750&lt;설정!$C$13),"주의","정상")),"확인필요")))</f>
        <v/>
      </c>
      <c r="J750" s="25" t="str">
        <f aca="false">IF(E750="","",IF(E750="-","측정불가",IF(NOT(ISNUMBER(E750)),"확인필요",IF(E750&lt;설정!$C$17,"긴급(저혈당)",IF(E750&gt;=설정!$C$18,"긴급(고혈당)",IF(F750="공복",IF(E750&gt;=설정!$C$15,"주의","정상"),IF(F750="식후",IF(E750&gt;=설정!$C$16,"주의","정상"),"조건확인")))))))</f>
        <v/>
      </c>
      <c r="K750" s="25" t="str">
        <f aca="false">IF(OR(I750="긴급",LEFT(J750,2)="긴급"),"★ 즉시 선생님 호출",IF(OR(I750="주의",J750="주의"),"결과상담에서 확인",IF(J750="조건확인","혈당조건(공복/식후) 선택","")))</f>
        <v/>
      </c>
      <c r="L750" s="25" t="str">
        <f aca="false">IF($B750="","",IF(COUNTIF($B$5:$B$1004,$B750)&gt;1,"중복 입력",""))</f>
        <v/>
      </c>
    </row>
    <row r="751" customFormat="false" ht="15" hidden="false" customHeight="false" outlineLevel="0" collapsed="false">
      <c r="A751" s="23"/>
      <c r="B751" s="24"/>
      <c r="C751" s="24"/>
      <c r="D751" s="24"/>
      <c r="E751" s="24"/>
      <c r="F751" s="24"/>
      <c r="G751" s="24"/>
      <c r="H751" s="25" t="str">
        <f aca="false">IF($B751="","",IFERROR(IF(INDEX(명단!$B$5:$B$404,MATCH($B751,명단!$A$5:$A$404,0))="","(이름 미입력)",INDEX(명단!$B$5:$B$404,MATCH($B751,명단!$A$5:$A$404,0))),"번호 없음"))</f>
        <v/>
      </c>
      <c r="I751" s="25" t="str">
        <f aca="false">IF(AND(C751="",D751=""),"",IF(OR(C751="-",D751="-"),"측정불가",IF(AND(ISNUMBER(C751),ISNUMBER(D751)),IF(OR(C751&gt;=설정!$C$11,D751&gt;=설정!$C$12),"긴급",IF(OR(C751&gt;=설정!$C$9,D751&gt;=설정!$C$10,C751&lt;설정!$C$13),"주의","정상")),"확인필요")))</f>
        <v/>
      </c>
      <c r="J751" s="25" t="str">
        <f aca="false">IF(E751="","",IF(E751="-","측정불가",IF(NOT(ISNUMBER(E751)),"확인필요",IF(E751&lt;설정!$C$17,"긴급(저혈당)",IF(E751&gt;=설정!$C$18,"긴급(고혈당)",IF(F751="공복",IF(E751&gt;=설정!$C$15,"주의","정상"),IF(F751="식후",IF(E751&gt;=설정!$C$16,"주의","정상"),"조건확인")))))))</f>
        <v/>
      </c>
      <c r="K751" s="25" t="str">
        <f aca="false">IF(OR(I751="긴급",LEFT(J751,2)="긴급"),"★ 즉시 선생님 호출",IF(OR(I751="주의",J751="주의"),"결과상담에서 확인",IF(J751="조건확인","혈당조건(공복/식후) 선택","")))</f>
        <v/>
      </c>
      <c r="L751" s="25" t="str">
        <f aca="false">IF($B751="","",IF(COUNTIF($B$5:$B$1004,$B751)&gt;1,"중복 입력",""))</f>
        <v/>
      </c>
    </row>
    <row r="752" customFormat="false" ht="15" hidden="false" customHeight="false" outlineLevel="0" collapsed="false">
      <c r="A752" s="23"/>
      <c r="B752" s="24"/>
      <c r="C752" s="24"/>
      <c r="D752" s="24"/>
      <c r="E752" s="24"/>
      <c r="F752" s="24"/>
      <c r="G752" s="24"/>
      <c r="H752" s="25" t="str">
        <f aca="false">IF($B752="","",IFERROR(IF(INDEX(명단!$B$5:$B$404,MATCH($B752,명단!$A$5:$A$404,0))="","(이름 미입력)",INDEX(명단!$B$5:$B$404,MATCH($B752,명단!$A$5:$A$404,0))),"번호 없음"))</f>
        <v/>
      </c>
      <c r="I752" s="25" t="str">
        <f aca="false">IF(AND(C752="",D752=""),"",IF(OR(C752="-",D752="-"),"측정불가",IF(AND(ISNUMBER(C752),ISNUMBER(D752)),IF(OR(C752&gt;=설정!$C$11,D752&gt;=설정!$C$12),"긴급",IF(OR(C752&gt;=설정!$C$9,D752&gt;=설정!$C$10,C752&lt;설정!$C$13),"주의","정상")),"확인필요")))</f>
        <v/>
      </c>
      <c r="J752" s="25" t="str">
        <f aca="false">IF(E752="","",IF(E752="-","측정불가",IF(NOT(ISNUMBER(E752)),"확인필요",IF(E752&lt;설정!$C$17,"긴급(저혈당)",IF(E752&gt;=설정!$C$18,"긴급(고혈당)",IF(F752="공복",IF(E752&gt;=설정!$C$15,"주의","정상"),IF(F752="식후",IF(E752&gt;=설정!$C$16,"주의","정상"),"조건확인")))))))</f>
        <v/>
      </c>
      <c r="K752" s="25" t="str">
        <f aca="false">IF(OR(I752="긴급",LEFT(J752,2)="긴급"),"★ 즉시 선생님 호출",IF(OR(I752="주의",J752="주의"),"결과상담에서 확인",IF(J752="조건확인","혈당조건(공복/식후) 선택","")))</f>
        <v/>
      </c>
      <c r="L752" s="25" t="str">
        <f aca="false">IF($B752="","",IF(COUNTIF($B$5:$B$1004,$B752)&gt;1,"중복 입력",""))</f>
        <v/>
      </c>
    </row>
    <row r="753" customFormat="false" ht="15" hidden="false" customHeight="false" outlineLevel="0" collapsed="false">
      <c r="A753" s="23"/>
      <c r="B753" s="24"/>
      <c r="C753" s="24"/>
      <c r="D753" s="24"/>
      <c r="E753" s="24"/>
      <c r="F753" s="24"/>
      <c r="G753" s="24"/>
      <c r="H753" s="25" t="str">
        <f aca="false">IF($B753="","",IFERROR(IF(INDEX(명단!$B$5:$B$404,MATCH($B753,명단!$A$5:$A$404,0))="","(이름 미입력)",INDEX(명단!$B$5:$B$404,MATCH($B753,명단!$A$5:$A$404,0))),"번호 없음"))</f>
        <v/>
      </c>
      <c r="I753" s="25" t="str">
        <f aca="false">IF(AND(C753="",D753=""),"",IF(OR(C753="-",D753="-"),"측정불가",IF(AND(ISNUMBER(C753),ISNUMBER(D753)),IF(OR(C753&gt;=설정!$C$11,D753&gt;=설정!$C$12),"긴급",IF(OR(C753&gt;=설정!$C$9,D753&gt;=설정!$C$10,C753&lt;설정!$C$13),"주의","정상")),"확인필요")))</f>
        <v/>
      </c>
      <c r="J753" s="25" t="str">
        <f aca="false">IF(E753="","",IF(E753="-","측정불가",IF(NOT(ISNUMBER(E753)),"확인필요",IF(E753&lt;설정!$C$17,"긴급(저혈당)",IF(E753&gt;=설정!$C$18,"긴급(고혈당)",IF(F753="공복",IF(E753&gt;=설정!$C$15,"주의","정상"),IF(F753="식후",IF(E753&gt;=설정!$C$16,"주의","정상"),"조건확인")))))))</f>
        <v/>
      </c>
      <c r="K753" s="25" t="str">
        <f aca="false">IF(OR(I753="긴급",LEFT(J753,2)="긴급"),"★ 즉시 선생님 호출",IF(OR(I753="주의",J753="주의"),"결과상담에서 확인",IF(J753="조건확인","혈당조건(공복/식후) 선택","")))</f>
        <v/>
      </c>
      <c r="L753" s="25" t="str">
        <f aca="false">IF($B753="","",IF(COUNTIF($B$5:$B$1004,$B753)&gt;1,"중복 입력",""))</f>
        <v/>
      </c>
    </row>
    <row r="754" customFormat="false" ht="15" hidden="false" customHeight="false" outlineLevel="0" collapsed="false">
      <c r="A754" s="23"/>
      <c r="B754" s="24"/>
      <c r="C754" s="24"/>
      <c r="D754" s="24"/>
      <c r="E754" s="24"/>
      <c r="F754" s="24"/>
      <c r="G754" s="24"/>
      <c r="H754" s="25" t="str">
        <f aca="false">IF($B754="","",IFERROR(IF(INDEX(명단!$B$5:$B$404,MATCH($B754,명단!$A$5:$A$404,0))="","(이름 미입력)",INDEX(명단!$B$5:$B$404,MATCH($B754,명단!$A$5:$A$404,0))),"번호 없음"))</f>
        <v/>
      </c>
      <c r="I754" s="25" t="str">
        <f aca="false">IF(AND(C754="",D754=""),"",IF(OR(C754="-",D754="-"),"측정불가",IF(AND(ISNUMBER(C754),ISNUMBER(D754)),IF(OR(C754&gt;=설정!$C$11,D754&gt;=설정!$C$12),"긴급",IF(OR(C754&gt;=설정!$C$9,D754&gt;=설정!$C$10,C754&lt;설정!$C$13),"주의","정상")),"확인필요")))</f>
        <v/>
      </c>
      <c r="J754" s="25" t="str">
        <f aca="false">IF(E754="","",IF(E754="-","측정불가",IF(NOT(ISNUMBER(E754)),"확인필요",IF(E754&lt;설정!$C$17,"긴급(저혈당)",IF(E754&gt;=설정!$C$18,"긴급(고혈당)",IF(F754="공복",IF(E754&gt;=설정!$C$15,"주의","정상"),IF(F754="식후",IF(E754&gt;=설정!$C$16,"주의","정상"),"조건확인")))))))</f>
        <v/>
      </c>
      <c r="K754" s="25" t="str">
        <f aca="false">IF(OR(I754="긴급",LEFT(J754,2)="긴급"),"★ 즉시 선생님 호출",IF(OR(I754="주의",J754="주의"),"결과상담에서 확인",IF(J754="조건확인","혈당조건(공복/식후) 선택","")))</f>
        <v/>
      </c>
      <c r="L754" s="25" t="str">
        <f aca="false">IF($B754="","",IF(COUNTIF($B$5:$B$1004,$B754)&gt;1,"중복 입력",""))</f>
        <v/>
      </c>
    </row>
    <row r="755" customFormat="false" ht="15" hidden="false" customHeight="false" outlineLevel="0" collapsed="false">
      <c r="A755" s="23"/>
      <c r="B755" s="24"/>
      <c r="C755" s="24"/>
      <c r="D755" s="24"/>
      <c r="E755" s="24"/>
      <c r="F755" s="24"/>
      <c r="G755" s="24"/>
      <c r="H755" s="25" t="str">
        <f aca="false">IF($B755="","",IFERROR(IF(INDEX(명단!$B$5:$B$404,MATCH($B755,명단!$A$5:$A$404,0))="","(이름 미입력)",INDEX(명단!$B$5:$B$404,MATCH($B755,명단!$A$5:$A$404,0))),"번호 없음"))</f>
        <v/>
      </c>
      <c r="I755" s="25" t="str">
        <f aca="false">IF(AND(C755="",D755=""),"",IF(OR(C755="-",D755="-"),"측정불가",IF(AND(ISNUMBER(C755),ISNUMBER(D755)),IF(OR(C755&gt;=설정!$C$11,D755&gt;=설정!$C$12),"긴급",IF(OR(C755&gt;=설정!$C$9,D755&gt;=설정!$C$10,C755&lt;설정!$C$13),"주의","정상")),"확인필요")))</f>
        <v/>
      </c>
      <c r="J755" s="25" t="str">
        <f aca="false">IF(E755="","",IF(E755="-","측정불가",IF(NOT(ISNUMBER(E755)),"확인필요",IF(E755&lt;설정!$C$17,"긴급(저혈당)",IF(E755&gt;=설정!$C$18,"긴급(고혈당)",IF(F755="공복",IF(E755&gt;=설정!$C$15,"주의","정상"),IF(F755="식후",IF(E755&gt;=설정!$C$16,"주의","정상"),"조건확인")))))))</f>
        <v/>
      </c>
      <c r="K755" s="25" t="str">
        <f aca="false">IF(OR(I755="긴급",LEFT(J755,2)="긴급"),"★ 즉시 선생님 호출",IF(OR(I755="주의",J755="주의"),"결과상담에서 확인",IF(J755="조건확인","혈당조건(공복/식후) 선택","")))</f>
        <v/>
      </c>
      <c r="L755" s="25" t="str">
        <f aca="false">IF($B755="","",IF(COUNTIF($B$5:$B$1004,$B755)&gt;1,"중복 입력",""))</f>
        <v/>
      </c>
    </row>
    <row r="756" customFormat="false" ht="15" hidden="false" customHeight="false" outlineLevel="0" collapsed="false">
      <c r="A756" s="23"/>
      <c r="B756" s="24"/>
      <c r="C756" s="24"/>
      <c r="D756" s="24"/>
      <c r="E756" s="24"/>
      <c r="F756" s="24"/>
      <c r="G756" s="24"/>
      <c r="H756" s="25" t="str">
        <f aca="false">IF($B756="","",IFERROR(IF(INDEX(명단!$B$5:$B$404,MATCH($B756,명단!$A$5:$A$404,0))="","(이름 미입력)",INDEX(명단!$B$5:$B$404,MATCH($B756,명단!$A$5:$A$404,0))),"번호 없음"))</f>
        <v/>
      </c>
      <c r="I756" s="25" t="str">
        <f aca="false">IF(AND(C756="",D756=""),"",IF(OR(C756="-",D756="-"),"측정불가",IF(AND(ISNUMBER(C756),ISNUMBER(D756)),IF(OR(C756&gt;=설정!$C$11,D756&gt;=설정!$C$12),"긴급",IF(OR(C756&gt;=설정!$C$9,D756&gt;=설정!$C$10,C756&lt;설정!$C$13),"주의","정상")),"확인필요")))</f>
        <v/>
      </c>
      <c r="J756" s="25" t="str">
        <f aca="false">IF(E756="","",IF(E756="-","측정불가",IF(NOT(ISNUMBER(E756)),"확인필요",IF(E756&lt;설정!$C$17,"긴급(저혈당)",IF(E756&gt;=설정!$C$18,"긴급(고혈당)",IF(F756="공복",IF(E756&gt;=설정!$C$15,"주의","정상"),IF(F756="식후",IF(E756&gt;=설정!$C$16,"주의","정상"),"조건확인")))))))</f>
        <v/>
      </c>
      <c r="K756" s="25" t="str">
        <f aca="false">IF(OR(I756="긴급",LEFT(J756,2)="긴급"),"★ 즉시 선생님 호출",IF(OR(I756="주의",J756="주의"),"결과상담에서 확인",IF(J756="조건확인","혈당조건(공복/식후) 선택","")))</f>
        <v/>
      </c>
      <c r="L756" s="25" t="str">
        <f aca="false">IF($B756="","",IF(COUNTIF($B$5:$B$1004,$B756)&gt;1,"중복 입력",""))</f>
        <v/>
      </c>
    </row>
    <row r="757" customFormat="false" ht="15" hidden="false" customHeight="false" outlineLevel="0" collapsed="false">
      <c r="A757" s="23"/>
      <c r="B757" s="24"/>
      <c r="C757" s="24"/>
      <c r="D757" s="24"/>
      <c r="E757" s="24"/>
      <c r="F757" s="24"/>
      <c r="G757" s="24"/>
      <c r="H757" s="25" t="str">
        <f aca="false">IF($B757="","",IFERROR(IF(INDEX(명단!$B$5:$B$404,MATCH($B757,명단!$A$5:$A$404,0))="","(이름 미입력)",INDEX(명단!$B$5:$B$404,MATCH($B757,명단!$A$5:$A$404,0))),"번호 없음"))</f>
        <v/>
      </c>
      <c r="I757" s="25" t="str">
        <f aca="false">IF(AND(C757="",D757=""),"",IF(OR(C757="-",D757="-"),"측정불가",IF(AND(ISNUMBER(C757),ISNUMBER(D757)),IF(OR(C757&gt;=설정!$C$11,D757&gt;=설정!$C$12),"긴급",IF(OR(C757&gt;=설정!$C$9,D757&gt;=설정!$C$10,C757&lt;설정!$C$13),"주의","정상")),"확인필요")))</f>
        <v/>
      </c>
      <c r="J757" s="25" t="str">
        <f aca="false">IF(E757="","",IF(E757="-","측정불가",IF(NOT(ISNUMBER(E757)),"확인필요",IF(E757&lt;설정!$C$17,"긴급(저혈당)",IF(E757&gt;=설정!$C$18,"긴급(고혈당)",IF(F757="공복",IF(E757&gt;=설정!$C$15,"주의","정상"),IF(F757="식후",IF(E757&gt;=설정!$C$16,"주의","정상"),"조건확인")))))))</f>
        <v/>
      </c>
      <c r="K757" s="25" t="str">
        <f aca="false">IF(OR(I757="긴급",LEFT(J757,2)="긴급"),"★ 즉시 선생님 호출",IF(OR(I757="주의",J757="주의"),"결과상담에서 확인",IF(J757="조건확인","혈당조건(공복/식후) 선택","")))</f>
        <v/>
      </c>
      <c r="L757" s="25" t="str">
        <f aca="false">IF($B757="","",IF(COUNTIF($B$5:$B$1004,$B757)&gt;1,"중복 입력",""))</f>
        <v/>
      </c>
    </row>
    <row r="758" customFormat="false" ht="15" hidden="false" customHeight="false" outlineLevel="0" collapsed="false">
      <c r="A758" s="23"/>
      <c r="B758" s="24"/>
      <c r="C758" s="24"/>
      <c r="D758" s="24"/>
      <c r="E758" s="24"/>
      <c r="F758" s="24"/>
      <c r="G758" s="24"/>
      <c r="H758" s="25" t="str">
        <f aca="false">IF($B758="","",IFERROR(IF(INDEX(명단!$B$5:$B$404,MATCH($B758,명단!$A$5:$A$404,0))="","(이름 미입력)",INDEX(명단!$B$5:$B$404,MATCH($B758,명단!$A$5:$A$404,0))),"번호 없음"))</f>
        <v/>
      </c>
      <c r="I758" s="25" t="str">
        <f aca="false">IF(AND(C758="",D758=""),"",IF(OR(C758="-",D758="-"),"측정불가",IF(AND(ISNUMBER(C758),ISNUMBER(D758)),IF(OR(C758&gt;=설정!$C$11,D758&gt;=설정!$C$12),"긴급",IF(OR(C758&gt;=설정!$C$9,D758&gt;=설정!$C$10,C758&lt;설정!$C$13),"주의","정상")),"확인필요")))</f>
        <v/>
      </c>
      <c r="J758" s="25" t="str">
        <f aca="false">IF(E758="","",IF(E758="-","측정불가",IF(NOT(ISNUMBER(E758)),"확인필요",IF(E758&lt;설정!$C$17,"긴급(저혈당)",IF(E758&gt;=설정!$C$18,"긴급(고혈당)",IF(F758="공복",IF(E758&gt;=설정!$C$15,"주의","정상"),IF(F758="식후",IF(E758&gt;=설정!$C$16,"주의","정상"),"조건확인")))))))</f>
        <v/>
      </c>
      <c r="K758" s="25" t="str">
        <f aca="false">IF(OR(I758="긴급",LEFT(J758,2)="긴급"),"★ 즉시 선생님 호출",IF(OR(I758="주의",J758="주의"),"결과상담에서 확인",IF(J758="조건확인","혈당조건(공복/식후) 선택","")))</f>
        <v/>
      </c>
      <c r="L758" s="25" t="str">
        <f aca="false">IF($B758="","",IF(COUNTIF($B$5:$B$1004,$B758)&gt;1,"중복 입력",""))</f>
        <v/>
      </c>
    </row>
    <row r="759" customFormat="false" ht="15" hidden="false" customHeight="false" outlineLevel="0" collapsed="false">
      <c r="A759" s="23"/>
      <c r="B759" s="24"/>
      <c r="C759" s="24"/>
      <c r="D759" s="24"/>
      <c r="E759" s="24"/>
      <c r="F759" s="24"/>
      <c r="G759" s="24"/>
      <c r="H759" s="25" t="str">
        <f aca="false">IF($B759="","",IFERROR(IF(INDEX(명단!$B$5:$B$404,MATCH($B759,명단!$A$5:$A$404,0))="","(이름 미입력)",INDEX(명단!$B$5:$B$404,MATCH($B759,명단!$A$5:$A$404,0))),"번호 없음"))</f>
        <v/>
      </c>
      <c r="I759" s="25" t="str">
        <f aca="false">IF(AND(C759="",D759=""),"",IF(OR(C759="-",D759="-"),"측정불가",IF(AND(ISNUMBER(C759),ISNUMBER(D759)),IF(OR(C759&gt;=설정!$C$11,D759&gt;=설정!$C$12),"긴급",IF(OR(C759&gt;=설정!$C$9,D759&gt;=설정!$C$10,C759&lt;설정!$C$13),"주의","정상")),"확인필요")))</f>
        <v/>
      </c>
      <c r="J759" s="25" t="str">
        <f aca="false">IF(E759="","",IF(E759="-","측정불가",IF(NOT(ISNUMBER(E759)),"확인필요",IF(E759&lt;설정!$C$17,"긴급(저혈당)",IF(E759&gt;=설정!$C$18,"긴급(고혈당)",IF(F759="공복",IF(E759&gt;=설정!$C$15,"주의","정상"),IF(F759="식후",IF(E759&gt;=설정!$C$16,"주의","정상"),"조건확인")))))))</f>
        <v/>
      </c>
      <c r="K759" s="25" t="str">
        <f aca="false">IF(OR(I759="긴급",LEFT(J759,2)="긴급"),"★ 즉시 선생님 호출",IF(OR(I759="주의",J759="주의"),"결과상담에서 확인",IF(J759="조건확인","혈당조건(공복/식후) 선택","")))</f>
        <v/>
      </c>
      <c r="L759" s="25" t="str">
        <f aca="false">IF($B759="","",IF(COUNTIF($B$5:$B$1004,$B759)&gt;1,"중복 입력",""))</f>
        <v/>
      </c>
    </row>
    <row r="760" customFormat="false" ht="15" hidden="false" customHeight="false" outlineLevel="0" collapsed="false">
      <c r="A760" s="23"/>
      <c r="B760" s="24"/>
      <c r="C760" s="24"/>
      <c r="D760" s="24"/>
      <c r="E760" s="24"/>
      <c r="F760" s="24"/>
      <c r="G760" s="24"/>
      <c r="H760" s="25" t="str">
        <f aca="false">IF($B760="","",IFERROR(IF(INDEX(명단!$B$5:$B$404,MATCH($B760,명단!$A$5:$A$404,0))="","(이름 미입력)",INDEX(명단!$B$5:$B$404,MATCH($B760,명단!$A$5:$A$404,0))),"번호 없음"))</f>
        <v/>
      </c>
      <c r="I760" s="25" t="str">
        <f aca="false">IF(AND(C760="",D760=""),"",IF(OR(C760="-",D760="-"),"측정불가",IF(AND(ISNUMBER(C760),ISNUMBER(D760)),IF(OR(C760&gt;=설정!$C$11,D760&gt;=설정!$C$12),"긴급",IF(OR(C760&gt;=설정!$C$9,D760&gt;=설정!$C$10,C760&lt;설정!$C$13),"주의","정상")),"확인필요")))</f>
        <v/>
      </c>
      <c r="J760" s="25" t="str">
        <f aca="false">IF(E760="","",IF(E760="-","측정불가",IF(NOT(ISNUMBER(E760)),"확인필요",IF(E760&lt;설정!$C$17,"긴급(저혈당)",IF(E760&gt;=설정!$C$18,"긴급(고혈당)",IF(F760="공복",IF(E760&gt;=설정!$C$15,"주의","정상"),IF(F760="식후",IF(E760&gt;=설정!$C$16,"주의","정상"),"조건확인")))))))</f>
        <v/>
      </c>
      <c r="K760" s="25" t="str">
        <f aca="false">IF(OR(I760="긴급",LEFT(J760,2)="긴급"),"★ 즉시 선생님 호출",IF(OR(I760="주의",J760="주의"),"결과상담에서 확인",IF(J760="조건확인","혈당조건(공복/식후) 선택","")))</f>
        <v/>
      </c>
      <c r="L760" s="25" t="str">
        <f aca="false">IF($B760="","",IF(COUNTIF($B$5:$B$1004,$B760)&gt;1,"중복 입력",""))</f>
        <v/>
      </c>
    </row>
    <row r="761" customFormat="false" ht="15" hidden="false" customHeight="false" outlineLevel="0" collapsed="false">
      <c r="A761" s="23"/>
      <c r="B761" s="24"/>
      <c r="C761" s="24"/>
      <c r="D761" s="24"/>
      <c r="E761" s="24"/>
      <c r="F761" s="24"/>
      <c r="G761" s="24"/>
      <c r="H761" s="25" t="str">
        <f aca="false">IF($B761="","",IFERROR(IF(INDEX(명단!$B$5:$B$404,MATCH($B761,명단!$A$5:$A$404,0))="","(이름 미입력)",INDEX(명단!$B$5:$B$404,MATCH($B761,명단!$A$5:$A$404,0))),"번호 없음"))</f>
        <v/>
      </c>
      <c r="I761" s="25" t="str">
        <f aca="false">IF(AND(C761="",D761=""),"",IF(OR(C761="-",D761="-"),"측정불가",IF(AND(ISNUMBER(C761),ISNUMBER(D761)),IF(OR(C761&gt;=설정!$C$11,D761&gt;=설정!$C$12),"긴급",IF(OR(C761&gt;=설정!$C$9,D761&gt;=설정!$C$10,C761&lt;설정!$C$13),"주의","정상")),"확인필요")))</f>
        <v/>
      </c>
      <c r="J761" s="25" t="str">
        <f aca="false">IF(E761="","",IF(E761="-","측정불가",IF(NOT(ISNUMBER(E761)),"확인필요",IF(E761&lt;설정!$C$17,"긴급(저혈당)",IF(E761&gt;=설정!$C$18,"긴급(고혈당)",IF(F761="공복",IF(E761&gt;=설정!$C$15,"주의","정상"),IF(F761="식후",IF(E761&gt;=설정!$C$16,"주의","정상"),"조건확인")))))))</f>
        <v/>
      </c>
      <c r="K761" s="25" t="str">
        <f aca="false">IF(OR(I761="긴급",LEFT(J761,2)="긴급"),"★ 즉시 선생님 호출",IF(OR(I761="주의",J761="주의"),"결과상담에서 확인",IF(J761="조건확인","혈당조건(공복/식후) 선택","")))</f>
        <v/>
      </c>
      <c r="L761" s="25" t="str">
        <f aca="false">IF($B761="","",IF(COUNTIF($B$5:$B$1004,$B761)&gt;1,"중복 입력",""))</f>
        <v/>
      </c>
    </row>
    <row r="762" customFormat="false" ht="15" hidden="false" customHeight="false" outlineLevel="0" collapsed="false">
      <c r="A762" s="23"/>
      <c r="B762" s="24"/>
      <c r="C762" s="24"/>
      <c r="D762" s="24"/>
      <c r="E762" s="24"/>
      <c r="F762" s="24"/>
      <c r="G762" s="24"/>
      <c r="H762" s="25" t="str">
        <f aca="false">IF($B762="","",IFERROR(IF(INDEX(명단!$B$5:$B$404,MATCH($B762,명단!$A$5:$A$404,0))="","(이름 미입력)",INDEX(명단!$B$5:$B$404,MATCH($B762,명단!$A$5:$A$404,0))),"번호 없음"))</f>
        <v/>
      </c>
      <c r="I762" s="25" t="str">
        <f aca="false">IF(AND(C762="",D762=""),"",IF(OR(C762="-",D762="-"),"측정불가",IF(AND(ISNUMBER(C762),ISNUMBER(D762)),IF(OR(C762&gt;=설정!$C$11,D762&gt;=설정!$C$12),"긴급",IF(OR(C762&gt;=설정!$C$9,D762&gt;=설정!$C$10,C762&lt;설정!$C$13),"주의","정상")),"확인필요")))</f>
        <v/>
      </c>
      <c r="J762" s="25" t="str">
        <f aca="false">IF(E762="","",IF(E762="-","측정불가",IF(NOT(ISNUMBER(E762)),"확인필요",IF(E762&lt;설정!$C$17,"긴급(저혈당)",IF(E762&gt;=설정!$C$18,"긴급(고혈당)",IF(F762="공복",IF(E762&gt;=설정!$C$15,"주의","정상"),IF(F762="식후",IF(E762&gt;=설정!$C$16,"주의","정상"),"조건확인")))))))</f>
        <v/>
      </c>
      <c r="K762" s="25" t="str">
        <f aca="false">IF(OR(I762="긴급",LEFT(J762,2)="긴급"),"★ 즉시 선생님 호출",IF(OR(I762="주의",J762="주의"),"결과상담에서 확인",IF(J762="조건확인","혈당조건(공복/식후) 선택","")))</f>
        <v/>
      </c>
      <c r="L762" s="25" t="str">
        <f aca="false">IF($B762="","",IF(COUNTIF($B$5:$B$1004,$B762)&gt;1,"중복 입력",""))</f>
        <v/>
      </c>
    </row>
    <row r="763" customFormat="false" ht="15" hidden="false" customHeight="false" outlineLevel="0" collapsed="false">
      <c r="A763" s="23"/>
      <c r="B763" s="24"/>
      <c r="C763" s="24"/>
      <c r="D763" s="24"/>
      <c r="E763" s="24"/>
      <c r="F763" s="24"/>
      <c r="G763" s="24"/>
      <c r="H763" s="25" t="str">
        <f aca="false">IF($B763="","",IFERROR(IF(INDEX(명단!$B$5:$B$404,MATCH($B763,명단!$A$5:$A$404,0))="","(이름 미입력)",INDEX(명단!$B$5:$B$404,MATCH($B763,명단!$A$5:$A$404,0))),"번호 없음"))</f>
        <v/>
      </c>
      <c r="I763" s="25" t="str">
        <f aca="false">IF(AND(C763="",D763=""),"",IF(OR(C763="-",D763="-"),"측정불가",IF(AND(ISNUMBER(C763),ISNUMBER(D763)),IF(OR(C763&gt;=설정!$C$11,D763&gt;=설정!$C$12),"긴급",IF(OR(C763&gt;=설정!$C$9,D763&gt;=설정!$C$10,C763&lt;설정!$C$13),"주의","정상")),"확인필요")))</f>
        <v/>
      </c>
      <c r="J763" s="25" t="str">
        <f aca="false">IF(E763="","",IF(E763="-","측정불가",IF(NOT(ISNUMBER(E763)),"확인필요",IF(E763&lt;설정!$C$17,"긴급(저혈당)",IF(E763&gt;=설정!$C$18,"긴급(고혈당)",IF(F763="공복",IF(E763&gt;=설정!$C$15,"주의","정상"),IF(F763="식후",IF(E763&gt;=설정!$C$16,"주의","정상"),"조건확인")))))))</f>
        <v/>
      </c>
      <c r="K763" s="25" t="str">
        <f aca="false">IF(OR(I763="긴급",LEFT(J763,2)="긴급"),"★ 즉시 선생님 호출",IF(OR(I763="주의",J763="주의"),"결과상담에서 확인",IF(J763="조건확인","혈당조건(공복/식후) 선택","")))</f>
        <v/>
      </c>
      <c r="L763" s="25" t="str">
        <f aca="false">IF($B763="","",IF(COUNTIF($B$5:$B$1004,$B763)&gt;1,"중복 입력",""))</f>
        <v/>
      </c>
    </row>
    <row r="764" customFormat="false" ht="15" hidden="false" customHeight="false" outlineLevel="0" collapsed="false">
      <c r="A764" s="23"/>
      <c r="B764" s="24"/>
      <c r="C764" s="24"/>
      <c r="D764" s="24"/>
      <c r="E764" s="24"/>
      <c r="F764" s="24"/>
      <c r="G764" s="24"/>
      <c r="H764" s="25" t="str">
        <f aca="false">IF($B764="","",IFERROR(IF(INDEX(명단!$B$5:$B$404,MATCH($B764,명단!$A$5:$A$404,0))="","(이름 미입력)",INDEX(명단!$B$5:$B$404,MATCH($B764,명단!$A$5:$A$404,0))),"번호 없음"))</f>
        <v/>
      </c>
      <c r="I764" s="25" t="str">
        <f aca="false">IF(AND(C764="",D764=""),"",IF(OR(C764="-",D764="-"),"측정불가",IF(AND(ISNUMBER(C764),ISNUMBER(D764)),IF(OR(C764&gt;=설정!$C$11,D764&gt;=설정!$C$12),"긴급",IF(OR(C764&gt;=설정!$C$9,D764&gt;=설정!$C$10,C764&lt;설정!$C$13),"주의","정상")),"확인필요")))</f>
        <v/>
      </c>
      <c r="J764" s="25" t="str">
        <f aca="false">IF(E764="","",IF(E764="-","측정불가",IF(NOT(ISNUMBER(E764)),"확인필요",IF(E764&lt;설정!$C$17,"긴급(저혈당)",IF(E764&gt;=설정!$C$18,"긴급(고혈당)",IF(F764="공복",IF(E764&gt;=설정!$C$15,"주의","정상"),IF(F764="식후",IF(E764&gt;=설정!$C$16,"주의","정상"),"조건확인")))))))</f>
        <v/>
      </c>
      <c r="K764" s="25" t="str">
        <f aca="false">IF(OR(I764="긴급",LEFT(J764,2)="긴급"),"★ 즉시 선생님 호출",IF(OR(I764="주의",J764="주의"),"결과상담에서 확인",IF(J764="조건확인","혈당조건(공복/식후) 선택","")))</f>
        <v/>
      </c>
      <c r="L764" s="25" t="str">
        <f aca="false">IF($B764="","",IF(COUNTIF($B$5:$B$1004,$B764)&gt;1,"중복 입력",""))</f>
        <v/>
      </c>
    </row>
    <row r="765" customFormat="false" ht="15" hidden="false" customHeight="false" outlineLevel="0" collapsed="false">
      <c r="A765" s="23"/>
      <c r="B765" s="24"/>
      <c r="C765" s="24"/>
      <c r="D765" s="24"/>
      <c r="E765" s="24"/>
      <c r="F765" s="24"/>
      <c r="G765" s="24"/>
      <c r="H765" s="25" t="str">
        <f aca="false">IF($B765="","",IFERROR(IF(INDEX(명단!$B$5:$B$404,MATCH($B765,명단!$A$5:$A$404,0))="","(이름 미입력)",INDEX(명단!$B$5:$B$404,MATCH($B765,명단!$A$5:$A$404,0))),"번호 없음"))</f>
        <v/>
      </c>
      <c r="I765" s="25" t="str">
        <f aca="false">IF(AND(C765="",D765=""),"",IF(OR(C765="-",D765="-"),"측정불가",IF(AND(ISNUMBER(C765),ISNUMBER(D765)),IF(OR(C765&gt;=설정!$C$11,D765&gt;=설정!$C$12),"긴급",IF(OR(C765&gt;=설정!$C$9,D765&gt;=설정!$C$10,C765&lt;설정!$C$13),"주의","정상")),"확인필요")))</f>
        <v/>
      </c>
      <c r="J765" s="25" t="str">
        <f aca="false">IF(E765="","",IF(E765="-","측정불가",IF(NOT(ISNUMBER(E765)),"확인필요",IF(E765&lt;설정!$C$17,"긴급(저혈당)",IF(E765&gt;=설정!$C$18,"긴급(고혈당)",IF(F765="공복",IF(E765&gt;=설정!$C$15,"주의","정상"),IF(F765="식후",IF(E765&gt;=설정!$C$16,"주의","정상"),"조건확인")))))))</f>
        <v/>
      </c>
      <c r="K765" s="25" t="str">
        <f aca="false">IF(OR(I765="긴급",LEFT(J765,2)="긴급"),"★ 즉시 선생님 호출",IF(OR(I765="주의",J765="주의"),"결과상담에서 확인",IF(J765="조건확인","혈당조건(공복/식후) 선택","")))</f>
        <v/>
      </c>
      <c r="L765" s="25" t="str">
        <f aca="false">IF($B765="","",IF(COUNTIF($B$5:$B$1004,$B765)&gt;1,"중복 입력",""))</f>
        <v/>
      </c>
    </row>
    <row r="766" customFormat="false" ht="15" hidden="false" customHeight="false" outlineLevel="0" collapsed="false">
      <c r="A766" s="23"/>
      <c r="B766" s="24"/>
      <c r="C766" s="24"/>
      <c r="D766" s="24"/>
      <c r="E766" s="24"/>
      <c r="F766" s="24"/>
      <c r="G766" s="24"/>
      <c r="H766" s="25" t="str">
        <f aca="false">IF($B766="","",IFERROR(IF(INDEX(명단!$B$5:$B$404,MATCH($B766,명단!$A$5:$A$404,0))="","(이름 미입력)",INDEX(명단!$B$5:$B$404,MATCH($B766,명단!$A$5:$A$404,0))),"번호 없음"))</f>
        <v/>
      </c>
      <c r="I766" s="25" t="str">
        <f aca="false">IF(AND(C766="",D766=""),"",IF(OR(C766="-",D766="-"),"측정불가",IF(AND(ISNUMBER(C766),ISNUMBER(D766)),IF(OR(C766&gt;=설정!$C$11,D766&gt;=설정!$C$12),"긴급",IF(OR(C766&gt;=설정!$C$9,D766&gt;=설정!$C$10,C766&lt;설정!$C$13),"주의","정상")),"확인필요")))</f>
        <v/>
      </c>
      <c r="J766" s="25" t="str">
        <f aca="false">IF(E766="","",IF(E766="-","측정불가",IF(NOT(ISNUMBER(E766)),"확인필요",IF(E766&lt;설정!$C$17,"긴급(저혈당)",IF(E766&gt;=설정!$C$18,"긴급(고혈당)",IF(F766="공복",IF(E766&gt;=설정!$C$15,"주의","정상"),IF(F766="식후",IF(E766&gt;=설정!$C$16,"주의","정상"),"조건확인")))))))</f>
        <v/>
      </c>
      <c r="K766" s="25" t="str">
        <f aca="false">IF(OR(I766="긴급",LEFT(J766,2)="긴급"),"★ 즉시 선생님 호출",IF(OR(I766="주의",J766="주의"),"결과상담에서 확인",IF(J766="조건확인","혈당조건(공복/식후) 선택","")))</f>
        <v/>
      </c>
      <c r="L766" s="25" t="str">
        <f aca="false">IF($B766="","",IF(COUNTIF($B$5:$B$1004,$B766)&gt;1,"중복 입력",""))</f>
        <v/>
      </c>
    </row>
    <row r="767" customFormat="false" ht="15" hidden="false" customHeight="false" outlineLevel="0" collapsed="false">
      <c r="A767" s="23"/>
      <c r="B767" s="24"/>
      <c r="C767" s="24"/>
      <c r="D767" s="24"/>
      <c r="E767" s="24"/>
      <c r="F767" s="24"/>
      <c r="G767" s="24"/>
      <c r="H767" s="25" t="str">
        <f aca="false">IF($B767="","",IFERROR(IF(INDEX(명단!$B$5:$B$404,MATCH($B767,명단!$A$5:$A$404,0))="","(이름 미입력)",INDEX(명단!$B$5:$B$404,MATCH($B767,명단!$A$5:$A$404,0))),"번호 없음"))</f>
        <v/>
      </c>
      <c r="I767" s="25" t="str">
        <f aca="false">IF(AND(C767="",D767=""),"",IF(OR(C767="-",D767="-"),"측정불가",IF(AND(ISNUMBER(C767),ISNUMBER(D767)),IF(OR(C767&gt;=설정!$C$11,D767&gt;=설정!$C$12),"긴급",IF(OR(C767&gt;=설정!$C$9,D767&gt;=설정!$C$10,C767&lt;설정!$C$13),"주의","정상")),"확인필요")))</f>
        <v/>
      </c>
      <c r="J767" s="25" t="str">
        <f aca="false">IF(E767="","",IF(E767="-","측정불가",IF(NOT(ISNUMBER(E767)),"확인필요",IF(E767&lt;설정!$C$17,"긴급(저혈당)",IF(E767&gt;=설정!$C$18,"긴급(고혈당)",IF(F767="공복",IF(E767&gt;=설정!$C$15,"주의","정상"),IF(F767="식후",IF(E767&gt;=설정!$C$16,"주의","정상"),"조건확인")))))))</f>
        <v/>
      </c>
      <c r="K767" s="25" t="str">
        <f aca="false">IF(OR(I767="긴급",LEFT(J767,2)="긴급"),"★ 즉시 선생님 호출",IF(OR(I767="주의",J767="주의"),"결과상담에서 확인",IF(J767="조건확인","혈당조건(공복/식후) 선택","")))</f>
        <v/>
      </c>
      <c r="L767" s="25" t="str">
        <f aca="false">IF($B767="","",IF(COUNTIF($B$5:$B$1004,$B767)&gt;1,"중복 입력",""))</f>
        <v/>
      </c>
    </row>
    <row r="768" customFormat="false" ht="15" hidden="false" customHeight="false" outlineLevel="0" collapsed="false">
      <c r="A768" s="23"/>
      <c r="B768" s="24"/>
      <c r="C768" s="24"/>
      <c r="D768" s="24"/>
      <c r="E768" s="24"/>
      <c r="F768" s="24"/>
      <c r="G768" s="24"/>
      <c r="H768" s="25" t="str">
        <f aca="false">IF($B768="","",IFERROR(IF(INDEX(명단!$B$5:$B$404,MATCH($B768,명단!$A$5:$A$404,0))="","(이름 미입력)",INDEX(명단!$B$5:$B$404,MATCH($B768,명단!$A$5:$A$404,0))),"번호 없음"))</f>
        <v/>
      </c>
      <c r="I768" s="25" t="str">
        <f aca="false">IF(AND(C768="",D768=""),"",IF(OR(C768="-",D768="-"),"측정불가",IF(AND(ISNUMBER(C768),ISNUMBER(D768)),IF(OR(C768&gt;=설정!$C$11,D768&gt;=설정!$C$12),"긴급",IF(OR(C768&gt;=설정!$C$9,D768&gt;=설정!$C$10,C768&lt;설정!$C$13),"주의","정상")),"확인필요")))</f>
        <v/>
      </c>
      <c r="J768" s="25" t="str">
        <f aca="false">IF(E768="","",IF(E768="-","측정불가",IF(NOT(ISNUMBER(E768)),"확인필요",IF(E768&lt;설정!$C$17,"긴급(저혈당)",IF(E768&gt;=설정!$C$18,"긴급(고혈당)",IF(F768="공복",IF(E768&gt;=설정!$C$15,"주의","정상"),IF(F768="식후",IF(E768&gt;=설정!$C$16,"주의","정상"),"조건확인")))))))</f>
        <v/>
      </c>
      <c r="K768" s="25" t="str">
        <f aca="false">IF(OR(I768="긴급",LEFT(J768,2)="긴급"),"★ 즉시 선생님 호출",IF(OR(I768="주의",J768="주의"),"결과상담에서 확인",IF(J768="조건확인","혈당조건(공복/식후) 선택","")))</f>
        <v/>
      </c>
      <c r="L768" s="25" t="str">
        <f aca="false">IF($B768="","",IF(COUNTIF($B$5:$B$1004,$B768)&gt;1,"중복 입력",""))</f>
        <v/>
      </c>
    </row>
    <row r="769" customFormat="false" ht="15" hidden="false" customHeight="false" outlineLevel="0" collapsed="false">
      <c r="A769" s="23"/>
      <c r="B769" s="24"/>
      <c r="C769" s="24"/>
      <c r="D769" s="24"/>
      <c r="E769" s="24"/>
      <c r="F769" s="24"/>
      <c r="G769" s="24"/>
      <c r="H769" s="25" t="str">
        <f aca="false">IF($B769="","",IFERROR(IF(INDEX(명단!$B$5:$B$404,MATCH($B769,명단!$A$5:$A$404,0))="","(이름 미입력)",INDEX(명단!$B$5:$B$404,MATCH($B769,명단!$A$5:$A$404,0))),"번호 없음"))</f>
        <v/>
      </c>
      <c r="I769" s="25" t="str">
        <f aca="false">IF(AND(C769="",D769=""),"",IF(OR(C769="-",D769="-"),"측정불가",IF(AND(ISNUMBER(C769),ISNUMBER(D769)),IF(OR(C769&gt;=설정!$C$11,D769&gt;=설정!$C$12),"긴급",IF(OR(C769&gt;=설정!$C$9,D769&gt;=설정!$C$10,C769&lt;설정!$C$13),"주의","정상")),"확인필요")))</f>
        <v/>
      </c>
      <c r="J769" s="25" t="str">
        <f aca="false">IF(E769="","",IF(E769="-","측정불가",IF(NOT(ISNUMBER(E769)),"확인필요",IF(E769&lt;설정!$C$17,"긴급(저혈당)",IF(E769&gt;=설정!$C$18,"긴급(고혈당)",IF(F769="공복",IF(E769&gt;=설정!$C$15,"주의","정상"),IF(F769="식후",IF(E769&gt;=설정!$C$16,"주의","정상"),"조건확인")))))))</f>
        <v/>
      </c>
      <c r="K769" s="25" t="str">
        <f aca="false">IF(OR(I769="긴급",LEFT(J769,2)="긴급"),"★ 즉시 선생님 호출",IF(OR(I769="주의",J769="주의"),"결과상담에서 확인",IF(J769="조건확인","혈당조건(공복/식후) 선택","")))</f>
        <v/>
      </c>
      <c r="L769" s="25" t="str">
        <f aca="false">IF($B769="","",IF(COUNTIF($B$5:$B$1004,$B769)&gt;1,"중복 입력",""))</f>
        <v/>
      </c>
    </row>
    <row r="770" customFormat="false" ht="15" hidden="false" customHeight="false" outlineLevel="0" collapsed="false">
      <c r="A770" s="23"/>
      <c r="B770" s="24"/>
      <c r="C770" s="24"/>
      <c r="D770" s="24"/>
      <c r="E770" s="24"/>
      <c r="F770" s="24"/>
      <c r="G770" s="24"/>
      <c r="H770" s="25" t="str">
        <f aca="false">IF($B770="","",IFERROR(IF(INDEX(명단!$B$5:$B$404,MATCH($B770,명단!$A$5:$A$404,0))="","(이름 미입력)",INDEX(명단!$B$5:$B$404,MATCH($B770,명단!$A$5:$A$404,0))),"번호 없음"))</f>
        <v/>
      </c>
      <c r="I770" s="25" t="str">
        <f aca="false">IF(AND(C770="",D770=""),"",IF(OR(C770="-",D770="-"),"측정불가",IF(AND(ISNUMBER(C770),ISNUMBER(D770)),IF(OR(C770&gt;=설정!$C$11,D770&gt;=설정!$C$12),"긴급",IF(OR(C770&gt;=설정!$C$9,D770&gt;=설정!$C$10,C770&lt;설정!$C$13),"주의","정상")),"확인필요")))</f>
        <v/>
      </c>
      <c r="J770" s="25" t="str">
        <f aca="false">IF(E770="","",IF(E770="-","측정불가",IF(NOT(ISNUMBER(E770)),"확인필요",IF(E770&lt;설정!$C$17,"긴급(저혈당)",IF(E770&gt;=설정!$C$18,"긴급(고혈당)",IF(F770="공복",IF(E770&gt;=설정!$C$15,"주의","정상"),IF(F770="식후",IF(E770&gt;=설정!$C$16,"주의","정상"),"조건확인")))))))</f>
        <v/>
      </c>
      <c r="K770" s="25" t="str">
        <f aca="false">IF(OR(I770="긴급",LEFT(J770,2)="긴급"),"★ 즉시 선생님 호출",IF(OR(I770="주의",J770="주의"),"결과상담에서 확인",IF(J770="조건확인","혈당조건(공복/식후) 선택","")))</f>
        <v/>
      </c>
      <c r="L770" s="25" t="str">
        <f aca="false">IF($B770="","",IF(COUNTIF($B$5:$B$1004,$B770)&gt;1,"중복 입력",""))</f>
        <v/>
      </c>
    </row>
    <row r="771" customFormat="false" ht="15" hidden="false" customHeight="false" outlineLevel="0" collapsed="false">
      <c r="A771" s="23"/>
      <c r="B771" s="24"/>
      <c r="C771" s="24"/>
      <c r="D771" s="24"/>
      <c r="E771" s="24"/>
      <c r="F771" s="24"/>
      <c r="G771" s="24"/>
      <c r="H771" s="25" t="str">
        <f aca="false">IF($B771="","",IFERROR(IF(INDEX(명단!$B$5:$B$404,MATCH($B771,명단!$A$5:$A$404,0))="","(이름 미입력)",INDEX(명단!$B$5:$B$404,MATCH($B771,명단!$A$5:$A$404,0))),"번호 없음"))</f>
        <v/>
      </c>
      <c r="I771" s="25" t="str">
        <f aca="false">IF(AND(C771="",D771=""),"",IF(OR(C771="-",D771="-"),"측정불가",IF(AND(ISNUMBER(C771),ISNUMBER(D771)),IF(OR(C771&gt;=설정!$C$11,D771&gt;=설정!$C$12),"긴급",IF(OR(C771&gt;=설정!$C$9,D771&gt;=설정!$C$10,C771&lt;설정!$C$13),"주의","정상")),"확인필요")))</f>
        <v/>
      </c>
      <c r="J771" s="25" t="str">
        <f aca="false">IF(E771="","",IF(E771="-","측정불가",IF(NOT(ISNUMBER(E771)),"확인필요",IF(E771&lt;설정!$C$17,"긴급(저혈당)",IF(E771&gt;=설정!$C$18,"긴급(고혈당)",IF(F771="공복",IF(E771&gt;=설정!$C$15,"주의","정상"),IF(F771="식후",IF(E771&gt;=설정!$C$16,"주의","정상"),"조건확인")))))))</f>
        <v/>
      </c>
      <c r="K771" s="25" t="str">
        <f aca="false">IF(OR(I771="긴급",LEFT(J771,2)="긴급"),"★ 즉시 선생님 호출",IF(OR(I771="주의",J771="주의"),"결과상담에서 확인",IF(J771="조건확인","혈당조건(공복/식후) 선택","")))</f>
        <v/>
      </c>
      <c r="L771" s="25" t="str">
        <f aca="false">IF($B771="","",IF(COUNTIF($B$5:$B$1004,$B771)&gt;1,"중복 입력",""))</f>
        <v/>
      </c>
    </row>
    <row r="772" customFormat="false" ht="15" hidden="false" customHeight="false" outlineLevel="0" collapsed="false">
      <c r="A772" s="23"/>
      <c r="B772" s="24"/>
      <c r="C772" s="24"/>
      <c r="D772" s="24"/>
      <c r="E772" s="24"/>
      <c r="F772" s="24"/>
      <c r="G772" s="24"/>
      <c r="H772" s="25" t="str">
        <f aca="false">IF($B772="","",IFERROR(IF(INDEX(명단!$B$5:$B$404,MATCH($B772,명단!$A$5:$A$404,0))="","(이름 미입력)",INDEX(명단!$B$5:$B$404,MATCH($B772,명단!$A$5:$A$404,0))),"번호 없음"))</f>
        <v/>
      </c>
      <c r="I772" s="25" t="str">
        <f aca="false">IF(AND(C772="",D772=""),"",IF(OR(C772="-",D772="-"),"측정불가",IF(AND(ISNUMBER(C772),ISNUMBER(D772)),IF(OR(C772&gt;=설정!$C$11,D772&gt;=설정!$C$12),"긴급",IF(OR(C772&gt;=설정!$C$9,D772&gt;=설정!$C$10,C772&lt;설정!$C$13),"주의","정상")),"확인필요")))</f>
        <v/>
      </c>
      <c r="J772" s="25" t="str">
        <f aca="false">IF(E772="","",IF(E772="-","측정불가",IF(NOT(ISNUMBER(E772)),"확인필요",IF(E772&lt;설정!$C$17,"긴급(저혈당)",IF(E772&gt;=설정!$C$18,"긴급(고혈당)",IF(F772="공복",IF(E772&gt;=설정!$C$15,"주의","정상"),IF(F772="식후",IF(E772&gt;=설정!$C$16,"주의","정상"),"조건확인")))))))</f>
        <v/>
      </c>
      <c r="K772" s="25" t="str">
        <f aca="false">IF(OR(I772="긴급",LEFT(J772,2)="긴급"),"★ 즉시 선생님 호출",IF(OR(I772="주의",J772="주의"),"결과상담에서 확인",IF(J772="조건확인","혈당조건(공복/식후) 선택","")))</f>
        <v/>
      </c>
      <c r="L772" s="25" t="str">
        <f aca="false">IF($B772="","",IF(COUNTIF($B$5:$B$1004,$B772)&gt;1,"중복 입력",""))</f>
        <v/>
      </c>
    </row>
    <row r="773" customFormat="false" ht="15" hidden="false" customHeight="false" outlineLevel="0" collapsed="false">
      <c r="A773" s="23"/>
      <c r="B773" s="24"/>
      <c r="C773" s="24"/>
      <c r="D773" s="24"/>
      <c r="E773" s="24"/>
      <c r="F773" s="24"/>
      <c r="G773" s="24"/>
      <c r="H773" s="25" t="str">
        <f aca="false">IF($B773="","",IFERROR(IF(INDEX(명단!$B$5:$B$404,MATCH($B773,명단!$A$5:$A$404,0))="","(이름 미입력)",INDEX(명단!$B$5:$B$404,MATCH($B773,명단!$A$5:$A$404,0))),"번호 없음"))</f>
        <v/>
      </c>
      <c r="I773" s="25" t="str">
        <f aca="false">IF(AND(C773="",D773=""),"",IF(OR(C773="-",D773="-"),"측정불가",IF(AND(ISNUMBER(C773),ISNUMBER(D773)),IF(OR(C773&gt;=설정!$C$11,D773&gt;=설정!$C$12),"긴급",IF(OR(C773&gt;=설정!$C$9,D773&gt;=설정!$C$10,C773&lt;설정!$C$13),"주의","정상")),"확인필요")))</f>
        <v/>
      </c>
      <c r="J773" s="25" t="str">
        <f aca="false">IF(E773="","",IF(E773="-","측정불가",IF(NOT(ISNUMBER(E773)),"확인필요",IF(E773&lt;설정!$C$17,"긴급(저혈당)",IF(E773&gt;=설정!$C$18,"긴급(고혈당)",IF(F773="공복",IF(E773&gt;=설정!$C$15,"주의","정상"),IF(F773="식후",IF(E773&gt;=설정!$C$16,"주의","정상"),"조건확인")))))))</f>
        <v/>
      </c>
      <c r="K773" s="25" t="str">
        <f aca="false">IF(OR(I773="긴급",LEFT(J773,2)="긴급"),"★ 즉시 선생님 호출",IF(OR(I773="주의",J773="주의"),"결과상담에서 확인",IF(J773="조건확인","혈당조건(공복/식후) 선택","")))</f>
        <v/>
      </c>
      <c r="L773" s="25" t="str">
        <f aca="false">IF($B773="","",IF(COUNTIF($B$5:$B$1004,$B773)&gt;1,"중복 입력",""))</f>
        <v/>
      </c>
    </row>
    <row r="774" customFormat="false" ht="15" hidden="false" customHeight="false" outlineLevel="0" collapsed="false">
      <c r="A774" s="23"/>
      <c r="B774" s="24"/>
      <c r="C774" s="24"/>
      <c r="D774" s="24"/>
      <c r="E774" s="24"/>
      <c r="F774" s="24"/>
      <c r="G774" s="24"/>
      <c r="H774" s="25" t="str">
        <f aca="false">IF($B774="","",IFERROR(IF(INDEX(명단!$B$5:$B$404,MATCH($B774,명단!$A$5:$A$404,0))="","(이름 미입력)",INDEX(명단!$B$5:$B$404,MATCH($B774,명단!$A$5:$A$404,0))),"번호 없음"))</f>
        <v/>
      </c>
      <c r="I774" s="25" t="str">
        <f aca="false">IF(AND(C774="",D774=""),"",IF(OR(C774="-",D774="-"),"측정불가",IF(AND(ISNUMBER(C774),ISNUMBER(D774)),IF(OR(C774&gt;=설정!$C$11,D774&gt;=설정!$C$12),"긴급",IF(OR(C774&gt;=설정!$C$9,D774&gt;=설정!$C$10,C774&lt;설정!$C$13),"주의","정상")),"확인필요")))</f>
        <v/>
      </c>
      <c r="J774" s="25" t="str">
        <f aca="false">IF(E774="","",IF(E774="-","측정불가",IF(NOT(ISNUMBER(E774)),"확인필요",IF(E774&lt;설정!$C$17,"긴급(저혈당)",IF(E774&gt;=설정!$C$18,"긴급(고혈당)",IF(F774="공복",IF(E774&gt;=설정!$C$15,"주의","정상"),IF(F774="식후",IF(E774&gt;=설정!$C$16,"주의","정상"),"조건확인")))))))</f>
        <v/>
      </c>
      <c r="K774" s="25" t="str">
        <f aca="false">IF(OR(I774="긴급",LEFT(J774,2)="긴급"),"★ 즉시 선생님 호출",IF(OR(I774="주의",J774="주의"),"결과상담에서 확인",IF(J774="조건확인","혈당조건(공복/식후) 선택","")))</f>
        <v/>
      </c>
      <c r="L774" s="25" t="str">
        <f aca="false">IF($B774="","",IF(COUNTIF($B$5:$B$1004,$B774)&gt;1,"중복 입력",""))</f>
        <v/>
      </c>
    </row>
    <row r="775" customFormat="false" ht="15" hidden="false" customHeight="false" outlineLevel="0" collapsed="false">
      <c r="A775" s="23"/>
      <c r="B775" s="24"/>
      <c r="C775" s="24"/>
      <c r="D775" s="24"/>
      <c r="E775" s="24"/>
      <c r="F775" s="24"/>
      <c r="G775" s="24"/>
      <c r="H775" s="25" t="str">
        <f aca="false">IF($B775="","",IFERROR(IF(INDEX(명단!$B$5:$B$404,MATCH($B775,명단!$A$5:$A$404,0))="","(이름 미입력)",INDEX(명단!$B$5:$B$404,MATCH($B775,명단!$A$5:$A$404,0))),"번호 없음"))</f>
        <v/>
      </c>
      <c r="I775" s="25" t="str">
        <f aca="false">IF(AND(C775="",D775=""),"",IF(OR(C775="-",D775="-"),"측정불가",IF(AND(ISNUMBER(C775),ISNUMBER(D775)),IF(OR(C775&gt;=설정!$C$11,D775&gt;=설정!$C$12),"긴급",IF(OR(C775&gt;=설정!$C$9,D775&gt;=설정!$C$10,C775&lt;설정!$C$13),"주의","정상")),"확인필요")))</f>
        <v/>
      </c>
      <c r="J775" s="25" t="str">
        <f aca="false">IF(E775="","",IF(E775="-","측정불가",IF(NOT(ISNUMBER(E775)),"확인필요",IF(E775&lt;설정!$C$17,"긴급(저혈당)",IF(E775&gt;=설정!$C$18,"긴급(고혈당)",IF(F775="공복",IF(E775&gt;=설정!$C$15,"주의","정상"),IF(F775="식후",IF(E775&gt;=설정!$C$16,"주의","정상"),"조건확인")))))))</f>
        <v/>
      </c>
      <c r="K775" s="25" t="str">
        <f aca="false">IF(OR(I775="긴급",LEFT(J775,2)="긴급"),"★ 즉시 선생님 호출",IF(OR(I775="주의",J775="주의"),"결과상담에서 확인",IF(J775="조건확인","혈당조건(공복/식후) 선택","")))</f>
        <v/>
      </c>
      <c r="L775" s="25" t="str">
        <f aca="false">IF($B775="","",IF(COUNTIF($B$5:$B$1004,$B775)&gt;1,"중복 입력",""))</f>
        <v/>
      </c>
    </row>
    <row r="776" customFormat="false" ht="15" hidden="false" customHeight="false" outlineLevel="0" collapsed="false">
      <c r="A776" s="23"/>
      <c r="B776" s="24"/>
      <c r="C776" s="24"/>
      <c r="D776" s="24"/>
      <c r="E776" s="24"/>
      <c r="F776" s="24"/>
      <c r="G776" s="24"/>
      <c r="H776" s="25" t="str">
        <f aca="false">IF($B776="","",IFERROR(IF(INDEX(명단!$B$5:$B$404,MATCH($B776,명단!$A$5:$A$404,0))="","(이름 미입력)",INDEX(명단!$B$5:$B$404,MATCH($B776,명단!$A$5:$A$404,0))),"번호 없음"))</f>
        <v/>
      </c>
      <c r="I776" s="25" t="str">
        <f aca="false">IF(AND(C776="",D776=""),"",IF(OR(C776="-",D776="-"),"측정불가",IF(AND(ISNUMBER(C776),ISNUMBER(D776)),IF(OR(C776&gt;=설정!$C$11,D776&gt;=설정!$C$12),"긴급",IF(OR(C776&gt;=설정!$C$9,D776&gt;=설정!$C$10,C776&lt;설정!$C$13),"주의","정상")),"확인필요")))</f>
        <v/>
      </c>
      <c r="J776" s="25" t="str">
        <f aca="false">IF(E776="","",IF(E776="-","측정불가",IF(NOT(ISNUMBER(E776)),"확인필요",IF(E776&lt;설정!$C$17,"긴급(저혈당)",IF(E776&gt;=설정!$C$18,"긴급(고혈당)",IF(F776="공복",IF(E776&gt;=설정!$C$15,"주의","정상"),IF(F776="식후",IF(E776&gt;=설정!$C$16,"주의","정상"),"조건확인")))))))</f>
        <v/>
      </c>
      <c r="K776" s="25" t="str">
        <f aca="false">IF(OR(I776="긴급",LEFT(J776,2)="긴급"),"★ 즉시 선생님 호출",IF(OR(I776="주의",J776="주의"),"결과상담에서 확인",IF(J776="조건확인","혈당조건(공복/식후) 선택","")))</f>
        <v/>
      </c>
      <c r="L776" s="25" t="str">
        <f aca="false">IF($B776="","",IF(COUNTIF($B$5:$B$1004,$B776)&gt;1,"중복 입력",""))</f>
        <v/>
      </c>
    </row>
    <row r="777" customFormat="false" ht="15" hidden="false" customHeight="false" outlineLevel="0" collapsed="false">
      <c r="A777" s="23"/>
      <c r="B777" s="24"/>
      <c r="C777" s="24"/>
      <c r="D777" s="24"/>
      <c r="E777" s="24"/>
      <c r="F777" s="24"/>
      <c r="G777" s="24"/>
      <c r="H777" s="25" t="str">
        <f aca="false">IF($B777="","",IFERROR(IF(INDEX(명단!$B$5:$B$404,MATCH($B777,명단!$A$5:$A$404,0))="","(이름 미입력)",INDEX(명단!$B$5:$B$404,MATCH($B777,명단!$A$5:$A$404,0))),"번호 없음"))</f>
        <v/>
      </c>
      <c r="I777" s="25" t="str">
        <f aca="false">IF(AND(C777="",D777=""),"",IF(OR(C777="-",D777="-"),"측정불가",IF(AND(ISNUMBER(C777),ISNUMBER(D777)),IF(OR(C777&gt;=설정!$C$11,D777&gt;=설정!$C$12),"긴급",IF(OR(C777&gt;=설정!$C$9,D777&gt;=설정!$C$10,C777&lt;설정!$C$13),"주의","정상")),"확인필요")))</f>
        <v/>
      </c>
      <c r="J777" s="25" t="str">
        <f aca="false">IF(E777="","",IF(E777="-","측정불가",IF(NOT(ISNUMBER(E777)),"확인필요",IF(E777&lt;설정!$C$17,"긴급(저혈당)",IF(E777&gt;=설정!$C$18,"긴급(고혈당)",IF(F777="공복",IF(E777&gt;=설정!$C$15,"주의","정상"),IF(F777="식후",IF(E777&gt;=설정!$C$16,"주의","정상"),"조건확인")))))))</f>
        <v/>
      </c>
      <c r="K777" s="25" t="str">
        <f aca="false">IF(OR(I777="긴급",LEFT(J777,2)="긴급"),"★ 즉시 선생님 호출",IF(OR(I777="주의",J777="주의"),"결과상담에서 확인",IF(J777="조건확인","혈당조건(공복/식후) 선택","")))</f>
        <v/>
      </c>
      <c r="L777" s="25" t="str">
        <f aca="false">IF($B777="","",IF(COUNTIF($B$5:$B$1004,$B777)&gt;1,"중복 입력",""))</f>
        <v/>
      </c>
    </row>
    <row r="778" customFormat="false" ht="15" hidden="false" customHeight="false" outlineLevel="0" collapsed="false">
      <c r="A778" s="23"/>
      <c r="B778" s="24"/>
      <c r="C778" s="24"/>
      <c r="D778" s="24"/>
      <c r="E778" s="24"/>
      <c r="F778" s="24"/>
      <c r="G778" s="24"/>
      <c r="H778" s="25" t="str">
        <f aca="false">IF($B778="","",IFERROR(IF(INDEX(명단!$B$5:$B$404,MATCH($B778,명단!$A$5:$A$404,0))="","(이름 미입력)",INDEX(명단!$B$5:$B$404,MATCH($B778,명단!$A$5:$A$404,0))),"번호 없음"))</f>
        <v/>
      </c>
      <c r="I778" s="25" t="str">
        <f aca="false">IF(AND(C778="",D778=""),"",IF(OR(C778="-",D778="-"),"측정불가",IF(AND(ISNUMBER(C778),ISNUMBER(D778)),IF(OR(C778&gt;=설정!$C$11,D778&gt;=설정!$C$12),"긴급",IF(OR(C778&gt;=설정!$C$9,D778&gt;=설정!$C$10,C778&lt;설정!$C$13),"주의","정상")),"확인필요")))</f>
        <v/>
      </c>
      <c r="J778" s="25" t="str">
        <f aca="false">IF(E778="","",IF(E778="-","측정불가",IF(NOT(ISNUMBER(E778)),"확인필요",IF(E778&lt;설정!$C$17,"긴급(저혈당)",IF(E778&gt;=설정!$C$18,"긴급(고혈당)",IF(F778="공복",IF(E778&gt;=설정!$C$15,"주의","정상"),IF(F778="식후",IF(E778&gt;=설정!$C$16,"주의","정상"),"조건확인")))))))</f>
        <v/>
      </c>
      <c r="K778" s="25" t="str">
        <f aca="false">IF(OR(I778="긴급",LEFT(J778,2)="긴급"),"★ 즉시 선생님 호출",IF(OR(I778="주의",J778="주의"),"결과상담에서 확인",IF(J778="조건확인","혈당조건(공복/식후) 선택","")))</f>
        <v/>
      </c>
      <c r="L778" s="25" t="str">
        <f aca="false">IF($B778="","",IF(COUNTIF($B$5:$B$1004,$B778)&gt;1,"중복 입력",""))</f>
        <v/>
      </c>
    </row>
    <row r="779" customFormat="false" ht="15" hidden="false" customHeight="false" outlineLevel="0" collapsed="false">
      <c r="A779" s="23"/>
      <c r="B779" s="24"/>
      <c r="C779" s="24"/>
      <c r="D779" s="24"/>
      <c r="E779" s="24"/>
      <c r="F779" s="24"/>
      <c r="G779" s="24"/>
      <c r="H779" s="25" t="str">
        <f aca="false">IF($B779="","",IFERROR(IF(INDEX(명단!$B$5:$B$404,MATCH($B779,명단!$A$5:$A$404,0))="","(이름 미입력)",INDEX(명단!$B$5:$B$404,MATCH($B779,명단!$A$5:$A$404,0))),"번호 없음"))</f>
        <v/>
      </c>
      <c r="I779" s="25" t="str">
        <f aca="false">IF(AND(C779="",D779=""),"",IF(OR(C779="-",D779="-"),"측정불가",IF(AND(ISNUMBER(C779),ISNUMBER(D779)),IF(OR(C779&gt;=설정!$C$11,D779&gt;=설정!$C$12),"긴급",IF(OR(C779&gt;=설정!$C$9,D779&gt;=설정!$C$10,C779&lt;설정!$C$13),"주의","정상")),"확인필요")))</f>
        <v/>
      </c>
      <c r="J779" s="25" t="str">
        <f aca="false">IF(E779="","",IF(E779="-","측정불가",IF(NOT(ISNUMBER(E779)),"확인필요",IF(E779&lt;설정!$C$17,"긴급(저혈당)",IF(E779&gt;=설정!$C$18,"긴급(고혈당)",IF(F779="공복",IF(E779&gt;=설정!$C$15,"주의","정상"),IF(F779="식후",IF(E779&gt;=설정!$C$16,"주의","정상"),"조건확인")))))))</f>
        <v/>
      </c>
      <c r="K779" s="25" t="str">
        <f aca="false">IF(OR(I779="긴급",LEFT(J779,2)="긴급"),"★ 즉시 선생님 호출",IF(OR(I779="주의",J779="주의"),"결과상담에서 확인",IF(J779="조건확인","혈당조건(공복/식후) 선택","")))</f>
        <v/>
      </c>
      <c r="L779" s="25" t="str">
        <f aca="false">IF($B779="","",IF(COUNTIF($B$5:$B$1004,$B779)&gt;1,"중복 입력",""))</f>
        <v/>
      </c>
    </row>
    <row r="780" customFormat="false" ht="15" hidden="false" customHeight="false" outlineLevel="0" collapsed="false">
      <c r="A780" s="23"/>
      <c r="B780" s="24"/>
      <c r="C780" s="24"/>
      <c r="D780" s="24"/>
      <c r="E780" s="24"/>
      <c r="F780" s="24"/>
      <c r="G780" s="24"/>
      <c r="H780" s="25" t="str">
        <f aca="false">IF($B780="","",IFERROR(IF(INDEX(명단!$B$5:$B$404,MATCH($B780,명단!$A$5:$A$404,0))="","(이름 미입력)",INDEX(명단!$B$5:$B$404,MATCH($B780,명단!$A$5:$A$404,0))),"번호 없음"))</f>
        <v/>
      </c>
      <c r="I780" s="25" t="str">
        <f aca="false">IF(AND(C780="",D780=""),"",IF(OR(C780="-",D780="-"),"측정불가",IF(AND(ISNUMBER(C780),ISNUMBER(D780)),IF(OR(C780&gt;=설정!$C$11,D780&gt;=설정!$C$12),"긴급",IF(OR(C780&gt;=설정!$C$9,D780&gt;=설정!$C$10,C780&lt;설정!$C$13),"주의","정상")),"확인필요")))</f>
        <v/>
      </c>
      <c r="J780" s="25" t="str">
        <f aca="false">IF(E780="","",IF(E780="-","측정불가",IF(NOT(ISNUMBER(E780)),"확인필요",IF(E780&lt;설정!$C$17,"긴급(저혈당)",IF(E780&gt;=설정!$C$18,"긴급(고혈당)",IF(F780="공복",IF(E780&gt;=설정!$C$15,"주의","정상"),IF(F780="식후",IF(E780&gt;=설정!$C$16,"주의","정상"),"조건확인")))))))</f>
        <v/>
      </c>
      <c r="K780" s="25" t="str">
        <f aca="false">IF(OR(I780="긴급",LEFT(J780,2)="긴급"),"★ 즉시 선생님 호출",IF(OR(I780="주의",J780="주의"),"결과상담에서 확인",IF(J780="조건확인","혈당조건(공복/식후) 선택","")))</f>
        <v/>
      </c>
      <c r="L780" s="25" t="str">
        <f aca="false">IF($B780="","",IF(COUNTIF($B$5:$B$1004,$B780)&gt;1,"중복 입력",""))</f>
        <v/>
      </c>
    </row>
    <row r="781" customFormat="false" ht="15" hidden="false" customHeight="false" outlineLevel="0" collapsed="false">
      <c r="A781" s="23"/>
      <c r="B781" s="24"/>
      <c r="C781" s="24"/>
      <c r="D781" s="24"/>
      <c r="E781" s="24"/>
      <c r="F781" s="24"/>
      <c r="G781" s="24"/>
      <c r="H781" s="25" t="str">
        <f aca="false">IF($B781="","",IFERROR(IF(INDEX(명단!$B$5:$B$404,MATCH($B781,명단!$A$5:$A$404,0))="","(이름 미입력)",INDEX(명단!$B$5:$B$404,MATCH($B781,명단!$A$5:$A$404,0))),"번호 없음"))</f>
        <v/>
      </c>
      <c r="I781" s="25" t="str">
        <f aca="false">IF(AND(C781="",D781=""),"",IF(OR(C781="-",D781="-"),"측정불가",IF(AND(ISNUMBER(C781),ISNUMBER(D781)),IF(OR(C781&gt;=설정!$C$11,D781&gt;=설정!$C$12),"긴급",IF(OR(C781&gt;=설정!$C$9,D781&gt;=설정!$C$10,C781&lt;설정!$C$13),"주의","정상")),"확인필요")))</f>
        <v/>
      </c>
      <c r="J781" s="25" t="str">
        <f aca="false">IF(E781="","",IF(E781="-","측정불가",IF(NOT(ISNUMBER(E781)),"확인필요",IF(E781&lt;설정!$C$17,"긴급(저혈당)",IF(E781&gt;=설정!$C$18,"긴급(고혈당)",IF(F781="공복",IF(E781&gt;=설정!$C$15,"주의","정상"),IF(F781="식후",IF(E781&gt;=설정!$C$16,"주의","정상"),"조건확인")))))))</f>
        <v/>
      </c>
      <c r="K781" s="25" t="str">
        <f aca="false">IF(OR(I781="긴급",LEFT(J781,2)="긴급"),"★ 즉시 선생님 호출",IF(OR(I781="주의",J781="주의"),"결과상담에서 확인",IF(J781="조건확인","혈당조건(공복/식후) 선택","")))</f>
        <v/>
      </c>
      <c r="L781" s="25" t="str">
        <f aca="false">IF($B781="","",IF(COUNTIF($B$5:$B$1004,$B781)&gt;1,"중복 입력",""))</f>
        <v/>
      </c>
    </row>
    <row r="782" customFormat="false" ht="15" hidden="false" customHeight="false" outlineLevel="0" collapsed="false">
      <c r="A782" s="23"/>
      <c r="B782" s="24"/>
      <c r="C782" s="24"/>
      <c r="D782" s="24"/>
      <c r="E782" s="24"/>
      <c r="F782" s="24"/>
      <c r="G782" s="24"/>
      <c r="H782" s="25" t="str">
        <f aca="false">IF($B782="","",IFERROR(IF(INDEX(명단!$B$5:$B$404,MATCH($B782,명단!$A$5:$A$404,0))="","(이름 미입력)",INDEX(명단!$B$5:$B$404,MATCH($B782,명단!$A$5:$A$404,0))),"번호 없음"))</f>
        <v/>
      </c>
      <c r="I782" s="25" t="str">
        <f aca="false">IF(AND(C782="",D782=""),"",IF(OR(C782="-",D782="-"),"측정불가",IF(AND(ISNUMBER(C782),ISNUMBER(D782)),IF(OR(C782&gt;=설정!$C$11,D782&gt;=설정!$C$12),"긴급",IF(OR(C782&gt;=설정!$C$9,D782&gt;=설정!$C$10,C782&lt;설정!$C$13),"주의","정상")),"확인필요")))</f>
        <v/>
      </c>
      <c r="J782" s="25" t="str">
        <f aca="false">IF(E782="","",IF(E782="-","측정불가",IF(NOT(ISNUMBER(E782)),"확인필요",IF(E782&lt;설정!$C$17,"긴급(저혈당)",IF(E782&gt;=설정!$C$18,"긴급(고혈당)",IF(F782="공복",IF(E782&gt;=설정!$C$15,"주의","정상"),IF(F782="식후",IF(E782&gt;=설정!$C$16,"주의","정상"),"조건확인")))))))</f>
        <v/>
      </c>
      <c r="K782" s="25" t="str">
        <f aca="false">IF(OR(I782="긴급",LEFT(J782,2)="긴급"),"★ 즉시 선생님 호출",IF(OR(I782="주의",J782="주의"),"결과상담에서 확인",IF(J782="조건확인","혈당조건(공복/식후) 선택","")))</f>
        <v/>
      </c>
      <c r="L782" s="25" t="str">
        <f aca="false">IF($B782="","",IF(COUNTIF($B$5:$B$1004,$B782)&gt;1,"중복 입력",""))</f>
        <v/>
      </c>
    </row>
    <row r="783" customFormat="false" ht="15" hidden="false" customHeight="false" outlineLevel="0" collapsed="false">
      <c r="A783" s="23"/>
      <c r="B783" s="24"/>
      <c r="C783" s="24"/>
      <c r="D783" s="24"/>
      <c r="E783" s="24"/>
      <c r="F783" s="24"/>
      <c r="G783" s="24"/>
      <c r="H783" s="25" t="str">
        <f aca="false">IF($B783="","",IFERROR(IF(INDEX(명단!$B$5:$B$404,MATCH($B783,명단!$A$5:$A$404,0))="","(이름 미입력)",INDEX(명단!$B$5:$B$404,MATCH($B783,명단!$A$5:$A$404,0))),"번호 없음"))</f>
        <v/>
      </c>
      <c r="I783" s="25" t="str">
        <f aca="false">IF(AND(C783="",D783=""),"",IF(OR(C783="-",D783="-"),"측정불가",IF(AND(ISNUMBER(C783),ISNUMBER(D783)),IF(OR(C783&gt;=설정!$C$11,D783&gt;=설정!$C$12),"긴급",IF(OR(C783&gt;=설정!$C$9,D783&gt;=설정!$C$10,C783&lt;설정!$C$13),"주의","정상")),"확인필요")))</f>
        <v/>
      </c>
      <c r="J783" s="25" t="str">
        <f aca="false">IF(E783="","",IF(E783="-","측정불가",IF(NOT(ISNUMBER(E783)),"확인필요",IF(E783&lt;설정!$C$17,"긴급(저혈당)",IF(E783&gt;=설정!$C$18,"긴급(고혈당)",IF(F783="공복",IF(E783&gt;=설정!$C$15,"주의","정상"),IF(F783="식후",IF(E783&gt;=설정!$C$16,"주의","정상"),"조건확인")))))))</f>
        <v/>
      </c>
      <c r="K783" s="25" t="str">
        <f aca="false">IF(OR(I783="긴급",LEFT(J783,2)="긴급"),"★ 즉시 선생님 호출",IF(OR(I783="주의",J783="주의"),"결과상담에서 확인",IF(J783="조건확인","혈당조건(공복/식후) 선택","")))</f>
        <v/>
      </c>
      <c r="L783" s="25" t="str">
        <f aca="false">IF($B783="","",IF(COUNTIF($B$5:$B$1004,$B783)&gt;1,"중복 입력",""))</f>
        <v/>
      </c>
    </row>
    <row r="784" customFormat="false" ht="15" hidden="false" customHeight="false" outlineLevel="0" collapsed="false">
      <c r="A784" s="23"/>
      <c r="B784" s="24"/>
      <c r="C784" s="24"/>
      <c r="D784" s="24"/>
      <c r="E784" s="24"/>
      <c r="F784" s="24"/>
      <c r="G784" s="24"/>
      <c r="H784" s="25" t="str">
        <f aca="false">IF($B784="","",IFERROR(IF(INDEX(명단!$B$5:$B$404,MATCH($B784,명단!$A$5:$A$404,0))="","(이름 미입력)",INDEX(명단!$B$5:$B$404,MATCH($B784,명단!$A$5:$A$404,0))),"번호 없음"))</f>
        <v/>
      </c>
      <c r="I784" s="25" t="str">
        <f aca="false">IF(AND(C784="",D784=""),"",IF(OR(C784="-",D784="-"),"측정불가",IF(AND(ISNUMBER(C784),ISNUMBER(D784)),IF(OR(C784&gt;=설정!$C$11,D784&gt;=설정!$C$12),"긴급",IF(OR(C784&gt;=설정!$C$9,D784&gt;=설정!$C$10,C784&lt;설정!$C$13),"주의","정상")),"확인필요")))</f>
        <v/>
      </c>
      <c r="J784" s="25" t="str">
        <f aca="false">IF(E784="","",IF(E784="-","측정불가",IF(NOT(ISNUMBER(E784)),"확인필요",IF(E784&lt;설정!$C$17,"긴급(저혈당)",IF(E784&gt;=설정!$C$18,"긴급(고혈당)",IF(F784="공복",IF(E784&gt;=설정!$C$15,"주의","정상"),IF(F784="식후",IF(E784&gt;=설정!$C$16,"주의","정상"),"조건확인")))))))</f>
        <v/>
      </c>
      <c r="K784" s="25" t="str">
        <f aca="false">IF(OR(I784="긴급",LEFT(J784,2)="긴급"),"★ 즉시 선생님 호출",IF(OR(I784="주의",J784="주의"),"결과상담에서 확인",IF(J784="조건확인","혈당조건(공복/식후) 선택","")))</f>
        <v/>
      </c>
      <c r="L784" s="25" t="str">
        <f aca="false">IF($B784="","",IF(COUNTIF($B$5:$B$1004,$B784)&gt;1,"중복 입력",""))</f>
        <v/>
      </c>
    </row>
    <row r="785" customFormat="false" ht="15" hidden="false" customHeight="false" outlineLevel="0" collapsed="false">
      <c r="A785" s="23"/>
      <c r="B785" s="24"/>
      <c r="C785" s="24"/>
      <c r="D785" s="24"/>
      <c r="E785" s="24"/>
      <c r="F785" s="24"/>
      <c r="G785" s="24"/>
      <c r="H785" s="25" t="str">
        <f aca="false">IF($B785="","",IFERROR(IF(INDEX(명단!$B$5:$B$404,MATCH($B785,명단!$A$5:$A$404,0))="","(이름 미입력)",INDEX(명단!$B$5:$B$404,MATCH($B785,명단!$A$5:$A$404,0))),"번호 없음"))</f>
        <v/>
      </c>
      <c r="I785" s="25" t="str">
        <f aca="false">IF(AND(C785="",D785=""),"",IF(OR(C785="-",D785="-"),"측정불가",IF(AND(ISNUMBER(C785),ISNUMBER(D785)),IF(OR(C785&gt;=설정!$C$11,D785&gt;=설정!$C$12),"긴급",IF(OR(C785&gt;=설정!$C$9,D785&gt;=설정!$C$10,C785&lt;설정!$C$13),"주의","정상")),"확인필요")))</f>
        <v/>
      </c>
      <c r="J785" s="25" t="str">
        <f aca="false">IF(E785="","",IF(E785="-","측정불가",IF(NOT(ISNUMBER(E785)),"확인필요",IF(E785&lt;설정!$C$17,"긴급(저혈당)",IF(E785&gt;=설정!$C$18,"긴급(고혈당)",IF(F785="공복",IF(E785&gt;=설정!$C$15,"주의","정상"),IF(F785="식후",IF(E785&gt;=설정!$C$16,"주의","정상"),"조건확인")))))))</f>
        <v/>
      </c>
      <c r="K785" s="25" t="str">
        <f aca="false">IF(OR(I785="긴급",LEFT(J785,2)="긴급"),"★ 즉시 선생님 호출",IF(OR(I785="주의",J785="주의"),"결과상담에서 확인",IF(J785="조건확인","혈당조건(공복/식후) 선택","")))</f>
        <v/>
      </c>
      <c r="L785" s="25" t="str">
        <f aca="false">IF($B785="","",IF(COUNTIF($B$5:$B$1004,$B785)&gt;1,"중복 입력",""))</f>
        <v/>
      </c>
    </row>
    <row r="786" customFormat="false" ht="15" hidden="false" customHeight="false" outlineLevel="0" collapsed="false">
      <c r="A786" s="23"/>
      <c r="B786" s="24"/>
      <c r="C786" s="24"/>
      <c r="D786" s="24"/>
      <c r="E786" s="24"/>
      <c r="F786" s="24"/>
      <c r="G786" s="24"/>
      <c r="H786" s="25" t="str">
        <f aca="false">IF($B786="","",IFERROR(IF(INDEX(명단!$B$5:$B$404,MATCH($B786,명단!$A$5:$A$404,0))="","(이름 미입력)",INDEX(명단!$B$5:$B$404,MATCH($B786,명단!$A$5:$A$404,0))),"번호 없음"))</f>
        <v/>
      </c>
      <c r="I786" s="25" t="str">
        <f aca="false">IF(AND(C786="",D786=""),"",IF(OR(C786="-",D786="-"),"측정불가",IF(AND(ISNUMBER(C786),ISNUMBER(D786)),IF(OR(C786&gt;=설정!$C$11,D786&gt;=설정!$C$12),"긴급",IF(OR(C786&gt;=설정!$C$9,D786&gt;=설정!$C$10,C786&lt;설정!$C$13),"주의","정상")),"확인필요")))</f>
        <v/>
      </c>
      <c r="J786" s="25" t="str">
        <f aca="false">IF(E786="","",IF(E786="-","측정불가",IF(NOT(ISNUMBER(E786)),"확인필요",IF(E786&lt;설정!$C$17,"긴급(저혈당)",IF(E786&gt;=설정!$C$18,"긴급(고혈당)",IF(F786="공복",IF(E786&gt;=설정!$C$15,"주의","정상"),IF(F786="식후",IF(E786&gt;=설정!$C$16,"주의","정상"),"조건확인")))))))</f>
        <v/>
      </c>
      <c r="K786" s="25" t="str">
        <f aca="false">IF(OR(I786="긴급",LEFT(J786,2)="긴급"),"★ 즉시 선생님 호출",IF(OR(I786="주의",J786="주의"),"결과상담에서 확인",IF(J786="조건확인","혈당조건(공복/식후) 선택","")))</f>
        <v/>
      </c>
      <c r="L786" s="25" t="str">
        <f aca="false">IF($B786="","",IF(COUNTIF($B$5:$B$1004,$B786)&gt;1,"중복 입력",""))</f>
        <v/>
      </c>
    </row>
    <row r="787" customFormat="false" ht="15" hidden="false" customHeight="false" outlineLevel="0" collapsed="false">
      <c r="A787" s="23"/>
      <c r="B787" s="24"/>
      <c r="C787" s="24"/>
      <c r="D787" s="24"/>
      <c r="E787" s="24"/>
      <c r="F787" s="24"/>
      <c r="G787" s="24"/>
      <c r="H787" s="25" t="str">
        <f aca="false">IF($B787="","",IFERROR(IF(INDEX(명단!$B$5:$B$404,MATCH($B787,명단!$A$5:$A$404,0))="","(이름 미입력)",INDEX(명단!$B$5:$B$404,MATCH($B787,명단!$A$5:$A$404,0))),"번호 없음"))</f>
        <v/>
      </c>
      <c r="I787" s="25" t="str">
        <f aca="false">IF(AND(C787="",D787=""),"",IF(OR(C787="-",D787="-"),"측정불가",IF(AND(ISNUMBER(C787),ISNUMBER(D787)),IF(OR(C787&gt;=설정!$C$11,D787&gt;=설정!$C$12),"긴급",IF(OR(C787&gt;=설정!$C$9,D787&gt;=설정!$C$10,C787&lt;설정!$C$13),"주의","정상")),"확인필요")))</f>
        <v/>
      </c>
      <c r="J787" s="25" t="str">
        <f aca="false">IF(E787="","",IF(E787="-","측정불가",IF(NOT(ISNUMBER(E787)),"확인필요",IF(E787&lt;설정!$C$17,"긴급(저혈당)",IF(E787&gt;=설정!$C$18,"긴급(고혈당)",IF(F787="공복",IF(E787&gt;=설정!$C$15,"주의","정상"),IF(F787="식후",IF(E787&gt;=설정!$C$16,"주의","정상"),"조건확인")))))))</f>
        <v/>
      </c>
      <c r="K787" s="25" t="str">
        <f aca="false">IF(OR(I787="긴급",LEFT(J787,2)="긴급"),"★ 즉시 선생님 호출",IF(OR(I787="주의",J787="주의"),"결과상담에서 확인",IF(J787="조건확인","혈당조건(공복/식후) 선택","")))</f>
        <v/>
      </c>
      <c r="L787" s="25" t="str">
        <f aca="false">IF($B787="","",IF(COUNTIF($B$5:$B$1004,$B787)&gt;1,"중복 입력",""))</f>
        <v/>
      </c>
    </row>
    <row r="788" customFormat="false" ht="15" hidden="false" customHeight="false" outlineLevel="0" collapsed="false">
      <c r="A788" s="23"/>
      <c r="B788" s="24"/>
      <c r="C788" s="24"/>
      <c r="D788" s="24"/>
      <c r="E788" s="24"/>
      <c r="F788" s="24"/>
      <c r="G788" s="24"/>
      <c r="H788" s="25" t="str">
        <f aca="false">IF($B788="","",IFERROR(IF(INDEX(명단!$B$5:$B$404,MATCH($B788,명단!$A$5:$A$404,0))="","(이름 미입력)",INDEX(명단!$B$5:$B$404,MATCH($B788,명단!$A$5:$A$404,0))),"번호 없음"))</f>
        <v/>
      </c>
      <c r="I788" s="25" t="str">
        <f aca="false">IF(AND(C788="",D788=""),"",IF(OR(C788="-",D788="-"),"측정불가",IF(AND(ISNUMBER(C788),ISNUMBER(D788)),IF(OR(C788&gt;=설정!$C$11,D788&gt;=설정!$C$12),"긴급",IF(OR(C788&gt;=설정!$C$9,D788&gt;=설정!$C$10,C788&lt;설정!$C$13),"주의","정상")),"확인필요")))</f>
        <v/>
      </c>
      <c r="J788" s="25" t="str">
        <f aca="false">IF(E788="","",IF(E788="-","측정불가",IF(NOT(ISNUMBER(E788)),"확인필요",IF(E788&lt;설정!$C$17,"긴급(저혈당)",IF(E788&gt;=설정!$C$18,"긴급(고혈당)",IF(F788="공복",IF(E788&gt;=설정!$C$15,"주의","정상"),IF(F788="식후",IF(E788&gt;=설정!$C$16,"주의","정상"),"조건확인")))))))</f>
        <v/>
      </c>
      <c r="K788" s="25" t="str">
        <f aca="false">IF(OR(I788="긴급",LEFT(J788,2)="긴급"),"★ 즉시 선생님 호출",IF(OR(I788="주의",J788="주의"),"결과상담에서 확인",IF(J788="조건확인","혈당조건(공복/식후) 선택","")))</f>
        <v/>
      </c>
      <c r="L788" s="25" t="str">
        <f aca="false">IF($B788="","",IF(COUNTIF($B$5:$B$1004,$B788)&gt;1,"중복 입력",""))</f>
        <v/>
      </c>
    </row>
    <row r="789" customFormat="false" ht="15" hidden="false" customHeight="false" outlineLevel="0" collapsed="false">
      <c r="A789" s="23"/>
      <c r="B789" s="24"/>
      <c r="C789" s="24"/>
      <c r="D789" s="24"/>
      <c r="E789" s="24"/>
      <c r="F789" s="24"/>
      <c r="G789" s="24"/>
      <c r="H789" s="25" t="str">
        <f aca="false">IF($B789="","",IFERROR(IF(INDEX(명단!$B$5:$B$404,MATCH($B789,명단!$A$5:$A$404,0))="","(이름 미입력)",INDEX(명단!$B$5:$B$404,MATCH($B789,명단!$A$5:$A$404,0))),"번호 없음"))</f>
        <v/>
      </c>
      <c r="I789" s="25" t="str">
        <f aca="false">IF(AND(C789="",D789=""),"",IF(OR(C789="-",D789="-"),"측정불가",IF(AND(ISNUMBER(C789),ISNUMBER(D789)),IF(OR(C789&gt;=설정!$C$11,D789&gt;=설정!$C$12),"긴급",IF(OR(C789&gt;=설정!$C$9,D789&gt;=설정!$C$10,C789&lt;설정!$C$13),"주의","정상")),"확인필요")))</f>
        <v/>
      </c>
      <c r="J789" s="25" t="str">
        <f aca="false">IF(E789="","",IF(E789="-","측정불가",IF(NOT(ISNUMBER(E789)),"확인필요",IF(E789&lt;설정!$C$17,"긴급(저혈당)",IF(E789&gt;=설정!$C$18,"긴급(고혈당)",IF(F789="공복",IF(E789&gt;=설정!$C$15,"주의","정상"),IF(F789="식후",IF(E789&gt;=설정!$C$16,"주의","정상"),"조건확인")))))))</f>
        <v/>
      </c>
      <c r="K789" s="25" t="str">
        <f aca="false">IF(OR(I789="긴급",LEFT(J789,2)="긴급"),"★ 즉시 선생님 호출",IF(OR(I789="주의",J789="주의"),"결과상담에서 확인",IF(J789="조건확인","혈당조건(공복/식후) 선택","")))</f>
        <v/>
      </c>
      <c r="L789" s="25" t="str">
        <f aca="false">IF($B789="","",IF(COUNTIF($B$5:$B$1004,$B789)&gt;1,"중복 입력",""))</f>
        <v/>
      </c>
    </row>
    <row r="790" customFormat="false" ht="15" hidden="false" customHeight="false" outlineLevel="0" collapsed="false">
      <c r="A790" s="23"/>
      <c r="B790" s="24"/>
      <c r="C790" s="24"/>
      <c r="D790" s="24"/>
      <c r="E790" s="24"/>
      <c r="F790" s="24"/>
      <c r="G790" s="24"/>
      <c r="H790" s="25" t="str">
        <f aca="false">IF($B790="","",IFERROR(IF(INDEX(명단!$B$5:$B$404,MATCH($B790,명단!$A$5:$A$404,0))="","(이름 미입력)",INDEX(명단!$B$5:$B$404,MATCH($B790,명단!$A$5:$A$404,0))),"번호 없음"))</f>
        <v/>
      </c>
      <c r="I790" s="25" t="str">
        <f aca="false">IF(AND(C790="",D790=""),"",IF(OR(C790="-",D790="-"),"측정불가",IF(AND(ISNUMBER(C790),ISNUMBER(D790)),IF(OR(C790&gt;=설정!$C$11,D790&gt;=설정!$C$12),"긴급",IF(OR(C790&gt;=설정!$C$9,D790&gt;=설정!$C$10,C790&lt;설정!$C$13),"주의","정상")),"확인필요")))</f>
        <v/>
      </c>
      <c r="J790" s="25" t="str">
        <f aca="false">IF(E790="","",IF(E790="-","측정불가",IF(NOT(ISNUMBER(E790)),"확인필요",IF(E790&lt;설정!$C$17,"긴급(저혈당)",IF(E790&gt;=설정!$C$18,"긴급(고혈당)",IF(F790="공복",IF(E790&gt;=설정!$C$15,"주의","정상"),IF(F790="식후",IF(E790&gt;=설정!$C$16,"주의","정상"),"조건확인")))))))</f>
        <v/>
      </c>
      <c r="K790" s="25" t="str">
        <f aca="false">IF(OR(I790="긴급",LEFT(J790,2)="긴급"),"★ 즉시 선생님 호출",IF(OR(I790="주의",J790="주의"),"결과상담에서 확인",IF(J790="조건확인","혈당조건(공복/식후) 선택","")))</f>
        <v/>
      </c>
      <c r="L790" s="25" t="str">
        <f aca="false">IF($B790="","",IF(COUNTIF($B$5:$B$1004,$B790)&gt;1,"중복 입력",""))</f>
        <v/>
      </c>
    </row>
    <row r="791" customFormat="false" ht="15" hidden="false" customHeight="false" outlineLevel="0" collapsed="false">
      <c r="A791" s="23"/>
      <c r="B791" s="24"/>
      <c r="C791" s="24"/>
      <c r="D791" s="24"/>
      <c r="E791" s="24"/>
      <c r="F791" s="24"/>
      <c r="G791" s="24"/>
      <c r="H791" s="25" t="str">
        <f aca="false">IF($B791="","",IFERROR(IF(INDEX(명단!$B$5:$B$404,MATCH($B791,명단!$A$5:$A$404,0))="","(이름 미입력)",INDEX(명단!$B$5:$B$404,MATCH($B791,명단!$A$5:$A$404,0))),"번호 없음"))</f>
        <v/>
      </c>
      <c r="I791" s="25" t="str">
        <f aca="false">IF(AND(C791="",D791=""),"",IF(OR(C791="-",D791="-"),"측정불가",IF(AND(ISNUMBER(C791),ISNUMBER(D791)),IF(OR(C791&gt;=설정!$C$11,D791&gt;=설정!$C$12),"긴급",IF(OR(C791&gt;=설정!$C$9,D791&gt;=설정!$C$10,C791&lt;설정!$C$13),"주의","정상")),"확인필요")))</f>
        <v/>
      </c>
      <c r="J791" s="25" t="str">
        <f aca="false">IF(E791="","",IF(E791="-","측정불가",IF(NOT(ISNUMBER(E791)),"확인필요",IF(E791&lt;설정!$C$17,"긴급(저혈당)",IF(E791&gt;=설정!$C$18,"긴급(고혈당)",IF(F791="공복",IF(E791&gt;=설정!$C$15,"주의","정상"),IF(F791="식후",IF(E791&gt;=설정!$C$16,"주의","정상"),"조건확인")))))))</f>
        <v/>
      </c>
      <c r="K791" s="25" t="str">
        <f aca="false">IF(OR(I791="긴급",LEFT(J791,2)="긴급"),"★ 즉시 선생님 호출",IF(OR(I791="주의",J791="주의"),"결과상담에서 확인",IF(J791="조건확인","혈당조건(공복/식후) 선택","")))</f>
        <v/>
      </c>
      <c r="L791" s="25" t="str">
        <f aca="false">IF($B791="","",IF(COUNTIF($B$5:$B$1004,$B791)&gt;1,"중복 입력",""))</f>
        <v/>
      </c>
    </row>
    <row r="792" customFormat="false" ht="15" hidden="false" customHeight="false" outlineLevel="0" collapsed="false">
      <c r="A792" s="23"/>
      <c r="B792" s="24"/>
      <c r="C792" s="24"/>
      <c r="D792" s="24"/>
      <c r="E792" s="24"/>
      <c r="F792" s="24"/>
      <c r="G792" s="24"/>
      <c r="H792" s="25" t="str">
        <f aca="false">IF($B792="","",IFERROR(IF(INDEX(명단!$B$5:$B$404,MATCH($B792,명단!$A$5:$A$404,0))="","(이름 미입력)",INDEX(명단!$B$5:$B$404,MATCH($B792,명단!$A$5:$A$404,0))),"번호 없음"))</f>
        <v/>
      </c>
      <c r="I792" s="25" t="str">
        <f aca="false">IF(AND(C792="",D792=""),"",IF(OR(C792="-",D792="-"),"측정불가",IF(AND(ISNUMBER(C792),ISNUMBER(D792)),IF(OR(C792&gt;=설정!$C$11,D792&gt;=설정!$C$12),"긴급",IF(OR(C792&gt;=설정!$C$9,D792&gt;=설정!$C$10,C792&lt;설정!$C$13),"주의","정상")),"확인필요")))</f>
        <v/>
      </c>
      <c r="J792" s="25" t="str">
        <f aca="false">IF(E792="","",IF(E792="-","측정불가",IF(NOT(ISNUMBER(E792)),"확인필요",IF(E792&lt;설정!$C$17,"긴급(저혈당)",IF(E792&gt;=설정!$C$18,"긴급(고혈당)",IF(F792="공복",IF(E792&gt;=설정!$C$15,"주의","정상"),IF(F792="식후",IF(E792&gt;=설정!$C$16,"주의","정상"),"조건확인")))))))</f>
        <v/>
      </c>
      <c r="K792" s="25" t="str">
        <f aca="false">IF(OR(I792="긴급",LEFT(J792,2)="긴급"),"★ 즉시 선생님 호출",IF(OR(I792="주의",J792="주의"),"결과상담에서 확인",IF(J792="조건확인","혈당조건(공복/식후) 선택","")))</f>
        <v/>
      </c>
      <c r="L792" s="25" t="str">
        <f aca="false">IF($B792="","",IF(COUNTIF($B$5:$B$1004,$B792)&gt;1,"중복 입력",""))</f>
        <v/>
      </c>
    </row>
    <row r="793" customFormat="false" ht="15" hidden="false" customHeight="false" outlineLevel="0" collapsed="false">
      <c r="A793" s="23"/>
      <c r="B793" s="24"/>
      <c r="C793" s="24"/>
      <c r="D793" s="24"/>
      <c r="E793" s="24"/>
      <c r="F793" s="24"/>
      <c r="G793" s="24"/>
      <c r="H793" s="25" t="str">
        <f aca="false">IF($B793="","",IFERROR(IF(INDEX(명단!$B$5:$B$404,MATCH($B793,명단!$A$5:$A$404,0))="","(이름 미입력)",INDEX(명단!$B$5:$B$404,MATCH($B793,명단!$A$5:$A$404,0))),"번호 없음"))</f>
        <v/>
      </c>
      <c r="I793" s="25" t="str">
        <f aca="false">IF(AND(C793="",D793=""),"",IF(OR(C793="-",D793="-"),"측정불가",IF(AND(ISNUMBER(C793),ISNUMBER(D793)),IF(OR(C793&gt;=설정!$C$11,D793&gt;=설정!$C$12),"긴급",IF(OR(C793&gt;=설정!$C$9,D793&gt;=설정!$C$10,C793&lt;설정!$C$13),"주의","정상")),"확인필요")))</f>
        <v/>
      </c>
      <c r="J793" s="25" t="str">
        <f aca="false">IF(E793="","",IF(E793="-","측정불가",IF(NOT(ISNUMBER(E793)),"확인필요",IF(E793&lt;설정!$C$17,"긴급(저혈당)",IF(E793&gt;=설정!$C$18,"긴급(고혈당)",IF(F793="공복",IF(E793&gt;=설정!$C$15,"주의","정상"),IF(F793="식후",IF(E793&gt;=설정!$C$16,"주의","정상"),"조건확인")))))))</f>
        <v/>
      </c>
      <c r="K793" s="25" t="str">
        <f aca="false">IF(OR(I793="긴급",LEFT(J793,2)="긴급"),"★ 즉시 선생님 호출",IF(OR(I793="주의",J793="주의"),"결과상담에서 확인",IF(J793="조건확인","혈당조건(공복/식후) 선택","")))</f>
        <v/>
      </c>
      <c r="L793" s="25" t="str">
        <f aca="false">IF($B793="","",IF(COUNTIF($B$5:$B$1004,$B793)&gt;1,"중복 입력",""))</f>
        <v/>
      </c>
    </row>
    <row r="794" customFormat="false" ht="15" hidden="false" customHeight="false" outlineLevel="0" collapsed="false">
      <c r="A794" s="23"/>
      <c r="B794" s="24"/>
      <c r="C794" s="24"/>
      <c r="D794" s="24"/>
      <c r="E794" s="24"/>
      <c r="F794" s="24"/>
      <c r="G794" s="24"/>
      <c r="H794" s="25" t="str">
        <f aca="false">IF($B794="","",IFERROR(IF(INDEX(명단!$B$5:$B$404,MATCH($B794,명단!$A$5:$A$404,0))="","(이름 미입력)",INDEX(명단!$B$5:$B$404,MATCH($B794,명단!$A$5:$A$404,0))),"번호 없음"))</f>
        <v/>
      </c>
      <c r="I794" s="25" t="str">
        <f aca="false">IF(AND(C794="",D794=""),"",IF(OR(C794="-",D794="-"),"측정불가",IF(AND(ISNUMBER(C794),ISNUMBER(D794)),IF(OR(C794&gt;=설정!$C$11,D794&gt;=설정!$C$12),"긴급",IF(OR(C794&gt;=설정!$C$9,D794&gt;=설정!$C$10,C794&lt;설정!$C$13),"주의","정상")),"확인필요")))</f>
        <v/>
      </c>
      <c r="J794" s="25" t="str">
        <f aca="false">IF(E794="","",IF(E794="-","측정불가",IF(NOT(ISNUMBER(E794)),"확인필요",IF(E794&lt;설정!$C$17,"긴급(저혈당)",IF(E794&gt;=설정!$C$18,"긴급(고혈당)",IF(F794="공복",IF(E794&gt;=설정!$C$15,"주의","정상"),IF(F794="식후",IF(E794&gt;=설정!$C$16,"주의","정상"),"조건확인")))))))</f>
        <v/>
      </c>
      <c r="K794" s="25" t="str">
        <f aca="false">IF(OR(I794="긴급",LEFT(J794,2)="긴급"),"★ 즉시 선생님 호출",IF(OR(I794="주의",J794="주의"),"결과상담에서 확인",IF(J794="조건확인","혈당조건(공복/식후) 선택","")))</f>
        <v/>
      </c>
      <c r="L794" s="25" t="str">
        <f aca="false">IF($B794="","",IF(COUNTIF($B$5:$B$1004,$B794)&gt;1,"중복 입력",""))</f>
        <v/>
      </c>
    </row>
    <row r="795" customFormat="false" ht="15" hidden="false" customHeight="false" outlineLevel="0" collapsed="false">
      <c r="A795" s="23"/>
      <c r="B795" s="24"/>
      <c r="C795" s="24"/>
      <c r="D795" s="24"/>
      <c r="E795" s="24"/>
      <c r="F795" s="24"/>
      <c r="G795" s="24"/>
      <c r="H795" s="25" t="str">
        <f aca="false">IF($B795="","",IFERROR(IF(INDEX(명단!$B$5:$B$404,MATCH($B795,명단!$A$5:$A$404,0))="","(이름 미입력)",INDEX(명단!$B$5:$B$404,MATCH($B795,명단!$A$5:$A$404,0))),"번호 없음"))</f>
        <v/>
      </c>
      <c r="I795" s="25" t="str">
        <f aca="false">IF(AND(C795="",D795=""),"",IF(OR(C795="-",D795="-"),"측정불가",IF(AND(ISNUMBER(C795),ISNUMBER(D795)),IF(OR(C795&gt;=설정!$C$11,D795&gt;=설정!$C$12),"긴급",IF(OR(C795&gt;=설정!$C$9,D795&gt;=설정!$C$10,C795&lt;설정!$C$13),"주의","정상")),"확인필요")))</f>
        <v/>
      </c>
      <c r="J795" s="25" t="str">
        <f aca="false">IF(E795="","",IF(E795="-","측정불가",IF(NOT(ISNUMBER(E795)),"확인필요",IF(E795&lt;설정!$C$17,"긴급(저혈당)",IF(E795&gt;=설정!$C$18,"긴급(고혈당)",IF(F795="공복",IF(E795&gt;=설정!$C$15,"주의","정상"),IF(F795="식후",IF(E795&gt;=설정!$C$16,"주의","정상"),"조건확인")))))))</f>
        <v/>
      </c>
      <c r="K795" s="25" t="str">
        <f aca="false">IF(OR(I795="긴급",LEFT(J795,2)="긴급"),"★ 즉시 선생님 호출",IF(OR(I795="주의",J795="주의"),"결과상담에서 확인",IF(J795="조건확인","혈당조건(공복/식후) 선택","")))</f>
        <v/>
      </c>
      <c r="L795" s="25" t="str">
        <f aca="false">IF($B795="","",IF(COUNTIF($B$5:$B$1004,$B795)&gt;1,"중복 입력",""))</f>
        <v/>
      </c>
    </row>
    <row r="796" customFormat="false" ht="15" hidden="false" customHeight="false" outlineLevel="0" collapsed="false">
      <c r="A796" s="23"/>
      <c r="B796" s="24"/>
      <c r="C796" s="24"/>
      <c r="D796" s="24"/>
      <c r="E796" s="24"/>
      <c r="F796" s="24"/>
      <c r="G796" s="24"/>
      <c r="H796" s="25" t="str">
        <f aca="false">IF($B796="","",IFERROR(IF(INDEX(명단!$B$5:$B$404,MATCH($B796,명단!$A$5:$A$404,0))="","(이름 미입력)",INDEX(명단!$B$5:$B$404,MATCH($B796,명단!$A$5:$A$404,0))),"번호 없음"))</f>
        <v/>
      </c>
      <c r="I796" s="25" t="str">
        <f aca="false">IF(AND(C796="",D796=""),"",IF(OR(C796="-",D796="-"),"측정불가",IF(AND(ISNUMBER(C796),ISNUMBER(D796)),IF(OR(C796&gt;=설정!$C$11,D796&gt;=설정!$C$12),"긴급",IF(OR(C796&gt;=설정!$C$9,D796&gt;=설정!$C$10,C796&lt;설정!$C$13),"주의","정상")),"확인필요")))</f>
        <v/>
      </c>
      <c r="J796" s="25" t="str">
        <f aca="false">IF(E796="","",IF(E796="-","측정불가",IF(NOT(ISNUMBER(E796)),"확인필요",IF(E796&lt;설정!$C$17,"긴급(저혈당)",IF(E796&gt;=설정!$C$18,"긴급(고혈당)",IF(F796="공복",IF(E796&gt;=설정!$C$15,"주의","정상"),IF(F796="식후",IF(E796&gt;=설정!$C$16,"주의","정상"),"조건확인")))))))</f>
        <v/>
      </c>
      <c r="K796" s="25" t="str">
        <f aca="false">IF(OR(I796="긴급",LEFT(J796,2)="긴급"),"★ 즉시 선생님 호출",IF(OR(I796="주의",J796="주의"),"결과상담에서 확인",IF(J796="조건확인","혈당조건(공복/식후) 선택","")))</f>
        <v/>
      </c>
      <c r="L796" s="25" t="str">
        <f aca="false">IF($B796="","",IF(COUNTIF($B$5:$B$1004,$B796)&gt;1,"중복 입력",""))</f>
        <v/>
      </c>
    </row>
    <row r="797" customFormat="false" ht="15" hidden="false" customHeight="false" outlineLevel="0" collapsed="false">
      <c r="A797" s="23"/>
      <c r="B797" s="24"/>
      <c r="C797" s="24"/>
      <c r="D797" s="24"/>
      <c r="E797" s="24"/>
      <c r="F797" s="24"/>
      <c r="G797" s="24"/>
      <c r="H797" s="25" t="str">
        <f aca="false">IF($B797="","",IFERROR(IF(INDEX(명단!$B$5:$B$404,MATCH($B797,명단!$A$5:$A$404,0))="","(이름 미입력)",INDEX(명단!$B$5:$B$404,MATCH($B797,명단!$A$5:$A$404,0))),"번호 없음"))</f>
        <v/>
      </c>
      <c r="I797" s="25" t="str">
        <f aca="false">IF(AND(C797="",D797=""),"",IF(OR(C797="-",D797="-"),"측정불가",IF(AND(ISNUMBER(C797),ISNUMBER(D797)),IF(OR(C797&gt;=설정!$C$11,D797&gt;=설정!$C$12),"긴급",IF(OR(C797&gt;=설정!$C$9,D797&gt;=설정!$C$10,C797&lt;설정!$C$13),"주의","정상")),"확인필요")))</f>
        <v/>
      </c>
      <c r="J797" s="25" t="str">
        <f aca="false">IF(E797="","",IF(E797="-","측정불가",IF(NOT(ISNUMBER(E797)),"확인필요",IF(E797&lt;설정!$C$17,"긴급(저혈당)",IF(E797&gt;=설정!$C$18,"긴급(고혈당)",IF(F797="공복",IF(E797&gt;=설정!$C$15,"주의","정상"),IF(F797="식후",IF(E797&gt;=설정!$C$16,"주의","정상"),"조건확인")))))))</f>
        <v/>
      </c>
      <c r="K797" s="25" t="str">
        <f aca="false">IF(OR(I797="긴급",LEFT(J797,2)="긴급"),"★ 즉시 선생님 호출",IF(OR(I797="주의",J797="주의"),"결과상담에서 확인",IF(J797="조건확인","혈당조건(공복/식후) 선택","")))</f>
        <v/>
      </c>
      <c r="L797" s="25" t="str">
        <f aca="false">IF($B797="","",IF(COUNTIF($B$5:$B$1004,$B797)&gt;1,"중복 입력",""))</f>
        <v/>
      </c>
    </row>
    <row r="798" customFormat="false" ht="15" hidden="false" customHeight="false" outlineLevel="0" collapsed="false">
      <c r="A798" s="23"/>
      <c r="B798" s="24"/>
      <c r="C798" s="24"/>
      <c r="D798" s="24"/>
      <c r="E798" s="24"/>
      <c r="F798" s="24"/>
      <c r="G798" s="24"/>
      <c r="H798" s="25" t="str">
        <f aca="false">IF($B798="","",IFERROR(IF(INDEX(명단!$B$5:$B$404,MATCH($B798,명단!$A$5:$A$404,0))="","(이름 미입력)",INDEX(명단!$B$5:$B$404,MATCH($B798,명단!$A$5:$A$404,0))),"번호 없음"))</f>
        <v/>
      </c>
      <c r="I798" s="25" t="str">
        <f aca="false">IF(AND(C798="",D798=""),"",IF(OR(C798="-",D798="-"),"측정불가",IF(AND(ISNUMBER(C798),ISNUMBER(D798)),IF(OR(C798&gt;=설정!$C$11,D798&gt;=설정!$C$12),"긴급",IF(OR(C798&gt;=설정!$C$9,D798&gt;=설정!$C$10,C798&lt;설정!$C$13),"주의","정상")),"확인필요")))</f>
        <v/>
      </c>
      <c r="J798" s="25" t="str">
        <f aca="false">IF(E798="","",IF(E798="-","측정불가",IF(NOT(ISNUMBER(E798)),"확인필요",IF(E798&lt;설정!$C$17,"긴급(저혈당)",IF(E798&gt;=설정!$C$18,"긴급(고혈당)",IF(F798="공복",IF(E798&gt;=설정!$C$15,"주의","정상"),IF(F798="식후",IF(E798&gt;=설정!$C$16,"주의","정상"),"조건확인")))))))</f>
        <v/>
      </c>
      <c r="K798" s="25" t="str">
        <f aca="false">IF(OR(I798="긴급",LEFT(J798,2)="긴급"),"★ 즉시 선생님 호출",IF(OR(I798="주의",J798="주의"),"결과상담에서 확인",IF(J798="조건확인","혈당조건(공복/식후) 선택","")))</f>
        <v/>
      </c>
      <c r="L798" s="25" t="str">
        <f aca="false">IF($B798="","",IF(COUNTIF($B$5:$B$1004,$B798)&gt;1,"중복 입력",""))</f>
        <v/>
      </c>
    </row>
    <row r="799" customFormat="false" ht="15" hidden="false" customHeight="false" outlineLevel="0" collapsed="false">
      <c r="A799" s="23"/>
      <c r="B799" s="24"/>
      <c r="C799" s="24"/>
      <c r="D799" s="24"/>
      <c r="E799" s="24"/>
      <c r="F799" s="24"/>
      <c r="G799" s="24"/>
      <c r="H799" s="25" t="str">
        <f aca="false">IF($B799="","",IFERROR(IF(INDEX(명단!$B$5:$B$404,MATCH($B799,명단!$A$5:$A$404,0))="","(이름 미입력)",INDEX(명단!$B$5:$B$404,MATCH($B799,명단!$A$5:$A$404,0))),"번호 없음"))</f>
        <v/>
      </c>
      <c r="I799" s="25" t="str">
        <f aca="false">IF(AND(C799="",D799=""),"",IF(OR(C799="-",D799="-"),"측정불가",IF(AND(ISNUMBER(C799),ISNUMBER(D799)),IF(OR(C799&gt;=설정!$C$11,D799&gt;=설정!$C$12),"긴급",IF(OR(C799&gt;=설정!$C$9,D799&gt;=설정!$C$10,C799&lt;설정!$C$13),"주의","정상")),"확인필요")))</f>
        <v/>
      </c>
      <c r="J799" s="25" t="str">
        <f aca="false">IF(E799="","",IF(E799="-","측정불가",IF(NOT(ISNUMBER(E799)),"확인필요",IF(E799&lt;설정!$C$17,"긴급(저혈당)",IF(E799&gt;=설정!$C$18,"긴급(고혈당)",IF(F799="공복",IF(E799&gt;=설정!$C$15,"주의","정상"),IF(F799="식후",IF(E799&gt;=설정!$C$16,"주의","정상"),"조건확인")))))))</f>
        <v/>
      </c>
      <c r="K799" s="25" t="str">
        <f aca="false">IF(OR(I799="긴급",LEFT(J799,2)="긴급"),"★ 즉시 선생님 호출",IF(OR(I799="주의",J799="주의"),"결과상담에서 확인",IF(J799="조건확인","혈당조건(공복/식후) 선택","")))</f>
        <v/>
      </c>
      <c r="L799" s="25" t="str">
        <f aca="false">IF($B799="","",IF(COUNTIF($B$5:$B$1004,$B799)&gt;1,"중복 입력",""))</f>
        <v/>
      </c>
    </row>
    <row r="800" customFormat="false" ht="15" hidden="false" customHeight="false" outlineLevel="0" collapsed="false">
      <c r="A800" s="23"/>
      <c r="B800" s="24"/>
      <c r="C800" s="24"/>
      <c r="D800" s="24"/>
      <c r="E800" s="24"/>
      <c r="F800" s="24"/>
      <c r="G800" s="24"/>
      <c r="H800" s="25" t="str">
        <f aca="false">IF($B800="","",IFERROR(IF(INDEX(명단!$B$5:$B$404,MATCH($B800,명단!$A$5:$A$404,0))="","(이름 미입력)",INDEX(명단!$B$5:$B$404,MATCH($B800,명단!$A$5:$A$404,0))),"번호 없음"))</f>
        <v/>
      </c>
      <c r="I800" s="25" t="str">
        <f aca="false">IF(AND(C800="",D800=""),"",IF(OR(C800="-",D800="-"),"측정불가",IF(AND(ISNUMBER(C800),ISNUMBER(D800)),IF(OR(C800&gt;=설정!$C$11,D800&gt;=설정!$C$12),"긴급",IF(OR(C800&gt;=설정!$C$9,D800&gt;=설정!$C$10,C800&lt;설정!$C$13),"주의","정상")),"확인필요")))</f>
        <v/>
      </c>
      <c r="J800" s="25" t="str">
        <f aca="false">IF(E800="","",IF(E800="-","측정불가",IF(NOT(ISNUMBER(E800)),"확인필요",IF(E800&lt;설정!$C$17,"긴급(저혈당)",IF(E800&gt;=설정!$C$18,"긴급(고혈당)",IF(F800="공복",IF(E800&gt;=설정!$C$15,"주의","정상"),IF(F800="식후",IF(E800&gt;=설정!$C$16,"주의","정상"),"조건확인")))))))</f>
        <v/>
      </c>
      <c r="K800" s="25" t="str">
        <f aca="false">IF(OR(I800="긴급",LEFT(J800,2)="긴급"),"★ 즉시 선생님 호출",IF(OR(I800="주의",J800="주의"),"결과상담에서 확인",IF(J800="조건확인","혈당조건(공복/식후) 선택","")))</f>
        <v/>
      </c>
      <c r="L800" s="25" t="str">
        <f aca="false">IF($B800="","",IF(COUNTIF($B$5:$B$1004,$B800)&gt;1,"중복 입력",""))</f>
        <v/>
      </c>
    </row>
    <row r="801" customFormat="false" ht="15" hidden="false" customHeight="false" outlineLevel="0" collapsed="false">
      <c r="A801" s="23"/>
      <c r="B801" s="24"/>
      <c r="C801" s="24"/>
      <c r="D801" s="24"/>
      <c r="E801" s="24"/>
      <c r="F801" s="24"/>
      <c r="G801" s="24"/>
      <c r="H801" s="25" t="str">
        <f aca="false">IF($B801="","",IFERROR(IF(INDEX(명단!$B$5:$B$404,MATCH($B801,명단!$A$5:$A$404,0))="","(이름 미입력)",INDEX(명단!$B$5:$B$404,MATCH($B801,명단!$A$5:$A$404,0))),"번호 없음"))</f>
        <v/>
      </c>
      <c r="I801" s="25" t="str">
        <f aca="false">IF(AND(C801="",D801=""),"",IF(OR(C801="-",D801="-"),"측정불가",IF(AND(ISNUMBER(C801),ISNUMBER(D801)),IF(OR(C801&gt;=설정!$C$11,D801&gt;=설정!$C$12),"긴급",IF(OR(C801&gt;=설정!$C$9,D801&gt;=설정!$C$10,C801&lt;설정!$C$13),"주의","정상")),"확인필요")))</f>
        <v/>
      </c>
      <c r="J801" s="25" t="str">
        <f aca="false">IF(E801="","",IF(E801="-","측정불가",IF(NOT(ISNUMBER(E801)),"확인필요",IF(E801&lt;설정!$C$17,"긴급(저혈당)",IF(E801&gt;=설정!$C$18,"긴급(고혈당)",IF(F801="공복",IF(E801&gt;=설정!$C$15,"주의","정상"),IF(F801="식후",IF(E801&gt;=설정!$C$16,"주의","정상"),"조건확인")))))))</f>
        <v/>
      </c>
      <c r="K801" s="25" t="str">
        <f aca="false">IF(OR(I801="긴급",LEFT(J801,2)="긴급"),"★ 즉시 선생님 호출",IF(OR(I801="주의",J801="주의"),"결과상담에서 확인",IF(J801="조건확인","혈당조건(공복/식후) 선택","")))</f>
        <v/>
      </c>
      <c r="L801" s="25" t="str">
        <f aca="false">IF($B801="","",IF(COUNTIF($B$5:$B$1004,$B801)&gt;1,"중복 입력",""))</f>
        <v/>
      </c>
    </row>
    <row r="802" customFormat="false" ht="15" hidden="false" customHeight="false" outlineLevel="0" collapsed="false">
      <c r="A802" s="23"/>
      <c r="B802" s="24"/>
      <c r="C802" s="24"/>
      <c r="D802" s="24"/>
      <c r="E802" s="24"/>
      <c r="F802" s="24"/>
      <c r="G802" s="24"/>
      <c r="H802" s="25" t="str">
        <f aca="false">IF($B802="","",IFERROR(IF(INDEX(명단!$B$5:$B$404,MATCH($B802,명단!$A$5:$A$404,0))="","(이름 미입력)",INDEX(명단!$B$5:$B$404,MATCH($B802,명단!$A$5:$A$404,0))),"번호 없음"))</f>
        <v/>
      </c>
      <c r="I802" s="25" t="str">
        <f aca="false">IF(AND(C802="",D802=""),"",IF(OR(C802="-",D802="-"),"측정불가",IF(AND(ISNUMBER(C802),ISNUMBER(D802)),IF(OR(C802&gt;=설정!$C$11,D802&gt;=설정!$C$12),"긴급",IF(OR(C802&gt;=설정!$C$9,D802&gt;=설정!$C$10,C802&lt;설정!$C$13),"주의","정상")),"확인필요")))</f>
        <v/>
      </c>
      <c r="J802" s="25" t="str">
        <f aca="false">IF(E802="","",IF(E802="-","측정불가",IF(NOT(ISNUMBER(E802)),"확인필요",IF(E802&lt;설정!$C$17,"긴급(저혈당)",IF(E802&gt;=설정!$C$18,"긴급(고혈당)",IF(F802="공복",IF(E802&gt;=설정!$C$15,"주의","정상"),IF(F802="식후",IF(E802&gt;=설정!$C$16,"주의","정상"),"조건확인")))))))</f>
        <v/>
      </c>
      <c r="K802" s="25" t="str">
        <f aca="false">IF(OR(I802="긴급",LEFT(J802,2)="긴급"),"★ 즉시 선생님 호출",IF(OR(I802="주의",J802="주의"),"결과상담에서 확인",IF(J802="조건확인","혈당조건(공복/식후) 선택","")))</f>
        <v/>
      </c>
      <c r="L802" s="25" t="str">
        <f aca="false">IF($B802="","",IF(COUNTIF($B$5:$B$1004,$B802)&gt;1,"중복 입력",""))</f>
        <v/>
      </c>
    </row>
    <row r="803" customFormat="false" ht="15" hidden="false" customHeight="false" outlineLevel="0" collapsed="false">
      <c r="A803" s="23"/>
      <c r="B803" s="24"/>
      <c r="C803" s="24"/>
      <c r="D803" s="24"/>
      <c r="E803" s="24"/>
      <c r="F803" s="24"/>
      <c r="G803" s="24"/>
      <c r="H803" s="25" t="str">
        <f aca="false">IF($B803="","",IFERROR(IF(INDEX(명단!$B$5:$B$404,MATCH($B803,명단!$A$5:$A$404,0))="","(이름 미입력)",INDEX(명단!$B$5:$B$404,MATCH($B803,명단!$A$5:$A$404,0))),"번호 없음"))</f>
        <v/>
      </c>
      <c r="I803" s="25" t="str">
        <f aca="false">IF(AND(C803="",D803=""),"",IF(OR(C803="-",D803="-"),"측정불가",IF(AND(ISNUMBER(C803),ISNUMBER(D803)),IF(OR(C803&gt;=설정!$C$11,D803&gt;=설정!$C$12),"긴급",IF(OR(C803&gt;=설정!$C$9,D803&gt;=설정!$C$10,C803&lt;설정!$C$13),"주의","정상")),"확인필요")))</f>
        <v/>
      </c>
      <c r="J803" s="25" t="str">
        <f aca="false">IF(E803="","",IF(E803="-","측정불가",IF(NOT(ISNUMBER(E803)),"확인필요",IF(E803&lt;설정!$C$17,"긴급(저혈당)",IF(E803&gt;=설정!$C$18,"긴급(고혈당)",IF(F803="공복",IF(E803&gt;=설정!$C$15,"주의","정상"),IF(F803="식후",IF(E803&gt;=설정!$C$16,"주의","정상"),"조건확인")))))))</f>
        <v/>
      </c>
      <c r="K803" s="25" t="str">
        <f aca="false">IF(OR(I803="긴급",LEFT(J803,2)="긴급"),"★ 즉시 선생님 호출",IF(OR(I803="주의",J803="주의"),"결과상담에서 확인",IF(J803="조건확인","혈당조건(공복/식후) 선택","")))</f>
        <v/>
      </c>
      <c r="L803" s="25" t="str">
        <f aca="false">IF($B803="","",IF(COUNTIF($B$5:$B$1004,$B803)&gt;1,"중복 입력",""))</f>
        <v/>
      </c>
    </row>
    <row r="804" customFormat="false" ht="15" hidden="false" customHeight="false" outlineLevel="0" collapsed="false">
      <c r="A804" s="23"/>
      <c r="B804" s="24"/>
      <c r="C804" s="24"/>
      <c r="D804" s="24"/>
      <c r="E804" s="24"/>
      <c r="F804" s="24"/>
      <c r="G804" s="24"/>
      <c r="H804" s="25" t="str">
        <f aca="false">IF($B804="","",IFERROR(IF(INDEX(명단!$B$5:$B$404,MATCH($B804,명단!$A$5:$A$404,0))="","(이름 미입력)",INDEX(명단!$B$5:$B$404,MATCH($B804,명단!$A$5:$A$404,0))),"번호 없음"))</f>
        <v/>
      </c>
      <c r="I804" s="25" t="str">
        <f aca="false">IF(AND(C804="",D804=""),"",IF(OR(C804="-",D804="-"),"측정불가",IF(AND(ISNUMBER(C804),ISNUMBER(D804)),IF(OR(C804&gt;=설정!$C$11,D804&gt;=설정!$C$12),"긴급",IF(OR(C804&gt;=설정!$C$9,D804&gt;=설정!$C$10,C804&lt;설정!$C$13),"주의","정상")),"확인필요")))</f>
        <v/>
      </c>
      <c r="J804" s="25" t="str">
        <f aca="false">IF(E804="","",IF(E804="-","측정불가",IF(NOT(ISNUMBER(E804)),"확인필요",IF(E804&lt;설정!$C$17,"긴급(저혈당)",IF(E804&gt;=설정!$C$18,"긴급(고혈당)",IF(F804="공복",IF(E804&gt;=설정!$C$15,"주의","정상"),IF(F804="식후",IF(E804&gt;=설정!$C$16,"주의","정상"),"조건확인")))))))</f>
        <v/>
      </c>
      <c r="K804" s="25" t="str">
        <f aca="false">IF(OR(I804="긴급",LEFT(J804,2)="긴급"),"★ 즉시 선생님 호출",IF(OR(I804="주의",J804="주의"),"결과상담에서 확인",IF(J804="조건확인","혈당조건(공복/식후) 선택","")))</f>
        <v/>
      </c>
      <c r="L804" s="25" t="str">
        <f aca="false">IF($B804="","",IF(COUNTIF($B$5:$B$1004,$B804)&gt;1,"중복 입력",""))</f>
        <v/>
      </c>
    </row>
    <row r="805" customFormat="false" ht="15" hidden="false" customHeight="false" outlineLevel="0" collapsed="false">
      <c r="A805" s="23"/>
      <c r="B805" s="24"/>
      <c r="C805" s="24"/>
      <c r="D805" s="24"/>
      <c r="E805" s="24"/>
      <c r="F805" s="24"/>
      <c r="G805" s="24"/>
      <c r="H805" s="25" t="str">
        <f aca="false">IF($B805="","",IFERROR(IF(INDEX(명단!$B$5:$B$404,MATCH($B805,명단!$A$5:$A$404,0))="","(이름 미입력)",INDEX(명단!$B$5:$B$404,MATCH($B805,명단!$A$5:$A$404,0))),"번호 없음"))</f>
        <v/>
      </c>
      <c r="I805" s="25" t="str">
        <f aca="false">IF(AND(C805="",D805=""),"",IF(OR(C805="-",D805="-"),"측정불가",IF(AND(ISNUMBER(C805),ISNUMBER(D805)),IF(OR(C805&gt;=설정!$C$11,D805&gt;=설정!$C$12),"긴급",IF(OR(C805&gt;=설정!$C$9,D805&gt;=설정!$C$10,C805&lt;설정!$C$13),"주의","정상")),"확인필요")))</f>
        <v/>
      </c>
      <c r="J805" s="25" t="str">
        <f aca="false">IF(E805="","",IF(E805="-","측정불가",IF(NOT(ISNUMBER(E805)),"확인필요",IF(E805&lt;설정!$C$17,"긴급(저혈당)",IF(E805&gt;=설정!$C$18,"긴급(고혈당)",IF(F805="공복",IF(E805&gt;=설정!$C$15,"주의","정상"),IF(F805="식후",IF(E805&gt;=설정!$C$16,"주의","정상"),"조건확인")))))))</f>
        <v/>
      </c>
      <c r="K805" s="25" t="str">
        <f aca="false">IF(OR(I805="긴급",LEFT(J805,2)="긴급"),"★ 즉시 선생님 호출",IF(OR(I805="주의",J805="주의"),"결과상담에서 확인",IF(J805="조건확인","혈당조건(공복/식후) 선택","")))</f>
        <v/>
      </c>
      <c r="L805" s="25" t="str">
        <f aca="false">IF($B805="","",IF(COUNTIF($B$5:$B$1004,$B805)&gt;1,"중복 입력",""))</f>
        <v/>
      </c>
    </row>
    <row r="806" customFormat="false" ht="15" hidden="false" customHeight="false" outlineLevel="0" collapsed="false">
      <c r="A806" s="23"/>
      <c r="B806" s="24"/>
      <c r="C806" s="24"/>
      <c r="D806" s="24"/>
      <c r="E806" s="24"/>
      <c r="F806" s="24"/>
      <c r="G806" s="24"/>
      <c r="H806" s="25" t="str">
        <f aca="false">IF($B806="","",IFERROR(IF(INDEX(명단!$B$5:$B$404,MATCH($B806,명단!$A$5:$A$404,0))="","(이름 미입력)",INDEX(명단!$B$5:$B$404,MATCH($B806,명단!$A$5:$A$404,0))),"번호 없음"))</f>
        <v/>
      </c>
      <c r="I806" s="25" t="str">
        <f aca="false">IF(AND(C806="",D806=""),"",IF(OR(C806="-",D806="-"),"측정불가",IF(AND(ISNUMBER(C806),ISNUMBER(D806)),IF(OR(C806&gt;=설정!$C$11,D806&gt;=설정!$C$12),"긴급",IF(OR(C806&gt;=설정!$C$9,D806&gt;=설정!$C$10,C806&lt;설정!$C$13),"주의","정상")),"확인필요")))</f>
        <v/>
      </c>
      <c r="J806" s="25" t="str">
        <f aca="false">IF(E806="","",IF(E806="-","측정불가",IF(NOT(ISNUMBER(E806)),"확인필요",IF(E806&lt;설정!$C$17,"긴급(저혈당)",IF(E806&gt;=설정!$C$18,"긴급(고혈당)",IF(F806="공복",IF(E806&gt;=설정!$C$15,"주의","정상"),IF(F806="식후",IF(E806&gt;=설정!$C$16,"주의","정상"),"조건확인")))))))</f>
        <v/>
      </c>
      <c r="K806" s="25" t="str">
        <f aca="false">IF(OR(I806="긴급",LEFT(J806,2)="긴급"),"★ 즉시 선생님 호출",IF(OR(I806="주의",J806="주의"),"결과상담에서 확인",IF(J806="조건확인","혈당조건(공복/식후) 선택","")))</f>
        <v/>
      </c>
      <c r="L806" s="25" t="str">
        <f aca="false">IF($B806="","",IF(COUNTIF($B$5:$B$1004,$B806)&gt;1,"중복 입력",""))</f>
        <v/>
      </c>
    </row>
    <row r="807" customFormat="false" ht="15" hidden="false" customHeight="false" outlineLevel="0" collapsed="false">
      <c r="A807" s="23"/>
      <c r="B807" s="24"/>
      <c r="C807" s="24"/>
      <c r="D807" s="24"/>
      <c r="E807" s="24"/>
      <c r="F807" s="24"/>
      <c r="G807" s="24"/>
      <c r="H807" s="25" t="str">
        <f aca="false">IF($B807="","",IFERROR(IF(INDEX(명단!$B$5:$B$404,MATCH($B807,명단!$A$5:$A$404,0))="","(이름 미입력)",INDEX(명단!$B$5:$B$404,MATCH($B807,명단!$A$5:$A$404,0))),"번호 없음"))</f>
        <v/>
      </c>
      <c r="I807" s="25" t="str">
        <f aca="false">IF(AND(C807="",D807=""),"",IF(OR(C807="-",D807="-"),"측정불가",IF(AND(ISNUMBER(C807),ISNUMBER(D807)),IF(OR(C807&gt;=설정!$C$11,D807&gt;=설정!$C$12),"긴급",IF(OR(C807&gt;=설정!$C$9,D807&gt;=설정!$C$10,C807&lt;설정!$C$13),"주의","정상")),"확인필요")))</f>
        <v/>
      </c>
      <c r="J807" s="25" t="str">
        <f aca="false">IF(E807="","",IF(E807="-","측정불가",IF(NOT(ISNUMBER(E807)),"확인필요",IF(E807&lt;설정!$C$17,"긴급(저혈당)",IF(E807&gt;=설정!$C$18,"긴급(고혈당)",IF(F807="공복",IF(E807&gt;=설정!$C$15,"주의","정상"),IF(F807="식후",IF(E807&gt;=설정!$C$16,"주의","정상"),"조건확인")))))))</f>
        <v/>
      </c>
      <c r="K807" s="25" t="str">
        <f aca="false">IF(OR(I807="긴급",LEFT(J807,2)="긴급"),"★ 즉시 선생님 호출",IF(OR(I807="주의",J807="주의"),"결과상담에서 확인",IF(J807="조건확인","혈당조건(공복/식후) 선택","")))</f>
        <v/>
      </c>
      <c r="L807" s="25" t="str">
        <f aca="false">IF($B807="","",IF(COUNTIF($B$5:$B$1004,$B807)&gt;1,"중복 입력",""))</f>
        <v/>
      </c>
    </row>
    <row r="808" customFormat="false" ht="15" hidden="false" customHeight="false" outlineLevel="0" collapsed="false">
      <c r="A808" s="23"/>
      <c r="B808" s="24"/>
      <c r="C808" s="24"/>
      <c r="D808" s="24"/>
      <c r="E808" s="24"/>
      <c r="F808" s="24"/>
      <c r="G808" s="24"/>
      <c r="H808" s="25" t="str">
        <f aca="false">IF($B808="","",IFERROR(IF(INDEX(명단!$B$5:$B$404,MATCH($B808,명단!$A$5:$A$404,0))="","(이름 미입력)",INDEX(명단!$B$5:$B$404,MATCH($B808,명단!$A$5:$A$404,0))),"번호 없음"))</f>
        <v/>
      </c>
      <c r="I808" s="25" t="str">
        <f aca="false">IF(AND(C808="",D808=""),"",IF(OR(C808="-",D808="-"),"측정불가",IF(AND(ISNUMBER(C808),ISNUMBER(D808)),IF(OR(C808&gt;=설정!$C$11,D808&gt;=설정!$C$12),"긴급",IF(OR(C808&gt;=설정!$C$9,D808&gt;=설정!$C$10,C808&lt;설정!$C$13),"주의","정상")),"확인필요")))</f>
        <v/>
      </c>
      <c r="J808" s="25" t="str">
        <f aca="false">IF(E808="","",IF(E808="-","측정불가",IF(NOT(ISNUMBER(E808)),"확인필요",IF(E808&lt;설정!$C$17,"긴급(저혈당)",IF(E808&gt;=설정!$C$18,"긴급(고혈당)",IF(F808="공복",IF(E808&gt;=설정!$C$15,"주의","정상"),IF(F808="식후",IF(E808&gt;=설정!$C$16,"주의","정상"),"조건확인")))))))</f>
        <v/>
      </c>
      <c r="K808" s="25" t="str">
        <f aca="false">IF(OR(I808="긴급",LEFT(J808,2)="긴급"),"★ 즉시 선생님 호출",IF(OR(I808="주의",J808="주의"),"결과상담에서 확인",IF(J808="조건확인","혈당조건(공복/식후) 선택","")))</f>
        <v/>
      </c>
      <c r="L808" s="25" t="str">
        <f aca="false">IF($B808="","",IF(COUNTIF($B$5:$B$1004,$B808)&gt;1,"중복 입력",""))</f>
        <v/>
      </c>
    </row>
    <row r="809" customFormat="false" ht="15" hidden="false" customHeight="false" outlineLevel="0" collapsed="false">
      <c r="A809" s="23"/>
      <c r="B809" s="24"/>
      <c r="C809" s="24"/>
      <c r="D809" s="24"/>
      <c r="E809" s="24"/>
      <c r="F809" s="24"/>
      <c r="G809" s="24"/>
      <c r="H809" s="25" t="str">
        <f aca="false">IF($B809="","",IFERROR(IF(INDEX(명단!$B$5:$B$404,MATCH($B809,명단!$A$5:$A$404,0))="","(이름 미입력)",INDEX(명단!$B$5:$B$404,MATCH($B809,명단!$A$5:$A$404,0))),"번호 없음"))</f>
        <v/>
      </c>
      <c r="I809" s="25" t="str">
        <f aca="false">IF(AND(C809="",D809=""),"",IF(OR(C809="-",D809="-"),"측정불가",IF(AND(ISNUMBER(C809),ISNUMBER(D809)),IF(OR(C809&gt;=설정!$C$11,D809&gt;=설정!$C$12),"긴급",IF(OR(C809&gt;=설정!$C$9,D809&gt;=설정!$C$10,C809&lt;설정!$C$13),"주의","정상")),"확인필요")))</f>
        <v/>
      </c>
      <c r="J809" s="25" t="str">
        <f aca="false">IF(E809="","",IF(E809="-","측정불가",IF(NOT(ISNUMBER(E809)),"확인필요",IF(E809&lt;설정!$C$17,"긴급(저혈당)",IF(E809&gt;=설정!$C$18,"긴급(고혈당)",IF(F809="공복",IF(E809&gt;=설정!$C$15,"주의","정상"),IF(F809="식후",IF(E809&gt;=설정!$C$16,"주의","정상"),"조건확인")))))))</f>
        <v/>
      </c>
      <c r="K809" s="25" t="str">
        <f aca="false">IF(OR(I809="긴급",LEFT(J809,2)="긴급"),"★ 즉시 선생님 호출",IF(OR(I809="주의",J809="주의"),"결과상담에서 확인",IF(J809="조건확인","혈당조건(공복/식후) 선택","")))</f>
        <v/>
      </c>
      <c r="L809" s="25" t="str">
        <f aca="false">IF($B809="","",IF(COUNTIF($B$5:$B$1004,$B809)&gt;1,"중복 입력",""))</f>
        <v/>
      </c>
    </row>
    <row r="810" customFormat="false" ht="15" hidden="false" customHeight="false" outlineLevel="0" collapsed="false">
      <c r="A810" s="23"/>
      <c r="B810" s="24"/>
      <c r="C810" s="24"/>
      <c r="D810" s="24"/>
      <c r="E810" s="24"/>
      <c r="F810" s="24"/>
      <c r="G810" s="24"/>
      <c r="H810" s="25" t="str">
        <f aca="false">IF($B810="","",IFERROR(IF(INDEX(명단!$B$5:$B$404,MATCH($B810,명단!$A$5:$A$404,0))="","(이름 미입력)",INDEX(명단!$B$5:$B$404,MATCH($B810,명단!$A$5:$A$404,0))),"번호 없음"))</f>
        <v/>
      </c>
      <c r="I810" s="25" t="str">
        <f aca="false">IF(AND(C810="",D810=""),"",IF(OR(C810="-",D810="-"),"측정불가",IF(AND(ISNUMBER(C810),ISNUMBER(D810)),IF(OR(C810&gt;=설정!$C$11,D810&gt;=설정!$C$12),"긴급",IF(OR(C810&gt;=설정!$C$9,D810&gt;=설정!$C$10,C810&lt;설정!$C$13),"주의","정상")),"확인필요")))</f>
        <v/>
      </c>
      <c r="J810" s="25" t="str">
        <f aca="false">IF(E810="","",IF(E810="-","측정불가",IF(NOT(ISNUMBER(E810)),"확인필요",IF(E810&lt;설정!$C$17,"긴급(저혈당)",IF(E810&gt;=설정!$C$18,"긴급(고혈당)",IF(F810="공복",IF(E810&gt;=설정!$C$15,"주의","정상"),IF(F810="식후",IF(E810&gt;=설정!$C$16,"주의","정상"),"조건확인")))))))</f>
        <v/>
      </c>
      <c r="K810" s="25" t="str">
        <f aca="false">IF(OR(I810="긴급",LEFT(J810,2)="긴급"),"★ 즉시 선생님 호출",IF(OR(I810="주의",J810="주의"),"결과상담에서 확인",IF(J810="조건확인","혈당조건(공복/식후) 선택","")))</f>
        <v/>
      </c>
      <c r="L810" s="25" t="str">
        <f aca="false">IF($B810="","",IF(COUNTIF($B$5:$B$1004,$B810)&gt;1,"중복 입력",""))</f>
        <v/>
      </c>
    </row>
    <row r="811" customFormat="false" ht="15" hidden="false" customHeight="false" outlineLevel="0" collapsed="false">
      <c r="A811" s="23"/>
      <c r="B811" s="24"/>
      <c r="C811" s="24"/>
      <c r="D811" s="24"/>
      <c r="E811" s="24"/>
      <c r="F811" s="24"/>
      <c r="G811" s="24"/>
      <c r="H811" s="25" t="str">
        <f aca="false">IF($B811="","",IFERROR(IF(INDEX(명단!$B$5:$B$404,MATCH($B811,명단!$A$5:$A$404,0))="","(이름 미입력)",INDEX(명단!$B$5:$B$404,MATCH($B811,명단!$A$5:$A$404,0))),"번호 없음"))</f>
        <v/>
      </c>
      <c r="I811" s="25" t="str">
        <f aca="false">IF(AND(C811="",D811=""),"",IF(OR(C811="-",D811="-"),"측정불가",IF(AND(ISNUMBER(C811),ISNUMBER(D811)),IF(OR(C811&gt;=설정!$C$11,D811&gt;=설정!$C$12),"긴급",IF(OR(C811&gt;=설정!$C$9,D811&gt;=설정!$C$10,C811&lt;설정!$C$13),"주의","정상")),"확인필요")))</f>
        <v/>
      </c>
      <c r="J811" s="25" t="str">
        <f aca="false">IF(E811="","",IF(E811="-","측정불가",IF(NOT(ISNUMBER(E811)),"확인필요",IF(E811&lt;설정!$C$17,"긴급(저혈당)",IF(E811&gt;=설정!$C$18,"긴급(고혈당)",IF(F811="공복",IF(E811&gt;=설정!$C$15,"주의","정상"),IF(F811="식후",IF(E811&gt;=설정!$C$16,"주의","정상"),"조건확인")))))))</f>
        <v/>
      </c>
      <c r="K811" s="25" t="str">
        <f aca="false">IF(OR(I811="긴급",LEFT(J811,2)="긴급"),"★ 즉시 선생님 호출",IF(OR(I811="주의",J811="주의"),"결과상담에서 확인",IF(J811="조건확인","혈당조건(공복/식후) 선택","")))</f>
        <v/>
      </c>
      <c r="L811" s="25" t="str">
        <f aca="false">IF($B811="","",IF(COUNTIF($B$5:$B$1004,$B811)&gt;1,"중복 입력",""))</f>
        <v/>
      </c>
    </row>
    <row r="812" customFormat="false" ht="15" hidden="false" customHeight="false" outlineLevel="0" collapsed="false">
      <c r="A812" s="23"/>
      <c r="B812" s="24"/>
      <c r="C812" s="24"/>
      <c r="D812" s="24"/>
      <c r="E812" s="24"/>
      <c r="F812" s="24"/>
      <c r="G812" s="24"/>
      <c r="H812" s="25" t="str">
        <f aca="false">IF($B812="","",IFERROR(IF(INDEX(명단!$B$5:$B$404,MATCH($B812,명단!$A$5:$A$404,0))="","(이름 미입력)",INDEX(명단!$B$5:$B$404,MATCH($B812,명단!$A$5:$A$404,0))),"번호 없음"))</f>
        <v/>
      </c>
      <c r="I812" s="25" t="str">
        <f aca="false">IF(AND(C812="",D812=""),"",IF(OR(C812="-",D812="-"),"측정불가",IF(AND(ISNUMBER(C812),ISNUMBER(D812)),IF(OR(C812&gt;=설정!$C$11,D812&gt;=설정!$C$12),"긴급",IF(OR(C812&gt;=설정!$C$9,D812&gt;=설정!$C$10,C812&lt;설정!$C$13),"주의","정상")),"확인필요")))</f>
        <v/>
      </c>
      <c r="J812" s="25" t="str">
        <f aca="false">IF(E812="","",IF(E812="-","측정불가",IF(NOT(ISNUMBER(E812)),"확인필요",IF(E812&lt;설정!$C$17,"긴급(저혈당)",IF(E812&gt;=설정!$C$18,"긴급(고혈당)",IF(F812="공복",IF(E812&gt;=설정!$C$15,"주의","정상"),IF(F812="식후",IF(E812&gt;=설정!$C$16,"주의","정상"),"조건확인")))))))</f>
        <v/>
      </c>
      <c r="K812" s="25" t="str">
        <f aca="false">IF(OR(I812="긴급",LEFT(J812,2)="긴급"),"★ 즉시 선생님 호출",IF(OR(I812="주의",J812="주의"),"결과상담에서 확인",IF(J812="조건확인","혈당조건(공복/식후) 선택","")))</f>
        <v/>
      </c>
      <c r="L812" s="25" t="str">
        <f aca="false">IF($B812="","",IF(COUNTIF($B$5:$B$1004,$B812)&gt;1,"중복 입력",""))</f>
        <v/>
      </c>
    </row>
    <row r="813" customFormat="false" ht="15" hidden="false" customHeight="false" outlineLevel="0" collapsed="false">
      <c r="A813" s="23"/>
      <c r="B813" s="24"/>
      <c r="C813" s="24"/>
      <c r="D813" s="24"/>
      <c r="E813" s="24"/>
      <c r="F813" s="24"/>
      <c r="G813" s="24"/>
      <c r="H813" s="25" t="str">
        <f aca="false">IF($B813="","",IFERROR(IF(INDEX(명단!$B$5:$B$404,MATCH($B813,명단!$A$5:$A$404,0))="","(이름 미입력)",INDEX(명단!$B$5:$B$404,MATCH($B813,명단!$A$5:$A$404,0))),"번호 없음"))</f>
        <v/>
      </c>
      <c r="I813" s="25" t="str">
        <f aca="false">IF(AND(C813="",D813=""),"",IF(OR(C813="-",D813="-"),"측정불가",IF(AND(ISNUMBER(C813),ISNUMBER(D813)),IF(OR(C813&gt;=설정!$C$11,D813&gt;=설정!$C$12),"긴급",IF(OR(C813&gt;=설정!$C$9,D813&gt;=설정!$C$10,C813&lt;설정!$C$13),"주의","정상")),"확인필요")))</f>
        <v/>
      </c>
      <c r="J813" s="25" t="str">
        <f aca="false">IF(E813="","",IF(E813="-","측정불가",IF(NOT(ISNUMBER(E813)),"확인필요",IF(E813&lt;설정!$C$17,"긴급(저혈당)",IF(E813&gt;=설정!$C$18,"긴급(고혈당)",IF(F813="공복",IF(E813&gt;=설정!$C$15,"주의","정상"),IF(F813="식후",IF(E813&gt;=설정!$C$16,"주의","정상"),"조건확인")))))))</f>
        <v/>
      </c>
      <c r="K813" s="25" t="str">
        <f aca="false">IF(OR(I813="긴급",LEFT(J813,2)="긴급"),"★ 즉시 선생님 호출",IF(OR(I813="주의",J813="주의"),"결과상담에서 확인",IF(J813="조건확인","혈당조건(공복/식후) 선택","")))</f>
        <v/>
      </c>
      <c r="L813" s="25" t="str">
        <f aca="false">IF($B813="","",IF(COUNTIF($B$5:$B$1004,$B813)&gt;1,"중복 입력",""))</f>
        <v/>
      </c>
    </row>
    <row r="814" customFormat="false" ht="15" hidden="false" customHeight="false" outlineLevel="0" collapsed="false">
      <c r="A814" s="23"/>
      <c r="B814" s="24"/>
      <c r="C814" s="24"/>
      <c r="D814" s="24"/>
      <c r="E814" s="24"/>
      <c r="F814" s="24"/>
      <c r="G814" s="24"/>
      <c r="H814" s="25" t="str">
        <f aca="false">IF($B814="","",IFERROR(IF(INDEX(명단!$B$5:$B$404,MATCH($B814,명단!$A$5:$A$404,0))="","(이름 미입력)",INDEX(명단!$B$5:$B$404,MATCH($B814,명단!$A$5:$A$404,0))),"번호 없음"))</f>
        <v/>
      </c>
      <c r="I814" s="25" t="str">
        <f aca="false">IF(AND(C814="",D814=""),"",IF(OR(C814="-",D814="-"),"측정불가",IF(AND(ISNUMBER(C814),ISNUMBER(D814)),IF(OR(C814&gt;=설정!$C$11,D814&gt;=설정!$C$12),"긴급",IF(OR(C814&gt;=설정!$C$9,D814&gt;=설정!$C$10,C814&lt;설정!$C$13),"주의","정상")),"확인필요")))</f>
        <v/>
      </c>
      <c r="J814" s="25" t="str">
        <f aca="false">IF(E814="","",IF(E814="-","측정불가",IF(NOT(ISNUMBER(E814)),"확인필요",IF(E814&lt;설정!$C$17,"긴급(저혈당)",IF(E814&gt;=설정!$C$18,"긴급(고혈당)",IF(F814="공복",IF(E814&gt;=설정!$C$15,"주의","정상"),IF(F814="식후",IF(E814&gt;=설정!$C$16,"주의","정상"),"조건확인")))))))</f>
        <v/>
      </c>
      <c r="K814" s="25" t="str">
        <f aca="false">IF(OR(I814="긴급",LEFT(J814,2)="긴급"),"★ 즉시 선생님 호출",IF(OR(I814="주의",J814="주의"),"결과상담에서 확인",IF(J814="조건확인","혈당조건(공복/식후) 선택","")))</f>
        <v/>
      </c>
      <c r="L814" s="25" t="str">
        <f aca="false">IF($B814="","",IF(COUNTIF($B$5:$B$1004,$B814)&gt;1,"중복 입력",""))</f>
        <v/>
      </c>
    </row>
    <row r="815" customFormat="false" ht="15" hidden="false" customHeight="false" outlineLevel="0" collapsed="false">
      <c r="A815" s="23"/>
      <c r="B815" s="24"/>
      <c r="C815" s="24"/>
      <c r="D815" s="24"/>
      <c r="E815" s="24"/>
      <c r="F815" s="24"/>
      <c r="G815" s="24"/>
      <c r="H815" s="25" t="str">
        <f aca="false">IF($B815="","",IFERROR(IF(INDEX(명단!$B$5:$B$404,MATCH($B815,명단!$A$5:$A$404,0))="","(이름 미입력)",INDEX(명단!$B$5:$B$404,MATCH($B815,명단!$A$5:$A$404,0))),"번호 없음"))</f>
        <v/>
      </c>
      <c r="I815" s="25" t="str">
        <f aca="false">IF(AND(C815="",D815=""),"",IF(OR(C815="-",D815="-"),"측정불가",IF(AND(ISNUMBER(C815),ISNUMBER(D815)),IF(OR(C815&gt;=설정!$C$11,D815&gt;=설정!$C$12),"긴급",IF(OR(C815&gt;=설정!$C$9,D815&gt;=설정!$C$10,C815&lt;설정!$C$13),"주의","정상")),"확인필요")))</f>
        <v/>
      </c>
      <c r="J815" s="25" t="str">
        <f aca="false">IF(E815="","",IF(E815="-","측정불가",IF(NOT(ISNUMBER(E815)),"확인필요",IF(E815&lt;설정!$C$17,"긴급(저혈당)",IF(E815&gt;=설정!$C$18,"긴급(고혈당)",IF(F815="공복",IF(E815&gt;=설정!$C$15,"주의","정상"),IF(F815="식후",IF(E815&gt;=설정!$C$16,"주의","정상"),"조건확인")))))))</f>
        <v/>
      </c>
      <c r="K815" s="25" t="str">
        <f aca="false">IF(OR(I815="긴급",LEFT(J815,2)="긴급"),"★ 즉시 선생님 호출",IF(OR(I815="주의",J815="주의"),"결과상담에서 확인",IF(J815="조건확인","혈당조건(공복/식후) 선택","")))</f>
        <v/>
      </c>
      <c r="L815" s="25" t="str">
        <f aca="false">IF($B815="","",IF(COUNTIF($B$5:$B$1004,$B815)&gt;1,"중복 입력",""))</f>
        <v/>
      </c>
    </row>
    <row r="816" customFormat="false" ht="15" hidden="false" customHeight="false" outlineLevel="0" collapsed="false">
      <c r="A816" s="23"/>
      <c r="B816" s="24"/>
      <c r="C816" s="24"/>
      <c r="D816" s="24"/>
      <c r="E816" s="24"/>
      <c r="F816" s="24"/>
      <c r="G816" s="24"/>
      <c r="H816" s="25" t="str">
        <f aca="false">IF($B816="","",IFERROR(IF(INDEX(명단!$B$5:$B$404,MATCH($B816,명단!$A$5:$A$404,0))="","(이름 미입력)",INDEX(명단!$B$5:$B$404,MATCH($B816,명단!$A$5:$A$404,0))),"번호 없음"))</f>
        <v/>
      </c>
      <c r="I816" s="25" t="str">
        <f aca="false">IF(AND(C816="",D816=""),"",IF(OR(C816="-",D816="-"),"측정불가",IF(AND(ISNUMBER(C816),ISNUMBER(D816)),IF(OR(C816&gt;=설정!$C$11,D816&gt;=설정!$C$12),"긴급",IF(OR(C816&gt;=설정!$C$9,D816&gt;=설정!$C$10,C816&lt;설정!$C$13),"주의","정상")),"확인필요")))</f>
        <v/>
      </c>
      <c r="J816" s="25" t="str">
        <f aca="false">IF(E816="","",IF(E816="-","측정불가",IF(NOT(ISNUMBER(E816)),"확인필요",IF(E816&lt;설정!$C$17,"긴급(저혈당)",IF(E816&gt;=설정!$C$18,"긴급(고혈당)",IF(F816="공복",IF(E816&gt;=설정!$C$15,"주의","정상"),IF(F816="식후",IF(E816&gt;=설정!$C$16,"주의","정상"),"조건확인")))))))</f>
        <v/>
      </c>
      <c r="K816" s="25" t="str">
        <f aca="false">IF(OR(I816="긴급",LEFT(J816,2)="긴급"),"★ 즉시 선생님 호출",IF(OR(I816="주의",J816="주의"),"결과상담에서 확인",IF(J816="조건확인","혈당조건(공복/식후) 선택","")))</f>
        <v/>
      </c>
      <c r="L816" s="25" t="str">
        <f aca="false">IF($B816="","",IF(COUNTIF($B$5:$B$1004,$B816)&gt;1,"중복 입력",""))</f>
        <v/>
      </c>
    </row>
    <row r="817" customFormat="false" ht="15" hidden="false" customHeight="false" outlineLevel="0" collapsed="false">
      <c r="A817" s="23"/>
      <c r="B817" s="24"/>
      <c r="C817" s="24"/>
      <c r="D817" s="24"/>
      <c r="E817" s="24"/>
      <c r="F817" s="24"/>
      <c r="G817" s="24"/>
      <c r="H817" s="25" t="str">
        <f aca="false">IF($B817="","",IFERROR(IF(INDEX(명단!$B$5:$B$404,MATCH($B817,명단!$A$5:$A$404,0))="","(이름 미입력)",INDEX(명단!$B$5:$B$404,MATCH($B817,명단!$A$5:$A$404,0))),"번호 없음"))</f>
        <v/>
      </c>
      <c r="I817" s="25" t="str">
        <f aca="false">IF(AND(C817="",D817=""),"",IF(OR(C817="-",D817="-"),"측정불가",IF(AND(ISNUMBER(C817),ISNUMBER(D817)),IF(OR(C817&gt;=설정!$C$11,D817&gt;=설정!$C$12),"긴급",IF(OR(C817&gt;=설정!$C$9,D817&gt;=설정!$C$10,C817&lt;설정!$C$13),"주의","정상")),"확인필요")))</f>
        <v/>
      </c>
      <c r="J817" s="25" t="str">
        <f aca="false">IF(E817="","",IF(E817="-","측정불가",IF(NOT(ISNUMBER(E817)),"확인필요",IF(E817&lt;설정!$C$17,"긴급(저혈당)",IF(E817&gt;=설정!$C$18,"긴급(고혈당)",IF(F817="공복",IF(E817&gt;=설정!$C$15,"주의","정상"),IF(F817="식후",IF(E817&gt;=설정!$C$16,"주의","정상"),"조건확인")))))))</f>
        <v/>
      </c>
      <c r="K817" s="25" t="str">
        <f aca="false">IF(OR(I817="긴급",LEFT(J817,2)="긴급"),"★ 즉시 선생님 호출",IF(OR(I817="주의",J817="주의"),"결과상담에서 확인",IF(J817="조건확인","혈당조건(공복/식후) 선택","")))</f>
        <v/>
      </c>
      <c r="L817" s="25" t="str">
        <f aca="false">IF($B817="","",IF(COUNTIF($B$5:$B$1004,$B817)&gt;1,"중복 입력",""))</f>
        <v/>
      </c>
    </row>
    <row r="818" customFormat="false" ht="15" hidden="false" customHeight="false" outlineLevel="0" collapsed="false">
      <c r="A818" s="23"/>
      <c r="B818" s="24"/>
      <c r="C818" s="24"/>
      <c r="D818" s="24"/>
      <c r="E818" s="24"/>
      <c r="F818" s="24"/>
      <c r="G818" s="24"/>
      <c r="H818" s="25" t="str">
        <f aca="false">IF($B818="","",IFERROR(IF(INDEX(명단!$B$5:$B$404,MATCH($B818,명단!$A$5:$A$404,0))="","(이름 미입력)",INDEX(명단!$B$5:$B$404,MATCH($B818,명단!$A$5:$A$404,0))),"번호 없음"))</f>
        <v/>
      </c>
      <c r="I818" s="25" t="str">
        <f aca="false">IF(AND(C818="",D818=""),"",IF(OR(C818="-",D818="-"),"측정불가",IF(AND(ISNUMBER(C818),ISNUMBER(D818)),IF(OR(C818&gt;=설정!$C$11,D818&gt;=설정!$C$12),"긴급",IF(OR(C818&gt;=설정!$C$9,D818&gt;=설정!$C$10,C818&lt;설정!$C$13),"주의","정상")),"확인필요")))</f>
        <v/>
      </c>
      <c r="J818" s="25" t="str">
        <f aca="false">IF(E818="","",IF(E818="-","측정불가",IF(NOT(ISNUMBER(E818)),"확인필요",IF(E818&lt;설정!$C$17,"긴급(저혈당)",IF(E818&gt;=설정!$C$18,"긴급(고혈당)",IF(F818="공복",IF(E818&gt;=설정!$C$15,"주의","정상"),IF(F818="식후",IF(E818&gt;=설정!$C$16,"주의","정상"),"조건확인")))))))</f>
        <v/>
      </c>
      <c r="K818" s="25" t="str">
        <f aca="false">IF(OR(I818="긴급",LEFT(J818,2)="긴급"),"★ 즉시 선생님 호출",IF(OR(I818="주의",J818="주의"),"결과상담에서 확인",IF(J818="조건확인","혈당조건(공복/식후) 선택","")))</f>
        <v/>
      </c>
      <c r="L818" s="25" t="str">
        <f aca="false">IF($B818="","",IF(COUNTIF($B$5:$B$1004,$B818)&gt;1,"중복 입력",""))</f>
        <v/>
      </c>
    </row>
    <row r="819" customFormat="false" ht="15" hidden="false" customHeight="false" outlineLevel="0" collapsed="false">
      <c r="A819" s="23"/>
      <c r="B819" s="24"/>
      <c r="C819" s="24"/>
      <c r="D819" s="24"/>
      <c r="E819" s="24"/>
      <c r="F819" s="24"/>
      <c r="G819" s="24"/>
      <c r="H819" s="25" t="str">
        <f aca="false">IF($B819="","",IFERROR(IF(INDEX(명단!$B$5:$B$404,MATCH($B819,명단!$A$5:$A$404,0))="","(이름 미입력)",INDEX(명단!$B$5:$B$404,MATCH($B819,명단!$A$5:$A$404,0))),"번호 없음"))</f>
        <v/>
      </c>
      <c r="I819" s="25" t="str">
        <f aca="false">IF(AND(C819="",D819=""),"",IF(OR(C819="-",D819="-"),"측정불가",IF(AND(ISNUMBER(C819),ISNUMBER(D819)),IF(OR(C819&gt;=설정!$C$11,D819&gt;=설정!$C$12),"긴급",IF(OR(C819&gt;=설정!$C$9,D819&gt;=설정!$C$10,C819&lt;설정!$C$13),"주의","정상")),"확인필요")))</f>
        <v/>
      </c>
      <c r="J819" s="25" t="str">
        <f aca="false">IF(E819="","",IF(E819="-","측정불가",IF(NOT(ISNUMBER(E819)),"확인필요",IF(E819&lt;설정!$C$17,"긴급(저혈당)",IF(E819&gt;=설정!$C$18,"긴급(고혈당)",IF(F819="공복",IF(E819&gt;=설정!$C$15,"주의","정상"),IF(F819="식후",IF(E819&gt;=설정!$C$16,"주의","정상"),"조건확인")))))))</f>
        <v/>
      </c>
      <c r="K819" s="25" t="str">
        <f aca="false">IF(OR(I819="긴급",LEFT(J819,2)="긴급"),"★ 즉시 선생님 호출",IF(OR(I819="주의",J819="주의"),"결과상담에서 확인",IF(J819="조건확인","혈당조건(공복/식후) 선택","")))</f>
        <v/>
      </c>
      <c r="L819" s="25" t="str">
        <f aca="false">IF($B819="","",IF(COUNTIF($B$5:$B$1004,$B819)&gt;1,"중복 입력",""))</f>
        <v/>
      </c>
    </row>
    <row r="820" customFormat="false" ht="15" hidden="false" customHeight="false" outlineLevel="0" collapsed="false">
      <c r="A820" s="23"/>
      <c r="B820" s="24"/>
      <c r="C820" s="24"/>
      <c r="D820" s="24"/>
      <c r="E820" s="24"/>
      <c r="F820" s="24"/>
      <c r="G820" s="24"/>
      <c r="H820" s="25" t="str">
        <f aca="false">IF($B820="","",IFERROR(IF(INDEX(명단!$B$5:$B$404,MATCH($B820,명단!$A$5:$A$404,0))="","(이름 미입력)",INDEX(명단!$B$5:$B$404,MATCH($B820,명단!$A$5:$A$404,0))),"번호 없음"))</f>
        <v/>
      </c>
      <c r="I820" s="25" t="str">
        <f aca="false">IF(AND(C820="",D820=""),"",IF(OR(C820="-",D820="-"),"측정불가",IF(AND(ISNUMBER(C820),ISNUMBER(D820)),IF(OR(C820&gt;=설정!$C$11,D820&gt;=설정!$C$12),"긴급",IF(OR(C820&gt;=설정!$C$9,D820&gt;=설정!$C$10,C820&lt;설정!$C$13),"주의","정상")),"확인필요")))</f>
        <v/>
      </c>
      <c r="J820" s="25" t="str">
        <f aca="false">IF(E820="","",IF(E820="-","측정불가",IF(NOT(ISNUMBER(E820)),"확인필요",IF(E820&lt;설정!$C$17,"긴급(저혈당)",IF(E820&gt;=설정!$C$18,"긴급(고혈당)",IF(F820="공복",IF(E820&gt;=설정!$C$15,"주의","정상"),IF(F820="식후",IF(E820&gt;=설정!$C$16,"주의","정상"),"조건확인")))))))</f>
        <v/>
      </c>
      <c r="K820" s="25" t="str">
        <f aca="false">IF(OR(I820="긴급",LEFT(J820,2)="긴급"),"★ 즉시 선생님 호출",IF(OR(I820="주의",J820="주의"),"결과상담에서 확인",IF(J820="조건확인","혈당조건(공복/식후) 선택","")))</f>
        <v/>
      </c>
      <c r="L820" s="25" t="str">
        <f aca="false">IF($B820="","",IF(COUNTIF($B$5:$B$1004,$B820)&gt;1,"중복 입력",""))</f>
        <v/>
      </c>
    </row>
    <row r="821" customFormat="false" ht="15" hidden="false" customHeight="false" outlineLevel="0" collapsed="false">
      <c r="A821" s="23"/>
      <c r="B821" s="24"/>
      <c r="C821" s="24"/>
      <c r="D821" s="24"/>
      <c r="E821" s="24"/>
      <c r="F821" s="24"/>
      <c r="G821" s="24"/>
      <c r="H821" s="25" t="str">
        <f aca="false">IF($B821="","",IFERROR(IF(INDEX(명단!$B$5:$B$404,MATCH($B821,명단!$A$5:$A$404,0))="","(이름 미입력)",INDEX(명단!$B$5:$B$404,MATCH($B821,명단!$A$5:$A$404,0))),"번호 없음"))</f>
        <v/>
      </c>
      <c r="I821" s="25" t="str">
        <f aca="false">IF(AND(C821="",D821=""),"",IF(OR(C821="-",D821="-"),"측정불가",IF(AND(ISNUMBER(C821),ISNUMBER(D821)),IF(OR(C821&gt;=설정!$C$11,D821&gt;=설정!$C$12),"긴급",IF(OR(C821&gt;=설정!$C$9,D821&gt;=설정!$C$10,C821&lt;설정!$C$13),"주의","정상")),"확인필요")))</f>
        <v/>
      </c>
      <c r="J821" s="25" t="str">
        <f aca="false">IF(E821="","",IF(E821="-","측정불가",IF(NOT(ISNUMBER(E821)),"확인필요",IF(E821&lt;설정!$C$17,"긴급(저혈당)",IF(E821&gt;=설정!$C$18,"긴급(고혈당)",IF(F821="공복",IF(E821&gt;=설정!$C$15,"주의","정상"),IF(F821="식후",IF(E821&gt;=설정!$C$16,"주의","정상"),"조건확인")))))))</f>
        <v/>
      </c>
      <c r="K821" s="25" t="str">
        <f aca="false">IF(OR(I821="긴급",LEFT(J821,2)="긴급"),"★ 즉시 선생님 호출",IF(OR(I821="주의",J821="주의"),"결과상담에서 확인",IF(J821="조건확인","혈당조건(공복/식후) 선택","")))</f>
        <v/>
      </c>
      <c r="L821" s="25" t="str">
        <f aca="false">IF($B821="","",IF(COUNTIF($B$5:$B$1004,$B821)&gt;1,"중복 입력",""))</f>
        <v/>
      </c>
    </row>
    <row r="822" customFormat="false" ht="15" hidden="false" customHeight="false" outlineLevel="0" collapsed="false">
      <c r="A822" s="23"/>
      <c r="B822" s="24"/>
      <c r="C822" s="24"/>
      <c r="D822" s="24"/>
      <c r="E822" s="24"/>
      <c r="F822" s="24"/>
      <c r="G822" s="24"/>
      <c r="H822" s="25" t="str">
        <f aca="false">IF($B822="","",IFERROR(IF(INDEX(명단!$B$5:$B$404,MATCH($B822,명단!$A$5:$A$404,0))="","(이름 미입력)",INDEX(명단!$B$5:$B$404,MATCH($B822,명단!$A$5:$A$404,0))),"번호 없음"))</f>
        <v/>
      </c>
      <c r="I822" s="25" t="str">
        <f aca="false">IF(AND(C822="",D822=""),"",IF(OR(C822="-",D822="-"),"측정불가",IF(AND(ISNUMBER(C822),ISNUMBER(D822)),IF(OR(C822&gt;=설정!$C$11,D822&gt;=설정!$C$12),"긴급",IF(OR(C822&gt;=설정!$C$9,D822&gt;=설정!$C$10,C822&lt;설정!$C$13),"주의","정상")),"확인필요")))</f>
        <v/>
      </c>
      <c r="J822" s="25" t="str">
        <f aca="false">IF(E822="","",IF(E822="-","측정불가",IF(NOT(ISNUMBER(E822)),"확인필요",IF(E822&lt;설정!$C$17,"긴급(저혈당)",IF(E822&gt;=설정!$C$18,"긴급(고혈당)",IF(F822="공복",IF(E822&gt;=설정!$C$15,"주의","정상"),IF(F822="식후",IF(E822&gt;=설정!$C$16,"주의","정상"),"조건확인")))))))</f>
        <v/>
      </c>
      <c r="K822" s="25" t="str">
        <f aca="false">IF(OR(I822="긴급",LEFT(J822,2)="긴급"),"★ 즉시 선생님 호출",IF(OR(I822="주의",J822="주의"),"결과상담에서 확인",IF(J822="조건확인","혈당조건(공복/식후) 선택","")))</f>
        <v/>
      </c>
      <c r="L822" s="25" t="str">
        <f aca="false">IF($B822="","",IF(COUNTIF($B$5:$B$1004,$B822)&gt;1,"중복 입력",""))</f>
        <v/>
      </c>
    </row>
    <row r="823" customFormat="false" ht="15" hidden="false" customHeight="false" outlineLevel="0" collapsed="false">
      <c r="A823" s="23"/>
      <c r="B823" s="24"/>
      <c r="C823" s="24"/>
      <c r="D823" s="24"/>
      <c r="E823" s="24"/>
      <c r="F823" s="24"/>
      <c r="G823" s="24"/>
      <c r="H823" s="25" t="str">
        <f aca="false">IF($B823="","",IFERROR(IF(INDEX(명단!$B$5:$B$404,MATCH($B823,명단!$A$5:$A$404,0))="","(이름 미입력)",INDEX(명단!$B$5:$B$404,MATCH($B823,명단!$A$5:$A$404,0))),"번호 없음"))</f>
        <v/>
      </c>
      <c r="I823" s="25" t="str">
        <f aca="false">IF(AND(C823="",D823=""),"",IF(OR(C823="-",D823="-"),"측정불가",IF(AND(ISNUMBER(C823),ISNUMBER(D823)),IF(OR(C823&gt;=설정!$C$11,D823&gt;=설정!$C$12),"긴급",IF(OR(C823&gt;=설정!$C$9,D823&gt;=설정!$C$10,C823&lt;설정!$C$13),"주의","정상")),"확인필요")))</f>
        <v/>
      </c>
      <c r="J823" s="25" t="str">
        <f aca="false">IF(E823="","",IF(E823="-","측정불가",IF(NOT(ISNUMBER(E823)),"확인필요",IF(E823&lt;설정!$C$17,"긴급(저혈당)",IF(E823&gt;=설정!$C$18,"긴급(고혈당)",IF(F823="공복",IF(E823&gt;=설정!$C$15,"주의","정상"),IF(F823="식후",IF(E823&gt;=설정!$C$16,"주의","정상"),"조건확인")))))))</f>
        <v/>
      </c>
      <c r="K823" s="25" t="str">
        <f aca="false">IF(OR(I823="긴급",LEFT(J823,2)="긴급"),"★ 즉시 선생님 호출",IF(OR(I823="주의",J823="주의"),"결과상담에서 확인",IF(J823="조건확인","혈당조건(공복/식후) 선택","")))</f>
        <v/>
      </c>
      <c r="L823" s="25" t="str">
        <f aca="false">IF($B823="","",IF(COUNTIF($B$5:$B$1004,$B823)&gt;1,"중복 입력",""))</f>
        <v/>
      </c>
    </row>
    <row r="824" customFormat="false" ht="15" hidden="false" customHeight="false" outlineLevel="0" collapsed="false">
      <c r="A824" s="23"/>
      <c r="B824" s="24"/>
      <c r="C824" s="24"/>
      <c r="D824" s="24"/>
      <c r="E824" s="24"/>
      <c r="F824" s="24"/>
      <c r="G824" s="24"/>
      <c r="H824" s="25" t="str">
        <f aca="false">IF($B824="","",IFERROR(IF(INDEX(명단!$B$5:$B$404,MATCH($B824,명단!$A$5:$A$404,0))="","(이름 미입력)",INDEX(명단!$B$5:$B$404,MATCH($B824,명단!$A$5:$A$404,0))),"번호 없음"))</f>
        <v/>
      </c>
      <c r="I824" s="25" t="str">
        <f aca="false">IF(AND(C824="",D824=""),"",IF(OR(C824="-",D824="-"),"측정불가",IF(AND(ISNUMBER(C824),ISNUMBER(D824)),IF(OR(C824&gt;=설정!$C$11,D824&gt;=설정!$C$12),"긴급",IF(OR(C824&gt;=설정!$C$9,D824&gt;=설정!$C$10,C824&lt;설정!$C$13),"주의","정상")),"확인필요")))</f>
        <v/>
      </c>
      <c r="J824" s="25" t="str">
        <f aca="false">IF(E824="","",IF(E824="-","측정불가",IF(NOT(ISNUMBER(E824)),"확인필요",IF(E824&lt;설정!$C$17,"긴급(저혈당)",IF(E824&gt;=설정!$C$18,"긴급(고혈당)",IF(F824="공복",IF(E824&gt;=설정!$C$15,"주의","정상"),IF(F824="식후",IF(E824&gt;=설정!$C$16,"주의","정상"),"조건확인")))))))</f>
        <v/>
      </c>
      <c r="K824" s="25" t="str">
        <f aca="false">IF(OR(I824="긴급",LEFT(J824,2)="긴급"),"★ 즉시 선생님 호출",IF(OR(I824="주의",J824="주의"),"결과상담에서 확인",IF(J824="조건확인","혈당조건(공복/식후) 선택","")))</f>
        <v/>
      </c>
      <c r="L824" s="25" t="str">
        <f aca="false">IF($B824="","",IF(COUNTIF($B$5:$B$1004,$B824)&gt;1,"중복 입력",""))</f>
        <v/>
      </c>
    </row>
    <row r="825" customFormat="false" ht="15" hidden="false" customHeight="false" outlineLevel="0" collapsed="false">
      <c r="A825" s="23"/>
      <c r="B825" s="24"/>
      <c r="C825" s="24"/>
      <c r="D825" s="24"/>
      <c r="E825" s="24"/>
      <c r="F825" s="24"/>
      <c r="G825" s="24"/>
      <c r="H825" s="25" t="str">
        <f aca="false">IF($B825="","",IFERROR(IF(INDEX(명단!$B$5:$B$404,MATCH($B825,명단!$A$5:$A$404,0))="","(이름 미입력)",INDEX(명단!$B$5:$B$404,MATCH($B825,명단!$A$5:$A$404,0))),"번호 없음"))</f>
        <v/>
      </c>
      <c r="I825" s="25" t="str">
        <f aca="false">IF(AND(C825="",D825=""),"",IF(OR(C825="-",D825="-"),"측정불가",IF(AND(ISNUMBER(C825),ISNUMBER(D825)),IF(OR(C825&gt;=설정!$C$11,D825&gt;=설정!$C$12),"긴급",IF(OR(C825&gt;=설정!$C$9,D825&gt;=설정!$C$10,C825&lt;설정!$C$13),"주의","정상")),"확인필요")))</f>
        <v/>
      </c>
      <c r="J825" s="25" t="str">
        <f aca="false">IF(E825="","",IF(E825="-","측정불가",IF(NOT(ISNUMBER(E825)),"확인필요",IF(E825&lt;설정!$C$17,"긴급(저혈당)",IF(E825&gt;=설정!$C$18,"긴급(고혈당)",IF(F825="공복",IF(E825&gt;=설정!$C$15,"주의","정상"),IF(F825="식후",IF(E825&gt;=설정!$C$16,"주의","정상"),"조건확인")))))))</f>
        <v/>
      </c>
      <c r="K825" s="25" t="str">
        <f aca="false">IF(OR(I825="긴급",LEFT(J825,2)="긴급"),"★ 즉시 선생님 호출",IF(OR(I825="주의",J825="주의"),"결과상담에서 확인",IF(J825="조건확인","혈당조건(공복/식후) 선택","")))</f>
        <v/>
      </c>
      <c r="L825" s="25" t="str">
        <f aca="false">IF($B825="","",IF(COUNTIF($B$5:$B$1004,$B825)&gt;1,"중복 입력",""))</f>
        <v/>
      </c>
    </row>
    <row r="826" customFormat="false" ht="15" hidden="false" customHeight="false" outlineLevel="0" collapsed="false">
      <c r="A826" s="23"/>
      <c r="B826" s="24"/>
      <c r="C826" s="24"/>
      <c r="D826" s="24"/>
      <c r="E826" s="24"/>
      <c r="F826" s="24"/>
      <c r="G826" s="24"/>
      <c r="H826" s="25" t="str">
        <f aca="false">IF($B826="","",IFERROR(IF(INDEX(명단!$B$5:$B$404,MATCH($B826,명단!$A$5:$A$404,0))="","(이름 미입력)",INDEX(명단!$B$5:$B$404,MATCH($B826,명단!$A$5:$A$404,0))),"번호 없음"))</f>
        <v/>
      </c>
      <c r="I826" s="25" t="str">
        <f aca="false">IF(AND(C826="",D826=""),"",IF(OR(C826="-",D826="-"),"측정불가",IF(AND(ISNUMBER(C826),ISNUMBER(D826)),IF(OR(C826&gt;=설정!$C$11,D826&gt;=설정!$C$12),"긴급",IF(OR(C826&gt;=설정!$C$9,D826&gt;=설정!$C$10,C826&lt;설정!$C$13),"주의","정상")),"확인필요")))</f>
        <v/>
      </c>
      <c r="J826" s="25" t="str">
        <f aca="false">IF(E826="","",IF(E826="-","측정불가",IF(NOT(ISNUMBER(E826)),"확인필요",IF(E826&lt;설정!$C$17,"긴급(저혈당)",IF(E826&gt;=설정!$C$18,"긴급(고혈당)",IF(F826="공복",IF(E826&gt;=설정!$C$15,"주의","정상"),IF(F826="식후",IF(E826&gt;=설정!$C$16,"주의","정상"),"조건확인")))))))</f>
        <v/>
      </c>
      <c r="K826" s="25" t="str">
        <f aca="false">IF(OR(I826="긴급",LEFT(J826,2)="긴급"),"★ 즉시 선생님 호출",IF(OR(I826="주의",J826="주의"),"결과상담에서 확인",IF(J826="조건확인","혈당조건(공복/식후) 선택","")))</f>
        <v/>
      </c>
      <c r="L826" s="25" t="str">
        <f aca="false">IF($B826="","",IF(COUNTIF($B$5:$B$1004,$B826)&gt;1,"중복 입력",""))</f>
        <v/>
      </c>
    </row>
    <row r="827" customFormat="false" ht="15" hidden="false" customHeight="false" outlineLevel="0" collapsed="false">
      <c r="A827" s="23"/>
      <c r="B827" s="24"/>
      <c r="C827" s="24"/>
      <c r="D827" s="24"/>
      <c r="E827" s="24"/>
      <c r="F827" s="24"/>
      <c r="G827" s="24"/>
      <c r="H827" s="25" t="str">
        <f aca="false">IF($B827="","",IFERROR(IF(INDEX(명단!$B$5:$B$404,MATCH($B827,명단!$A$5:$A$404,0))="","(이름 미입력)",INDEX(명단!$B$5:$B$404,MATCH($B827,명단!$A$5:$A$404,0))),"번호 없음"))</f>
        <v/>
      </c>
      <c r="I827" s="25" t="str">
        <f aca="false">IF(AND(C827="",D827=""),"",IF(OR(C827="-",D827="-"),"측정불가",IF(AND(ISNUMBER(C827),ISNUMBER(D827)),IF(OR(C827&gt;=설정!$C$11,D827&gt;=설정!$C$12),"긴급",IF(OR(C827&gt;=설정!$C$9,D827&gt;=설정!$C$10,C827&lt;설정!$C$13),"주의","정상")),"확인필요")))</f>
        <v/>
      </c>
      <c r="J827" s="25" t="str">
        <f aca="false">IF(E827="","",IF(E827="-","측정불가",IF(NOT(ISNUMBER(E827)),"확인필요",IF(E827&lt;설정!$C$17,"긴급(저혈당)",IF(E827&gt;=설정!$C$18,"긴급(고혈당)",IF(F827="공복",IF(E827&gt;=설정!$C$15,"주의","정상"),IF(F827="식후",IF(E827&gt;=설정!$C$16,"주의","정상"),"조건확인")))))))</f>
        <v/>
      </c>
      <c r="K827" s="25" t="str">
        <f aca="false">IF(OR(I827="긴급",LEFT(J827,2)="긴급"),"★ 즉시 선생님 호출",IF(OR(I827="주의",J827="주의"),"결과상담에서 확인",IF(J827="조건확인","혈당조건(공복/식후) 선택","")))</f>
        <v/>
      </c>
      <c r="L827" s="25" t="str">
        <f aca="false">IF($B827="","",IF(COUNTIF($B$5:$B$1004,$B827)&gt;1,"중복 입력",""))</f>
        <v/>
      </c>
    </row>
    <row r="828" customFormat="false" ht="15" hidden="false" customHeight="false" outlineLevel="0" collapsed="false">
      <c r="A828" s="23"/>
      <c r="B828" s="24"/>
      <c r="C828" s="24"/>
      <c r="D828" s="24"/>
      <c r="E828" s="24"/>
      <c r="F828" s="24"/>
      <c r="G828" s="24"/>
      <c r="H828" s="25" t="str">
        <f aca="false">IF($B828="","",IFERROR(IF(INDEX(명단!$B$5:$B$404,MATCH($B828,명단!$A$5:$A$404,0))="","(이름 미입력)",INDEX(명단!$B$5:$B$404,MATCH($B828,명단!$A$5:$A$404,0))),"번호 없음"))</f>
        <v/>
      </c>
      <c r="I828" s="25" t="str">
        <f aca="false">IF(AND(C828="",D828=""),"",IF(OR(C828="-",D828="-"),"측정불가",IF(AND(ISNUMBER(C828),ISNUMBER(D828)),IF(OR(C828&gt;=설정!$C$11,D828&gt;=설정!$C$12),"긴급",IF(OR(C828&gt;=설정!$C$9,D828&gt;=설정!$C$10,C828&lt;설정!$C$13),"주의","정상")),"확인필요")))</f>
        <v/>
      </c>
      <c r="J828" s="25" t="str">
        <f aca="false">IF(E828="","",IF(E828="-","측정불가",IF(NOT(ISNUMBER(E828)),"확인필요",IF(E828&lt;설정!$C$17,"긴급(저혈당)",IF(E828&gt;=설정!$C$18,"긴급(고혈당)",IF(F828="공복",IF(E828&gt;=설정!$C$15,"주의","정상"),IF(F828="식후",IF(E828&gt;=설정!$C$16,"주의","정상"),"조건확인")))))))</f>
        <v/>
      </c>
      <c r="K828" s="25" t="str">
        <f aca="false">IF(OR(I828="긴급",LEFT(J828,2)="긴급"),"★ 즉시 선생님 호출",IF(OR(I828="주의",J828="주의"),"결과상담에서 확인",IF(J828="조건확인","혈당조건(공복/식후) 선택","")))</f>
        <v/>
      </c>
      <c r="L828" s="25" t="str">
        <f aca="false">IF($B828="","",IF(COUNTIF($B$5:$B$1004,$B828)&gt;1,"중복 입력",""))</f>
        <v/>
      </c>
    </row>
    <row r="829" customFormat="false" ht="15" hidden="false" customHeight="false" outlineLevel="0" collapsed="false">
      <c r="A829" s="23"/>
      <c r="B829" s="24"/>
      <c r="C829" s="24"/>
      <c r="D829" s="24"/>
      <c r="E829" s="24"/>
      <c r="F829" s="24"/>
      <c r="G829" s="24"/>
      <c r="H829" s="25" t="str">
        <f aca="false">IF($B829="","",IFERROR(IF(INDEX(명단!$B$5:$B$404,MATCH($B829,명단!$A$5:$A$404,0))="","(이름 미입력)",INDEX(명단!$B$5:$B$404,MATCH($B829,명단!$A$5:$A$404,0))),"번호 없음"))</f>
        <v/>
      </c>
      <c r="I829" s="25" t="str">
        <f aca="false">IF(AND(C829="",D829=""),"",IF(OR(C829="-",D829="-"),"측정불가",IF(AND(ISNUMBER(C829),ISNUMBER(D829)),IF(OR(C829&gt;=설정!$C$11,D829&gt;=설정!$C$12),"긴급",IF(OR(C829&gt;=설정!$C$9,D829&gt;=설정!$C$10,C829&lt;설정!$C$13),"주의","정상")),"확인필요")))</f>
        <v/>
      </c>
      <c r="J829" s="25" t="str">
        <f aca="false">IF(E829="","",IF(E829="-","측정불가",IF(NOT(ISNUMBER(E829)),"확인필요",IF(E829&lt;설정!$C$17,"긴급(저혈당)",IF(E829&gt;=설정!$C$18,"긴급(고혈당)",IF(F829="공복",IF(E829&gt;=설정!$C$15,"주의","정상"),IF(F829="식후",IF(E829&gt;=설정!$C$16,"주의","정상"),"조건확인")))))))</f>
        <v/>
      </c>
      <c r="K829" s="25" t="str">
        <f aca="false">IF(OR(I829="긴급",LEFT(J829,2)="긴급"),"★ 즉시 선생님 호출",IF(OR(I829="주의",J829="주의"),"결과상담에서 확인",IF(J829="조건확인","혈당조건(공복/식후) 선택","")))</f>
        <v/>
      </c>
      <c r="L829" s="25" t="str">
        <f aca="false">IF($B829="","",IF(COUNTIF($B$5:$B$1004,$B829)&gt;1,"중복 입력",""))</f>
        <v/>
      </c>
    </row>
    <row r="830" customFormat="false" ht="15" hidden="false" customHeight="false" outlineLevel="0" collapsed="false">
      <c r="A830" s="23"/>
      <c r="B830" s="24"/>
      <c r="C830" s="24"/>
      <c r="D830" s="24"/>
      <c r="E830" s="24"/>
      <c r="F830" s="24"/>
      <c r="G830" s="24"/>
      <c r="H830" s="25" t="str">
        <f aca="false">IF($B830="","",IFERROR(IF(INDEX(명단!$B$5:$B$404,MATCH($B830,명단!$A$5:$A$404,0))="","(이름 미입력)",INDEX(명단!$B$5:$B$404,MATCH($B830,명단!$A$5:$A$404,0))),"번호 없음"))</f>
        <v/>
      </c>
      <c r="I830" s="25" t="str">
        <f aca="false">IF(AND(C830="",D830=""),"",IF(OR(C830="-",D830="-"),"측정불가",IF(AND(ISNUMBER(C830),ISNUMBER(D830)),IF(OR(C830&gt;=설정!$C$11,D830&gt;=설정!$C$12),"긴급",IF(OR(C830&gt;=설정!$C$9,D830&gt;=설정!$C$10,C830&lt;설정!$C$13),"주의","정상")),"확인필요")))</f>
        <v/>
      </c>
      <c r="J830" s="25" t="str">
        <f aca="false">IF(E830="","",IF(E830="-","측정불가",IF(NOT(ISNUMBER(E830)),"확인필요",IF(E830&lt;설정!$C$17,"긴급(저혈당)",IF(E830&gt;=설정!$C$18,"긴급(고혈당)",IF(F830="공복",IF(E830&gt;=설정!$C$15,"주의","정상"),IF(F830="식후",IF(E830&gt;=설정!$C$16,"주의","정상"),"조건확인")))))))</f>
        <v/>
      </c>
      <c r="K830" s="25" t="str">
        <f aca="false">IF(OR(I830="긴급",LEFT(J830,2)="긴급"),"★ 즉시 선생님 호출",IF(OR(I830="주의",J830="주의"),"결과상담에서 확인",IF(J830="조건확인","혈당조건(공복/식후) 선택","")))</f>
        <v/>
      </c>
      <c r="L830" s="25" t="str">
        <f aca="false">IF($B830="","",IF(COUNTIF($B$5:$B$1004,$B830)&gt;1,"중복 입력",""))</f>
        <v/>
      </c>
    </row>
    <row r="831" customFormat="false" ht="15" hidden="false" customHeight="false" outlineLevel="0" collapsed="false">
      <c r="A831" s="23"/>
      <c r="B831" s="24"/>
      <c r="C831" s="24"/>
      <c r="D831" s="24"/>
      <c r="E831" s="24"/>
      <c r="F831" s="24"/>
      <c r="G831" s="24"/>
      <c r="H831" s="25" t="str">
        <f aca="false">IF($B831="","",IFERROR(IF(INDEX(명단!$B$5:$B$404,MATCH($B831,명단!$A$5:$A$404,0))="","(이름 미입력)",INDEX(명단!$B$5:$B$404,MATCH($B831,명단!$A$5:$A$404,0))),"번호 없음"))</f>
        <v/>
      </c>
      <c r="I831" s="25" t="str">
        <f aca="false">IF(AND(C831="",D831=""),"",IF(OR(C831="-",D831="-"),"측정불가",IF(AND(ISNUMBER(C831),ISNUMBER(D831)),IF(OR(C831&gt;=설정!$C$11,D831&gt;=설정!$C$12),"긴급",IF(OR(C831&gt;=설정!$C$9,D831&gt;=설정!$C$10,C831&lt;설정!$C$13),"주의","정상")),"확인필요")))</f>
        <v/>
      </c>
      <c r="J831" s="25" t="str">
        <f aca="false">IF(E831="","",IF(E831="-","측정불가",IF(NOT(ISNUMBER(E831)),"확인필요",IF(E831&lt;설정!$C$17,"긴급(저혈당)",IF(E831&gt;=설정!$C$18,"긴급(고혈당)",IF(F831="공복",IF(E831&gt;=설정!$C$15,"주의","정상"),IF(F831="식후",IF(E831&gt;=설정!$C$16,"주의","정상"),"조건확인")))))))</f>
        <v/>
      </c>
      <c r="K831" s="25" t="str">
        <f aca="false">IF(OR(I831="긴급",LEFT(J831,2)="긴급"),"★ 즉시 선생님 호출",IF(OR(I831="주의",J831="주의"),"결과상담에서 확인",IF(J831="조건확인","혈당조건(공복/식후) 선택","")))</f>
        <v/>
      </c>
      <c r="L831" s="25" t="str">
        <f aca="false">IF($B831="","",IF(COUNTIF($B$5:$B$1004,$B831)&gt;1,"중복 입력",""))</f>
        <v/>
      </c>
    </row>
    <row r="832" customFormat="false" ht="15" hidden="false" customHeight="false" outlineLevel="0" collapsed="false">
      <c r="A832" s="23"/>
      <c r="B832" s="24"/>
      <c r="C832" s="24"/>
      <c r="D832" s="24"/>
      <c r="E832" s="24"/>
      <c r="F832" s="24"/>
      <c r="G832" s="24"/>
      <c r="H832" s="25" t="str">
        <f aca="false">IF($B832="","",IFERROR(IF(INDEX(명단!$B$5:$B$404,MATCH($B832,명단!$A$5:$A$404,0))="","(이름 미입력)",INDEX(명단!$B$5:$B$404,MATCH($B832,명단!$A$5:$A$404,0))),"번호 없음"))</f>
        <v/>
      </c>
      <c r="I832" s="25" t="str">
        <f aca="false">IF(AND(C832="",D832=""),"",IF(OR(C832="-",D832="-"),"측정불가",IF(AND(ISNUMBER(C832),ISNUMBER(D832)),IF(OR(C832&gt;=설정!$C$11,D832&gt;=설정!$C$12),"긴급",IF(OR(C832&gt;=설정!$C$9,D832&gt;=설정!$C$10,C832&lt;설정!$C$13),"주의","정상")),"확인필요")))</f>
        <v/>
      </c>
      <c r="J832" s="25" t="str">
        <f aca="false">IF(E832="","",IF(E832="-","측정불가",IF(NOT(ISNUMBER(E832)),"확인필요",IF(E832&lt;설정!$C$17,"긴급(저혈당)",IF(E832&gt;=설정!$C$18,"긴급(고혈당)",IF(F832="공복",IF(E832&gt;=설정!$C$15,"주의","정상"),IF(F832="식후",IF(E832&gt;=설정!$C$16,"주의","정상"),"조건확인")))))))</f>
        <v/>
      </c>
      <c r="K832" s="25" t="str">
        <f aca="false">IF(OR(I832="긴급",LEFT(J832,2)="긴급"),"★ 즉시 선생님 호출",IF(OR(I832="주의",J832="주의"),"결과상담에서 확인",IF(J832="조건확인","혈당조건(공복/식후) 선택","")))</f>
        <v/>
      </c>
      <c r="L832" s="25" t="str">
        <f aca="false">IF($B832="","",IF(COUNTIF($B$5:$B$1004,$B832)&gt;1,"중복 입력",""))</f>
        <v/>
      </c>
    </row>
    <row r="833" customFormat="false" ht="15" hidden="false" customHeight="false" outlineLevel="0" collapsed="false">
      <c r="A833" s="23"/>
      <c r="B833" s="24"/>
      <c r="C833" s="24"/>
      <c r="D833" s="24"/>
      <c r="E833" s="24"/>
      <c r="F833" s="24"/>
      <c r="G833" s="24"/>
      <c r="H833" s="25" t="str">
        <f aca="false">IF($B833="","",IFERROR(IF(INDEX(명단!$B$5:$B$404,MATCH($B833,명단!$A$5:$A$404,0))="","(이름 미입력)",INDEX(명단!$B$5:$B$404,MATCH($B833,명단!$A$5:$A$404,0))),"번호 없음"))</f>
        <v/>
      </c>
      <c r="I833" s="25" t="str">
        <f aca="false">IF(AND(C833="",D833=""),"",IF(OR(C833="-",D833="-"),"측정불가",IF(AND(ISNUMBER(C833),ISNUMBER(D833)),IF(OR(C833&gt;=설정!$C$11,D833&gt;=설정!$C$12),"긴급",IF(OR(C833&gt;=설정!$C$9,D833&gt;=설정!$C$10,C833&lt;설정!$C$13),"주의","정상")),"확인필요")))</f>
        <v/>
      </c>
      <c r="J833" s="25" t="str">
        <f aca="false">IF(E833="","",IF(E833="-","측정불가",IF(NOT(ISNUMBER(E833)),"확인필요",IF(E833&lt;설정!$C$17,"긴급(저혈당)",IF(E833&gt;=설정!$C$18,"긴급(고혈당)",IF(F833="공복",IF(E833&gt;=설정!$C$15,"주의","정상"),IF(F833="식후",IF(E833&gt;=설정!$C$16,"주의","정상"),"조건확인")))))))</f>
        <v/>
      </c>
      <c r="K833" s="25" t="str">
        <f aca="false">IF(OR(I833="긴급",LEFT(J833,2)="긴급"),"★ 즉시 선생님 호출",IF(OR(I833="주의",J833="주의"),"결과상담에서 확인",IF(J833="조건확인","혈당조건(공복/식후) 선택","")))</f>
        <v/>
      </c>
      <c r="L833" s="25" t="str">
        <f aca="false">IF($B833="","",IF(COUNTIF($B$5:$B$1004,$B833)&gt;1,"중복 입력",""))</f>
        <v/>
      </c>
    </row>
    <row r="834" customFormat="false" ht="15" hidden="false" customHeight="false" outlineLevel="0" collapsed="false">
      <c r="A834" s="23"/>
      <c r="B834" s="24"/>
      <c r="C834" s="24"/>
      <c r="D834" s="24"/>
      <c r="E834" s="24"/>
      <c r="F834" s="24"/>
      <c r="G834" s="24"/>
      <c r="H834" s="25" t="str">
        <f aca="false">IF($B834="","",IFERROR(IF(INDEX(명단!$B$5:$B$404,MATCH($B834,명단!$A$5:$A$404,0))="","(이름 미입력)",INDEX(명단!$B$5:$B$404,MATCH($B834,명단!$A$5:$A$404,0))),"번호 없음"))</f>
        <v/>
      </c>
      <c r="I834" s="25" t="str">
        <f aca="false">IF(AND(C834="",D834=""),"",IF(OR(C834="-",D834="-"),"측정불가",IF(AND(ISNUMBER(C834),ISNUMBER(D834)),IF(OR(C834&gt;=설정!$C$11,D834&gt;=설정!$C$12),"긴급",IF(OR(C834&gt;=설정!$C$9,D834&gt;=설정!$C$10,C834&lt;설정!$C$13),"주의","정상")),"확인필요")))</f>
        <v/>
      </c>
      <c r="J834" s="25" t="str">
        <f aca="false">IF(E834="","",IF(E834="-","측정불가",IF(NOT(ISNUMBER(E834)),"확인필요",IF(E834&lt;설정!$C$17,"긴급(저혈당)",IF(E834&gt;=설정!$C$18,"긴급(고혈당)",IF(F834="공복",IF(E834&gt;=설정!$C$15,"주의","정상"),IF(F834="식후",IF(E834&gt;=설정!$C$16,"주의","정상"),"조건확인")))))))</f>
        <v/>
      </c>
      <c r="K834" s="25" t="str">
        <f aca="false">IF(OR(I834="긴급",LEFT(J834,2)="긴급"),"★ 즉시 선생님 호출",IF(OR(I834="주의",J834="주의"),"결과상담에서 확인",IF(J834="조건확인","혈당조건(공복/식후) 선택","")))</f>
        <v/>
      </c>
      <c r="L834" s="25" t="str">
        <f aca="false">IF($B834="","",IF(COUNTIF($B$5:$B$1004,$B834)&gt;1,"중복 입력",""))</f>
        <v/>
      </c>
    </row>
    <row r="835" customFormat="false" ht="15" hidden="false" customHeight="false" outlineLevel="0" collapsed="false">
      <c r="A835" s="23"/>
      <c r="B835" s="24"/>
      <c r="C835" s="24"/>
      <c r="D835" s="24"/>
      <c r="E835" s="24"/>
      <c r="F835" s="24"/>
      <c r="G835" s="24"/>
      <c r="H835" s="25" t="str">
        <f aca="false">IF($B835="","",IFERROR(IF(INDEX(명단!$B$5:$B$404,MATCH($B835,명단!$A$5:$A$404,0))="","(이름 미입력)",INDEX(명단!$B$5:$B$404,MATCH($B835,명단!$A$5:$A$404,0))),"번호 없음"))</f>
        <v/>
      </c>
      <c r="I835" s="25" t="str">
        <f aca="false">IF(AND(C835="",D835=""),"",IF(OR(C835="-",D835="-"),"측정불가",IF(AND(ISNUMBER(C835),ISNUMBER(D835)),IF(OR(C835&gt;=설정!$C$11,D835&gt;=설정!$C$12),"긴급",IF(OR(C835&gt;=설정!$C$9,D835&gt;=설정!$C$10,C835&lt;설정!$C$13),"주의","정상")),"확인필요")))</f>
        <v/>
      </c>
      <c r="J835" s="25" t="str">
        <f aca="false">IF(E835="","",IF(E835="-","측정불가",IF(NOT(ISNUMBER(E835)),"확인필요",IF(E835&lt;설정!$C$17,"긴급(저혈당)",IF(E835&gt;=설정!$C$18,"긴급(고혈당)",IF(F835="공복",IF(E835&gt;=설정!$C$15,"주의","정상"),IF(F835="식후",IF(E835&gt;=설정!$C$16,"주의","정상"),"조건확인")))))))</f>
        <v/>
      </c>
      <c r="K835" s="25" t="str">
        <f aca="false">IF(OR(I835="긴급",LEFT(J835,2)="긴급"),"★ 즉시 선생님 호출",IF(OR(I835="주의",J835="주의"),"결과상담에서 확인",IF(J835="조건확인","혈당조건(공복/식후) 선택","")))</f>
        <v/>
      </c>
      <c r="L835" s="25" t="str">
        <f aca="false">IF($B835="","",IF(COUNTIF($B$5:$B$1004,$B835)&gt;1,"중복 입력",""))</f>
        <v/>
      </c>
    </row>
    <row r="836" customFormat="false" ht="15" hidden="false" customHeight="false" outlineLevel="0" collapsed="false">
      <c r="A836" s="23"/>
      <c r="B836" s="24"/>
      <c r="C836" s="24"/>
      <c r="D836" s="24"/>
      <c r="E836" s="24"/>
      <c r="F836" s="24"/>
      <c r="G836" s="24"/>
      <c r="H836" s="25" t="str">
        <f aca="false">IF($B836="","",IFERROR(IF(INDEX(명단!$B$5:$B$404,MATCH($B836,명단!$A$5:$A$404,0))="","(이름 미입력)",INDEX(명단!$B$5:$B$404,MATCH($B836,명단!$A$5:$A$404,0))),"번호 없음"))</f>
        <v/>
      </c>
      <c r="I836" s="25" t="str">
        <f aca="false">IF(AND(C836="",D836=""),"",IF(OR(C836="-",D836="-"),"측정불가",IF(AND(ISNUMBER(C836),ISNUMBER(D836)),IF(OR(C836&gt;=설정!$C$11,D836&gt;=설정!$C$12),"긴급",IF(OR(C836&gt;=설정!$C$9,D836&gt;=설정!$C$10,C836&lt;설정!$C$13),"주의","정상")),"확인필요")))</f>
        <v/>
      </c>
      <c r="J836" s="25" t="str">
        <f aca="false">IF(E836="","",IF(E836="-","측정불가",IF(NOT(ISNUMBER(E836)),"확인필요",IF(E836&lt;설정!$C$17,"긴급(저혈당)",IF(E836&gt;=설정!$C$18,"긴급(고혈당)",IF(F836="공복",IF(E836&gt;=설정!$C$15,"주의","정상"),IF(F836="식후",IF(E836&gt;=설정!$C$16,"주의","정상"),"조건확인")))))))</f>
        <v/>
      </c>
      <c r="K836" s="25" t="str">
        <f aca="false">IF(OR(I836="긴급",LEFT(J836,2)="긴급"),"★ 즉시 선생님 호출",IF(OR(I836="주의",J836="주의"),"결과상담에서 확인",IF(J836="조건확인","혈당조건(공복/식후) 선택","")))</f>
        <v/>
      </c>
      <c r="L836" s="25" t="str">
        <f aca="false">IF($B836="","",IF(COUNTIF($B$5:$B$1004,$B836)&gt;1,"중복 입력",""))</f>
        <v/>
      </c>
    </row>
    <row r="837" customFormat="false" ht="15" hidden="false" customHeight="false" outlineLevel="0" collapsed="false">
      <c r="A837" s="23"/>
      <c r="B837" s="24"/>
      <c r="C837" s="24"/>
      <c r="D837" s="24"/>
      <c r="E837" s="24"/>
      <c r="F837" s="24"/>
      <c r="G837" s="24"/>
      <c r="H837" s="25" t="str">
        <f aca="false">IF($B837="","",IFERROR(IF(INDEX(명단!$B$5:$B$404,MATCH($B837,명단!$A$5:$A$404,0))="","(이름 미입력)",INDEX(명단!$B$5:$B$404,MATCH($B837,명단!$A$5:$A$404,0))),"번호 없음"))</f>
        <v/>
      </c>
      <c r="I837" s="25" t="str">
        <f aca="false">IF(AND(C837="",D837=""),"",IF(OR(C837="-",D837="-"),"측정불가",IF(AND(ISNUMBER(C837),ISNUMBER(D837)),IF(OR(C837&gt;=설정!$C$11,D837&gt;=설정!$C$12),"긴급",IF(OR(C837&gt;=설정!$C$9,D837&gt;=설정!$C$10,C837&lt;설정!$C$13),"주의","정상")),"확인필요")))</f>
        <v/>
      </c>
      <c r="J837" s="25" t="str">
        <f aca="false">IF(E837="","",IF(E837="-","측정불가",IF(NOT(ISNUMBER(E837)),"확인필요",IF(E837&lt;설정!$C$17,"긴급(저혈당)",IF(E837&gt;=설정!$C$18,"긴급(고혈당)",IF(F837="공복",IF(E837&gt;=설정!$C$15,"주의","정상"),IF(F837="식후",IF(E837&gt;=설정!$C$16,"주의","정상"),"조건확인")))))))</f>
        <v/>
      </c>
      <c r="K837" s="25" t="str">
        <f aca="false">IF(OR(I837="긴급",LEFT(J837,2)="긴급"),"★ 즉시 선생님 호출",IF(OR(I837="주의",J837="주의"),"결과상담에서 확인",IF(J837="조건확인","혈당조건(공복/식후) 선택","")))</f>
        <v/>
      </c>
      <c r="L837" s="25" t="str">
        <f aca="false">IF($B837="","",IF(COUNTIF($B$5:$B$1004,$B837)&gt;1,"중복 입력",""))</f>
        <v/>
      </c>
    </row>
    <row r="838" customFormat="false" ht="15" hidden="false" customHeight="false" outlineLevel="0" collapsed="false">
      <c r="A838" s="23"/>
      <c r="B838" s="24"/>
      <c r="C838" s="24"/>
      <c r="D838" s="24"/>
      <c r="E838" s="24"/>
      <c r="F838" s="24"/>
      <c r="G838" s="24"/>
      <c r="H838" s="25" t="str">
        <f aca="false">IF($B838="","",IFERROR(IF(INDEX(명단!$B$5:$B$404,MATCH($B838,명단!$A$5:$A$404,0))="","(이름 미입력)",INDEX(명단!$B$5:$B$404,MATCH($B838,명단!$A$5:$A$404,0))),"번호 없음"))</f>
        <v/>
      </c>
      <c r="I838" s="25" t="str">
        <f aca="false">IF(AND(C838="",D838=""),"",IF(OR(C838="-",D838="-"),"측정불가",IF(AND(ISNUMBER(C838),ISNUMBER(D838)),IF(OR(C838&gt;=설정!$C$11,D838&gt;=설정!$C$12),"긴급",IF(OR(C838&gt;=설정!$C$9,D838&gt;=설정!$C$10,C838&lt;설정!$C$13),"주의","정상")),"확인필요")))</f>
        <v/>
      </c>
      <c r="J838" s="25" t="str">
        <f aca="false">IF(E838="","",IF(E838="-","측정불가",IF(NOT(ISNUMBER(E838)),"확인필요",IF(E838&lt;설정!$C$17,"긴급(저혈당)",IF(E838&gt;=설정!$C$18,"긴급(고혈당)",IF(F838="공복",IF(E838&gt;=설정!$C$15,"주의","정상"),IF(F838="식후",IF(E838&gt;=설정!$C$16,"주의","정상"),"조건확인")))))))</f>
        <v/>
      </c>
      <c r="K838" s="25" t="str">
        <f aca="false">IF(OR(I838="긴급",LEFT(J838,2)="긴급"),"★ 즉시 선생님 호출",IF(OR(I838="주의",J838="주의"),"결과상담에서 확인",IF(J838="조건확인","혈당조건(공복/식후) 선택","")))</f>
        <v/>
      </c>
      <c r="L838" s="25" t="str">
        <f aca="false">IF($B838="","",IF(COUNTIF($B$5:$B$1004,$B838)&gt;1,"중복 입력",""))</f>
        <v/>
      </c>
    </row>
    <row r="839" customFormat="false" ht="15" hidden="false" customHeight="false" outlineLevel="0" collapsed="false">
      <c r="A839" s="23"/>
      <c r="B839" s="24"/>
      <c r="C839" s="24"/>
      <c r="D839" s="24"/>
      <c r="E839" s="24"/>
      <c r="F839" s="24"/>
      <c r="G839" s="24"/>
      <c r="H839" s="25" t="str">
        <f aca="false">IF($B839="","",IFERROR(IF(INDEX(명단!$B$5:$B$404,MATCH($B839,명단!$A$5:$A$404,0))="","(이름 미입력)",INDEX(명단!$B$5:$B$404,MATCH($B839,명단!$A$5:$A$404,0))),"번호 없음"))</f>
        <v/>
      </c>
      <c r="I839" s="25" t="str">
        <f aca="false">IF(AND(C839="",D839=""),"",IF(OR(C839="-",D839="-"),"측정불가",IF(AND(ISNUMBER(C839),ISNUMBER(D839)),IF(OR(C839&gt;=설정!$C$11,D839&gt;=설정!$C$12),"긴급",IF(OR(C839&gt;=설정!$C$9,D839&gt;=설정!$C$10,C839&lt;설정!$C$13),"주의","정상")),"확인필요")))</f>
        <v/>
      </c>
      <c r="J839" s="25" t="str">
        <f aca="false">IF(E839="","",IF(E839="-","측정불가",IF(NOT(ISNUMBER(E839)),"확인필요",IF(E839&lt;설정!$C$17,"긴급(저혈당)",IF(E839&gt;=설정!$C$18,"긴급(고혈당)",IF(F839="공복",IF(E839&gt;=설정!$C$15,"주의","정상"),IF(F839="식후",IF(E839&gt;=설정!$C$16,"주의","정상"),"조건확인")))))))</f>
        <v/>
      </c>
      <c r="K839" s="25" t="str">
        <f aca="false">IF(OR(I839="긴급",LEFT(J839,2)="긴급"),"★ 즉시 선생님 호출",IF(OR(I839="주의",J839="주의"),"결과상담에서 확인",IF(J839="조건확인","혈당조건(공복/식후) 선택","")))</f>
        <v/>
      </c>
      <c r="L839" s="25" t="str">
        <f aca="false">IF($B839="","",IF(COUNTIF($B$5:$B$1004,$B839)&gt;1,"중복 입력",""))</f>
        <v/>
      </c>
    </row>
    <row r="840" customFormat="false" ht="15" hidden="false" customHeight="false" outlineLevel="0" collapsed="false">
      <c r="A840" s="23"/>
      <c r="B840" s="24"/>
      <c r="C840" s="24"/>
      <c r="D840" s="24"/>
      <c r="E840" s="24"/>
      <c r="F840" s="24"/>
      <c r="G840" s="24"/>
      <c r="H840" s="25" t="str">
        <f aca="false">IF($B840="","",IFERROR(IF(INDEX(명단!$B$5:$B$404,MATCH($B840,명단!$A$5:$A$404,0))="","(이름 미입력)",INDEX(명단!$B$5:$B$404,MATCH($B840,명단!$A$5:$A$404,0))),"번호 없음"))</f>
        <v/>
      </c>
      <c r="I840" s="25" t="str">
        <f aca="false">IF(AND(C840="",D840=""),"",IF(OR(C840="-",D840="-"),"측정불가",IF(AND(ISNUMBER(C840),ISNUMBER(D840)),IF(OR(C840&gt;=설정!$C$11,D840&gt;=설정!$C$12),"긴급",IF(OR(C840&gt;=설정!$C$9,D840&gt;=설정!$C$10,C840&lt;설정!$C$13),"주의","정상")),"확인필요")))</f>
        <v/>
      </c>
      <c r="J840" s="25" t="str">
        <f aca="false">IF(E840="","",IF(E840="-","측정불가",IF(NOT(ISNUMBER(E840)),"확인필요",IF(E840&lt;설정!$C$17,"긴급(저혈당)",IF(E840&gt;=설정!$C$18,"긴급(고혈당)",IF(F840="공복",IF(E840&gt;=설정!$C$15,"주의","정상"),IF(F840="식후",IF(E840&gt;=설정!$C$16,"주의","정상"),"조건확인")))))))</f>
        <v/>
      </c>
      <c r="K840" s="25" t="str">
        <f aca="false">IF(OR(I840="긴급",LEFT(J840,2)="긴급"),"★ 즉시 선생님 호출",IF(OR(I840="주의",J840="주의"),"결과상담에서 확인",IF(J840="조건확인","혈당조건(공복/식후) 선택","")))</f>
        <v/>
      </c>
      <c r="L840" s="25" t="str">
        <f aca="false">IF($B840="","",IF(COUNTIF($B$5:$B$1004,$B840)&gt;1,"중복 입력",""))</f>
        <v/>
      </c>
    </row>
    <row r="841" customFormat="false" ht="15" hidden="false" customHeight="false" outlineLevel="0" collapsed="false">
      <c r="A841" s="23"/>
      <c r="B841" s="24"/>
      <c r="C841" s="24"/>
      <c r="D841" s="24"/>
      <c r="E841" s="24"/>
      <c r="F841" s="24"/>
      <c r="G841" s="24"/>
      <c r="H841" s="25" t="str">
        <f aca="false">IF($B841="","",IFERROR(IF(INDEX(명단!$B$5:$B$404,MATCH($B841,명단!$A$5:$A$404,0))="","(이름 미입력)",INDEX(명단!$B$5:$B$404,MATCH($B841,명단!$A$5:$A$404,0))),"번호 없음"))</f>
        <v/>
      </c>
      <c r="I841" s="25" t="str">
        <f aca="false">IF(AND(C841="",D841=""),"",IF(OR(C841="-",D841="-"),"측정불가",IF(AND(ISNUMBER(C841),ISNUMBER(D841)),IF(OR(C841&gt;=설정!$C$11,D841&gt;=설정!$C$12),"긴급",IF(OR(C841&gt;=설정!$C$9,D841&gt;=설정!$C$10,C841&lt;설정!$C$13),"주의","정상")),"확인필요")))</f>
        <v/>
      </c>
      <c r="J841" s="25" t="str">
        <f aca="false">IF(E841="","",IF(E841="-","측정불가",IF(NOT(ISNUMBER(E841)),"확인필요",IF(E841&lt;설정!$C$17,"긴급(저혈당)",IF(E841&gt;=설정!$C$18,"긴급(고혈당)",IF(F841="공복",IF(E841&gt;=설정!$C$15,"주의","정상"),IF(F841="식후",IF(E841&gt;=설정!$C$16,"주의","정상"),"조건확인")))))))</f>
        <v/>
      </c>
      <c r="K841" s="25" t="str">
        <f aca="false">IF(OR(I841="긴급",LEFT(J841,2)="긴급"),"★ 즉시 선생님 호출",IF(OR(I841="주의",J841="주의"),"결과상담에서 확인",IF(J841="조건확인","혈당조건(공복/식후) 선택","")))</f>
        <v/>
      </c>
      <c r="L841" s="25" t="str">
        <f aca="false">IF($B841="","",IF(COUNTIF($B$5:$B$1004,$B841)&gt;1,"중복 입력",""))</f>
        <v/>
      </c>
    </row>
    <row r="842" customFormat="false" ht="15" hidden="false" customHeight="false" outlineLevel="0" collapsed="false">
      <c r="A842" s="23"/>
      <c r="B842" s="24"/>
      <c r="C842" s="24"/>
      <c r="D842" s="24"/>
      <c r="E842" s="24"/>
      <c r="F842" s="24"/>
      <c r="G842" s="24"/>
      <c r="H842" s="25" t="str">
        <f aca="false">IF($B842="","",IFERROR(IF(INDEX(명단!$B$5:$B$404,MATCH($B842,명단!$A$5:$A$404,0))="","(이름 미입력)",INDEX(명단!$B$5:$B$404,MATCH($B842,명단!$A$5:$A$404,0))),"번호 없음"))</f>
        <v/>
      </c>
      <c r="I842" s="25" t="str">
        <f aca="false">IF(AND(C842="",D842=""),"",IF(OR(C842="-",D842="-"),"측정불가",IF(AND(ISNUMBER(C842),ISNUMBER(D842)),IF(OR(C842&gt;=설정!$C$11,D842&gt;=설정!$C$12),"긴급",IF(OR(C842&gt;=설정!$C$9,D842&gt;=설정!$C$10,C842&lt;설정!$C$13),"주의","정상")),"확인필요")))</f>
        <v/>
      </c>
      <c r="J842" s="25" t="str">
        <f aca="false">IF(E842="","",IF(E842="-","측정불가",IF(NOT(ISNUMBER(E842)),"확인필요",IF(E842&lt;설정!$C$17,"긴급(저혈당)",IF(E842&gt;=설정!$C$18,"긴급(고혈당)",IF(F842="공복",IF(E842&gt;=설정!$C$15,"주의","정상"),IF(F842="식후",IF(E842&gt;=설정!$C$16,"주의","정상"),"조건확인")))))))</f>
        <v/>
      </c>
      <c r="K842" s="25" t="str">
        <f aca="false">IF(OR(I842="긴급",LEFT(J842,2)="긴급"),"★ 즉시 선생님 호출",IF(OR(I842="주의",J842="주의"),"결과상담에서 확인",IF(J842="조건확인","혈당조건(공복/식후) 선택","")))</f>
        <v/>
      </c>
      <c r="L842" s="25" t="str">
        <f aca="false">IF($B842="","",IF(COUNTIF($B$5:$B$1004,$B842)&gt;1,"중복 입력",""))</f>
        <v/>
      </c>
    </row>
    <row r="843" customFormat="false" ht="15" hidden="false" customHeight="false" outlineLevel="0" collapsed="false">
      <c r="A843" s="23"/>
      <c r="B843" s="24"/>
      <c r="C843" s="24"/>
      <c r="D843" s="24"/>
      <c r="E843" s="24"/>
      <c r="F843" s="24"/>
      <c r="G843" s="24"/>
      <c r="H843" s="25" t="str">
        <f aca="false">IF($B843="","",IFERROR(IF(INDEX(명단!$B$5:$B$404,MATCH($B843,명단!$A$5:$A$404,0))="","(이름 미입력)",INDEX(명단!$B$5:$B$404,MATCH($B843,명단!$A$5:$A$404,0))),"번호 없음"))</f>
        <v/>
      </c>
      <c r="I843" s="25" t="str">
        <f aca="false">IF(AND(C843="",D843=""),"",IF(OR(C843="-",D843="-"),"측정불가",IF(AND(ISNUMBER(C843),ISNUMBER(D843)),IF(OR(C843&gt;=설정!$C$11,D843&gt;=설정!$C$12),"긴급",IF(OR(C843&gt;=설정!$C$9,D843&gt;=설정!$C$10,C843&lt;설정!$C$13),"주의","정상")),"확인필요")))</f>
        <v/>
      </c>
      <c r="J843" s="25" t="str">
        <f aca="false">IF(E843="","",IF(E843="-","측정불가",IF(NOT(ISNUMBER(E843)),"확인필요",IF(E843&lt;설정!$C$17,"긴급(저혈당)",IF(E843&gt;=설정!$C$18,"긴급(고혈당)",IF(F843="공복",IF(E843&gt;=설정!$C$15,"주의","정상"),IF(F843="식후",IF(E843&gt;=설정!$C$16,"주의","정상"),"조건확인")))))))</f>
        <v/>
      </c>
      <c r="K843" s="25" t="str">
        <f aca="false">IF(OR(I843="긴급",LEFT(J843,2)="긴급"),"★ 즉시 선생님 호출",IF(OR(I843="주의",J843="주의"),"결과상담에서 확인",IF(J843="조건확인","혈당조건(공복/식후) 선택","")))</f>
        <v/>
      </c>
      <c r="L843" s="25" t="str">
        <f aca="false">IF($B843="","",IF(COUNTIF($B$5:$B$1004,$B843)&gt;1,"중복 입력",""))</f>
        <v/>
      </c>
    </row>
    <row r="844" customFormat="false" ht="15" hidden="false" customHeight="false" outlineLevel="0" collapsed="false">
      <c r="A844" s="23"/>
      <c r="B844" s="24"/>
      <c r="C844" s="24"/>
      <c r="D844" s="24"/>
      <c r="E844" s="24"/>
      <c r="F844" s="24"/>
      <c r="G844" s="24"/>
      <c r="H844" s="25" t="str">
        <f aca="false">IF($B844="","",IFERROR(IF(INDEX(명단!$B$5:$B$404,MATCH($B844,명단!$A$5:$A$404,0))="","(이름 미입력)",INDEX(명단!$B$5:$B$404,MATCH($B844,명단!$A$5:$A$404,0))),"번호 없음"))</f>
        <v/>
      </c>
      <c r="I844" s="25" t="str">
        <f aca="false">IF(AND(C844="",D844=""),"",IF(OR(C844="-",D844="-"),"측정불가",IF(AND(ISNUMBER(C844),ISNUMBER(D844)),IF(OR(C844&gt;=설정!$C$11,D844&gt;=설정!$C$12),"긴급",IF(OR(C844&gt;=설정!$C$9,D844&gt;=설정!$C$10,C844&lt;설정!$C$13),"주의","정상")),"확인필요")))</f>
        <v/>
      </c>
      <c r="J844" s="25" t="str">
        <f aca="false">IF(E844="","",IF(E844="-","측정불가",IF(NOT(ISNUMBER(E844)),"확인필요",IF(E844&lt;설정!$C$17,"긴급(저혈당)",IF(E844&gt;=설정!$C$18,"긴급(고혈당)",IF(F844="공복",IF(E844&gt;=설정!$C$15,"주의","정상"),IF(F844="식후",IF(E844&gt;=설정!$C$16,"주의","정상"),"조건확인")))))))</f>
        <v/>
      </c>
      <c r="K844" s="25" t="str">
        <f aca="false">IF(OR(I844="긴급",LEFT(J844,2)="긴급"),"★ 즉시 선생님 호출",IF(OR(I844="주의",J844="주의"),"결과상담에서 확인",IF(J844="조건확인","혈당조건(공복/식후) 선택","")))</f>
        <v/>
      </c>
      <c r="L844" s="25" t="str">
        <f aca="false">IF($B844="","",IF(COUNTIF($B$5:$B$1004,$B844)&gt;1,"중복 입력",""))</f>
        <v/>
      </c>
    </row>
    <row r="845" customFormat="false" ht="15" hidden="false" customHeight="false" outlineLevel="0" collapsed="false">
      <c r="A845" s="23"/>
      <c r="B845" s="24"/>
      <c r="C845" s="24"/>
      <c r="D845" s="24"/>
      <c r="E845" s="24"/>
      <c r="F845" s="24"/>
      <c r="G845" s="24"/>
      <c r="H845" s="25" t="str">
        <f aca="false">IF($B845="","",IFERROR(IF(INDEX(명단!$B$5:$B$404,MATCH($B845,명단!$A$5:$A$404,0))="","(이름 미입력)",INDEX(명단!$B$5:$B$404,MATCH($B845,명단!$A$5:$A$404,0))),"번호 없음"))</f>
        <v/>
      </c>
      <c r="I845" s="25" t="str">
        <f aca="false">IF(AND(C845="",D845=""),"",IF(OR(C845="-",D845="-"),"측정불가",IF(AND(ISNUMBER(C845),ISNUMBER(D845)),IF(OR(C845&gt;=설정!$C$11,D845&gt;=설정!$C$12),"긴급",IF(OR(C845&gt;=설정!$C$9,D845&gt;=설정!$C$10,C845&lt;설정!$C$13),"주의","정상")),"확인필요")))</f>
        <v/>
      </c>
      <c r="J845" s="25" t="str">
        <f aca="false">IF(E845="","",IF(E845="-","측정불가",IF(NOT(ISNUMBER(E845)),"확인필요",IF(E845&lt;설정!$C$17,"긴급(저혈당)",IF(E845&gt;=설정!$C$18,"긴급(고혈당)",IF(F845="공복",IF(E845&gt;=설정!$C$15,"주의","정상"),IF(F845="식후",IF(E845&gt;=설정!$C$16,"주의","정상"),"조건확인")))))))</f>
        <v/>
      </c>
      <c r="K845" s="25" t="str">
        <f aca="false">IF(OR(I845="긴급",LEFT(J845,2)="긴급"),"★ 즉시 선생님 호출",IF(OR(I845="주의",J845="주의"),"결과상담에서 확인",IF(J845="조건확인","혈당조건(공복/식후) 선택","")))</f>
        <v/>
      </c>
      <c r="L845" s="25" t="str">
        <f aca="false">IF($B845="","",IF(COUNTIF($B$5:$B$1004,$B845)&gt;1,"중복 입력",""))</f>
        <v/>
      </c>
    </row>
    <row r="846" customFormat="false" ht="15" hidden="false" customHeight="false" outlineLevel="0" collapsed="false">
      <c r="A846" s="23"/>
      <c r="B846" s="24"/>
      <c r="C846" s="24"/>
      <c r="D846" s="24"/>
      <c r="E846" s="24"/>
      <c r="F846" s="24"/>
      <c r="G846" s="24"/>
      <c r="H846" s="25" t="str">
        <f aca="false">IF($B846="","",IFERROR(IF(INDEX(명단!$B$5:$B$404,MATCH($B846,명단!$A$5:$A$404,0))="","(이름 미입력)",INDEX(명단!$B$5:$B$404,MATCH($B846,명단!$A$5:$A$404,0))),"번호 없음"))</f>
        <v/>
      </c>
      <c r="I846" s="25" t="str">
        <f aca="false">IF(AND(C846="",D846=""),"",IF(OR(C846="-",D846="-"),"측정불가",IF(AND(ISNUMBER(C846),ISNUMBER(D846)),IF(OR(C846&gt;=설정!$C$11,D846&gt;=설정!$C$12),"긴급",IF(OR(C846&gt;=설정!$C$9,D846&gt;=설정!$C$10,C846&lt;설정!$C$13),"주의","정상")),"확인필요")))</f>
        <v/>
      </c>
      <c r="J846" s="25" t="str">
        <f aca="false">IF(E846="","",IF(E846="-","측정불가",IF(NOT(ISNUMBER(E846)),"확인필요",IF(E846&lt;설정!$C$17,"긴급(저혈당)",IF(E846&gt;=설정!$C$18,"긴급(고혈당)",IF(F846="공복",IF(E846&gt;=설정!$C$15,"주의","정상"),IF(F846="식후",IF(E846&gt;=설정!$C$16,"주의","정상"),"조건확인")))))))</f>
        <v/>
      </c>
      <c r="K846" s="25" t="str">
        <f aca="false">IF(OR(I846="긴급",LEFT(J846,2)="긴급"),"★ 즉시 선생님 호출",IF(OR(I846="주의",J846="주의"),"결과상담에서 확인",IF(J846="조건확인","혈당조건(공복/식후) 선택","")))</f>
        <v/>
      </c>
      <c r="L846" s="25" t="str">
        <f aca="false">IF($B846="","",IF(COUNTIF($B$5:$B$1004,$B846)&gt;1,"중복 입력",""))</f>
        <v/>
      </c>
    </row>
    <row r="847" customFormat="false" ht="15" hidden="false" customHeight="false" outlineLevel="0" collapsed="false">
      <c r="A847" s="23"/>
      <c r="B847" s="24"/>
      <c r="C847" s="24"/>
      <c r="D847" s="24"/>
      <c r="E847" s="24"/>
      <c r="F847" s="24"/>
      <c r="G847" s="24"/>
      <c r="H847" s="25" t="str">
        <f aca="false">IF($B847="","",IFERROR(IF(INDEX(명단!$B$5:$B$404,MATCH($B847,명단!$A$5:$A$404,0))="","(이름 미입력)",INDEX(명단!$B$5:$B$404,MATCH($B847,명단!$A$5:$A$404,0))),"번호 없음"))</f>
        <v/>
      </c>
      <c r="I847" s="25" t="str">
        <f aca="false">IF(AND(C847="",D847=""),"",IF(OR(C847="-",D847="-"),"측정불가",IF(AND(ISNUMBER(C847),ISNUMBER(D847)),IF(OR(C847&gt;=설정!$C$11,D847&gt;=설정!$C$12),"긴급",IF(OR(C847&gt;=설정!$C$9,D847&gt;=설정!$C$10,C847&lt;설정!$C$13),"주의","정상")),"확인필요")))</f>
        <v/>
      </c>
      <c r="J847" s="25" t="str">
        <f aca="false">IF(E847="","",IF(E847="-","측정불가",IF(NOT(ISNUMBER(E847)),"확인필요",IF(E847&lt;설정!$C$17,"긴급(저혈당)",IF(E847&gt;=설정!$C$18,"긴급(고혈당)",IF(F847="공복",IF(E847&gt;=설정!$C$15,"주의","정상"),IF(F847="식후",IF(E847&gt;=설정!$C$16,"주의","정상"),"조건확인")))))))</f>
        <v/>
      </c>
      <c r="K847" s="25" t="str">
        <f aca="false">IF(OR(I847="긴급",LEFT(J847,2)="긴급"),"★ 즉시 선생님 호출",IF(OR(I847="주의",J847="주의"),"결과상담에서 확인",IF(J847="조건확인","혈당조건(공복/식후) 선택","")))</f>
        <v/>
      </c>
      <c r="L847" s="25" t="str">
        <f aca="false">IF($B847="","",IF(COUNTIF($B$5:$B$1004,$B847)&gt;1,"중복 입력",""))</f>
        <v/>
      </c>
    </row>
    <row r="848" customFormat="false" ht="15" hidden="false" customHeight="false" outlineLevel="0" collapsed="false">
      <c r="A848" s="23"/>
      <c r="B848" s="24"/>
      <c r="C848" s="24"/>
      <c r="D848" s="24"/>
      <c r="E848" s="24"/>
      <c r="F848" s="24"/>
      <c r="G848" s="24"/>
      <c r="H848" s="25" t="str">
        <f aca="false">IF($B848="","",IFERROR(IF(INDEX(명단!$B$5:$B$404,MATCH($B848,명단!$A$5:$A$404,0))="","(이름 미입력)",INDEX(명단!$B$5:$B$404,MATCH($B848,명단!$A$5:$A$404,0))),"번호 없음"))</f>
        <v/>
      </c>
      <c r="I848" s="25" t="str">
        <f aca="false">IF(AND(C848="",D848=""),"",IF(OR(C848="-",D848="-"),"측정불가",IF(AND(ISNUMBER(C848),ISNUMBER(D848)),IF(OR(C848&gt;=설정!$C$11,D848&gt;=설정!$C$12),"긴급",IF(OR(C848&gt;=설정!$C$9,D848&gt;=설정!$C$10,C848&lt;설정!$C$13),"주의","정상")),"확인필요")))</f>
        <v/>
      </c>
      <c r="J848" s="25" t="str">
        <f aca="false">IF(E848="","",IF(E848="-","측정불가",IF(NOT(ISNUMBER(E848)),"확인필요",IF(E848&lt;설정!$C$17,"긴급(저혈당)",IF(E848&gt;=설정!$C$18,"긴급(고혈당)",IF(F848="공복",IF(E848&gt;=설정!$C$15,"주의","정상"),IF(F848="식후",IF(E848&gt;=설정!$C$16,"주의","정상"),"조건확인")))))))</f>
        <v/>
      </c>
      <c r="K848" s="25" t="str">
        <f aca="false">IF(OR(I848="긴급",LEFT(J848,2)="긴급"),"★ 즉시 선생님 호출",IF(OR(I848="주의",J848="주의"),"결과상담에서 확인",IF(J848="조건확인","혈당조건(공복/식후) 선택","")))</f>
        <v/>
      </c>
      <c r="L848" s="25" t="str">
        <f aca="false">IF($B848="","",IF(COUNTIF($B$5:$B$1004,$B848)&gt;1,"중복 입력",""))</f>
        <v/>
      </c>
    </row>
    <row r="849" customFormat="false" ht="15" hidden="false" customHeight="false" outlineLevel="0" collapsed="false">
      <c r="A849" s="23"/>
      <c r="B849" s="24"/>
      <c r="C849" s="24"/>
      <c r="D849" s="24"/>
      <c r="E849" s="24"/>
      <c r="F849" s="24"/>
      <c r="G849" s="24"/>
      <c r="H849" s="25" t="str">
        <f aca="false">IF($B849="","",IFERROR(IF(INDEX(명단!$B$5:$B$404,MATCH($B849,명단!$A$5:$A$404,0))="","(이름 미입력)",INDEX(명단!$B$5:$B$404,MATCH($B849,명단!$A$5:$A$404,0))),"번호 없음"))</f>
        <v/>
      </c>
      <c r="I849" s="25" t="str">
        <f aca="false">IF(AND(C849="",D849=""),"",IF(OR(C849="-",D849="-"),"측정불가",IF(AND(ISNUMBER(C849),ISNUMBER(D849)),IF(OR(C849&gt;=설정!$C$11,D849&gt;=설정!$C$12),"긴급",IF(OR(C849&gt;=설정!$C$9,D849&gt;=설정!$C$10,C849&lt;설정!$C$13),"주의","정상")),"확인필요")))</f>
        <v/>
      </c>
      <c r="J849" s="25" t="str">
        <f aca="false">IF(E849="","",IF(E849="-","측정불가",IF(NOT(ISNUMBER(E849)),"확인필요",IF(E849&lt;설정!$C$17,"긴급(저혈당)",IF(E849&gt;=설정!$C$18,"긴급(고혈당)",IF(F849="공복",IF(E849&gt;=설정!$C$15,"주의","정상"),IF(F849="식후",IF(E849&gt;=설정!$C$16,"주의","정상"),"조건확인")))))))</f>
        <v/>
      </c>
      <c r="K849" s="25" t="str">
        <f aca="false">IF(OR(I849="긴급",LEFT(J849,2)="긴급"),"★ 즉시 선생님 호출",IF(OR(I849="주의",J849="주의"),"결과상담에서 확인",IF(J849="조건확인","혈당조건(공복/식후) 선택","")))</f>
        <v/>
      </c>
      <c r="L849" s="25" t="str">
        <f aca="false">IF($B849="","",IF(COUNTIF($B$5:$B$1004,$B849)&gt;1,"중복 입력",""))</f>
        <v/>
      </c>
    </row>
    <row r="850" customFormat="false" ht="15" hidden="false" customHeight="false" outlineLevel="0" collapsed="false">
      <c r="A850" s="23"/>
      <c r="B850" s="24"/>
      <c r="C850" s="24"/>
      <c r="D850" s="24"/>
      <c r="E850" s="24"/>
      <c r="F850" s="24"/>
      <c r="G850" s="24"/>
      <c r="H850" s="25" t="str">
        <f aca="false">IF($B850="","",IFERROR(IF(INDEX(명단!$B$5:$B$404,MATCH($B850,명단!$A$5:$A$404,0))="","(이름 미입력)",INDEX(명단!$B$5:$B$404,MATCH($B850,명단!$A$5:$A$404,0))),"번호 없음"))</f>
        <v/>
      </c>
      <c r="I850" s="25" t="str">
        <f aca="false">IF(AND(C850="",D850=""),"",IF(OR(C850="-",D850="-"),"측정불가",IF(AND(ISNUMBER(C850),ISNUMBER(D850)),IF(OR(C850&gt;=설정!$C$11,D850&gt;=설정!$C$12),"긴급",IF(OR(C850&gt;=설정!$C$9,D850&gt;=설정!$C$10,C850&lt;설정!$C$13),"주의","정상")),"확인필요")))</f>
        <v/>
      </c>
      <c r="J850" s="25" t="str">
        <f aca="false">IF(E850="","",IF(E850="-","측정불가",IF(NOT(ISNUMBER(E850)),"확인필요",IF(E850&lt;설정!$C$17,"긴급(저혈당)",IF(E850&gt;=설정!$C$18,"긴급(고혈당)",IF(F850="공복",IF(E850&gt;=설정!$C$15,"주의","정상"),IF(F850="식후",IF(E850&gt;=설정!$C$16,"주의","정상"),"조건확인")))))))</f>
        <v/>
      </c>
      <c r="K850" s="25" t="str">
        <f aca="false">IF(OR(I850="긴급",LEFT(J850,2)="긴급"),"★ 즉시 선생님 호출",IF(OR(I850="주의",J850="주의"),"결과상담에서 확인",IF(J850="조건확인","혈당조건(공복/식후) 선택","")))</f>
        <v/>
      </c>
      <c r="L850" s="25" t="str">
        <f aca="false">IF($B850="","",IF(COUNTIF($B$5:$B$1004,$B850)&gt;1,"중복 입력",""))</f>
        <v/>
      </c>
    </row>
    <row r="851" customFormat="false" ht="15" hidden="false" customHeight="false" outlineLevel="0" collapsed="false">
      <c r="A851" s="23"/>
      <c r="B851" s="24"/>
      <c r="C851" s="24"/>
      <c r="D851" s="24"/>
      <c r="E851" s="24"/>
      <c r="F851" s="24"/>
      <c r="G851" s="24"/>
      <c r="H851" s="25" t="str">
        <f aca="false">IF($B851="","",IFERROR(IF(INDEX(명단!$B$5:$B$404,MATCH($B851,명단!$A$5:$A$404,0))="","(이름 미입력)",INDEX(명단!$B$5:$B$404,MATCH($B851,명단!$A$5:$A$404,0))),"번호 없음"))</f>
        <v/>
      </c>
      <c r="I851" s="25" t="str">
        <f aca="false">IF(AND(C851="",D851=""),"",IF(OR(C851="-",D851="-"),"측정불가",IF(AND(ISNUMBER(C851),ISNUMBER(D851)),IF(OR(C851&gt;=설정!$C$11,D851&gt;=설정!$C$12),"긴급",IF(OR(C851&gt;=설정!$C$9,D851&gt;=설정!$C$10,C851&lt;설정!$C$13),"주의","정상")),"확인필요")))</f>
        <v/>
      </c>
      <c r="J851" s="25" t="str">
        <f aca="false">IF(E851="","",IF(E851="-","측정불가",IF(NOT(ISNUMBER(E851)),"확인필요",IF(E851&lt;설정!$C$17,"긴급(저혈당)",IF(E851&gt;=설정!$C$18,"긴급(고혈당)",IF(F851="공복",IF(E851&gt;=설정!$C$15,"주의","정상"),IF(F851="식후",IF(E851&gt;=설정!$C$16,"주의","정상"),"조건확인")))))))</f>
        <v/>
      </c>
      <c r="K851" s="25" t="str">
        <f aca="false">IF(OR(I851="긴급",LEFT(J851,2)="긴급"),"★ 즉시 선생님 호출",IF(OR(I851="주의",J851="주의"),"결과상담에서 확인",IF(J851="조건확인","혈당조건(공복/식후) 선택","")))</f>
        <v/>
      </c>
      <c r="L851" s="25" t="str">
        <f aca="false">IF($B851="","",IF(COUNTIF($B$5:$B$1004,$B851)&gt;1,"중복 입력",""))</f>
        <v/>
      </c>
    </row>
    <row r="852" customFormat="false" ht="15" hidden="false" customHeight="false" outlineLevel="0" collapsed="false">
      <c r="A852" s="23"/>
      <c r="B852" s="24"/>
      <c r="C852" s="24"/>
      <c r="D852" s="24"/>
      <c r="E852" s="24"/>
      <c r="F852" s="24"/>
      <c r="G852" s="24"/>
      <c r="H852" s="25" t="str">
        <f aca="false">IF($B852="","",IFERROR(IF(INDEX(명단!$B$5:$B$404,MATCH($B852,명단!$A$5:$A$404,0))="","(이름 미입력)",INDEX(명단!$B$5:$B$404,MATCH($B852,명단!$A$5:$A$404,0))),"번호 없음"))</f>
        <v/>
      </c>
      <c r="I852" s="25" t="str">
        <f aca="false">IF(AND(C852="",D852=""),"",IF(OR(C852="-",D852="-"),"측정불가",IF(AND(ISNUMBER(C852),ISNUMBER(D852)),IF(OR(C852&gt;=설정!$C$11,D852&gt;=설정!$C$12),"긴급",IF(OR(C852&gt;=설정!$C$9,D852&gt;=설정!$C$10,C852&lt;설정!$C$13),"주의","정상")),"확인필요")))</f>
        <v/>
      </c>
      <c r="J852" s="25" t="str">
        <f aca="false">IF(E852="","",IF(E852="-","측정불가",IF(NOT(ISNUMBER(E852)),"확인필요",IF(E852&lt;설정!$C$17,"긴급(저혈당)",IF(E852&gt;=설정!$C$18,"긴급(고혈당)",IF(F852="공복",IF(E852&gt;=설정!$C$15,"주의","정상"),IF(F852="식후",IF(E852&gt;=설정!$C$16,"주의","정상"),"조건확인")))))))</f>
        <v/>
      </c>
      <c r="K852" s="25" t="str">
        <f aca="false">IF(OR(I852="긴급",LEFT(J852,2)="긴급"),"★ 즉시 선생님 호출",IF(OR(I852="주의",J852="주의"),"결과상담에서 확인",IF(J852="조건확인","혈당조건(공복/식후) 선택","")))</f>
        <v/>
      </c>
      <c r="L852" s="25" t="str">
        <f aca="false">IF($B852="","",IF(COUNTIF($B$5:$B$1004,$B852)&gt;1,"중복 입력",""))</f>
        <v/>
      </c>
    </row>
    <row r="853" customFormat="false" ht="15" hidden="false" customHeight="false" outlineLevel="0" collapsed="false">
      <c r="A853" s="23"/>
      <c r="B853" s="24"/>
      <c r="C853" s="24"/>
      <c r="D853" s="24"/>
      <c r="E853" s="24"/>
      <c r="F853" s="24"/>
      <c r="G853" s="24"/>
      <c r="H853" s="25" t="str">
        <f aca="false">IF($B853="","",IFERROR(IF(INDEX(명단!$B$5:$B$404,MATCH($B853,명단!$A$5:$A$404,0))="","(이름 미입력)",INDEX(명단!$B$5:$B$404,MATCH($B853,명단!$A$5:$A$404,0))),"번호 없음"))</f>
        <v/>
      </c>
      <c r="I853" s="25" t="str">
        <f aca="false">IF(AND(C853="",D853=""),"",IF(OR(C853="-",D853="-"),"측정불가",IF(AND(ISNUMBER(C853),ISNUMBER(D853)),IF(OR(C853&gt;=설정!$C$11,D853&gt;=설정!$C$12),"긴급",IF(OR(C853&gt;=설정!$C$9,D853&gt;=설정!$C$10,C853&lt;설정!$C$13),"주의","정상")),"확인필요")))</f>
        <v/>
      </c>
      <c r="J853" s="25" t="str">
        <f aca="false">IF(E853="","",IF(E853="-","측정불가",IF(NOT(ISNUMBER(E853)),"확인필요",IF(E853&lt;설정!$C$17,"긴급(저혈당)",IF(E853&gt;=설정!$C$18,"긴급(고혈당)",IF(F853="공복",IF(E853&gt;=설정!$C$15,"주의","정상"),IF(F853="식후",IF(E853&gt;=설정!$C$16,"주의","정상"),"조건확인")))))))</f>
        <v/>
      </c>
      <c r="K853" s="25" t="str">
        <f aca="false">IF(OR(I853="긴급",LEFT(J853,2)="긴급"),"★ 즉시 선생님 호출",IF(OR(I853="주의",J853="주의"),"결과상담에서 확인",IF(J853="조건확인","혈당조건(공복/식후) 선택","")))</f>
        <v/>
      </c>
      <c r="L853" s="25" t="str">
        <f aca="false">IF($B853="","",IF(COUNTIF($B$5:$B$1004,$B853)&gt;1,"중복 입력",""))</f>
        <v/>
      </c>
    </row>
    <row r="854" customFormat="false" ht="15" hidden="false" customHeight="false" outlineLevel="0" collapsed="false">
      <c r="A854" s="23"/>
      <c r="B854" s="24"/>
      <c r="C854" s="24"/>
      <c r="D854" s="24"/>
      <c r="E854" s="24"/>
      <c r="F854" s="24"/>
      <c r="G854" s="24"/>
      <c r="H854" s="25" t="str">
        <f aca="false">IF($B854="","",IFERROR(IF(INDEX(명단!$B$5:$B$404,MATCH($B854,명단!$A$5:$A$404,0))="","(이름 미입력)",INDEX(명단!$B$5:$B$404,MATCH($B854,명단!$A$5:$A$404,0))),"번호 없음"))</f>
        <v/>
      </c>
      <c r="I854" s="25" t="str">
        <f aca="false">IF(AND(C854="",D854=""),"",IF(OR(C854="-",D854="-"),"측정불가",IF(AND(ISNUMBER(C854),ISNUMBER(D854)),IF(OR(C854&gt;=설정!$C$11,D854&gt;=설정!$C$12),"긴급",IF(OR(C854&gt;=설정!$C$9,D854&gt;=설정!$C$10,C854&lt;설정!$C$13),"주의","정상")),"확인필요")))</f>
        <v/>
      </c>
      <c r="J854" s="25" t="str">
        <f aca="false">IF(E854="","",IF(E854="-","측정불가",IF(NOT(ISNUMBER(E854)),"확인필요",IF(E854&lt;설정!$C$17,"긴급(저혈당)",IF(E854&gt;=설정!$C$18,"긴급(고혈당)",IF(F854="공복",IF(E854&gt;=설정!$C$15,"주의","정상"),IF(F854="식후",IF(E854&gt;=설정!$C$16,"주의","정상"),"조건확인")))))))</f>
        <v/>
      </c>
      <c r="K854" s="25" t="str">
        <f aca="false">IF(OR(I854="긴급",LEFT(J854,2)="긴급"),"★ 즉시 선생님 호출",IF(OR(I854="주의",J854="주의"),"결과상담에서 확인",IF(J854="조건확인","혈당조건(공복/식후) 선택","")))</f>
        <v/>
      </c>
      <c r="L854" s="25" t="str">
        <f aca="false">IF($B854="","",IF(COUNTIF($B$5:$B$1004,$B854)&gt;1,"중복 입력",""))</f>
        <v/>
      </c>
    </row>
    <row r="855" customFormat="false" ht="15" hidden="false" customHeight="false" outlineLevel="0" collapsed="false">
      <c r="A855" s="23"/>
      <c r="B855" s="24"/>
      <c r="C855" s="24"/>
      <c r="D855" s="24"/>
      <c r="E855" s="24"/>
      <c r="F855" s="24"/>
      <c r="G855" s="24"/>
      <c r="H855" s="25" t="str">
        <f aca="false">IF($B855="","",IFERROR(IF(INDEX(명단!$B$5:$B$404,MATCH($B855,명단!$A$5:$A$404,0))="","(이름 미입력)",INDEX(명단!$B$5:$B$404,MATCH($B855,명단!$A$5:$A$404,0))),"번호 없음"))</f>
        <v/>
      </c>
      <c r="I855" s="25" t="str">
        <f aca="false">IF(AND(C855="",D855=""),"",IF(OR(C855="-",D855="-"),"측정불가",IF(AND(ISNUMBER(C855),ISNUMBER(D855)),IF(OR(C855&gt;=설정!$C$11,D855&gt;=설정!$C$12),"긴급",IF(OR(C855&gt;=설정!$C$9,D855&gt;=설정!$C$10,C855&lt;설정!$C$13),"주의","정상")),"확인필요")))</f>
        <v/>
      </c>
      <c r="J855" s="25" t="str">
        <f aca="false">IF(E855="","",IF(E855="-","측정불가",IF(NOT(ISNUMBER(E855)),"확인필요",IF(E855&lt;설정!$C$17,"긴급(저혈당)",IF(E855&gt;=설정!$C$18,"긴급(고혈당)",IF(F855="공복",IF(E855&gt;=설정!$C$15,"주의","정상"),IF(F855="식후",IF(E855&gt;=설정!$C$16,"주의","정상"),"조건확인")))))))</f>
        <v/>
      </c>
      <c r="K855" s="25" t="str">
        <f aca="false">IF(OR(I855="긴급",LEFT(J855,2)="긴급"),"★ 즉시 선생님 호출",IF(OR(I855="주의",J855="주의"),"결과상담에서 확인",IF(J855="조건확인","혈당조건(공복/식후) 선택","")))</f>
        <v/>
      </c>
      <c r="L855" s="25" t="str">
        <f aca="false">IF($B855="","",IF(COUNTIF($B$5:$B$1004,$B855)&gt;1,"중복 입력",""))</f>
        <v/>
      </c>
    </row>
    <row r="856" customFormat="false" ht="15" hidden="false" customHeight="false" outlineLevel="0" collapsed="false">
      <c r="A856" s="23"/>
      <c r="B856" s="24"/>
      <c r="C856" s="24"/>
      <c r="D856" s="24"/>
      <c r="E856" s="24"/>
      <c r="F856" s="24"/>
      <c r="G856" s="24"/>
      <c r="H856" s="25" t="str">
        <f aca="false">IF($B856="","",IFERROR(IF(INDEX(명단!$B$5:$B$404,MATCH($B856,명단!$A$5:$A$404,0))="","(이름 미입력)",INDEX(명단!$B$5:$B$404,MATCH($B856,명단!$A$5:$A$404,0))),"번호 없음"))</f>
        <v/>
      </c>
      <c r="I856" s="25" t="str">
        <f aca="false">IF(AND(C856="",D856=""),"",IF(OR(C856="-",D856="-"),"측정불가",IF(AND(ISNUMBER(C856),ISNUMBER(D856)),IF(OR(C856&gt;=설정!$C$11,D856&gt;=설정!$C$12),"긴급",IF(OR(C856&gt;=설정!$C$9,D856&gt;=설정!$C$10,C856&lt;설정!$C$13),"주의","정상")),"확인필요")))</f>
        <v/>
      </c>
      <c r="J856" s="25" t="str">
        <f aca="false">IF(E856="","",IF(E856="-","측정불가",IF(NOT(ISNUMBER(E856)),"확인필요",IF(E856&lt;설정!$C$17,"긴급(저혈당)",IF(E856&gt;=설정!$C$18,"긴급(고혈당)",IF(F856="공복",IF(E856&gt;=설정!$C$15,"주의","정상"),IF(F856="식후",IF(E856&gt;=설정!$C$16,"주의","정상"),"조건확인")))))))</f>
        <v/>
      </c>
      <c r="K856" s="25" t="str">
        <f aca="false">IF(OR(I856="긴급",LEFT(J856,2)="긴급"),"★ 즉시 선생님 호출",IF(OR(I856="주의",J856="주의"),"결과상담에서 확인",IF(J856="조건확인","혈당조건(공복/식후) 선택","")))</f>
        <v/>
      </c>
      <c r="L856" s="25" t="str">
        <f aca="false">IF($B856="","",IF(COUNTIF($B$5:$B$1004,$B856)&gt;1,"중복 입력",""))</f>
        <v/>
      </c>
    </row>
    <row r="857" customFormat="false" ht="15" hidden="false" customHeight="false" outlineLevel="0" collapsed="false">
      <c r="A857" s="23"/>
      <c r="B857" s="24"/>
      <c r="C857" s="24"/>
      <c r="D857" s="24"/>
      <c r="E857" s="24"/>
      <c r="F857" s="24"/>
      <c r="G857" s="24"/>
      <c r="H857" s="25" t="str">
        <f aca="false">IF($B857="","",IFERROR(IF(INDEX(명단!$B$5:$B$404,MATCH($B857,명단!$A$5:$A$404,0))="","(이름 미입력)",INDEX(명단!$B$5:$B$404,MATCH($B857,명단!$A$5:$A$404,0))),"번호 없음"))</f>
        <v/>
      </c>
      <c r="I857" s="25" t="str">
        <f aca="false">IF(AND(C857="",D857=""),"",IF(OR(C857="-",D857="-"),"측정불가",IF(AND(ISNUMBER(C857),ISNUMBER(D857)),IF(OR(C857&gt;=설정!$C$11,D857&gt;=설정!$C$12),"긴급",IF(OR(C857&gt;=설정!$C$9,D857&gt;=설정!$C$10,C857&lt;설정!$C$13),"주의","정상")),"확인필요")))</f>
        <v/>
      </c>
      <c r="J857" s="25" t="str">
        <f aca="false">IF(E857="","",IF(E857="-","측정불가",IF(NOT(ISNUMBER(E857)),"확인필요",IF(E857&lt;설정!$C$17,"긴급(저혈당)",IF(E857&gt;=설정!$C$18,"긴급(고혈당)",IF(F857="공복",IF(E857&gt;=설정!$C$15,"주의","정상"),IF(F857="식후",IF(E857&gt;=설정!$C$16,"주의","정상"),"조건확인")))))))</f>
        <v/>
      </c>
      <c r="K857" s="25" t="str">
        <f aca="false">IF(OR(I857="긴급",LEFT(J857,2)="긴급"),"★ 즉시 선생님 호출",IF(OR(I857="주의",J857="주의"),"결과상담에서 확인",IF(J857="조건확인","혈당조건(공복/식후) 선택","")))</f>
        <v/>
      </c>
      <c r="L857" s="25" t="str">
        <f aca="false">IF($B857="","",IF(COUNTIF($B$5:$B$1004,$B857)&gt;1,"중복 입력",""))</f>
        <v/>
      </c>
    </row>
    <row r="858" customFormat="false" ht="15" hidden="false" customHeight="false" outlineLevel="0" collapsed="false">
      <c r="A858" s="23"/>
      <c r="B858" s="24"/>
      <c r="C858" s="24"/>
      <c r="D858" s="24"/>
      <c r="E858" s="24"/>
      <c r="F858" s="24"/>
      <c r="G858" s="24"/>
      <c r="H858" s="25" t="str">
        <f aca="false">IF($B858="","",IFERROR(IF(INDEX(명단!$B$5:$B$404,MATCH($B858,명단!$A$5:$A$404,0))="","(이름 미입력)",INDEX(명단!$B$5:$B$404,MATCH($B858,명단!$A$5:$A$404,0))),"번호 없음"))</f>
        <v/>
      </c>
      <c r="I858" s="25" t="str">
        <f aca="false">IF(AND(C858="",D858=""),"",IF(OR(C858="-",D858="-"),"측정불가",IF(AND(ISNUMBER(C858),ISNUMBER(D858)),IF(OR(C858&gt;=설정!$C$11,D858&gt;=설정!$C$12),"긴급",IF(OR(C858&gt;=설정!$C$9,D858&gt;=설정!$C$10,C858&lt;설정!$C$13),"주의","정상")),"확인필요")))</f>
        <v/>
      </c>
      <c r="J858" s="25" t="str">
        <f aca="false">IF(E858="","",IF(E858="-","측정불가",IF(NOT(ISNUMBER(E858)),"확인필요",IF(E858&lt;설정!$C$17,"긴급(저혈당)",IF(E858&gt;=설정!$C$18,"긴급(고혈당)",IF(F858="공복",IF(E858&gt;=설정!$C$15,"주의","정상"),IF(F858="식후",IF(E858&gt;=설정!$C$16,"주의","정상"),"조건확인")))))))</f>
        <v/>
      </c>
      <c r="K858" s="25" t="str">
        <f aca="false">IF(OR(I858="긴급",LEFT(J858,2)="긴급"),"★ 즉시 선생님 호출",IF(OR(I858="주의",J858="주의"),"결과상담에서 확인",IF(J858="조건확인","혈당조건(공복/식후) 선택","")))</f>
        <v/>
      </c>
      <c r="L858" s="25" t="str">
        <f aca="false">IF($B858="","",IF(COUNTIF($B$5:$B$1004,$B858)&gt;1,"중복 입력",""))</f>
        <v/>
      </c>
    </row>
    <row r="859" customFormat="false" ht="15" hidden="false" customHeight="false" outlineLevel="0" collapsed="false">
      <c r="A859" s="23"/>
      <c r="B859" s="24"/>
      <c r="C859" s="24"/>
      <c r="D859" s="24"/>
      <c r="E859" s="24"/>
      <c r="F859" s="24"/>
      <c r="G859" s="24"/>
      <c r="H859" s="25" t="str">
        <f aca="false">IF($B859="","",IFERROR(IF(INDEX(명단!$B$5:$B$404,MATCH($B859,명단!$A$5:$A$404,0))="","(이름 미입력)",INDEX(명단!$B$5:$B$404,MATCH($B859,명단!$A$5:$A$404,0))),"번호 없음"))</f>
        <v/>
      </c>
      <c r="I859" s="25" t="str">
        <f aca="false">IF(AND(C859="",D859=""),"",IF(OR(C859="-",D859="-"),"측정불가",IF(AND(ISNUMBER(C859),ISNUMBER(D859)),IF(OR(C859&gt;=설정!$C$11,D859&gt;=설정!$C$12),"긴급",IF(OR(C859&gt;=설정!$C$9,D859&gt;=설정!$C$10,C859&lt;설정!$C$13),"주의","정상")),"확인필요")))</f>
        <v/>
      </c>
      <c r="J859" s="25" t="str">
        <f aca="false">IF(E859="","",IF(E859="-","측정불가",IF(NOT(ISNUMBER(E859)),"확인필요",IF(E859&lt;설정!$C$17,"긴급(저혈당)",IF(E859&gt;=설정!$C$18,"긴급(고혈당)",IF(F859="공복",IF(E859&gt;=설정!$C$15,"주의","정상"),IF(F859="식후",IF(E859&gt;=설정!$C$16,"주의","정상"),"조건확인")))))))</f>
        <v/>
      </c>
      <c r="K859" s="25" t="str">
        <f aca="false">IF(OR(I859="긴급",LEFT(J859,2)="긴급"),"★ 즉시 선생님 호출",IF(OR(I859="주의",J859="주의"),"결과상담에서 확인",IF(J859="조건확인","혈당조건(공복/식후) 선택","")))</f>
        <v/>
      </c>
      <c r="L859" s="25" t="str">
        <f aca="false">IF($B859="","",IF(COUNTIF($B$5:$B$1004,$B859)&gt;1,"중복 입력",""))</f>
        <v/>
      </c>
    </row>
    <row r="860" customFormat="false" ht="15" hidden="false" customHeight="false" outlineLevel="0" collapsed="false">
      <c r="A860" s="23"/>
      <c r="B860" s="24"/>
      <c r="C860" s="24"/>
      <c r="D860" s="24"/>
      <c r="E860" s="24"/>
      <c r="F860" s="24"/>
      <c r="G860" s="24"/>
      <c r="H860" s="25" t="str">
        <f aca="false">IF($B860="","",IFERROR(IF(INDEX(명단!$B$5:$B$404,MATCH($B860,명단!$A$5:$A$404,0))="","(이름 미입력)",INDEX(명단!$B$5:$B$404,MATCH($B860,명단!$A$5:$A$404,0))),"번호 없음"))</f>
        <v/>
      </c>
      <c r="I860" s="25" t="str">
        <f aca="false">IF(AND(C860="",D860=""),"",IF(OR(C860="-",D860="-"),"측정불가",IF(AND(ISNUMBER(C860),ISNUMBER(D860)),IF(OR(C860&gt;=설정!$C$11,D860&gt;=설정!$C$12),"긴급",IF(OR(C860&gt;=설정!$C$9,D860&gt;=설정!$C$10,C860&lt;설정!$C$13),"주의","정상")),"확인필요")))</f>
        <v/>
      </c>
      <c r="J860" s="25" t="str">
        <f aca="false">IF(E860="","",IF(E860="-","측정불가",IF(NOT(ISNUMBER(E860)),"확인필요",IF(E860&lt;설정!$C$17,"긴급(저혈당)",IF(E860&gt;=설정!$C$18,"긴급(고혈당)",IF(F860="공복",IF(E860&gt;=설정!$C$15,"주의","정상"),IF(F860="식후",IF(E860&gt;=설정!$C$16,"주의","정상"),"조건확인")))))))</f>
        <v/>
      </c>
      <c r="K860" s="25" t="str">
        <f aca="false">IF(OR(I860="긴급",LEFT(J860,2)="긴급"),"★ 즉시 선생님 호출",IF(OR(I860="주의",J860="주의"),"결과상담에서 확인",IF(J860="조건확인","혈당조건(공복/식후) 선택","")))</f>
        <v/>
      </c>
      <c r="L860" s="25" t="str">
        <f aca="false">IF($B860="","",IF(COUNTIF($B$5:$B$1004,$B860)&gt;1,"중복 입력",""))</f>
        <v/>
      </c>
    </row>
    <row r="861" customFormat="false" ht="15" hidden="false" customHeight="false" outlineLevel="0" collapsed="false">
      <c r="A861" s="23"/>
      <c r="B861" s="24"/>
      <c r="C861" s="24"/>
      <c r="D861" s="24"/>
      <c r="E861" s="24"/>
      <c r="F861" s="24"/>
      <c r="G861" s="24"/>
      <c r="H861" s="25" t="str">
        <f aca="false">IF($B861="","",IFERROR(IF(INDEX(명단!$B$5:$B$404,MATCH($B861,명단!$A$5:$A$404,0))="","(이름 미입력)",INDEX(명단!$B$5:$B$404,MATCH($B861,명단!$A$5:$A$404,0))),"번호 없음"))</f>
        <v/>
      </c>
      <c r="I861" s="25" t="str">
        <f aca="false">IF(AND(C861="",D861=""),"",IF(OR(C861="-",D861="-"),"측정불가",IF(AND(ISNUMBER(C861),ISNUMBER(D861)),IF(OR(C861&gt;=설정!$C$11,D861&gt;=설정!$C$12),"긴급",IF(OR(C861&gt;=설정!$C$9,D861&gt;=설정!$C$10,C861&lt;설정!$C$13),"주의","정상")),"확인필요")))</f>
        <v/>
      </c>
      <c r="J861" s="25" t="str">
        <f aca="false">IF(E861="","",IF(E861="-","측정불가",IF(NOT(ISNUMBER(E861)),"확인필요",IF(E861&lt;설정!$C$17,"긴급(저혈당)",IF(E861&gt;=설정!$C$18,"긴급(고혈당)",IF(F861="공복",IF(E861&gt;=설정!$C$15,"주의","정상"),IF(F861="식후",IF(E861&gt;=설정!$C$16,"주의","정상"),"조건확인")))))))</f>
        <v/>
      </c>
      <c r="K861" s="25" t="str">
        <f aca="false">IF(OR(I861="긴급",LEFT(J861,2)="긴급"),"★ 즉시 선생님 호출",IF(OR(I861="주의",J861="주의"),"결과상담에서 확인",IF(J861="조건확인","혈당조건(공복/식후) 선택","")))</f>
        <v/>
      </c>
      <c r="L861" s="25" t="str">
        <f aca="false">IF($B861="","",IF(COUNTIF($B$5:$B$1004,$B861)&gt;1,"중복 입력",""))</f>
        <v/>
      </c>
    </row>
    <row r="862" customFormat="false" ht="15" hidden="false" customHeight="false" outlineLevel="0" collapsed="false">
      <c r="A862" s="23"/>
      <c r="B862" s="24"/>
      <c r="C862" s="24"/>
      <c r="D862" s="24"/>
      <c r="E862" s="24"/>
      <c r="F862" s="24"/>
      <c r="G862" s="24"/>
      <c r="H862" s="25" t="str">
        <f aca="false">IF($B862="","",IFERROR(IF(INDEX(명단!$B$5:$B$404,MATCH($B862,명단!$A$5:$A$404,0))="","(이름 미입력)",INDEX(명단!$B$5:$B$404,MATCH($B862,명단!$A$5:$A$404,0))),"번호 없음"))</f>
        <v/>
      </c>
      <c r="I862" s="25" t="str">
        <f aca="false">IF(AND(C862="",D862=""),"",IF(OR(C862="-",D862="-"),"측정불가",IF(AND(ISNUMBER(C862),ISNUMBER(D862)),IF(OR(C862&gt;=설정!$C$11,D862&gt;=설정!$C$12),"긴급",IF(OR(C862&gt;=설정!$C$9,D862&gt;=설정!$C$10,C862&lt;설정!$C$13),"주의","정상")),"확인필요")))</f>
        <v/>
      </c>
      <c r="J862" s="25" t="str">
        <f aca="false">IF(E862="","",IF(E862="-","측정불가",IF(NOT(ISNUMBER(E862)),"확인필요",IF(E862&lt;설정!$C$17,"긴급(저혈당)",IF(E862&gt;=설정!$C$18,"긴급(고혈당)",IF(F862="공복",IF(E862&gt;=설정!$C$15,"주의","정상"),IF(F862="식후",IF(E862&gt;=설정!$C$16,"주의","정상"),"조건확인")))))))</f>
        <v/>
      </c>
      <c r="K862" s="25" t="str">
        <f aca="false">IF(OR(I862="긴급",LEFT(J862,2)="긴급"),"★ 즉시 선생님 호출",IF(OR(I862="주의",J862="주의"),"결과상담에서 확인",IF(J862="조건확인","혈당조건(공복/식후) 선택","")))</f>
        <v/>
      </c>
      <c r="L862" s="25" t="str">
        <f aca="false">IF($B862="","",IF(COUNTIF($B$5:$B$1004,$B862)&gt;1,"중복 입력",""))</f>
        <v/>
      </c>
    </row>
    <row r="863" customFormat="false" ht="15" hidden="false" customHeight="false" outlineLevel="0" collapsed="false">
      <c r="A863" s="23"/>
      <c r="B863" s="24"/>
      <c r="C863" s="24"/>
      <c r="D863" s="24"/>
      <c r="E863" s="24"/>
      <c r="F863" s="24"/>
      <c r="G863" s="24"/>
      <c r="H863" s="25" t="str">
        <f aca="false">IF($B863="","",IFERROR(IF(INDEX(명단!$B$5:$B$404,MATCH($B863,명단!$A$5:$A$404,0))="","(이름 미입력)",INDEX(명단!$B$5:$B$404,MATCH($B863,명단!$A$5:$A$404,0))),"번호 없음"))</f>
        <v/>
      </c>
      <c r="I863" s="25" t="str">
        <f aca="false">IF(AND(C863="",D863=""),"",IF(OR(C863="-",D863="-"),"측정불가",IF(AND(ISNUMBER(C863),ISNUMBER(D863)),IF(OR(C863&gt;=설정!$C$11,D863&gt;=설정!$C$12),"긴급",IF(OR(C863&gt;=설정!$C$9,D863&gt;=설정!$C$10,C863&lt;설정!$C$13),"주의","정상")),"확인필요")))</f>
        <v/>
      </c>
      <c r="J863" s="25" t="str">
        <f aca="false">IF(E863="","",IF(E863="-","측정불가",IF(NOT(ISNUMBER(E863)),"확인필요",IF(E863&lt;설정!$C$17,"긴급(저혈당)",IF(E863&gt;=설정!$C$18,"긴급(고혈당)",IF(F863="공복",IF(E863&gt;=설정!$C$15,"주의","정상"),IF(F863="식후",IF(E863&gt;=설정!$C$16,"주의","정상"),"조건확인")))))))</f>
        <v/>
      </c>
      <c r="K863" s="25" t="str">
        <f aca="false">IF(OR(I863="긴급",LEFT(J863,2)="긴급"),"★ 즉시 선생님 호출",IF(OR(I863="주의",J863="주의"),"결과상담에서 확인",IF(J863="조건확인","혈당조건(공복/식후) 선택","")))</f>
        <v/>
      </c>
      <c r="L863" s="25" t="str">
        <f aca="false">IF($B863="","",IF(COUNTIF($B$5:$B$1004,$B863)&gt;1,"중복 입력",""))</f>
        <v/>
      </c>
    </row>
    <row r="864" customFormat="false" ht="15" hidden="false" customHeight="false" outlineLevel="0" collapsed="false">
      <c r="A864" s="23"/>
      <c r="B864" s="24"/>
      <c r="C864" s="24"/>
      <c r="D864" s="24"/>
      <c r="E864" s="24"/>
      <c r="F864" s="24"/>
      <c r="G864" s="24"/>
      <c r="H864" s="25" t="str">
        <f aca="false">IF($B864="","",IFERROR(IF(INDEX(명단!$B$5:$B$404,MATCH($B864,명단!$A$5:$A$404,0))="","(이름 미입력)",INDEX(명단!$B$5:$B$404,MATCH($B864,명단!$A$5:$A$404,0))),"번호 없음"))</f>
        <v/>
      </c>
      <c r="I864" s="25" t="str">
        <f aca="false">IF(AND(C864="",D864=""),"",IF(OR(C864="-",D864="-"),"측정불가",IF(AND(ISNUMBER(C864),ISNUMBER(D864)),IF(OR(C864&gt;=설정!$C$11,D864&gt;=설정!$C$12),"긴급",IF(OR(C864&gt;=설정!$C$9,D864&gt;=설정!$C$10,C864&lt;설정!$C$13),"주의","정상")),"확인필요")))</f>
        <v/>
      </c>
      <c r="J864" s="25" t="str">
        <f aca="false">IF(E864="","",IF(E864="-","측정불가",IF(NOT(ISNUMBER(E864)),"확인필요",IF(E864&lt;설정!$C$17,"긴급(저혈당)",IF(E864&gt;=설정!$C$18,"긴급(고혈당)",IF(F864="공복",IF(E864&gt;=설정!$C$15,"주의","정상"),IF(F864="식후",IF(E864&gt;=설정!$C$16,"주의","정상"),"조건확인")))))))</f>
        <v/>
      </c>
      <c r="K864" s="25" t="str">
        <f aca="false">IF(OR(I864="긴급",LEFT(J864,2)="긴급"),"★ 즉시 선생님 호출",IF(OR(I864="주의",J864="주의"),"결과상담에서 확인",IF(J864="조건확인","혈당조건(공복/식후) 선택","")))</f>
        <v/>
      </c>
      <c r="L864" s="25" t="str">
        <f aca="false">IF($B864="","",IF(COUNTIF($B$5:$B$1004,$B864)&gt;1,"중복 입력",""))</f>
        <v/>
      </c>
    </row>
    <row r="865" customFormat="false" ht="15" hidden="false" customHeight="false" outlineLevel="0" collapsed="false">
      <c r="A865" s="23"/>
      <c r="B865" s="24"/>
      <c r="C865" s="24"/>
      <c r="D865" s="24"/>
      <c r="E865" s="24"/>
      <c r="F865" s="24"/>
      <c r="G865" s="24"/>
      <c r="H865" s="25" t="str">
        <f aca="false">IF($B865="","",IFERROR(IF(INDEX(명단!$B$5:$B$404,MATCH($B865,명단!$A$5:$A$404,0))="","(이름 미입력)",INDEX(명단!$B$5:$B$404,MATCH($B865,명단!$A$5:$A$404,0))),"번호 없음"))</f>
        <v/>
      </c>
      <c r="I865" s="25" t="str">
        <f aca="false">IF(AND(C865="",D865=""),"",IF(OR(C865="-",D865="-"),"측정불가",IF(AND(ISNUMBER(C865),ISNUMBER(D865)),IF(OR(C865&gt;=설정!$C$11,D865&gt;=설정!$C$12),"긴급",IF(OR(C865&gt;=설정!$C$9,D865&gt;=설정!$C$10,C865&lt;설정!$C$13),"주의","정상")),"확인필요")))</f>
        <v/>
      </c>
      <c r="J865" s="25" t="str">
        <f aca="false">IF(E865="","",IF(E865="-","측정불가",IF(NOT(ISNUMBER(E865)),"확인필요",IF(E865&lt;설정!$C$17,"긴급(저혈당)",IF(E865&gt;=설정!$C$18,"긴급(고혈당)",IF(F865="공복",IF(E865&gt;=설정!$C$15,"주의","정상"),IF(F865="식후",IF(E865&gt;=설정!$C$16,"주의","정상"),"조건확인")))))))</f>
        <v/>
      </c>
      <c r="K865" s="25" t="str">
        <f aca="false">IF(OR(I865="긴급",LEFT(J865,2)="긴급"),"★ 즉시 선생님 호출",IF(OR(I865="주의",J865="주의"),"결과상담에서 확인",IF(J865="조건확인","혈당조건(공복/식후) 선택","")))</f>
        <v/>
      </c>
      <c r="L865" s="25" t="str">
        <f aca="false">IF($B865="","",IF(COUNTIF($B$5:$B$1004,$B865)&gt;1,"중복 입력",""))</f>
        <v/>
      </c>
    </row>
    <row r="866" customFormat="false" ht="15" hidden="false" customHeight="false" outlineLevel="0" collapsed="false">
      <c r="A866" s="23"/>
      <c r="B866" s="24"/>
      <c r="C866" s="24"/>
      <c r="D866" s="24"/>
      <c r="E866" s="24"/>
      <c r="F866" s="24"/>
      <c r="G866" s="24"/>
      <c r="H866" s="25" t="str">
        <f aca="false">IF($B866="","",IFERROR(IF(INDEX(명단!$B$5:$B$404,MATCH($B866,명단!$A$5:$A$404,0))="","(이름 미입력)",INDEX(명단!$B$5:$B$404,MATCH($B866,명단!$A$5:$A$404,0))),"번호 없음"))</f>
        <v/>
      </c>
      <c r="I866" s="25" t="str">
        <f aca="false">IF(AND(C866="",D866=""),"",IF(OR(C866="-",D866="-"),"측정불가",IF(AND(ISNUMBER(C866),ISNUMBER(D866)),IF(OR(C866&gt;=설정!$C$11,D866&gt;=설정!$C$12),"긴급",IF(OR(C866&gt;=설정!$C$9,D866&gt;=설정!$C$10,C866&lt;설정!$C$13),"주의","정상")),"확인필요")))</f>
        <v/>
      </c>
      <c r="J866" s="25" t="str">
        <f aca="false">IF(E866="","",IF(E866="-","측정불가",IF(NOT(ISNUMBER(E866)),"확인필요",IF(E866&lt;설정!$C$17,"긴급(저혈당)",IF(E866&gt;=설정!$C$18,"긴급(고혈당)",IF(F866="공복",IF(E866&gt;=설정!$C$15,"주의","정상"),IF(F866="식후",IF(E866&gt;=설정!$C$16,"주의","정상"),"조건확인")))))))</f>
        <v/>
      </c>
      <c r="K866" s="25" t="str">
        <f aca="false">IF(OR(I866="긴급",LEFT(J866,2)="긴급"),"★ 즉시 선생님 호출",IF(OR(I866="주의",J866="주의"),"결과상담에서 확인",IF(J866="조건확인","혈당조건(공복/식후) 선택","")))</f>
        <v/>
      </c>
      <c r="L866" s="25" t="str">
        <f aca="false">IF($B866="","",IF(COUNTIF($B$5:$B$1004,$B866)&gt;1,"중복 입력",""))</f>
        <v/>
      </c>
    </row>
    <row r="867" customFormat="false" ht="15" hidden="false" customHeight="false" outlineLevel="0" collapsed="false">
      <c r="A867" s="23"/>
      <c r="B867" s="24"/>
      <c r="C867" s="24"/>
      <c r="D867" s="24"/>
      <c r="E867" s="24"/>
      <c r="F867" s="24"/>
      <c r="G867" s="24"/>
      <c r="H867" s="25" t="str">
        <f aca="false">IF($B867="","",IFERROR(IF(INDEX(명단!$B$5:$B$404,MATCH($B867,명단!$A$5:$A$404,0))="","(이름 미입력)",INDEX(명단!$B$5:$B$404,MATCH($B867,명단!$A$5:$A$404,0))),"번호 없음"))</f>
        <v/>
      </c>
      <c r="I867" s="25" t="str">
        <f aca="false">IF(AND(C867="",D867=""),"",IF(OR(C867="-",D867="-"),"측정불가",IF(AND(ISNUMBER(C867),ISNUMBER(D867)),IF(OR(C867&gt;=설정!$C$11,D867&gt;=설정!$C$12),"긴급",IF(OR(C867&gt;=설정!$C$9,D867&gt;=설정!$C$10,C867&lt;설정!$C$13),"주의","정상")),"확인필요")))</f>
        <v/>
      </c>
      <c r="J867" s="25" t="str">
        <f aca="false">IF(E867="","",IF(E867="-","측정불가",IF(NOT(ISNUMBER(E867)),"확인필요",IF(E867&lt;설정!$C$17,"긴급(저혈당)",IF(E867&gt;=설정!$C$18,"긴급(고혈당)",IF(F867="공복",IF(E867&gt;=설정!$C$15,"주의","정상"),IF(F867="식후",IF(E867&gt;=설정!$C$16,"주의","정상"),"조건확인")))))))</f>
        <v/>
      </c>
      <c r="K867" s="25" t="str">
        <f aca="false">IF(OR(I867="긴급",LEFT(J867,2)="긴급"),"★ 즉시 선생님 호출",IF(OR(I867="주의",J867="주의"),"결과상담에서 확인",IF(J867="조건확인","혈당조건(공복/식후) 선택","")))</f>
        <v/>
      </c>
      <c r="L867" s="25" t="str">
        <f aca="false">IF($B867="","",IF(COUNTIF($B$5:$B$1004,$B867)&gt;1,"중복 입력",""))</f>
        <v/>
      </c>
    </row>
    <row r="868" customFormat="false" ht="15" hidden="false" customHeight="false" outlineLevel="0" collapsed="false">
      <c r="A868" s="23"/>
      <c r="B868" s="24"/>
      <c r="C868" s="24"/>
      <c r="D868" s="24"/>
      <c r="E868" s="24"/>
      <c r="F868" s="24"/>
      <c r="G868" s="24"/>
      <c r="H868" s="25" t="str">
        <f aca="false">IF($B868="","",IFERROR(IF(INDEX(명단!$B$5:$B$404,MATCH($B868,명단!$A$5:$A$404,0))="","(이름 미입력)",INDEX(명단!$B$5:$B$404,MATCH($B868,명단!$A$5:$A$404,0))),"번호 없음"))</f>
        <v/>
      </c>
      <c r="I868" s="25" t="str">
        <f aca="false">IF(AND(C868="",D868=""),"",IF(OR(C868="-",D868="-"),"측정불가",IF(AND(ISNUMBER(C868),ISNUMBER(D868)),IF(OR(C868&gt;=설정!$C$11,D868&gt;=설정!$C$12),"긴급",IF(OR(C868&gt;=설정!$C$9,D868&gt;=설정!$C$10,C868&lt;설정!$C$13),"주의","정상")),"확인필요")))</f>
        <v/>
      </c>
      <c r="J868" s="25" t="str">
        <f aca="false">IF(E868="","",IF(E868="-","측정불가",IF(NOT(ISNUMBER(E868)),"확인필요",IF(E868&lt;설정!$C$17,"긴급(저혈당)",IF(E868&gt;=설정!$C$18,"긴급(고혈당)",IF(F868="공복",IF(E868&gt;=설정!$C$15,"주의","정상"),IF(F868="식후",IF(E868&gt;=설정!$C$16,"주의","정상"),"조건확인")))))))</f>
        <v/>
      </c>
      <c r="K868" s="25" t="str">
        <f aca="false">IF(OR(I868="긴급",LEFT(J868,2)="긴급"),"★ 즉시 선생님 호출",IF(OR(I868="주의",J868="주의"),"결과상담에서 확인",IF(J868="조건확인","혈당조건(공복/식후) 선택","")))</f>
        <v/>
      </c>
      <c r="L868" s="25" t="str">
        <f aca="false">IF($B868="","",IF(COUNTIF($B$5:$B$1004,$B868)&gt;1,"중복 입력",""))</f>
        <v/>
      </c>
    </row>
    <row r="869" customFormat="false" ht="15" hidden="false" customHeight="false" outlineLevel="0" collapsed="false">
      <c r="A869" s="23"/>
      <c r="B869" s="24"/>
      <c r="C869" s="24"/>
      <c r="D869" s="24"/>
      <c r="E869" s="24"/>
      <c r="F869" s="24"/>
      <c r="G869" s="24"/>
      <c r="H869" s="25" t="str">
        <f aca="false">IF($B869="","",IFERROR(IF(INDEX(명단!$B$5:$B$404,MATCH($B869,명단!$A$5:$A$404,0))="","(이름 미입력)",INDEX(명단!$B$5:$B$404,MATCH($B869,명단!$A$5:$A$404,0))),"번호 없음"))</f>
        <v/>
      </c>
      <c r="I869" s="25" t="str">
        <f aca="false">IF(AND(C869="",D869=""),"",IF(OR(C869="-",D869="-"),"측정불가",IF(AND(ISNUMBER(C869),ISNUMBER(D869)),IF(OR(C869&gt;=설정!$C$11,D869&gt;=설정!$C$12),"긴급",IF(OR(C869&gt;=설정!$C$9,D869&gt;=설정!$C$10,C869&lt;설정!$C$13),"주의","정상")),"확인필요")))</f>
        <v/>
      </c>
      <c r="J869" s="25" t="str">
        <f aca="false">IF(E869="","",IF(E869="-","측정불가",IF(NOT(ISNUMBER(E869)),"확인필요",IF(E869&lt;설정!$C$17,"긴급(저혈당)",IF(E869&gt;=설정!$C$18,"긴급(고혈당)",IF(F869="공복",IF(E869&gt;=설정!$C$15,"주의","정상"),IF(F869="식후",IF(E869&gt;=설정!$C$16,"주의","정상"),"조건확인")))))))</f>
        <v/>
      </c>
      <c r="K869" s="25" t="str">
        <f aca="false">IF(OR(I869="긴급",LEFT(J869,2)="긴급"),"★ 즉시 선생님 호출",IF(OR(I869="주의",J869="주의"),"결과상담에서 확인",IF(J869="조건확인","혈당조건(공복/식후) 선택","")))</f>
        <v/>
      </c>
      <c r="L869" s="25" t="str">
        <f aca="false">IF($B869="","",IF(COUNTIF($B$5:$B$1004,$B869)&gt;1,"중복 입력",""))</f>
        <v/>
      </c>
    </row>
    <row r="870" customFormat="false" ht="15" hidden="false" customHeight="false" outlineLevel="0" collapsed="false">
      <c r="A870" s="23"/>
      <c r="B870" s="24"/>
      <c r="C870" s="24"/>
      <c r="D870" s="24"/>
      <c r="E870" s="24"/>
      <c r="F870" s="24"/>
      <c r="G870" s="24"/>
      <c r="H870" s="25" t="str">
        <f aca="false">IF($B870="","",IFERROR(IF(INDEX(명단!$B$5:$B$404,MATCH($B870,명단!$A$5:$A$404,0))="","(이름 미입력)",INDEX(명단!$B$5:$B$404,MATCH($B870,명단!$A$5:$A$404,0))),"번호 없음"))</f>
        <v/>
      </c>
      <c r="I870" s="25" t="str">
        <f aca="false">IF(AND(C870="",D870=""),"",IF(OR(C870="-",D870="-"),"측정불가",IF(AND(ISNUMBER(C870),ISNUMBER(D870)),IF(OR(C870&gt;=설정!$C$11,D870&gt;=설정!$C$12),"긴급",IF(OR(C870&gt;=설정!$C$9,D870&gt;=설정!$C$10,C870&lt;설정!$C$13),"주의","정상")),"확인필요")))</f>
        <v/>
      </c>
      <c r="J870" s="25" t="str">
        <f aca="false">IF(E870="","",IF(E870="-","측정불가",IF(NOT(ISNUMBER(E870)),"확인필요",IF(E870&lt;설정!$C$17,"긴급(저혈당)",IF(E870&gt;=설정!$C$18,"긴급(고혈당)",IF(F870="공복",IF(E870&gt;=설정!$C$15,"주의","정상"),IF(F870="식후",IF(E870&gt;=설정!$C$16,"주의","정상"),"조건확인")))))))</f>
        <v/>
      </c>
      <c r="K870" s="25" t="str">
        <f aca="false">IF(OR(I870="긴급",LEFT(J870,2)="긴급"),"★ 즉시 선생님 호출",IF(OR(I870="주의",J870="주의"),"결과상담에서 확인",IF(J870="조건확인","혈당조건(공복/식후) 선택","")))</f>
        <v/>
      </c>
      <c r="L870" s="25" t="str">
        <f aca="false">IF($B870="","",IF(COUNTIF($B$5:$B$1004,$B870)&gt;1,"중복 입력",""))</f>
        <v/>
      </c>
    </row>
    <row r="871" customFormat="false" ht="15" hidden="false" customHeight="false" outlineLevel="0" collapsed="false">
      <c r="A871" s="23"/>
      <c r="B871" s="24"/>
      <c r="C871" s="24"/>
      <c r="D871" s="24"/>
      <c r="E871" s="24"/>
      <c r="F871" s="24"/>
      <c r="G871" s="24"/>
      <c r="H871" s="25" t="str">
        <f aca="false">IF($B871="","",IFERROR(IF(INDEX(명단!$B$5:$B$404,MATCH($B871,명단!$A$5:$A$404,0))="","(이름 미입력)",INDEX(명단!$B$5:$B$404,MATCH($B871,명단!$A$5:$A$404,0))),"번호 없음"))</f>
        <v/>
      </c>
      <c r="I871" s="25" t="str">
        <f aca="false">IF(AND(C871="",D871=""),"",IF(OR(C871="-",D871="-"),"측정불가",IF(AND(ISNUMBER(C871),ISNUMBER(D871)),IF(OR(C871&gt;=설정!$C$11,D871&gt;=설정!$C$12),"긴급",IF(OR(C871&gt;=설정!$C$9,D871&gt;=설정!$C$10,C871&lt;설정!$C$13),"주의","정상")),"확인필요")))</f>
        <v/>
      </c>
      <c r="J871" s="25" t="str">
        <f aca="false">IF(E871="","",IF(E871="-","측정불가",IF(NOT(ISNUMBER(E871)),"확인필요",IF(E871&lt;설정!$C$17,"긴급(저혈당)",IF(E871&gt;=설정!$C$18,"긴급(고혈당)",IF(F871="공복",IF(E871&gt;=설정!$C$15,"주의","정상"),IF(F871="식후",IF(E871&gt;=설정!$C$16,"주의","정상"),"조건확인")))))))</f>
        <v/>
      </c>
      <c r="K871" s="25" t="str">
        <f aca="false">IF(OR(I871="긴급",LEFT(J871,2)="긴급"),"★ 즉시 선생님 호출",IF(OR(I871="주의",J871="주의"),"결과상담에서 확인",IF(J871="조건확인","혈당조건(공복/식후) 선택","")))</f>
        <v/>
      </c>
      <c r="L871" s="25" t="str">
        <f aca="false">IF($B871="","",IF(COUNTIF($B$5:$B$1004,$B871)&gt;1,"중복 입력",""))</f>
        <v/>
      </c>
    </row>
    <row r="872" customFormat="false" ht="15" hidden="false" customHeight="false" outlineLevel="0" collapsed="false">
      <c r="A872" s="23"/>
      <c r="B872" s="24"/>
      <c r="C872" s="24"/>
      <c r="D872" s="24"/>
      <c r="E872" s="24"/>
      <c r="F872" s="24"/>
      <c r="G872" s="24"/>
      <c r="H872" s="25" t="str">
        <f aca="false">IF($B872="","",IFERROR(IF(INDEX(명단!$B$5:$B$404,MATCH($B872,명단!$A$5:$A$404,0))="","(이름 미입력)",INDEX(명단!$B$5:$B$404,MATCH($B872,명단!$A$5:$A$404,0))),"번호 없음"))</f>
        <v/>
      </c>
      <c r="I872" s="25" t="str">
        <f aca="false">IF(AND(C872="",D872=""),"",IF(OR(C872="-",D872="-"),"측정불가",IF(AND(ISNUMBER(C872),ISNUMBER(D872)),IF(OR(C872&gt;=설정!$C$11,D872&gt;=설정!$C$12),"긴급",IF(OR(C872&gt;=설정!$C$9,D872&gt;=설정!$C$10,C872&lt;설정!$C$13),"주의","정상")),"확인필요")))</f>
        <v/>
      </c>
      <c r="J872" s="25" t="str">
        <f aca="false">IF(E872="","",IF(E872="-","측정불가",IF(NOT(ISNUMBER(E872)),"확인필요",IF(E872&lt;설정!$C$17,"긴급(저혈당)",IF(E872&gt;=설정!$C$18,"긴급(고혈당)",IF(F872="공복",IF(E872&gt;=설정!$C$15,"주의","정상"),IF(F872="식후",IF(E872&gt;=설정!$C$16,"주의","정상"),"조건확인")))))))</f>
        <v/>
      </c>
      <c r="K872" s="25" t="str">
        <f aca="false">IF(OR(I872="긴급",LEFT(J872,2)="긴급"),"★ 즉시 선생님 호출",IF(OR(I872="주의",J872="주의"),"결과상담에서 확인",IF(J872="조건확인","혈당조건(공복/식후) 선택","")))</f>
        <v/>
      </c>
      <c r="L872" s="25" t="str">
        <f aca="false">IF($B872="","",IF(COUNTIF($B$5:$B$1004,$B872)&gt;1,"중복 입력",""))</f>
        <v/>
      </c>
    </row>
    <row r="873" customFormat="false" ht="15" hidden="false" customHeight="false" outlineLevel="0" collapsed="false">
      <c r="A873" s="23"/>
      <c r="B873" s="24"/>
      <c r="C873" s="24"/>
      <c r="D873" s="24"/>
      <c r="E873" s="24"/>
      <c r="F873" s="24"/>
      <c r="G873" s="24"/>
      <c r="H873" s="25" t="str">
        <f aca="false">IF($B873="","",IFERROR(IF(INDEX(명단!$B$5:$B$404,MATCH($B873,명단!$A$5:$A$404,0))="","(이름 미입력)",INDEX(명단!$B$5:$B$404,MATCH($B873,명단!$A$5:$A$404,0))),"번호 없음"))</f>
        <v/>
      </c>
      <c r="I873" s="25" t="str">
        <f aca="false">IF(AND(C873="",D873=""),"",IF(OR(C873="-",D873="-"),"측정불가",IF(AND(ISNUMBER(C873),ISNUMBER(D873)),IF(OR(C873&gt;=설정!$C$11,D873&gt;=설정!$C$12),"긴급",IF(OR(C873&gt;=설정!$C$9,D873&gt;=설정!$C$10,C873&lt;설정!$C$13),"주의","정상")),"확인필요")))</f>
        <v/>
      </c>
      <c r="J873" s="25" t="str">
        <f aca="false">IF(E873="","",IF(E873="-","측정불가",IF(NOT(ISNUMBER(E873)),"확인필요",IF(E873&lt;설정!$C$17,"긴급(저혈당)",IF(E873&gt;=설정!$C$18,"긴급(고혈당)",IF(F873="공복",IF(E873&gt;=설정!$C$15,"주의","정상"),IF(F873="식후",IF(E873&gt;=설정!$C$16,"주의","정상"),"조건확인")))))))</f>
        <v/>
      </c>
      <c r="K873" s="25" t="str">
        <f aca="false">IF(OR(I873="긴급",LEFT(J873,2)="긴급"),"★ 즉시 선생님 호출",IF(OR(I873="주의",J873="주의"),"결과상담에서 확인",IF(J873="조건확인","혈당조건(공복/식후) 선택","")))</f>
        <v/>
      </c>
      <c r="L873" s="25" t="str">
        <f aca="false">IF($B873="","",IF(COUNTIF($B$5:$B$1004,$B873)&gt;1,"중복 입력",""))</f>
        <v/>
      </c>
    </row>
    <row r="874" customFormat="false" ht="15" hidden="false" customHeight="false" outlineLevel="0" collapsed="false">
      <c r="A874" s="23"/>
      <c r="B874" s="24"/>
      <c r="C874" s="24"/>
      <c r="D874" s="24"/>
      <c r="E874" s="24"/>
      <c r="F874" s="24"/>
      <c r="G874" s="24"/>
      <c r="H874" s="25" t="str">
        <f aca="false">IF($B874="","",IFERROR(IF(INDEX(명단!$B$5:$B$404,MATCH($B874,명단!$A$5:$A$404,0))="","(이름 미입력)",INDEX(명단!$B$5:$B$404,MATCH($B874,명단!$A$5:$A$404,0))),"번호 없음"))</f>
        <v/>
      </c>
      <c r="I874" s="25" t="str">
        <f aca="false">IF(AND(C874="",D874=""),"",IF(OR(C874="-",D874="-"),"측정불가",IF(AND(ISNUMBER(C874),ISNUMBER(D874)),IF(OR(C874&gt;=설정!$C$11,D874&gt;=설정!$C$12),"긴급",IF(OR(C874&gt;=설정!$C$9,D874&gt;=설정!$C$10,C874&lt;설정!$C$13),"주의","정상")),"확인필요")))</f>
        <v/>
      </c>
      <c r="J874" s="25" t="str">
        <f aca="false">IF(E874="","",IF(E874="-","측정불가",IF(NOT(ISNUMBER(E874)),"확인필요",IF(E874&lt;설정!$C$17,"긴급(저혈당)",IF(E874&gt;=설정!$C$18,"긴급(고혈당)",IF(F874="공복",IF(E874&gt;=설정!$C$15,"주의","정상"),IF(F874="식후",IF(E874&gt;=설정!$C$16,"주의","정상"),"조건확인")))))))</f>
        <v/>
      </c>
      <c r="K874" s="25" t="str">
        <f aca="false">IF(OR(I874="긴급",LEFT(J874,2)="긴급"),"★ 즉시 선생님 호출",IF(OR(I874="주의",J874="주의"),"결과상담에서 확인",IF(J874="조건확인","혈당조건(공복/식후) 선택","")))</f>
        <v/>
      </c>
      <c r="L874" s="25" t="str">
        <f aca="false">IF($B874="","",IF(COUNTIF($B$5:$B$1004,$B874)&gt;1,"중복 입력",""))</f>
        <v/>
      </c>
    </row>
    <row r="875" customFormat="false" ht="15" hidden="false" customHeight="false" outlineLevel="0" collapsed="false">
      <c r="A875" s="23"/>
      <c r="B875" s="24"/>
      <c r="C875" s="24"/>
      <c r="D875" s="24"/>
      <c r="E875" s="24"/>
      <c r="F875" s="24"/>
      <c r="G875" s="24"/>
      <c r="H875" s="25" t="str">
        <f aca="false">IF($B875="","",IFERROR(IF(INDEX(명단!$B$5:$B$404,MATCH($B875,명단!$A$5:$A$404,0))="","(이름 미입력)",INDEX(명단!$B$5:$B$404,MATCH($B875,명단!$A$5:$A$404,0))),"번호 없음"))</f>
        <v/>
      </c>
      <c r="I875" s="25" t="str">
        <f aca="false">IF(AND(C875="",D875=""),"",IF(OR(C875="-",D875="-"),"측정불가",IF(AND(ISNUMBER(C875),ISNUMBER(D875)),IF(OR(C875&gt;=설정!$C$11,D875&gt;=설정!$C$12),"긴급",IF(OR(C875&gt;=설정!$C$9,D875&gt;=설정!$C$10,C875&lt;설정!$C$13),"주의","정상")),"확인필요")))</f>
        <v/>
      </c>
      <c r="J875" s="25" t="str">
        <f aca="false">IF(E875="","",IF(E875="-","측정불가",IF(NOT(ISNUMBER(E875)),"확인필요",IF(E875&lt;설정!$C$17,"긴급(저혈당)",IF(E875&gt;=설정!$C$18,"긴급(고혈당)",IF(F875="공복",IF(E875&gt;=설정!$C$15,"주의","정상"),IF(F875="식후",IF(E875&gt;=설정!$C$16,"주의","정상"),"조건확인")))))))</f>
        <v/>
      </c>
      <c r="K875" s="25" t="str">
        <f aca="false">IF(OR(I875="긴급",LEFT(J875,2)="긴급"),"★ 즉시 선생님 호출",IF(OR(I875="주의",J875="주의"),"결과상담에서 확인",IF(J875="조건확인","혈당조건(공복/식후) 선택","")))</f>
        <v/>
      </c>
      <c r="L875" s="25" t="str">
        <f aca="false">IF($B875="","",IF(COUNTIF($B$5:$B$1004,$B875)&gt;1,"중복 입력",""))</f>
        <v/>
      </c>
    </row>
    <row r="876" customFormat="false" ht="15" hidden="false" customHeight="false" outlineLevel="0" collapsed="false">
      <c r="A876" s="23"/>
      <c r="B876" s="24"/>
      <c r="C876" s="24"/>
      <c r="D876" s="24"/>
      <c r="E876" s="24"/>
      <c r="F876" s="24"/>
      <c r="G876" s="24"/>
      <c r="H876" s="25" t="str">
        <f aca="false">IF($B876="","",IFERROR(IF(INDEX(명단!$B$5:$B$404,MATCH($B876,명단!$A$5:$A$404,0))="","(이름 미입력)",INDEX(명단!$B$5:$B$404,MATCH($B876,명단!$A$5:$A$404,0))),"번호 없음"))</f>
        <v/>
      </c>
      <c r="I876" s="25" t="str">
        <f aca="false">IF(AND(C876="",D876=""),"",IF(OR(C876="-",D876="-"),"측정불가",IF(AND(ISNUMBER(C876),ISNUMBER(D876)),IF(OR(C876&gt;=설정!$C$11,D876&gt;=설정!$C$12),"긴급",IF(OR(C876&gt;=설정!$C$9,D876&gt;=설정!$C$10,C876&lt;설정!$C$13),"주의","정상")),"확인필요")))</f>
        <v/>
      </c>
      <c r="J876" s="25" t="str">
        <f aca="false">IF(E876="","",IF(E876="-","측정불가",IF(NOT(ISNUMBER(E876)),"확인필요",IF(E876&lt;설정!$C$17,"긴급(저혈당)",IF(E876&gt;=설정!$C$18,"긴급(고혈당)",IF(F876="공복",IF(E876&gt;=설정!$C$15,"주의","정상"),IF(F876="식후",IF(E876&gt;=설정!$C$16,"주의","정상"),"조건확인")))))))</f>
        <v/>
      </c>
      <c r="K876" s="25" t="str">
        <f aca="false">IF(OR(I876="긴급",LEFT(J876,2)="긴급"),"★ 즉시 선생님 호출",IF(OR(I876="주의",J876="주의"),"결과상담에서 확인",IF(J876="조건확인","혈당조건(공복/식후) 선택","")))</f>
        <v/>
      </c>
      <c r="L876" s="25" t="str">
        <f aca="false">IF($B876="","",IF(COUNTIF($B$5:$B$1004,$B876)&gt;1,"중복 입력",""))</f>
        <v/>
      </c>
    </row>
    <row r="877" customFormat="false" ht="15" hidden="false" customHeight="false" outlineLevel="0" collapsed="false">
      <c r="A877" s="23"/>
      <c r="B877" s="24"/>
      <c r="C877" s="24"/>
      <c r="D877" s="24"/>
      <c r="E877" s="24"/>
      <c r="F877" s="24"/>
      <c r="G877" s="24"/>
      <c r="H877" s="25" t="str">
        <f aca="false">IF($B877="","",IFERROR(IF(INDEX(명단!$B$5:$B$404,MATCH($B877,명단!$A$5:$A$404,0))="","(이름 미입력)",INDEX(명단!$B$5:$B$404,MATCH($B877,명단!$A$5:$A$404,0))),"번호 없음"))</f>
        <v/>
      </c>
      <c r="I877" s="25" t="str">
        <f aca="false">IF(AND(C877="",D877=""),"",IF(OR(C877="-",D877="-"),"측정불가",IF(AND(ISNUMBER(C877),ISNUMBER(D877)),IF(OR(C877&gt;=설정!$C$11,D877&gt;=설정!$C$12),"긴급",IF(OR(C877&gt;=설정!$C$9,D877&gt;=설정!$C$10,C877&lt;설정!$C$13),"주의","정상")),"확인필요")))</f>
        <v/>
      </c>
      <c r="J877" s="25" t="str">
        <f aca="false">IF(E877="","",IF(E877="-","측정불가",IF(NOT(ISNUMBER(E877)),"확인필요",IF(E877&lt;설정!$C$17,"긴급(저혈당)",IF(E877&gt;=설정!$C$18,"긴급(고혈당)",IF(F877="공복",IF(E877&gt;=설정!$C$15,"주의","정상"),IF(F877="식후",IF(E877&gt;=설정!$C$16,"주의","정상"),"조건확인")))))))</f>
        <v/>
      </c>
      <c r="K877" s="25" t="str">
        <f aca="false">IF(OR(I877="긴급",LEFT(J877,2)="긴급"),"★ 즉시 선생님 호출",IF(OR(I877="주의",J877="주의"),"결과상담에서 확인",IF(J877="조건확인","혈당조건(공복/식후) 선택","")))</f>
        <v/>
      </c>
      <c r="L877" s="25" t="str">
        <f aca="false">IF($B877="","",IF(COUNTIF($B$5:$B$1004,$B877)&gt;1,"중복 입력",""))</f>
        <v/>
      </c>
    </row>
    <row r="878" customFormat="false" ht="15" hidden="false" customHeight="false" outlineLevel="0" collapsed="false">
      <c r="A878" s="23"/>
      <c r="B878" s="24"/>
      <c r="C878" s="24"/>
      <c r="D878" s="24"/>
      <c r="E878" s="24"/>
      <c r="F878" s="24"/>
      <c r="G878" s="24"/>
      <c r="H878" s="25" t="str">
        <f aca="false">IF($B878="","",IFERROR(IF(INDEX(명단!$B$5:$B$404,MATCH($B878,명단!$A$5:$A$404,0))="","(이름 미입력)",INDEX(명단!$B$5:$B$404,MATCH($B878,명단!$A$5:$A$404,0))),"번호 없음"))</f>
        <v/>
      </c>
      <c r="I878" s="25" t="str">
        <f aca="false">IF(AND(C878="",D878=""),"",IF(OR(C878="-",D878="-"),"측정불가",IF(AND(ISNUMBER(C878),ISNUMBER(D878)),IF(OR(C878&gt;=설정!$C$11,D878&gt;=설정!$C$12),"긴급",IF(OR(C878&gt;=설정!$C$9,D878&gt;=설정!$C$10,C878&lt;설정!$C$13),"주의","정상")),"확인필요")))</f>
        <v/>
      </c>
      <c r="J878" s="25" t="str">
        <f aca="false">IF(E878="","",IF(E878="-","측정불가",IF(NOT(ISNUMBER(E878)),"확인필요",IF(E878&lt;설정!$C$17,"긴급(저혈당)",IF(E878&gt;=설정!$C$18,"긴급(고혈당)",IF(F878="공복",IF(E878&gt;=설정!$C$15,"주의","정상"),IF(F878="식후",IF(E878&gt;=설정!$C$16,"주의","정상"),"조건확인")))))))</f>
        <v/>
      </c>
      <c r="K878" s="25" t="str">
        <f aca="false">IF(OR(I878="긴급",LEFT(J878,2)="긴급"),"★ 즉시 선생님 호출",IF(OR(I878="주의",J878="주의"),"결과상담에서 확인",IF(J878="조건확인","혈당조건(공복/식후) 선택","")))</f>
        <v/>
      </c>
      <c r="L878" s="25" t="str">
        <f aca="false">IF($B878="","",IF(COUNTIF($B$5:$B$1004,$B878)&gt;1,"중복 입력",""))</f>
        <v/>
      </c>
    </row>
    <row r="879" customFormat="false" ht="15" hidden="false" customHeight="false" outlineLevel="0" collapsed="false">
      <c r="A879" s="23"/>
      <c r="B879" s="24"/>
      <c r="C879" s="24"/>
      <c r="D879" s="24"/>
      <c r="E879" s="24"/>
      <c r="F879" s="24"/>
      <c r="G879" s="24"/>
      <c r="H879" s="25" t="str">
        <f aca="false">IF($B879="","",IFERROR(IF(INDEX(명단!$B$5:$B$404,MATCH($B879,명단!$A$5:$A$404,0))="","(이름 미입력)",INDEX(명단!$B$5:$B$404,MATCH($B879,명단!$A$5:$A$404,0))),"번호 없음"))</f>
        <v/>
      </c>
      <c r="I879" s="25" t="str">
        <f aca="false">IF(AND(C879="",D879=""),"",IF(OR(C879="-",D879="-"),"측정불가",IF(AND(ISNUMBER(C879),ISNUMBER(D879)),IF(OR(C879&gt;=설정!$C$11,D879&gt;=설정!$C$12),"긴급",IF(OR(C879&gt;=설정!$C$9,D879&gt;=설정!$C$10,C879&lt;설정!$C$13),"주의","정상")),"확인필요")))</f>
        <v/>
      </c>
      <c r="J879" s="25" t="str">
        <f aca="false">IF(E879="","",IF(E879="-","측정불가",IF(NOT(ISNUMBER(E879)),"확인필요",IF(E879&lt;설정!$C$17,"긴급(저혈당)",IF(E879&gt;=설정!$C$18,"긴급(고혈당)",IF(F879="공복",IF(E879&gt;=설정!$C$15,"주의","정상"),IF(F879="식후",IF(E879&gt;=설정!$C$16,"주의","정상"),"조건확인")))))))</f>
        <v/>
      </c>
      <c r="K879" s="25" t="str">
        <f aca="false">IF(OR(I879="긴급",LEFT(J879,2)="긴급"),"★ 즉시 선생님 호출",IF(OR(I879="주의",J879="주의"),"결과상담에서 확인",IF(J879="조건확인","혈당조건(공복/식후) 선택","")))</f>
        <v/>
      </c>
      <c r="L879" s="25" t="str">
        <f aca="false">IF($B879="","",IF(COUNTIF($B$5:$B$1004,$B879)&gt;1,"중복 입력",""))</f>
        <v/>
      </c>
    </row>
    <row r="880" customFormat="false" ht="15" hidden="false" customHeight="false" outlineLevel="0" collapsed="false">
      <c r="A880" s="23"/>
      <c r="B880" s="24"/>
      <c r="C880" s="24"/>
      <c r="D880" s="24"/>
      <c r="E880" s="24"/>
      <c r="F880" s="24"/>
      <c r="G880" s="24"/>
      <c r="H880" s="25" t="str">
        <f aca="false">IF($B880="","",IFERROR(IF(INDEX(명단!$B$5:$B$404,MATCH($B880,명단!$A$5:$A$404,0))="","(이름 미입력)",INDEX(명단!$B$5:$B$404,MATCH($B880,명단!$A$5:$A$404,0))),"번호 없음"))</f>
        <v/>
      </c>
      <c r="I880" s="25" t="str">
        <f aca="false">IF(AND(C880="",D880=""),"",IF(OR(C880="-",D880="-"),"측정불가",IF(AND(ISNUMBER(C880),ISNUMBER(D880)),IF(OR(C880&gt;=설정!$C$11,D880&gt;=설정!$C$12),"긴급",IF(OR(C880&gt;=설정!$C$9,D880&gt;=설정!$C$10,C880&lt;설정!$C$13),"주의","정상")),"확인필요")))</f>
        <v/>
      </c>
      <c r="J880" s="25" t="str">
        <f aca="false">IF(E880="","",IF(E880="-","측정불가",IF(NOT(ISNUMBER(E880)),"확인필요",IF(E880&lt;설정!$C$17,"긴급(저혈당)",IF(E880&gt;=설정!$C$18,"긴급(고혈당)",IF(F880="공복",IF(E880&gt;=설정!$C$15,"주의","정상"),IF(F880="식후",IF(E880&gt;=설정!$C$16,"주의","정상"),"조건확인")))))))</f>
        <v/>
      </c>
      <c r="K880" s="25" t="str">
        <f aca="false">IF(OR(I880="긴급",LEFT(J880,2)="긴급"),"★ 즉시 선생님 호출",IF(OR(I880="주의",J880="주의"),"결과상담에서 확인",IF(J880="조건확인","혈당조건(공복/식후) 선택","")))</f>
        <v/>
      </c>
      <c r="L880" s="25" t="str">
        <f aca="false">IF($B880="","",IF(COUNTIF($B$5:$B$1004,$B880)&gt;1,"중복 입력",""))</f>
        <v/>
      </c>
    </row>
    <row r="881" customFormat="false" ht="15" hidden="false" customHeight="false" outlineLevel="0" collapsed="false">
      <c r="A881" s="23"/>
      <c r="B881" s="24"/>
      <c r="C881" s="24"/>
      <c r="D881" s="24"/>
      <c r="E881" s="24"/>
      <c r="F881" s="24"/>
      <c r="G881" s="24"/>
      <c r="H881" s="25" t="str">
        <f aca="false">IF($B881="","",IFERROR(IF(INDEX(명단!$B$5:$B$404,MATCH($B881,명단!$A$5:$A$404,0))="","(이름 미입력)",INDEX(명단!$B$5:$B$404,MATCH($B881,명단!$A$5:$A$404,0))),"번호 없음"))</f>
        <v/>
      </c>
      <c r="I881" s="25" t="str">
        <f aca="false">IF(AND(C881="",D881=""),"",IF(OR(C881="-",D881="-"),"측정불가",IF(AND(ISNUMBER(C881),ISNUMBER(D881)),IF(OR(C881&gt;=설정!$C$11,D881&gt;=설정!$C$12),"긴급",IF(OR(C881&gt;=설정!$C$9,D881&gt;=설정!$C$10,C881&lt;설정!$C$13),"주의","정상")),"확인필요")))</f>
        <v/>
      </c>
      <c r="J881" s="25" t="str">
        <f aca="false">IF(E881="","",IF(E881="-","측정불가",IF(NOT(ISNUMBER(E881)),"확인필요",IF(E881&lt;설정!$C$17,"긴급(저혈당)",IF(E881&gt;=설정!$C$18,"긴급(고혈당)",IF(F881="공복",IF(E881&gt;=설정!$C$15,"주의","정상"),IF(F881="식후",IF(E881&gt;=설정!$C$16,"주의","정상"),"조건확인")))))))</f>
        <v/>
      </c>
      <c r="K881" s="25" t="str">
        <f aca="false">IF(OR(I881="긴급",LEFT(J881,2)="긴급"),"★ 즉시 선생님 호출",IF(OR(I881="주의",J881="주의"),"결과상담에서 확인",IF(J881="조건확인","혈당조건(공복/식후) 선택","")))</f>
        <v/>
      </c>
      <c r="L881" s="25" t="str">
        <f aca="false">IF($B881="","",IF(COUNTIF($B$5:$B$1004,$B881)&gt;1,"중복 입력",""))</f>
        <v/>
      </c>
    </row>
    <row r="882" customFormat="false" ht="15" hidden="false" customHeight="false" outlineLevel="0" collapsed="false">
      <c r="A882" s="23"/>
      <c r="B882" s="24"/>
      <c r="C882" s="24"/>
      <c r="D882" s="24"/>
      <c r="E882" s="24"/>
      <c r="F882" s="24"/>
      <c r="G882" s="24"/>
      <c r="H882" s="25" t="str">
        <f aca="false">IF($B882="","",IFERROR(IF(INDEX(명단!$B$5:$B$404,MATCH($B882,명단!$A$5:$A$404,0))="","(이름 미입력)",INDEX(명단!$B$5:$B$404,MATCH($B882,명단!$A$5:$A$404,0))),"번호 없음"))</f>
        <v/>
      </c>
      <c r="I882" s="25" t="str">
        <f aca="false">IF(AND(C882="",D882=""),"",IF(OR(C882="-",D882="-"),"측정불가",IF(AND(ISNUMBER(C882),ISNUMBER(D882)),IF(OR(C882&gt;=설정!$C$11,D882&gt;=설정!$C$12),"긴급",IF(OR(C882&gt;=설정!$C$9,D882&gt;=설정!$C$10,C882&lt;설정!$C$13),"주의","정상")),"확인필요")))</f>
        <v/>
      </c>
      <c r="J882" s="25" t="str">
        <f aca="false">IF(E882="","",IF(E882="-","측정불가",IF(NOT(ISNUMBER(E882)),"확인필요",IF(E882&lt;설정!$C$17,"긴급(저혈당)",IF(E882&gt;=설정!$C$18,"긴급(고혈당)",IF(F882="공복",IF(E882&gt;=설정!$C$15,"주의","정상"),IF(F882="식후",IF(E882&gt;=설정!$C$16,"주의","정상"),"조건확인")))))))</f>
        <v/>
      </c>
      <c r="K882" s="25" t="str">
        <f aca="false">IF(OR(I882="긴급",LEFT(J882,2)="긴급"),"★ 즉시 선생님 호출",IF(OR(I882="주의",J882="주의"),"결과상담에서 확인",IF(J882="조건확인","혈당조건(공복/식후) 선택","")))</f>
        <v/>
      </c>
      <c r="L882" s="25" t="str">
        <f aca="false">IF($B882="","",IF(COUNTIF($B$5:$B$1004,$B882)&gt;1,"중복 입력",""))</f>
        <v/>
      </c>
    </row>
    <row r="883" customFormat="false" ht="15" hidden="false" customHeight="false" outlineLevel="0" collapsed="false">
      <c r="A883" s="23"/>
      <c r="B883" s="24"/>
      <c r="C883" s="24"/>
      <c r="D883" s="24"/>
      <c r="E883" s="24"/>
      <c r="F883" s="24"/>
      <c r="G883" s="24"/>
      <c r="H883" s="25" t="str">
        <f aca="false">IF($B883="","",IFERROR(IF(INDEX(명단!$B$5:$B$404,MATCH($B883,명단!$A$5:$A$404,0))="","(이름 미입력)",INDEX(명단!$B$5:$B$404,MATCH($B883,명단!$A$5:$A$404,0))),"번호 없음"))</f>
        <v/>
      </c>
      <c r="I883" s="25" t="str">
        <f aca="false">IF(AND(C883="",D883=""),"",IF(OR(C883="-",D883="-"),"측정불가",IF(AND(ISNUMBER(C883),ISNUMBER(D883)),IF(OR(C883&gt;=설정!$C$11,D883&gt;=설정!$C$12),"긴급",IF(OR(C883&gt;=설정!$C$9,D883&gt;=설정!$C$10,C883&lt;설정!$C$13),"주의","정상")),"확인필요")))</f>
        <v/>
      </c>
      <c r="J883" s="25" t="str">
        <f aca="false">IF(E883="","",IF(E883="-","측정불가",IF(NOT(ISNUMBER(E883)),"확인필요",IF(E883&lt;설정!$C$17,"긴급(저혈당)",IF(E883&gt;=설정!$C$18,"긴급(고혈당)",IF(F883="공복",IF(E883&gt;=설정!$C$15,"주의","정상"),IF(F883="식후",IF(E883&gt;=설정!$C$16,"주의","정상"),"조건확인")))))))</f>
        <v/>
      </c>
      <c r="K883" s="25" t="str">
        <f aca="false">IF(OR(I883="긴급",LEFT(J883,2)="긴급"),"★ 즉시 선생님 호출",IF(OR(I883="주의",J883="주의"),"결과상담에서 확인",IF(J883="조건확인","혈당조건(공복/식후) 선택","")))</f>
        <v/>
      </c>
      <c r="L883" s="25" t="str">
        <f aca="false">IF($B883="","",IF(COUNTIF($B$5:$B$1004,$B883)&gt;1,"중복 입력",""))</f>
        <v/>
      </c>
    </row>
    <row r="884" customFormat="false" ht="15" hidden="false" customHeight="false" outlineLevel="0" collapsed="false">
      <c r="A884" s="23"/>
      <c r="B884" s="24"/>
      <c r="C884" s="24"/>
      <c r="D884" s="24"/>
      <c r="E884" s="24"/>
      <c r="F884" s="24"/>
      <c r="G884" s="24"/>
      <c r="H884" s="25" t="str">
        <f aca="false">IF($B884="","",IFERROR(IF(INDEX(명단!$B$5:$B$404,MATCH($B884,명단!$A$5:$A$404,0))="","(이름 미입력)",INDEX(명단!$B$5:$B$404,MATCH($B884,명단!$A$5:$A$404,0))),"번호 없음"))</f>
        <v/>
      </c>
      <c r="I884" s="25" t="str">
        <f aca="false">IF(AND(C884="",D884=""),"",IF(OR(C884="-",D884="-"),"측정불가",IF(AND(ISNUMBER(C884),ISNUMBER(D884)),IF(OR(C884&gt;=설정!$C$11,D884&gt;=설정!$C$12),"긴급",IF(OR(C884&gt;=설정!$C$9,D884&gt;=설정!$C$10,C884&lt;설정!$C$13),"주의","정상")),"확인필요")))</f>
        <v/>
      </c>
      <c r="J884" s="25" t="str">
        <f aca="false">IF(E884="","",IF(E884="-","측정불가",IF(NOT(ISNUMBER(E884)),"확인필요",IF(E884&lt;설정!$C$17,"긴급(저혈당)",IF(E884&gt;=설정!$C$18,"긴급(고혈당)",IF(F884="공복",IF(E884&gt;=설정!$C$15,"주의","정상"),IF(F884="식후",IF(E884&gt;=설정!$C$16,"주의","정상"),"조건확인")))))))</f>
        <v/>
      </c>
      <c r="K884" s="25" t="str">
        <f aca="false">IF(OR(I884="긴급",LEFT(J884,2)="긴급"),"★ 즉시 선생님 호출",IF(OR(I884="주의",J884="주의"),"결과상담에서 확인",IF(J884="조건확인","혈당조건(공복/식후) 선택","")))</f>
        <v/>
      </c>
      <c r="L884" s="25" t="str">
        <f aca="false">IF($B884="","",IF(COUNTIF($B$5:$B$1004,$B884)&gt;1,"중복 입력",""))</f>
        <v/>
      </c>
    </row>
    <row r="885" customFormat="false" ht="15" hidden="false" customHeight="false" outlineLevel="0" collapsed="false">
      <c r="A885" s="23"/>
      <c r="B885" s="24"/>
      <c r="C885" s="24"/>
      <c r="D885" s="24"/>
      <c r="E885" s="24"/>
      <c r="F885" s="24"/>
      <c r="G885" s="24"/>
      <c r="H885" s="25" t="str">
        <f aca="false">IF($B885="","",IFERROR(IF(INDEX(명단!$B$5:$B$404,MATCH($B885,명단!$A$5:$A$404,0))="","(이름 미입력)",INDEX(명단!$B$5:$B$404,MATCH($B885,명단!$A$5:$A$404,0))),"번호 없음"))</f>
        <v/>
      </c>
      <c r="I885" s="25" t="str">
        <f aca="false">IF(AND(C885="",D885=""),"",IF(OR(C885="-",D885="-"),"측정불가",IF(AND(ISNUMBER(C885),ISNUMBER(D885)),IF(OR(C885&gt;=설정!$C$11,D885&gt;=설정!$C$12),"긴급",IF(OR(C885&gt;=설정!$C$9,D885&gt;=설정!$C$10,C885&lt;설정!$C$13),"주의","정상")),"확인필요")))</f>
        <v/>
      </c>
      <c r="J885" s="25" t="str">
        <f aca="false">IF(E885="","",IF(E885="-","측정불가",IF(NOT(ISNUMBER(E885)),"확인필요",IF(E885&lt;설정!$C$17,"긴급(저혈당)",IF(E885&gt;=설정!$C$18,"긴급(고혈당)",IF(F885="공복",IF(E885&gt;=설정!$C$15,"주의","정상"),IF(F885="식후",IF(E885&gt;=설정!$C$16,"주의","정상"),"조건확인")))))))</f>
        <v/>
      </c>
      <c r="K885" s="25" t="str">
        <f aca="false">IF(OR(I885="긴급",LEFT(J885,2)="긴급"),"★ 즉시 선생님 호출",IF(OR(I885="주의",J885="주의"),"결과상담에서 확인",IF(J885="조건확인","혈당조건(공복/식후) 선택","")))</f>
        <v/>
      </c>
      <c r="L885" s="25" t="str">
        <f aca="false">IF($B885="","",IF(COUNTIF($B$5:$B$1004,$B885)&gt;1,"중복 입력",""))</f>
        <v/>
      </c>
    </row>
    <row r="886" customFormat="false" ht="15" hidden="false" customHeight="false" outlineLevel="0" collapsed="false">
      <c r="A886" s="23"/>
      <c r="B886" s="24"/>
      <c r="C886" s="24"/>
      <c r="D886" s="24"/>
      <c r="E886" s="24"/>
      <c r="F886" s="24"/>
      <c r="G886" s="24"/>
      <c r="H886" s="25" t="str">
        <f aca="false">IF($B886="","",IFERROR(IF(INDEX(명단!$B$5:$B$404,MATCH($B886,명단!$A$5:$A$404,0))="","(이름 미입력)",INDEX(명단!$B$5:$B$404,MATCH($B886,명단!$A$5:$A$404,0))),"번호 없음"))</f>
        <v/>
      </c>
      <c r="I886" s="25" t="str">
        <f aca="false">IF(AND(C886="",D886=""),"",IF(OR(C886="-",D886="-"),"측정불가",IF(AND(ISNUMBER(C886),ISNUMBER(D886)),IF(OR(C886&gt;=설정!$C$11,D886&gt;=설정!$C$12),"긴급",IF(OR(C886&gt;=설정!$C$9,D886&gt;=설정!$C$10,C886&lt;설정!$C$13),"주의","정상")),"확인필요")))</f>
        <v/>
      </c>
      <c r="J886" s="25" t="str">
        <f aca="false">IF(E886="","",IF(E886="-","측정불가",IF(NOT(ISNUMBER(E886)),"확인필요",IF(E886&lt;설정!$C$17,"긴급(저혈당)",IF(E886&gt;=설정!$C$18,"긴급(고혈당)",IF(F886="공복",IF(E886&gt;=설정!$C$15,"주의","정상"),IF(F886="식후",IF(E886&gt;=설정!$C$16,"주의","정상"),"조건확인")))))))</f>
        <v/>
      </c>
      <c r="K886" s="25" t="str">
        <f aca="false">IF(OR(I886="긴급",LEFT(J886,2)="긴급"),"★ 즉시 선생님 호출",IF(OR(I886="주의",J886="주의"),"결과상담에서 확인",IF(J886="조건확인","혈당조건(공복/식후) 선택","")))</f>
        <v/>
      </c>
      <c r="L886" s="25" t="str">
        <f aca="false">IF($B886="","",IF(COUNTIF($B$5:$B$1004,$B886)&gt;1,"중복 입력",""))</f>
        <v/>
      </c>
    </row>
    <row r="887" customFormat="false" ht="15" hidden="false" customHeight="false" outlineLevel="0" collapsed="false">
      <c r="A887" s="23"/>
      <c r="B887" s="24"/>
      <c r="C887" s="24"/>
      <c r="D887" s="24"/>
      <c r="E887" s="24"/>
      <c r="F887" s="24"/>
      <c r="G887" s="24"/>
      <c r="H887" s="25" t="str">
        <f aca="false">IF($B887="","",IFERROR(IF(INDEX(명단!$B$5:$B$404,MATCH($B887,명단!$A$5:$A$404,0))="","(이름 미입력)",INDEX(명단!$B$5:$B$404,MATCH($B887,명단!$A$5:$A$404,0))),"번호 없음"))</f>
        <v/>
      </c>
      <c r="I887" s="25" t="str">
        <f aca="false">IF(AND(C887="",D887=""),"",IF(OR(C887="-",D887="-"),"측정불가",IF(AND(ISNUMBER(C887),ISNUMBER(D887)),IF(OR(C887&gt;=설정!$C$11,D887&gt;=설정!$C$12),"긴급",IF(OR(C887&gt;=설정!$C$9,D887&gt;=설정!$C$10,C887&lt;설정!$C$13),"주의","정상")),"확인필요")))</f>
        <v/>
      </c>
      <c r="J887" s="25" t="str">
        <f aca="false">IF(E887="","",IF(E887="-","측정불가",IF(NOT(ISNUMBER(E887)),"확인필요",IF(E887&lt;설정!$C$17,"긴급(저혈당)",IF(E887&gt;=설정!$C$18,"긴급(고혈당)",IF(F887="공복",IF(E887&gt;=설정!$C$15,"주의","정상"),IF(F887="식후",IF(E887&gt;=설정!$C$16,"주의","정상"),"조건확인")))))))</f>
        <v/>
      </c>
      <c r="K887" s="25" t="str">
        <f aca="false">IF(OR(I887="긴급",LEFT(J887,2)="긴급"),"★ 즉시 선생님 호출",IF(OR(I887="주의",J887="주의"),"결과상담에서 확인",IF(J887="조건확인","혈당조건(공복/식후) 선택","")))</f>
        <v/>
      </c>
      <c r="L887" s="25" t="str">
        <f aca="false">IF($B887="","",IF(COUNTIF($B$5:$B$1004,$B887)&gt;1,"중복 입력",""))</f>
        <v/>
      </c>
    </row>
    <row r="888" customFormat="false" ht="15" hidden="false" customHeight="false" outlineLevel="0" collapsed="false">
      <c r="A888" s="23"/>
      <c r="B888" s="24"/>
      <c r="C888" s="24"/>
      <c r="D888" s="24"/>
      <c r="E888" s="24"/>
      <c r="F888" s="24"/>
      <c r="G888" s="24"/>
      <c r="H888" s="25" t="str">
        <f aca="false">IF($B888="","",IFERROR(IF(INDEX(명단!$B$5:$B$404,MATCH($B888,명단!$A$5:$A$404,0))="","(이름 미입력)",INDEX(명단!$B$5:$B$404,MATCH($B888,명단!$A$5:$A$404,0))),"번호 없음"))</f>
        <v/>
      </c>
      <c r="I888" s="25" t="str">
        <f aca="false">IF(AND(C888="",D888=""),"",IF(OR(C888="-",D888="-"),"측정불가",IF(AND(ISNUMBER(C888),ISNUMBER(D888)),IF(OR(C888&gt;=설정!$C$11,D888&gt;=설정!$C$12),"긴급",IF(OR(C888&gt;=설정!$C$9,D888&gt;=설정!$C$10,C888&lt;설정!$C$13),"주의","정상")),"확인필요")))</f>
        <v/>
      </c>
      <c r="J888" s="25" t="str">
        <f aca="false">IF(E888="","",IF(E888="-","측정불가",IF(NOT(ISNUMBER(E888)),"확인필요",IF(E888&lt;설정!$C$17,"긴급(저혈당)",IF(E888&gt;=설정!$C$18,"긴급(고혈당)",IF(F888="공복",IF(E888&gt;=설정!$C$15,"주의","정상"),IF(F888="식후",IF(E888&gt;=설정!$C$16,"주의","정상"),"조건확인")))))))</f>
        <v/>
      </c>
      <c r="K888" s="25" t="str">
        <f aca="false">IF(OR(I888="긴급",LEFT(J888,2)="긴급"),"★ 즉시 선생님 호출",IF(OR(I888="주의",J888="주의"),"결과상담에서 확인",IF(J888="조건확인","혈당조건(공복/식후) 선택","")))</f>
        <v/>
      </c>
      <c r="L888" s="25" t="str">
        <f aca="false">IF($B888="","",IF(COUNTIF($B$5:$B$1004,$B888)&gt;1,"중복 입력",""))</f>
        <v/>
      </c>
    </row>
    <row r="889" customFormat="false" ht="15" hidden="false" customHeight="false" outlineLevel="0" collapsed="false">
      <c r="A889" s="23"/>
      <c r="B889" s="24"/>
      <c r="C889" s="24"/>
      <c r="D889" s="24"/>
      <c r="E889" s="24"/>
      <c r="F889" s="24"/>
      <c r="G889" s="24"/>
      <c r="H889" s="25" t="str">
        <f aca="false">IF($B889="","",IFERROR(IF(INDEX(명단!$B$5:$B$404,MATCH($B889,명단!$A$5:$A$404,0))="","(이름 미입력)",INDEX(명단!$B$5:$B$404,MATCH($B889,명단!$A$5:$A$404,0))),"번호 없음"))</f>
        <v/>
      </c>
      <c r="I889" s="25" t="str">
        <f aca="false">IF(AND(C889="",D889=""),"",IF(OR(C889="-",D889="-"),"측정불가",IF(AND(ISNUMBER(C889),ISNUMBER(D889)),IF(OR(C889&gt;=설정!$C$11,D889&gt;=설정!$C$12),"긴급",IF(OR(C889&gt;=설정!$C$9,D889&gt;=설정!$C$10,C889&lt;설정!$C$13),"주의","정상")),"확인필요")))</f>
        <v/>
      </c>
      <c r="J889" s="25" t="str">
        <f aca="false">IF(E889="","",IF(E889="-","측정불가",IF(NOT(ISNUMBER(E889)),"확인필요",IF(E889&lt;설정!$C$17,"긴급(저혈당)",IF(E889&gt;=설정!$C$18,"긴급(고혈당)",IF(F889="공복",IF(E889&gt;=설정!$C$15,"주의","정상"),IF(F889="식후",IF(E889&gt;=설정!$C$16,"주의","정상"),"조건확인")))))))</f>
        <v/>
      </c>
      <c r="K889" s="25" t="str">
        <f aca="false">IF(OR(I889="긴급",LEFT(J889,2)="긴급"),"★ 즉시 선생님 호출",IF(OR(I889="주의",J889="주의"),"결과상담에서 확인",IF(J889="조건확인","혈당조건(공복/식후) 선택","")))</f>
        <v/>
      </c>
      <c r="L889" s="25" t="str">
        <f aca="false">IF($B889="","",IF(COUNTIF($B$5:$B$1004,$B889)&gt;1,"중복 입력",""))</f>
        <v/>
      </c>
    </row>
    <row r="890" customFormat="false" ht="15" hidden="false" customHeight="false" outlineLevel="0" collapsed="false">
      <c r="A890" s="23"/>
      <c r="B890" s="24"/>
      <c r="C890" s="24"/>
      <c r="D890" s="24"/>
      <c r="E890" s="24"/>
      <c r="F890" s="24"/>
      <c r="G890" s="24"/>
      <c r="H890" s="25" t="str">
        <f aca="false">IF($B890="","",IFERROR(IF(INDEX(명단!$B$5:$B$404,MATCH($B890,명단!$A$5:$A$404,0))="","(이름 미입력)",INDEX(명단!$B$5:$B$404,MATCH($B890,명단!$A$5:$A$404,0))),"번호 없음"))</f>
        <v/>
      </c>
      <c r="I890" s="25" t="str">
        <f aca="false">IF(AND(C890="",D890=""),"",IF(OR(C890="-",D890="-"),"측정불가",IF(AND(ISNUMBER(C890),ISNUMBER(D890)),IF(OR(C890&gt;=설정!$C$11,D890&gt;=설정!$C$12),"긴급",IF(OR(C890&gt;=설정!$C$9,D890&gt;=설정!$C$10,C890&lt;설정!$C$13),"주의","정상")),"확인필요")))</f>
        <v/>
      </c>
      <c r="J890" s="25" t="str">
        <f aca="false">IF(E890="","",IF(E890="-","측정불가",IF(NOT(ISNUMBER(E890)),"확인필요",IF(E890&lt;설정!$C$17,"긴급(저혈당)",IF(E890&gt;=설정!$C$18,"긴급(고혈당)",IF(F890="공복",IF(E890&gt;=설정!$C$15,"주의","정상"),IF(F890="식후",IF(E890&gt;=설정!$C$16,"주의","정상"),"조건확인")))))))</f>
        <v/>
      </c>
      <c r="K890" s="25" t="str">
        <f aca="false">IF(OR(I890="긴급",LEFT(J890,2)="긴급"),"★ 즉시 선생님 호출",IF(OR(I890="주의",J890="주의"),"결과상담에서 확인",IF(J890="조건확인","혈당조건(공복/식후) 선택","")))</f>
        <v/>
      </c>
      <c r="L890" s="25" t="str">
        <f aca="false">IF($B890="","",IF(COUNTIF($B$5:$B$1004,$B890)&gt;1,"중복 입력",""))</f>
        <v/>
      </c>
    </row>
    <row r="891" customFormat="false" ht="15" hidden="false" customHeight="false" outlineLevel="0" collapsed="false">
      <c r="A891" s="23"/>
      <c r="B891" s="24"/>
      <c r="C891" s="24"/>
      <c r="D891" s="24"/>
      <c r="E891" s="24"/>
      <c r="F891" s="24"/>
      <c r="G891" s="24"/>
      <c r="H891" s="25" t="str">
        <f aca="false">IF($B891="","",IFERROR(IF(INDEX(명단!$B$5:$B$404,MATCH($B891,명단!$A$5:$A$404,0))="","(이름 미입력)",INDEX(명단!$B$5:$B$404,MATCH($B891,명단!$A$5:$A$404,0))),"번호 없음"))</f>
        <v/>
      </c>
      <c r="I891" s="25" t="str">
        <f aca="false">IF(AND(C891="",D891=""),"",IF(OR(C891="-",D891="-"),"측정불가",IF(AND(ISNUMBER(C891),ISNUMBER(D891)),IF(OR(C891&gt;=설정!$C$11,D891&gt;=설정!$C$12),"긴급",IF(OR(C891&gt;=설정!$C$9,D891&gt;=설정!$C$10,C891&lt;설정!$C$13),"주의","정상")),"확인필요")))</f>
        <v/>
      </c>
      <c r="J891" s="25" t="str">
        <f aca="false">IF(E891="","",IF(E891="-","측정불가",IF(NOT(ISNUMBER(E891)),"확인필요",IF(E891&lt;설정!$C$17,"긴급(저혈당)",IF(E891&gt;=설정!$C$18,"긴급(고혈당)",IF(F891="공복",IF(E891&gt;=설정!$C$15,"주의","정상"),IF(F891="식후",IF(E891&gt;=설정!$C$16,"주의","정상"),"조건확인")))))))</f>
        <v/>
      </c>
      <c r="K891" s="25" t="str">
        <f aca="false">IF(OR(I891="긴급",LEFT(J891,2)="긴급"),"★ 즉시 선생님 호출",IF(OR(I891="주의",J891="주의"),"결과상담에서 확인",IF(J891="조건확인","혈당조건(공복/식후) 선택","")))</f>
        <v/>
      </c>
      <c r="L891" s="25" t="str">
        <f aca="false">IF($B891="","",IF(COUNTIF($B$5:$B$1004,$B891)&gt;1,"중복 입력",""))</f>
        <v/>
      </c>
    </row>
    <row r="892" customFormat="false" ht="15" hidden="false" customHeight="false" outlineLevel="0" collapsed="false">
      <c r="A892" s="23"/>
      <c r="B892" s="24"/>
      <c r="C892" s="24"/>
      <c r="D892" s="24"/>
      <c r="E892" s="24"/>
      <c r="F892" s="24"/>
      <c r="G892" s="24"/>
      <c r="H892" s="25" t="str">
        <f aca="false">IF($B892="","",IFERROR(IF(INDEX(명단!$B$5:$B$404,MATCH($B892,명단!$A$5:$A$404,0))="","(이름 미입력)",INDEX(명단!$B$5:$B$404,MATCH($B892,명단!$A$5:$A$404,0))),"번호 없음"))</f>
        <v/>
      </c>
      <c r="I892" s="25" t="str">
        <f aca="false">IF(AND(C892="",D892=""),"",IF(OR(C892="-",D892="-"),"측정불가",IF(AND(ISNUMBER(C892),ISNUMBER(D892)),IF(OR(C892&gt;=설정!$C$11,D892&gt;=설정!$C$12),"긴급",IF(OR(C892&gt;=설정!$C$9,D892&gt;=설정!$C$10,C892&lt;설정!$C$13),"주의","정상")),"확인필요")))</f>
        <v/>
      </c>
      <c r="J892" s="25" t="str">
        <f aca="false">IF(E892="","",IF(E892="-","측정불가",IF(NOT(ISNUMBER(E892)),"확인필요",IF(E892&lt;설정!$C$17,"긴급(저혈당)",IF(E892&gt;=설정!$C$18,"긴급(고혈당)",IF(F892="공복",IF(E892&gt;=설정!$C$15,"주의","정상"),IF(F892="식후",IF(E892&gt;=설정!$C$16,"주의","정상"),"조건확인")))))))</f>
        <v/>
      </c>
      <c r="K892" s="25" t="str">
        <f aca="false">IF(OR(I892="긴급",LEFT(J892,2)="긴급"),"★ 즉시 선생님 호출",IF(OR(I892="주의",J892="주의"),"결과상담에서 확인",IF(J892="조건확인","혈당조건(공복/식후) 선택","")))</f>
        <v/>
      </c>
      <c r="L892" s="25" t="str">
        <f aca="false">IF($B892="","",IF(COUNTIF($B$5:$B$1004,$B892)&gt;1,"중복 입력",""))</f>
        <v/>
      </c>
    </row>
    <row r="893" customFormat="false" ht="15" hidden="false" customHeight="false" outlineLevel="0" collapsed="false">
      <c r="A893" s="23"/>
      <c r="B893" s="24"/>
      <c r="C893" s="24"/>
      <c r="D893" s="24"/>
      <c r="E893" s="24"/>
      <c r="F893" s="24"/>
      <c r="G893" s="24"/>
      <c r="H893" s="25" t="str">
        <f aca="false">IF($B893="","",IFERROR(IF(INDEX(명단!$B$5:$B$404,MATCH($B893,명단!$A$5:$A$404,0))="","(이름 미입력)",INDEX(명단!$B$5:$B$404,MATCH($B893,명단!$A$5:$A$404,0))),"번호 없음"))</f>
        <v/>
      </c>
      <c r="I893" s="25" t="str">
        <f aca="false">IF(AND(C893="",D893=""),"",IF(OR(C893="-",D893="-"),"측정불가",IF(AND(ISNUMBER(C893),ISNUMBER(D893)),IF(OR(C893&gt;=설정!$C$11,D893&gt;=설정!$C$12),"긴급",IF(OR(C893&gt;=설정!$C$9,D893&gt;=설정!$C$10,C893&lt;설정!$C$13),"주의","정상")),"확인필요")))</f>
        <v/>
      </c>
      <c r="J893" s="25" t="str">
        <f aca="false">IF(E893="","",IF(E893="-","측정불가",IF(NOT(ISNUMBER(E893)),"확인필요",IF(E893&lt;설정!$C$17,"긴급(저혈당)",IF(E893&gt;=설정!$C$18,"긴급(고혈당)",IF(F893="공복",IF(E893&gt;=설정!$C$15,"주의","정상"),IF(F893="식후",IF(E893&gt;=설정!$C$16,"주의","정상"),"조건확인")))))))</f>
        <v/>
      </c>
      <c r="K893" s="25" t="str">
        <f aca="false">IF(OR(I893="긴급",LEFT(J893,2)="긴급"),"★ 즉시 선생님 호출",IF(OR(I893="주의",J893="주의"),"결과상담에서 확인",IF(J893="조건확인","혈당조건(공복/식후) 선택","")))</f>
        <v/>
      </c>
      <c r="L893" s="25" t="str">
        <f aca="false">IF($B893="","",IF(COUNTIF($B$5:$B$1004,$B893)&gt;1,"중복 입력",""))</f>
        <v/>
      </c>
    </row>
    <row r="894" customFormat="false" ht="15" hidden="false" customHeight="false" outlineLevel="0" collapsed="false">
      <c r="A894" s="23"/>
      <c r="B894" s="24"/>
      <c r="C894" s="24"/>
      <c r="D894" s="24"/>
      <c r="E894" s="24"/>
      <c r="F894" s="24"/>
      <c r="G894" s="24"/>
      <c r="H894" s="25" t="str">
        <f aca="false">IF($B894="","",IFERROR(IF(INDEX(명단!$B$5:$B$404,MATCH($B894,명단!$A$5:$A$404,0))="","(이름 미입력)",INDEX(명단!$B$5:$B$404,MATCH($B894,명단!$A$5:$A$404,0))),"번호 없음"))</f>
        <v/>
      </c>
      <c r="I894" s="25" t="str">
        <f aca="false">IF(AND(C894="",D894=""),"",IF(OR(C894="-",D894="-"),"측정불가",IF(AND(ISNUMBER(C894),ISNUMBER(D894)),IF(OR(C894&gt;=설정!$C$11,D894&gt;=설정!$C$12),"긴급",IF(OR(C894&gt;=설정!$C$9,D894&gt;=설정!$C$10,C894&lt;설정!$C$13),"주의","정상")),"확인필요")))</f>
        <v/>
      </c>
      <c r="J894" s="25" t="str">
        <f aca="false">IF(E894="","",IF(E894="-","측정불가",IF(NOT(ISNUMBER(E894)),"확인필요",IF(E894&lt;설정!$C$17,"긴급(저혈당)",IF(E894&gt;=설정!$C$18,"긴급(고혈당)",IF(F894="공복",IF(E894&gt;=설정!$C$15,"주의","정상"),IF(F894="식후",IF(E894&gt;=설정!$C$16,"주의","정상"),"조건확인")))))))</f>
        <v/>
      </c>
      <c r="K894" s="25" t="str">
        <f aca="false">IF(OR(I894="긴급",LEFT(J894,2)="긴급"),"★ 즉시 선생님 호출",IF(OR(I894="주의",J894="주의"),"결과상담에서 확인",IF(J894="조건확인","혈당조건(공복/식후) 선택","")))</f>
        <v/>
      </c>
      <c r="L894" s="25" t="str">
        <f aca="false">IF($B894="","",IF(COUNTIF($B$5:$B$1004,$B894)&gt;1,"중복 입력",""))</f>
        <v/>
      </c>
    </row>
    <row r="895" customFormat="false" ht="15" hidden="false" customHeight="false" outlineLevel="0" collapsed="false">
      <c r="A895" s="23"/>
      <c r="B895" s="24"/>
      <c r="C895" s="24"/>
      <c r="D895" s="24"/>
      <c r="E895" s="24"/>
      <c r="F895" s="24"/>
      <c r="G895" s="24"/>
      <c r="H895" s="25" t="str">
        <f aca="false">IF($B895="","",IFERROR(IF(INDEX(명단!$B$5:$B$404,MATCH($B895,명단!$A$5:$A$404,0))="","(이름 미입력)",INDEX(명단!$B$5:$B$404,MATCH($B895,명단!$A$5:$A$404,0))),"번호 없음"))</f>
        <v/>
      </c>
      <c r="I895" s="25" t="str">
        <f aca="false">IF(AND(C895="",D895=""),"",IF(OR(C895="-",D895="-"),"측정불가",IF(AND(ISNUMBER(C895),ISNUMBER(D895)),IF(OR(C895&gt;=설정!$C$11,D895&gt;=설정!$C$12),"긴급",IF(OR(C895&gt;=설정!$C$9,D895&gt;=설정!$C$10,C895&lt;설정!$C$13),"주의","정상")),"확인필요")))</f>
        <v/>
      </c>
      <c r="J895" s="25" t="str">
        <f aca="false">IF(E895="","",IF(E895="-","측정불가",IF(NOT(ISNUMBER(E895)),"확인필요",IF(E895&lt;설정!$C$17,"긴급(저혈당)",IF(E895&gt;=설정!$C$18,"긴급(고혈당)",IF(F895="공복",IF(E895&gt;=설정!$C$15,"주의","정상"),IF(F895="식후",IF(E895&gt;=설정!$C$16,"주의","정상"),"조건확인")))))))</f>
        <v/>
      </c>
      <c r="K895" s="25" t="str">
        <f aca="false">IF(OR(I895="긴급",LEFT(J895,2)="긴급"),"★ 즉시 선생님 호출",IF(OR(I895="주의",J895="주의"),"결과상담에서 확인",IF(J895="조건확인","혈당조건(공복/식후) 선택","")))</f>
        <v/>
      </c>
      <c r="L895" s="25" t="str">
        <f aca="false">IF($B895="","",IF(COUNTIF($B$5:$B$1004,$B895)&gt;1,"중복 입력",""))</f>
        <v/>
      </c>
    </row>
    <row r="896" customFormat="false" ht="15" hidden="false" customHeight="false" outlineLevel="0" collapsed="false">
      <c r="A896" s="23"/>
      <c r="B896" s="24"/>
      <c r="C896" s="24"/>
      <c r="D896" s="24"/>
      <c r="E896" s="24"/>
      <c r="F896" s="24"/>
      <c r="G896" s="24"/>
      <c r="H896" s="25" t="str">
        <f aca="false">IF($B896="","",IFERROR(IF(INDEX(명단!$B$5:$B$404,MATCH($B896,명단!$A$5:$A$404,0))="","(이름 미입력)",INDEX(명단!$B$5:$B$404,MATCH($B896,명단!$A$5:$A$404,0))),"번호 없음"))</f>
        <v/>
      </c>
      <c r="I896" s="25" t="str">
        <f aca="false">IF(AND(C896="",D896=""),"",IF(OR(C896="-",D896="-"),"측정불가",IF(AND(ISNUMBER(C896),ISNUMBER(D896)),IF(OR(C896&gt;=설정!$C$11,D896&gt;=설정!$C$12),"긴급",IF(OR(C896&gt;=설정!$C$9,D896&gt;=설정!$C$10,C896&lt;설정!$C$13),"주의","정상")),"확인필요")))</f>
        <v/>
      </c>
      <c r="J896" s="25" t="str">
        <f aca="false">IF(E896="","",IF(E896="-","측정불가",IF(NOT(ISNUMBER(E896)),"확인필요",IF(E896&lt;설정!$C$17,"긴급(저혈당)",IF(E896&gt;=설정!$C$18,"긴급(고혈당)",IF(F896="공복",IF(E896&gt;=설정!$C$15,"주의","정상"),IF(F896="식후",IF(E896&gt;=설정!$C$16,"주의","정상"),"조건확인")))))))</f>
        <v/>
      </c>
      <c r="K896" s="25" t="str">
        <f aca="false">IF(OR(I896="긴급",LEFT(J896,2)="긴급"),"★ 즉시 선생님 호출",IF(OR(I896="주의",J896="주의"),"결과상담에서 확인",IF(J896="조건확인","혈당조건(공복/식후) 선택","")))</f>
        <v/>
      </c>
      <c r="L896" s="25" t="str">
        <f aca="false">IF($B896="","",IF(COUNTIF($B$5:$B$1004,$B896)&gt;1,"중복 입력",""))</f>
        <v/>
      </c>
    </row>
    <row r="897" customFormat="false" ht="15" hidden="false" customHeight="false" outlineLevel="0" collapsed="false">
      <c r="A897" s="23"/>
      <c r="B897" s="24"/>
      <c r="C897" s="24"/>
      <c r="D897" s="24"/>
      <c r="E897" s="24"/>
      <c r="F897" s="24"/>
      <c r="G897" s="24"/>
      <c r="H897" s="25" t="str">
        <f aca="false">IF($B897="","",IFERROR(IF(INDEX(명단!$B$5:$B$404,MATCH($B897,명단!$A$5:$A$404,0))="","(이름 미입력)",INDEX(명단!$B$5:$B$404,MATCH($B897,명단!$A$5:$A$404,0))),"번호 없음"))</f>
        <v/>
      </c>
      <c r="I897" s="25" t="str">
        <f aca="false">IF(AND(C897="",D897=""),"",IF(OR(C897="-",D897="-"),"측정불가",IF(AND(ISNUMBER(C897),ISNUMBER(D897)),IF(OR(C897&gt;=설정!$C$11,D897&gt;=설정!$C$12),"긴급",IF(OR(C897&gt;=설정!$C$9,D897&gt;=설정!$C$10,C897&lt;설정!$C$13),"주의","정상")),"확인필요")))</f>
        <v/>
      </c>
      <c r="J897" s="25" t="str">
        <f aca="false">IF(E897="","",IF(E897="-","측정불가",IF(NOT(ISNUMBER(E897)),"확인필요",IF(E897&lt;설정!$C$17,"긴급(저혈당)",IF(E897&gt;=설정!$C$18,"긴급(고혈당)",IF(F897="공복",IF(E897&gt;=설정!$C$15,"주의","정상"),IF(F897="식후",IF(E897&gt;=설정!$C$16,"주의","정상"),"조건확인")))))))</f>
        <v/>
      </c>
      <c r="K897" s="25" t="str">
        <f aca="false">IF(OR(I897="긴급",LEFT(J897,2)="긴급"),"★ 즉시 선생님 호출",IF(OR(I897="주의",J897="주의"),"결과상담에서 확인",IF(J897="조건확인","혈당조건(공복/식후) 선택","")))</f>
        <v/>
      </c>
      <c r="L897" s="25" t="str">
        <f aca="false">IF($B897="","",IF(COUNTIF($B$5:$B$1004,$B897)&gt;1,"중복 입력",""))</f>
        <v/>
      </c>
    </row>
    <row r="898" customFormat="false" ht="15" hidden="false" customHeight="false" outlineLevel="0" collapsed="false">
      <c r="A898" s="23"/>
      <c r="B898" s="24"/>
      <c r="C898" s="24"/>
      <c r="D898" s="24"/>
      <c r="E898" s="24"/>
      <c r="F898" s="24"/>
      <c r="G898" s="24"/>
      <c r="H898" s="25" t="str">
        <f aca="false">IF($B898="","",IFERROR(IF(INDEX(명단!$B$5:$B$404,MATCH($B898,명단!$A$5:$A$404,0))="","(이름 미입력)",INDEX(명단!$B$5:$B$404,MATCH($B898,명단!$A$5:$A$404,0))),"번호 없음"))</f>
        <v/>
      </c>
      <c r="I898" s="25" t="str">
        <f aca="false">IF(AND(C898="",D898=""),"",IF(OR(C898="-",D898="-"),"측정불가",IF(AND(ISNUMBER(C898),ISNUMBER(D898)),IF(OR(C898&gt;=설정!$C$11,D898&gt;=설정!$C$12),"긴급",IF(OR(C898&gt;=설정!$C$9,D898&gt;=설정!$C$10,C898&lt;설정!$C$13),"주의","정상")),"확인필요")))</f>
        <v/>
      </c>
      <c r="J898" s="25" t="str">
        <f aca="false">IF(E898="","",IF(E898="-","측정불가",IF(NOT(ISNUMBER(E898)),"확인필요",IF(E898&lt;설정!$C$17,"긴급(저혈당)",IF(E898&gt;=설정!$C$18,"긴급(고혈당)",IF(F898="공복",IF(E898&gt;=설정!$C$15,"주의","정상"),IF(F898="식후",IF(E898&gt;=설정!$C$16,"주의","정상"),"조건확인")))))))</f>
        <v/>
      </c>
      <c r="K898" s="25" t="str">
        <f aca="false">IF(OR(I898="긴급",LEFT(J898,2)="긴급"),"★ 즉시 선생님 호출",IF(OR(I898="주의",J898="주의"),"결과상담에서 확인",IF(J898="조건확인","혈당조건(공복/식후) 선택","")))</f>
        <v/>
      </c>
      <c r="L898" s="25" t="str">
        <f aca="false">IF($B898="","",IF(COUNTIF($B$5:$B$1004,$B898)&gt;1,"중복 입력",""))</f>
        <v/>
      </c>
    </row>
    <row r="899" customFormat="false" ht="15" hidden="false" customHeight="false" outlineLevel="0" collapsed="false">
      <c r="A899" s="23"/>
      <c r="B899" s="24"/>
      <c r="C899" s="24"/>
      <c r="D899" s="24"/>
      <c r="E899" s="24"/>
      <c r="F899" s="24"/>
      <c r="G899" s="24"/>
      <c r="H899" s="25" t="str">
        <f aca="false">IF($B899="","",IFERROR(IF(INDEX(명단!$B$5:$B$404,MATCH($B899,명단!$A$5:$A$404,0))="","(이름 미입력)",INDEX(명단!$B$5:$B$404,MATCH($B899,명단!$A$5:$A$404,0))),"번호 없음"))</f>
        <v/>
      </c>
      <c r="I899" s="25" t="str">
        <f aca="false">IF(AND(C899="",D899=""),"",IF(OR(C899="-",D899="-"),"측정불가",IF(AND(ISNUMBER(C899),ISNUMBER(D899)),IF(OR(C899&gt;=설정!$C$11,D899&gt;=설정!$C$12),"긴급",IF(OR(C899&gt;=설정!$C$9,D899&gt;=설정!$C$10,C899&lt;설정!$C$13),"주의","정상")),"확인필요")))</f>
        <v/>
      </c>
      <c r="J899" s="25" t="str">
        <f aca="false">IF(E899="","",IF(E899="-","측정불가",IF(NOT(ISNUMBER(E899)),"확인필요",IF(E899&lt;설정!$C$17,"긴급(저혈당)",IF(E899&gt;=설정!$C$18,"긴급(고혈당)",IF(F899="공복",IF(E899&gt;=설정!$C$15,"주의","정상"),IF(F899="식후",IF(E899&gt;=설정!$C$16,"주의","정상"),"조건확인")))))))</f>
        <v/>
      </c>
      <c r="K899" s="25" t="str">
        <f aca="false">IF(OR(I899="긴급",LEFT(J899,2)="긴급"),"★ 즉시 선생님 호출",IF(OR(I899="주의",J899="주의"),"결과상담에서 확인",IF(J899="조건확인","혈당조건(공복/식후) 선택","")))</f>
        <v/>
      </c>
      <c r="L899" s="25" t="str">
        <f aca="false">IF($B899="","",IF(COUNTIF($B$5:$B$1004,$B899)&gt;1,"중복 입력",""))</f>
        <v/>
      </c>
    </row>
    <row r="900" customFormat="false" ht="15" hidden="false" customHeight="false" outlineLevel="0" collapsed="false">
      <c r="A900" s="23"/>
      <c r="B900" s="24"/>
      <c r="C900" s="24"/>
      <c r="D900" s="24"/>
      <c r="E900" s="24"/>
      <c r="F900" s="24"/>
      <c r="G900" s="24"/>
      <c r="H900" s="25" t="str">
        <f aca="false">IF($B900="","",IFERROR(IF(INDEX(명단!$B$5:$B$404,MATCH($B900,명단!$A$5:$A$404,0))="","(이름 미입력)",INDEX(명단!$B$5:$B$404,MATCH($B900,명단!$A$5:$A$404,0))),"번호 없음"))</f>
        <v/>
      </c>
      <c r="I900" s="25" t="str">
        <f aca="false">IF(AND(C900="",D900=""),"",IF(OR(C900="-",D900="-"),"측정불가",IF(AND(ISNUMBER(C900),ISNUMBER(D900)),IF(OR(C900&gt;=설정!$C$11,D900&gt;=설정!$C$12),"긴급",IF(OR(C900&gt;=설정!$C$9,D900&gt;=설정!$C$10,C900&lt;설정!$C$13),"주의","정상")),"확인필요")))</f>
        <v/>
      </c>
      <c r="J900" s="25" t="str">
        <f aca="false">IF(E900="","",IF(E900="-","측정불가",IF(NOT(ISNUMBER(E900)),"확인필요",IF(E900&lt;설정!$C$17,"긴급(저혈당)",IF(E900&gt;=설정!$C$18,"긴급(고혈당)",IF(F900="공복",IF(E900&gt;=설정!$C$15,"주의","정상"),IF(F900="식후",IF(E900&gt;=설정!$C$16,"주의","정상"),"조건확인")))))))</f>
        <v/>
      </c>
      <c r="K900" s="25" t="str">
        <f aca="false">IF(OR(I900="긴급",LEFT(J900,2)="긴급"),"★ 즉시 선생님 호출",IF(OR(I900="주의",J900="주의"),"결과상담에서 확인",IF(J900="조건확인","혈당조건(공복/식후) 선택","")))</f>
        <v/>
      </c>
      <c r="L900" s="25" t="str">
        <f aca="false">IF($B900="","",IF(COUNTIF($B$5:$B$1004,$B900)&gt;1,"중복 입력",""))</f>
        <v/>
      </c>
    </row>
    <row r="901" customFormat="false" ht="15" hidden="false" customHeight="false" outlineLevel="0" collapsed="false">
      <c r="A901" s="23"/>
      <c r="B901" s="24"/>
      <c r="C901" s="24"/>
      <c r="D901" s="24"/>
      <c r="E901" s="24"/>
      <c r="F901" s="24"/>
      <c r="G901" s="24"/>
      <c r="H901" s="25" t="str">
        <f aca="false">IF($B901="","",IFERROR(IF(INDEX(명단!$B$5:$B$404,MATCH($B901,명단!$A$5:$A$404,0))="","(이름 미입력)",INDEX(명단!$B$5:$B$404,MATCH($B901,명단!$A$5:$A$404,0))),"번호 없음"))</f>
        <v/>
      </c>
      <c r="I901" s="25" t="str">
        <f aca="false">IF(AND(C901="",D901=""),"",IF(OR(C901="-",D901="-"),"측정불가",IF(AND(ISNUMBER(C901),ISNUMBER(D901)),IF(OR(C901&gt;=설정!$C$11,D901&gt;=설정!$C$12),"긴급",IF(OR(C901&gt;=설정!$C$9,D901&gt;=설정!$C$10,C901&lt;설정!$C$13),"주의","정상")),"확인필요")))</f>
        <v/>
      </c>
      <c r="J901" s="25" t="str">
        <f aca="false">IF(E901="","",IF(E901="-","측정불가",IF(NOT(ISNUMBER(E901)),"확인필요",IF(E901&lt;설정!$C$17,"긴급(저혈당)",IF(E901&gt;=설정!$C$18,"긴급(고혈당)",IF(F901="공복",IF(E901&gt;=설정!$C$15,"주의","정상"),IF(F901="식후",IF(E901&gt;=설정!$C$16,"주의","정상"),"조건확인")))))))</f>
        <v/>
      </c>
      <c r="K901" s="25" t="str">
        <f aca="false">IF(OR(I901="긴급",LEFT(J901,2)="긴급"),"★ 즉시 선생님 호출",IF(OR(I901="주의",J901="주의"),"결과상담에서 확인",IF(J901="조건확인","혈당조건(공복/식후) 선택","")))</f>
        <v/>
      </c>
      <c r="L901" s="25" t="str">
        <f aca="false">IF($B901="","",IF(COUNTIF($B$5:$B$1004,$B901)&gt;1,"중복 입력",""))</f>
        <v/>
      </c>
    </row>
    <row r="902" customFormat="false" ht="15" hidden="false" customHeight="false" outlineLevel="0" collapsed="false">
      <c r="A902" s="23"/>
      <c r="B902" s="24"/>
      <c r="C902" s="24"/>
      <c r="D902" s="24"/>
      <c r="E902" s="24"/>
      <c r="F902" s="24"/>
      <c r="G902" s="24"/>
      <c r="H902" s="25" t="str">
        <f aca="false">IF($B902="","",IFERROR(IF(INDEX(명단!$B$5:$B$404,MATCH($B902,명단!$A$5:$A$404,0))="","(이름 미입력)",INDEX(명단!$B$5:$B$404,MATCH($B902,명단!$A$5:$A$404,0))),"번호 없음"))</f>
        <v/>
      </c>
      <c r="I902" s="25" t="str">
        <f aca="false">IF(AND(C902="",D902=""),"",IF(OR(C902="-",D902="-"),"측정불가",IF(AND(ISNUMBER(C902),ISNUMBER(D902)),IF(OR(C902&gt;=설정!$C$11,D902&gt;=설정!$C$12),"긴급",IF(OR(C902&gt;=설정!$C$9,D902&gt;=설정!$C$10,C902&lt;설정!$C$13),"주의","정상")),"확인필요")))</f>
        <v/>
      </c>
      <c r="J902" s="25" t="str">
        <f aca="false">IF(E902="","",IF(E902="-","측정불가",IF(NOT(ISNUMBER(E902)),"확인필요",IF(E902&lt;설정!$C$17,"긴급(저혈당)",IF(E902&gt;=설정!$C$18,"긴급(고혈당)",IF(F902="공복",IF(E902&gt;=설정!$C$15,"주의","정상"),IF(F902="식후",IF(E902&gt;=설정!$C$16,"주의","정상"),"조건확인")))))))</f>
        <v/>
      </c>
      <c r="K902" s="25" t="str">
        <f aca="false">IF(OR(I902="긴급",LEFT(J902,2)="긴급"),"★ 즉시 선생님 호출",IF(OR(I902="주의",J902="주의"),"결과상담에서 확인",IF(J902="조건확인","혈당조건(공복/식후) 선택","")))</f>
        <v/>
      </c>
      <c r="L902" s="25" t="str">
        <f aca="false">IF($B902="","",IF(COUNTIF($B$5:$B$1004,$B902)&gt;1,"중복 입력",""))</f>
        <v/>
      </c>
    </row>
    <row r="903" customFormat="false" ht="15" hidden="false" customHeight="false" outlineLevel="0" collapsed="false">
      <c r="A903" s="23"/>
      <c r="B903" s="24"/>
      <c r="C903" s="24"/>
      <c r="D903" s="24"/>
      <c r="E903" s="24"/>
      <c r="F903" s="24"/>
      <c r="G903" s="24"/>
      <c r="H903" s="25" t="str">
        <f aca="false">IF($B903="","",IFERROR(IF(INDEX(명단!$B$5:$B$404,MATCH($B903,명단!$A$5:$A$404,0))="","(이름 미입력)",INDEX(명단!$B$5:$B$404,MATCH($B903,명단!$A$5:$A$404,0))),"번호 없음"))</f>
        <v/>
      </c>
      <c r="I903" s="25" t="str">
        <f aca="false">IF(AND(C903="",D903=""),"",IF(OR(C903="-",D903="-"),"측정불가",IF(AND(ISNUMBER(C903),ISNUMBER(D903)),IF(OR(C903&gt;=설정!$C$11,D903&gt;=설정!$C$12),"긴급",IF(OR(C903&gt;=설정!$C$9,D903&gt;=설정!$C$10,C903&lt;설정!$C$13),"주의","정상")),"확인필요")))</f>
        <v/>
      </c>
      <c r="J903" s="25" t="str">
        <f aca="false">IF(E903="","",IF(E903="-","측정불가",IF(NOT(ISNUMBER(E903)),"확인필요",IF(E903&lt;설정!$C$17,"긴급(저혈당)",IF(E903&gt;=설정!$C$18,"긴급(고혈당)",IF(F903="공복",IF(E903&gt;=설정!$C$15,"주의","정상"),IF(F903="식후",IF(E903&gt;=설정!$C$16,"주의","정상"),"조건확인")))))))</f>
        <v/>
      </c>
      <c r="K903" s="25" t="str">
        <f aca="false">IF(OR(I903="긴급",LEFT(J903,2)="긴급"),"★ 즉시 선생님 호출",IF(OR(I903="주의",J903="주의"),"결과상담에서 확인",IF(J903="조건확인","혈당조건(공복/식후) 선택","")))</f>
        <v/>
      </c>
      <c r="L903" s="25" t="str">
        <f aca="false">IF($B903="","",IF(COUNTIF($B$5:$B$1004,$B903)&gt;1,"중복 입력",""))</f>
        <v/>
      </c>
    </row>
    <row r="904" customFormat="false" ht="15" hidden="false" customHeight="false" outlineLevel="0" collapsed="false">
      <c r="A904" s="23"/>
      <c r="B904" s="24"/>
      <c r="C904" s="24"/>
      <c r="D904" s="24"/>
      <c r="E904" s="24"/>
      <c r="F904" s="24"/>
      <c r="G904" s="24"/>
      <c r="H904" s="25" t="str">
        <f aca="false">IF($B904="","",IFERROR(IF(INDEX(명단!$B$5:$B$404,MATCH($B904,명단!$A$5:$A$404,0))="","(이름 미입력)",INDEX(명단!$B$5:$B$404,MATCH($B904,명단!$A$5:$A$404,0))),"번호 없음"))</f>
        <v/>
      </c>
      <c r="I904" s="25" t="str">
        <f aca="false">IF(AND(C904="",D904=""),"",IF(OR(C904="-",D904="-"),"측정불가",IF(AND(ISNUMBER(C904),ISNUMBER(D904)),IF(OR(C904&gt;=설정!$C$11,D904&gt;=설정!$C$12),"긴급",IF(OR(C904&gt;=설정!$C$9,D904&gt;=설정!$C$10,C904&lt;설정!$C$13),"주의","정상")),"확인필요")))</f>
        <v/>
      </c>
      <c r="J904" s="25" t="str">
        <f aca="false">IF(E904="","",IF(E904="-","측정불가",IF(NOT(ISNUMBER(E904)),"확인필요",IF(E904&lt;설정!$C$17,"긴급(저혈당)",IF(E904&gt;=설정!$C$18,"긴급(고혈당)",IF(F904="공복",IF(E904&gt;=설정!$C$15,"주의","정상"),IF(F904="식후",IF(E904&gt;=설정!$C$16,"주의","정상"),"조건확인")))))))</f>
        <v/>
      </c>
      <c r="K904" s="25" t="str">
        <f aca="false">IF(OR(I904="긴급",LEFT(J904,2)="긴급"),"★ 즉시 선생님 호출",IF(OR(I904="주의",J904="주의"),"결과상담에서 확인",IF(J904="조건확인","혈당조건(공복/식후) 선택","")))</f>
        <v/>
      </c>
      <c r="L904" s="25" t="str">
        <f aca="false">IF($B904="","",IF(COUNTIF($B$5:$B$1004,$B904)&gt;1,"중복 입력",""))</f>
        <v/>
      </c>
    </row>
    <row r="905" customFormat="false" ht="15" hidden="false" customHeight="false" outlineLevel="0" collapsed="false">
      <c r="A905" s="23"/>
      <c r="B905" s="24"/>
      <c r="C905" s="24"/>
      <c r="D905" s="24"/>
      <c r="E905" s="24"/>
      <c r="F905" s="24"/>
      <c r="G905" s="24"/>
      <c r="H905" s="25" t="str">
        <f aca="false">IF($B905="","",IFERROR(IF(INDEX(명단!$B$5:$B$404,MATCH($B905,명단!$A$5:$A$404,0))="","(이름 미입력)",INDEX(명단!$B$5:$B$404,MATCH($B905,명단!$A$5:$A$404,0))),"번호 없음"))</f>
        <v/>
      </c>
      <c r="I905" s="25" t="str">
        <f aca="false">IF(AND(C905="",D905=""),"",IF(OR(C905="-",D905="-"),"측정불가",IF(AND(ISNUMBER(C905),ISNUMBER(D905)),IF(OR(C905&gt;=설정!$C$11,D905&gt;=설정!$C$12),"긴급",IF(OR(C905&gt;=설정!$C$9,D905&gt;=설정!$C$10,C905&lt;설정!$C$13),"주의","정상")),"확인필요")))</f>
        <v/>
      </c>
      <c r="J905" s="25" t="str">
        <f aca="false">IF(E905="","",IF(E905="-","측정불가",IF(NOT(ISNUMBER(E905)),"확인필요",IF(E905&lt;설정!$C$17,"긴급(저혈당)",IF(E905&gt;=설정!$C$18,"긴급(고혈당)",IF(F905="공복",IF(E905&gt;=설정!$C$15,"주의","정상"),IF(F905="식후",IF(E905&gt;=설정!$C$16,"주의","정상"),"조건확인")))))))</f>
        <v/>
      </c>
      <c r="K905" s="25" t="str">
        <f aca="false">IF(OR(I905="긴급",LEFT(J905,2)="긴급"),"★ 즉시 선생님 호출",IF(OR(I905="주의",J905="주의"),"결과상담에서 확인",IF(J905="조건확인","혈당조건(공복/식후) 선택","")))</f>
        <v/>
      </c>
      <c r="L905" s="25" t="str">
        <f aca="false">IF($B905="","",IF(COUNTIF($B$5:$B$1004,$B905)&gt;1,"중복 입력",""))</f>
        <v/>
      </c>
    </row>
    <row r="906" customFormat="false" ht="15" hidden="false" customHeight="false" outlineLevel="0" collapsed="false">
      <c r="A906" s="23"/>
      <c r="B906" s="24"/>
      <c r="C906" s="24"/>
      <c r="D906" s="24"/>
      <c r="E906" s="24"/>
      <c r="F906" s="24"/>
      <c r="G906" s="24"/>
      <c r="H906" s="25" t="str">
        <f aca="false">IF($B906="","",IFERROR(IF(INDEX(명단!$B$5:$B$404,MATCH($B906,명단!$A$5:$A$404,0))="","(이름 미입력)",INDEX(명단!$B$5:$B$404,MATCH($B906,명단!$A$5:$A$404,0))),"번호 없음"))</f>
        <v/>
      </c>
      <c r="I906" s="25" t="str">
        <f aca="false">IF(AND(C906="",D906=""),"",IF(OR(C906="-",D906="-"),"측정불가",IF(AND(ISNUMBER(C906),ISNUMBER(D906)),IF(OR(C906&gt;=설정!$C$11,D906&gt;=설정!$C$12),"긴급",IF(OR(C906&gt;=설정!$C$9,D906&gt;=설정!$C$10,C906&lt;설정!$C$13),"주의","정상")),"확인필요")))</f>
        <v/>
      </c>
      <c r="J906" s="25" t="str">
        <f aca="false">IF(E906="","",IF(E906="-","측정불가",IF(NOT(ISNUMBER(E906)),"확인필요",IF(E906&lt;설정!$C$17,"긴급(저혈당)",IF(E906&gt;=설정!$C$18,"긴급(고혈당)",IF(F906="공복",IF(E906&gt;=설정!$C$15,"주의","정상"),IF(F906="식후",IF(E906&gt;=설정!$C$16,"주의","정상"),"조건확인")))))))</f>
        <v/>
      </c>
      <c r="K906" s="25" t="str">
        <f aca="false">IF(OR(I906="긴급",LEFT(J906,2)="긴급"),"★ 즉시 선생님 호출",IF(OR(I906="주의",J906="주의"),"결과상담에서 확인",IF(J906="조건확인","혈당조건(공복/식후) 선택","")))</f>
        <v/>
      </c>
      <c r="L906" s="25" t="str">
        <f aca="false">IF($B906="","",IF(COUNTIF($B$5:$B$1004,$B906)&gt;1,"중복 입력",""))</f>
        <v/>
      </c>
    </row>
    <row r="907" customFormat="false" ht="15" hidden="false" customHeight="false" outlineLevel="0" collapsed="false">
      <c r="A907" s="23"/>
      <c r="B907" s="24"/>
      <c r="C907" s="24"/>
      <c r="D907" s="24"/>
      <c r="E907" s="24"/>
      <c r="F907" s="24"/>
      <c r="G907" s="24"/>
      <c r="H907" s="25" t="str">
        <f aca="false">IF($B907="","",IFERROR(IF(INDEX(명단!$B$5:$B$404,MATCH($B907,명단!$A$5:$A$404,0))="","(이름 미입력)",INDEX(명단!$B$5:$B$404,MATCH($B907,명단!$A$5:$A$404,0))),"번호 없음"))</f>
        <v/>
      </c>
      <c r="I907" s="25" t="str">
        <f aca="false">IF(AND(C907="",D907=""),"",IF(OR(C907="-",D907="-"),"측정불가",IF(AND(ISNUMBER(C907),ISNUMBER(D907)),IF(OR(C907&gt;=설정!$C$11,D907&gt;=설정!$C$12),"긴급",IF(OR(C907&gt;=설정!$C$9,D907&gt;=설정!$C$10,C907&lt;설정!$C$13),"주의","정상")),"확인필요")))</f>
        <v/>
      </c>
      <c r="J907" s="25" t="str">
        <f aca="false">IF(E907="","",IF(E907="-","측정불가",IF(NOT(ISNUMBER(E907)),"확인필요",IF(E907&lt;설정!$C$17,"긴급(저혈당)",IF(E907&gt;=설정!$C$18,"긴급(고혈당)",IF(F907="공복",IF(E907&gt;=설정!$C$15,"주의","정상"),IF(F907="식후",IF(E907&gt;=설정!$C$16,"주의","정상"),"조건확인")))))))</f>
        <v/>
      </c>
      <c r="K907" s="25" t="str">
        <f aca="false">IF(OR(I907="긴급",LEFT(J907,2)="긴급"),"★ 즉시 선생님 호출",IF(OR(I907="주의",J907="주의"),"결과상담에서 확인",IF(J907="조건확인","혈당조건(공복/식후) 선택","")))</f>
        <v/>
      </c>
      <c r="L907" s="25" t="str">
        <f aca="false">IF($B907="","",IF(COUNTIF($B$5:$B$1004,$B907)&gt;1,"중복 입력",""))</f>
        <v/>
      </c>
    </row>
    <row r="908" customFormat="false" ht="15" hidden="false" customHeight="false" outlineLevel="0" collapsed="false">
      <c r="A908" s="23"/>
      <c r="B908" s="24"/>
      <c r="C908" s="24"/>
      <c r="D908" s="24"/>
      <c r="E908" s="24"/>
      <c r="F908" s="24"/>
      <c r="G908" s="24"/>
      <c r="H908" s="25" t="str">
        <f aca="false">IF($B908="","",IFERROR(IF(INDEX(명단!$B$5:$B$404,MATCH($B908,명단!$A$5:$A$404,0))="","(이름 미입력)",INDEX(명단!$B$5:$B$404,MATCH($B908,명단!$A$5:$A$404,0))),"번호 없음"))</f>
        <v/>
      </c>
      <c r="I908" s="25" t="str">
        <f aca="false">IF(AND(C908="",D908=""),"",IF(OR(C908="-",D908="-"),"측정불가",IF(AND(ISNUMBER(C908),ISNUMBER(D908)),IF(OR(C908&gt;=설정!$C$11,D908&gt;=설정!$C$12),"긴급",IF(OR(C908&gt;=설정!$C$9,D908&gt;=설정!$C$10,C908&lt;설정!$C$13),"주의","정상")),"확인필요")))</f>
        <v/>
      </c>
      <c r="J908" s="25" t="str">
        <f aca="false">IF(E908="","",IF(E908="-","측정불가",IF(NOT(ISNUMBER(E908)),"확인필요",IF(E908&lt;설정!$C$17,"긴급(저혈당)",IF(E908&gt;=설정!$C$18,"긴급(고혈당)",IF(F908="공복",IF(E908&gt;=설정!$C$15,"주의","정상"),IF(F908="식후",IF(E908&gt;=설정!$C$16,"주의","정상"),"조건확인")))))))</f>
        <v/>
      </c>
      <c r="K908" s="25" t="str">
        <f aca="false">IF(OR(I908="긴급",LEFT(J908,2)="긴급"),"★ 즉시 선생님 호출",IF(OR(I908="주의",J908="주의"),"결과상담에서 확인",IF(J908="조건확인","혈당조건(공복/식후) 선택","")))</f>
        <v/>
      </c>
      <c r="L908" s="25" t="str">
        <f aca="false">IF($B908="","",IF(COUNTIF($B$5:$B$1004,$B908)&gt;1,"중복 입력",""))</f>
        <v/>
      </c>
    </row>
    <row r="909" customFormat="false" ht="15" hidden="false" customHeight="false" outlineLevel="0" collapsed="false">
      <c r="A909" s="23"/>
      <c r="B909" s="24"/>
      <c r="C909" s="24"/>
      <c r="D909" s="24"/>
      <c r="E909" s="24"/>
      <c r="F909" s="24"/>
      <c r="G909" s="24"/>
      <c r="H909" s="25" t="str">
        <f aca="false">IF($B909="","",IFERROR(IF(INDEX(명단!$B$5:$B$404,MATCH($B909,명단!$A$5:$A$404,0))="","(이름 미입력)",INDEX(명단!$B$5:$B$404,MATCH($B909,명단!$A$5:$A$404,0))),"번호 없음"))</f>
        <v/>
      </c>
      <c r="I909" s="25" t="str">
        <f aca="false">IF(AND(C909="",D909=""),"",IF(OR(C909="-",D909="-"),"측정불가",IF(AND(ISNUMBER(C909),ISNUMBER(D909)),IF(OR(C909&gt;=설정!$C$11,D909&gt;=설정!$C$12),"긴급",IF(OR(C909&gt;=설정!$C$9,D909&gt;=설정!$C$10,C909&lt;설정!$C$13),"주의","정상")),"확인필요")))</f>
        <v/>
      </c>
      <c r="J909" s="25" t="str">
        <f aca="false">IF(E909="","",IF(E909="-","측정불가",IF(NOT(ISNUMBER(E909)),"확인필요",IF(E909&lt;설정!$C$17,"긴급(저혈당)",IF(E909&gt;=설정!$C$18,"긴급(고혈당)",IF(F909="공복",IF(E909&gt;=설정!$C$15,"주의","정상"),IF(F909="식후",IF(E909&gt;=설정!$C$16,"주의","정상"),"조건확인")))))))</f>
        <v/>
      </c>
      <c r="K909" s="25" t="str">
        <f aca="false">IF(OR(I909="긴급",LEFT(J909,2)="긴급"),"★ 즉시 선생님 호출",IF(OR(I909="주의",J909="주의"),"결과상담에서 확인",IF(J909="조건확인","혈당조건(공복/식후) 선택","")))</f>
        <v/>
      </c>
      <c r="L909" s="25" t="str">
        <f aca="false">IF($B909="","",IF(COUNTIF($B$5:$B$1004,$B909)&gt;1,"중복 입력",""))</f>
        <v/>
      </c>
    </row>
    <row r="910" customFormat="false" ht="15" hidden="false" customHeight="false" outlineLevel="0" collapsed="false">
      <c r="A910" s="23"/>
      <c r="B910" s="24"/>
      <c r="C910" s="24"/>
      <c r="D910" s="24"/>
      <c r="E910" s="24"/>
      <c r="F910" s="24"/>
      <c r="G910" s="24"/>
      <c r="H910" s="25" t="str">
        <f aca="false">IF($B910="","",IFERROR(IF(INDEX(명단!$B$5:$B$404,MATCH($B910,명단!$A$5:$A$404,0))="","(이름 미입력)",INDEX(명단!$B$5:$B$404,MATCH($B910,명단!$A$5:$A$404,0))),"번호 없음"))</f>
        <v/>
      </c>
      <c r="I910" s="25" t="str">
        <f aca="false">IF(AND(C910="",D910=""),"",IF(OR(C910="-",D910="-"),"측정불가",IF(AND(ISNUMBER(C910),ISNUMBER(D910)),IF(OR(C910&gt;=설정!$C$11,D910&gt;=설정!$C$12),"긴급",IF(OR(C910&gt;=설정!$C$9,D910&gt;=설정!$C$10,C910&lt;설정!$C$13),"주의","정상")),"확인필요")))</f>
        <v/>
      </c>
      <c r="J910" s="25" t="str">
        <f aca="false">IF(E910="","",IF(E910="-","측정불가",IF(NOT(ISNUMBER(E910)),"확인필요",IF(E910&lt;설정!$C$17,"긴급(저혈당)",IF(E910&gt;=설정!$C$18,"긴급(고혈당)",IF(F910="공복",IF(E910&gt;=설정!$C$15,"주의","정상"),IF(F910="식후",IF(E910&gt;=설정!$C$16,"주의","정상"),"조건확인")))))))</f>
        <v/>
      </c>
      <c r="K910" s="25" t="str">
        <f aca="false">IF(OR(I910="긴급",LEFT(J910,2)="긴급"),"★ 즉시 선생님 호출",IF(OR(I910="주의",J910="주의"),"결과상담에서 확인",IF(J910="조건확인","혈당조건(공복/식후) 선택","")))</f>
        <v/>
      </c>
      <c r="L910" s="25" t="str">
        <f aca="false">IF($B910="","",IF(COUNTIF($B$5:$B$1004,$B910)&gt;1,"중복 입력",""))</f>
        <v/>
      </c>
    </row>
    <row r="911" customFormat="false" ht="15" hidden="false" customHeight="false" outlineLevel="0" collapsed="false">
      <c r="A911" s="23"/>
      <c r="B911" s="24"/>
      <c r="C911" s="24"/>
      <c r="D911" s="24"/>
      <c r="E911" s="24"/>
      <c r="F911" s="24"/>
      <c r="G911" s="24"/>
      <c r="H911" s="25" t="str">
        <f aca="false">IF($B911="","",IFERROR(IF(INDEX(명단!$B$5:$B$404,MATCH($B911,명단!$A$5:$A$404,0))="","(이름 미입력)",INDEX(명단!$B$5:$B$404,MATCH($B911,명단!$A$5:$A$404,0))),"번호 없음"))</f>
        <v/>
      </c>
      <c r="I911" s="25" t="str">
        <f aca="false">IF(AND(C911="",D911=""),"",IF(OR(C911="-",D911="-"),"측정불가",IF(AND(ISNUMBER(C911),ISNUMBER(D911)),IF(OR(C911&gt;=설정!$C$11,D911&gt;=설정!$C$12),"긴급",IF(OR(C911&gt;=설정!$C$9,D911&gt;=설정!$C$10,C911&lt;설정!$C$13),"주의","정상")),"확인필요")))</f>
        <v/>
      </c>
      <c r="J911" s="25" t="str">
        <f aca="false">IF(E911="","",IF(E911="-","측정불가",IF(NOT(ISNUMBER(E911)),"확인필요",IF(E911&lt;설정!$C$17,"긴급(저혈당)",IF(E911&gt;=설정!$C$18,"긴급(고혈당)",IF(F911="공복",IF(E911&gt;=설정!$C$15,"주의","정상"),IF(F911="식후",IF(E911&gt;=설정!$C$16,"주의","정상"),"조건확인")))))))</f>
        <v/>
      </c>
      <c r="K911" s="25" t="str">
        <f aca="false">IF(OR(I911="긴급",LEFT(J911,2)="긴급"),"★ 즉시 선생님 호출",IF(OR(I911="주의",J911="주의"),"결과상담에서 확인",IF(J911="조건확인","혈당조건(공복/식후) 선택","")))</f>
        <v/>
      </c>
      <c r="L911" s="25" t="str">
        <f aca="false">IF($B911="","",IF(COUNTIF($B$5:$B$1004,$B911)&gt;1,"중복 입력",""))</f>
        <v/>
      </c>
    </row>
    <row r="912" customFormat="false" ht="15" hidden="false" customHeight="false" outlineLevel="0" collapsed="false">
      <c r="A912" s="23"/>
      <c r="B912" s="24"/>
      <c r="C912" s="24"/>
      <c r="D912" s="24"/>
      <c r="E912" s="24"/>
      <c r="F912" s="24"/>
      <c r="G912" s="24"/>
      <c r="H912" s="25" t="str">
        <f aca="false">IF($B912="","",IFERROR(IF(INDEX(명단!$B$5:$B$404,MATCH($B912,명단!$A$5:$A$404,0))="","(이름 미입력)",INDEX(명단!$B$5:$B$404,MATCH($B912,명단!$A$5:$A$404,0))),"번호 없음"))</f>
        <v/>
      </c>
      <c r="I912" s="25" t="str">
        <f aca="false">IF(AND(C912="",D912=""),"",IF(OR(C912="-",D912="-"),"측정불가",IF(AND(ISNUMBER(C912),ISNUMBER(D912)),IF(OR(C912&gt;=설정!$C$11,D912&gt;=설정!$C$12),"긴급",IF(OR(C912&gt;=설정!$C$9,D912&gt;=설정!$C$10,C912&lt;설정!$C$13),"주의","정상")),"확인필요")))</f>
        <v/>
      </c>
      <c r="J912" s="25" t="str">
        <f aca="false">IF(E912="","",IF(E912="-","측정불가",IF(NOT(ISNUMBER(E912)),"확인필요",IF(E912&lt;설정!$C$17,"긴급(저혈당)",IF(E912&gt;=설정!$C$18,"긴급(고혈당)",IF(F912="공복",IF(E912&gt;=설정!$C$15,"주의","정상"),IF(F912="식후",IF(E912&gt;=설정!$C$16,"주의","정상"),"조건확인")))))))</f>
        <v/>
      </c>
      <c r="K912" s="25" t="str">
        <f aca="false">IF(OR(I912="긴급",LEFT(J912,2)="긴급"),"★ 즉시 선생님 호출",IF(OR(I912="주의",J912="주의"),"결과상담에서 확인",IF(J912="조건확인","혈당조건(공복/식후) 선택","")))</f>
        <v/>
      </c>
      <c r="L912" s="25" t="str">
        <f aca="false">IF($B912="","",IF(COUNTIF($B$5:$B$1004,$B912)&gt;1,"중복 입력",""))</f>
        <v/>
      </c>
    </row>
    <row r="913" customFormat="false" ht="15" hidden="false" customHeight="false" outlineLevel="0" collapsed="false">
      <c r="A913" s="23"/>
      <c r="B913" s="24"/>
      <c r="C913" s="24"/>
      <c r="D913" s="24"/>
      <c r="E913" s="24"/>
      <c r="F913" s="24"/>
      <c r="G913" s="24"/>
      <c r="H913" s="25" t="str">
        <f aca="false">IF($B913="","",IFERROR(IF(INDEX(명단!$B$5:$B$404,MATCH($B913,명단!$A$5:$A$404,0))="","(이름 미입력)",INDEX(명단!$B$5:$B$404,MATCH($B913,명단!$A$5:$A$404,0))),"번호 없음"))</f>
        <v/>
      </c>
      <c r="I913" s="25" t="str">
        <f aca="false">IF(AND(C913="",D913=""),"",IF(OR(C913="-",D913="-"),"측정불가",IF(AND(ISNUMBER(C913),ISNUMBER(D913)),IF(OR(C913&gt;=설정!$C$11,D913&gt;=설정!$C$12),"긴급",IF(OR(C913&gt;=설정!$C$9,D913&gt;=설정!$C$10,C913&lt;설정!$C$13),"주의","정상")),"확인필요")))</f>
        <v/>
      </c>
      <c r="J913" s="25" t="str">
        <f aca="false">IF(E913="","",IF(E913="-","측정불가",IF(NOT(ISNUMBER(E913)),"확인필요",IF(E913&lt;설정!$C$17,"긴급(저혈당)",IF(E913&gt;=설정!$C$18,"긴급(고혈당)",IF(F913="공복",IF(E913&gt;=설정!$C$15,"주의","정상"),IF(F913="식후",IF(E913&gt;=설정!$C$16,"주의","정상"),"조건확인")))))))</f>
        <v/>
      </c>
      <c r="K913" s="25" t="str">
        <f aca="false">IF(OR(I913="긴급",LEFT(J913,2)="긴급"),"★ 즉시 선생님 호출",IF(OR(I913="주의",J913="주의"),"결과상담에서 확인",IF(J913="조건확인","혈당조건(공복/식후) 선택","")))</f>
        <v/>
      </c>
      <c r="L913" s="25" t="str">
        <f aca="false">IF($B913="","",IF(COUNTIF($B$5:$B$1004,$B913)&gt;1,"중복 입력",""))</f>
        <v/>
      </c>
    </row>
    <row r="914" customFormat="false" ht="15" hidden="false" customHeight="false" outlineLevel="0" collapsed="false">
      <c r="A914" s="23"/>
      <c r="B914" s="24"/>
      <c r="C914" s="24"/>
      <c r="D914" s="24"/>
      <c r="E914" s="24"/>
      <c r="F914" s="24"/>
      <c r="G914" s="24"/>
      <c r="H914" s="25" t="str">
        <f aca="false">IF($B914="","",IFERROR(IF(INDEX(명단!$B$5:$B$404,MATCH($B914,명단!$A$5:$A$404,0))="","(이름 미입력)",INDEX(명단!$B$5:$B$404,MATCH($B914,명단!$A$5:$A$404,0))),"번호 없음"))</f>
        <v/>
      </c>
      <c r="I914" s="25" t="str">
        <f aca="false">IF(AND(C914="",D914=""),"",IF(OR(C914="-",D914="-"),"측정불가",IF(AND(ISNUMBER(C914),ISNUMBER(D914)),IF(OR(C914&gt;=설정!$C$11,D914&gt;=설정!$C$12),"긴급",IF(OR(C914&gt;=설정!$C$9,D914&gt;=설정!$C$10,C914&lt;설정!$C$13),"주의","정상")),"확인필요")))</f>
        <v/>
      </c>
      <c r="J914" s="25" t="str">
        <f aca="false">IF(E914="","",IF(E914="-","측정불가",IF(NOT(ISNUMBER(E914)),"확인필요",IF(E914&lt;설정!$C$17,"긴급(저혈당)",IF(E914&gt;=설정!$C$18,"긴급(고혈당)",IF(F914="공복",IF(E914&gt;=설정!$C$15,"주의","정상"),IF(F914="식후",IF(E914&gt;=설정!$C$16,"주의","정상"),"조건확인")))))))</f>
        <v/>
      </c>
      <c r="K914" s="25" t="str">
        <f aca="false">IF(OR(I914="긴급",LEFT(J914,2)="긴급"),"★ 즉시 선생님 호출",IF(OR(I914="주의",J914="주의"),"결과상담에서 확인",IF(J914="조건확인","혈당조건(공복/식후) 선택","")))</f>
        <v/>
      </c>
      <c r="L914" s="25" t="str">
        <f aca="false">IF($B914="","",IF(COUNTIF($B$5:$B$1004,$B914)&gt;1,"중복 입력",""))</f>
        <v/>
      </c>
    </row>
    <row r="915" customFormat="false" ht="15" hidden="false" customHeight="false" outlineLevel="0" collapsed="false">
      <c r="A915" s="23"/>
      <c r="B915" s="24"/>
      <c r="C915" s="24"/>
      <c r="D915" s="24"/>
      <c r="E915" s="24"/>
      <c r="F915" s="24"/>
      <c r="G915" s="24"/>
      <c r="H915" s="25" t="str">
        <f aca="false">IF($B915="","",IFERROR(IF(INDEX(명단!$B$5:$B$404,MATCH($B915,명단!$A$5:$A$404,0))="","(이름 미입력)",INDEX(명단!$B$5:$B$404,MATCH($B915,명단!$A$5:$A$404,0))),"번호 없음"))</f>
        <v/>
      </c>
      <c r="I915" s="25" t="str">
        <f aca="false">IF(AND(C915="",D915=""),"",IF(OR(C915="-",D915="-"),"측정불가",IF(AND(ISNUMBER(C915),ISNUMBER(D915)),IF(OR(C915&gt;=설정!$C$11,D915&gt;=설정!$C$12),"긴급",IF(OR(C915&gt;=설정!$C$9,D915&gt;=설정!$C$10,C915&lt;설정!$C$13),"주의","정상")),"확인필요")))</f>
        <v/>
      </c>
      <c r="J915" s="25" t="str">
        <f aca="false">IF(E915="","",IF(E915="-","측정불가",IF(NOT(ISNUMBER(E915)),"확인필요",IF(E915&lt;설정!$C$17,"긴급(저혈당)",IF(E915&gt;=설정!$C$18,"긴급(고혈당)",IF(F915="공복",IF(E915&gt;=설정!$C$15,"주의","정상"),IF(F915="식후",IF(E915&gt;=설정!$C$16,"주의","정상"),"조건확인")))))))</f>
        <v/>
      </c>
      <c r="K915" s="25" t="str">
        <f aca="false">IF(OR(I915="긴급",LEFT(J915,2)="긴급"),"★ 즉시 선생님 호출",IF(OR(I915="주의",J915="주의"),"결과상담에서 확인",IF(J915="조건확인","혈당조건(공복/식후) 선택","")))</f>
        <v/>
      </c>
      <c r="L915" s="25" t="str">
        <f aca="false">IF($B915="","",IF(COUNTIF($B$5:$B$1004,$B915)&gt;1,"중복 입력",""))</f>
        <v/>
      </c>
    </row>
    <row r="916" customFormat="false" ht="15" hidden="false" customHeight="false" outlineLevel="0" collapsed="false">
      <c r="A916" s="23"/>
      <c r="B916" s="24"/>
      <c r="C916" s="24"/>
      <c r="D916" s="24"/>
      <c r="E916" s="24"/>
      <c r="F916" s="24"/>
      <c r="G916" s="24"/>
      <c r="H916" s="25" t="str">
        <f aca="false">IF($B916="","",IFERROR(IF(INDEX(명단!$B$5:$B$404,MATCH($B916,명단!$A$5:$A$404,0))="","(이름 미입력)",INDEX(명단!$B$5:$B$404,MATCH($B916,명단!$A$5:$A$404,0))),"번호 없음"))</f>
        <v/>
      </c>
      <c r="I916" s="25" t="str">
        <f aca="false">IF(AND(C916="",D916=""),"",IF(OR(C916="-",D916="-"),"측정불가",IF(AND(ISNUMBER(C916),ISNUMBER(D916)),IF(OR(C916&gt;=설정!$C$11,D916&gt;=설정!$C$12),"긴급",IF(OR(C916&gt;=설정!$C$9,D916&gt;=설정!$C$10,C916&lt;설정!$C$13),"주의","정상")),"확인필요")))</f>
        <v/>
      </c>
      <c r="J916" s="25" t="str">
        <f aca="false">IF(E916="","",IF(E916="-","측정불가",IF(NOT(ISNUMBER(E916)),"확인필요",IF(E916&lt;설정!$C$17,"긴급(저혈당)",IF(E916&gt;=설정!$C$18,"긴급(고혈당)",IF(F916="공복",IF(E916&gt;=설정!$C$15,"주의","정상"),IF(F916="식후",IF(E916&gt;=설정!$C$16,"주의","정상"),"조건확인")))))))</f>
        <v/>
      </c>
      <c r="K916" s="25" t="str">
        <f aca="false">IF(OR(I916="긴급",LEFT(J916,2)="긴급"),"★ 즉시 선생님 호출",IF(OR(I916="주의",J916="주의"),"결과상담에서 확인",IF(J916="조건확인","혈당조건(공복/식후) 선택","")))</f>
        <v/>
      </c>
      <c r="L916" s="25" t="str">
        <f aca="false">IF($B916="","",IF(COUNTIF($B$5:$B$1004,$B916)&gt;1,"중복 입력",""))</f>
        <v/>
      </c>
    </row>
    <row r="917" customFormat="false" ht="15" hidden="false" customHeight="false" outlineLevel="0" collapsed="false">
      <c r="A917" s="23"/>
      <c r="B917" s="24"/>
      <c r="C917" s="24"/>
      <c r="D917" s="24"/>
      <c r="E917" s="24"/>
      <c r="F917" s="24"/>
      <c r="G917" s="24"/>
      <c r="H917" s="25" t="str">
        <f aca="false">IF($B917="","",IFERROR(IF(INDEX(명단!$B$5:$B$404,MATCH($B917,명단!$A$5:$A$404,0))="","(이름 미입력)",INDEX(명단!$B$5:$B$404,MATCH($B917,명단!$A$5:$A$404,0))),"번호 없음"))</f>
        <v/>
      </c>
      <c r="I917" s="25" t="str">
        <f aca="false">IF(AND(C917="",D917=""),"",IF(OR(C917="-",D917="-"),"측정불가",IF(AND(ISNUMBER(C917),ISNUMBER(D917)),IF(OR(C917&gt;=설정!$C$11,D917&gt;=설정!$C$12),"긴급",IF(OR(C917&gt;=설정!$C$9,D917&gt;=설정!$C$10,C917&lt;설정!$C$13),"주의","정상")),"확인필요")))</f>
        <v/>
      </c>
      <c r="J917" s="25" t="str">
        <f aca="false">IF(E917="","",IF(E917="-","측정불가",IF(NOT(ISNUMBER(E917)),"확인필요",IF(E917&lt;설정!$C$17,"긴급(저혈당)",IF(E917&gt;=설정!$C$18,"긴급(고혈당)",IF(F917="공복",IF(E917&gt;=설정!$C$15,"주의","정상"),IF(F917="식후",IF(E917&gt;=설정!$C$16,"주의","정상"),"조건확인")))))))</f>
        <v/>
      </c>
      <c r="K917" s="25" t="str">
        <f aca="false">IF(OR(I917="긴급",LEFT(J917,2)="긴급"),"★ 즉시 선생님 호출",IF(OR(I917="주의",J917="주의"),"결과상담에서 확인",IF(J917="조건확인","혈당조건(공복/식후) 선택","")))</f>
        <v/>
      </c>
      <c r="L917" s="25" t="str">
        <f aca="false">IF($B917="","",IF(COUNTIF($B$5:$B$1004,$B917)&gt;1,"중복 입력",""))</f>
        <v/>
      </c>
    </row>
    <row r="918" customFormat="false" ht="15" hidden="false" customHeight="false" outlineLevel="0" collapsed="false">
      <c r="A918" s="23"/>
      <c r="B918" s="24"/>
      <c r="C918" s="24"/>
      <c r="D918" s="24"/>
      <c r="E918" s="24"/>
      <c r="F918" s="24"/>
      <c r="G918" s="24"/>
      <c r="H918" s="25" t="str">
        <f aca="false">IF($B918="","",IFERROR(IF(INDEX(명단!$B$5:$B$404,MATCH($B918,명단!$A$5:$A$404,0))="","(이름 미입력)",INDEX(명단!$B$5:$B$404,MATCH($B918,명단!$A$5:$A$404,0))),"번호 없음"))</f>
        <v/>
      </c>
      <c r="I918" s="25" t="str">
        <f aca="false">IF(AND(C918="",D918=""),"",IF(OR(C918="-",D918="-"),"측정불가",IF(AND(ISNUMBER(C918),ISNUMBER(D918)),IF(OR(C918&gt;=설정!$C$11,D918&gt;=설정!$C$12),"긴급",IF(OR(C918&gt;=설정!$C$9,D918&gt;=설정!$C$10,C918&lt;설정!$C$13),"주의","정상")),"확인필요")))</f>
        <v/>
      </c>
      <c r="J918" s="25" t="str">
        <f aca="false">IF(E918="","",IF(E918="-","측정불가",IF(NOT(ISNUMBER(E918)),"확인필요",IF(E918&lt;설정!$C$17,"긴급(저혈당)",IF(E918&gt;=설정!$C$18,"긴급(고혈당)",IF(F918="공복",IF(E918&gt;=설정!$C$15,"주의","정상"),IF(F918="식후",IF(E918&gt;=설정!$C$16,"주의","정상"),"조건확인")))))))</f>
        <v/>
      </c>
      <c r="K918" s="25" t="str">
        <f aca="false">IF(OR(I918="긴급",LEFT(J918,2)="긴급"),"★ 즉시 선생님 호출",IF(OR(I918="주의",J918="주의"),"결과상담에서 확인",IF(J918="조건확인","혈당조건(공복/식후) 선택","")))</f>
        <v/>
      </c>
      <c r="L918" s="25" t="str">
        <f aca="false">IF($B918="","",IF(COUNTIF($B$5:$B$1004,$B918)&gt;1,"중복 입력",""))</f>
        <v/>
      </c>
    </row>
    <row r="919" customFormat="false" ht="15" hidden="false" customHeight="false" outlineLevel="0" collapsed="false">
      <c r="A919" s="23"/>
      <c r="B919" s="24"/>
      <c r="C919" s="24"/>
      <c r="D919" s="24"/>
      <c r="E919" s="24"/>
      <c r="F919" s="24"/>
      <c r="G919" s="24"/>
      <c r="H919" s="25" t="str">
        <f aca="false">IF($B919="","",IFERROR(IF(INDEX(명단!$B$5:$B$404,MATCH($B919,명단!$A$5:$A$404,0))="","(이름 미입력)",INDEX(명단!$B$5:$B$404,MATCH($B919,명단!$A$5:$A$404,0))),"번호 없음"))</f>
        <v/>
      </c>
      <c r="I919" s="25" t="str">
        <f aca="false">IF(AND(C919="",D919=""),"",IF(OR(C919="-",D919="-"),"측정불가",IF(AND(ISNUMBER(C919),ISNUMBER(D919)),IF(OR(C919&gt;=설정!$C$11,D919&gt;=설정!$C$12),"긴급",IF(OR(C919&gt;=설정!$C$9,D919&gt;=설정!$C$10,C919&lt;설정!$C$13),"주의","정상")),"확인필요")))</f>
        <v/>
      </c>
      <c r="J919" s="25" t="str">
        <f aca="false">IF(E919="","",IF(E919="-","측정불가",IF(NOT(ISNUMBER(E919)),"확인필요",IF(E919&lt;설정!$C$17,"긴급(저혈당)",IF(E919&gt;=설정!$C$18,"긴급(고혈당)",IF(F919="공복",IF(E919&gt;=설정!$C$15,"주의","정상"),IF(F919="식후",IF(E919&gt;=설정!$C$16,"주의","정상"),"조건확인")))))))</f>
        <v/>
      </c>
      <c r="K919" s="25" t="str">
        <f aca="false">IF(OR(I919="긴급",LEFT(J919,2)="긴급"),"★ 즉시 선생님 호출",IF(OR(I919="주의",J919="주의"),"결과상담에서 확인",IF(J919="조건확인","혈당조건(공복/식후) 선택","")))</f>
        <v/>
      </c>
      <c r="L919" s="25" t="str">
        <f aca="false">IF($B919="","",IF(COUNTIF($B$5:$B$1004,$B919)&gt;1,"중복 입력",""))</f>
        <v/>
      </c>
    </row>
    <row r="920" customFormat="false" ht="15" hidden="false" customHeight="false" outlineLevel="0" collapsed="false">
      <c r="A920" s="23"/>
      <c r="B920" s="24"/>
      <c r="C920" s="24"/>
      <c r="D920" s="24"/>
      <c r="E920" s="24"/>
      <c r="F920" s="24"/>
      <c r="G920" s="24"/>
      <c r="H920" s="25" t="str">
        <f aca="false">IF($B920="","",IFERROR(IF(INDEX(명단!$B$5:$B$404,MATCH($B920,명단!$A$5:$A$404,0))="","(이름 미입력)",INDEX(명단!$B$5:$B$404,MATCH($B920,명단!$A$5:$A$404,0))),"번호 없음"))</f>
        <v/>
      </c>
      <c r="I920" s="25" t="str">
        <f aca="false">IF(AND(C920="",D920=""),"",IF(OR(C920="-",D920="-"),"측정불가",IF(AND(ISNUMBER(C920),ISNUMBER(D920)),IF(OR(C920&gt;=설정!$C$11,D920&gt;=설정!$C$12),"긴급",IF(OR(C920&gt;=설정!$C$9,D920&gt;=설정!$C$10,C920&lt;설정!$C$13),"주의","정상")),"확인필요")))</f>
        <v/>
      </c>
      <c r="J920" s="25" t="str">
        <f aca="false">IF(E920="","",IF(E920="-","측정불가",IF(NOT(ISNUMBER(E920)),"확인필요",IF(E920&lt;설정!$C$17,"긴급(저혈당)",IF(E920&gt;=설정!$C$18,"긴급(고혈당)",IF(F920="공복",IF(E920&gt;=설정!$C$15,"주의","정상"),IF(F920="식후",IF(E920&gt;=설정!$C$16,"주의","정상"),"조건확인")))))))</f>
        <v/>
      </c>
      <c r="K920" s="25" t="str">
        <f aca="false">IF(OR(I920="긴급",LEFT(J920,2)="긴급"),"★ 즉시 선생님 호출",IF(OR(I920="주의",J920="주의"),"결과상담에서 확인",IF(J920="조건확인","혈당조건(공복/식후) 선택","")))</f>
        <v/>
      </c>
      <c r="L920" s="25" t="str">
        <f aca="false">IF($B920="","",IF(COUNTIF($B$5:$B$1004,$B920)&gt;1,"중복 입력",""))</f>
        <v/>
      </c>
    </row>
    <row r="921" customFormat="false" ht="15" hidden="false" customHeight="false" outlineLevel="0" collapsed="false">
      <c r="A921" s="23"/>
      <c r="B921" s="24"/>
      <c r="C921" s="24"/>
      <c r="D921" s="24"/>
      <c r="E921" s="24"/>
      <c r="F921" s="24"/>
      <c r="G921" s="24"/>
      <c r="H921" s="25" t="str">
        <f aca="false">IF($B921="","",IFERROR(IF(INDEX(명단!$B$5:$B$404,MATCH($B921,명단!$A$5:$A$404,0))="","(이름 미입력)",INDEX(명단!$B$5:$B$404,MATCH($B921,명단!$A$5:$A$404,0))),"번호 없음"))</f>
        <v/>
      </c>
      <c r="I921" s="25" t="str">
        <f aca="false">IF(AND(C921="",D921=""),"",IF(OR(C921="-",D921="-"),"측정불가",IF(AND(ISNUMBER(C921),ISNUMBER(D921)),IF(OR(C921&gt;=설정!$C$11,D921&gt;=설정!$C$12),"긴급",IF(OR(C921&gt;=설정!$C$9,D921&gt;=설정!$C$10,C921&lt;설정!$C$13),"주의","정상")),"확인필요")))</f>
        <v/>
      </c>
      <c r="J921" s="25" t="str">
        <f aca="false">IF(E921="","",IF(E921="-","측정불가",IF(NOT(ISNUMBER(E921)),"확인필요",IF(E921&lt;설정!$C$17,"긴급(저혈당)",IF(E921&gt;=설정!$C$18,"긴급(고혈당)",IF(F921="공복",IF(E921&gt;=설정!$C$15,"주의","정상"),IF(F921="식후",IF(E921&gt;=설정!$C$16,"주의","정상"),"조건확인")))))))</f>
        <v/>
      </c>
      <c r="K921" s="25" t="str">
        <f aca="false">IF(OR(I921="긴급",LEFT(J921,2)="긴급"),"★ 즉시 선생님 호출",IF(OR(I921="주의",J921="주의"),"결과상담에서 확인",IF(J921="조건확인","혈당조건(공복/식후) 선택","")))</f>
        <v/>
      </c>
      <c r="L921" s="25" t="str">
        <f aca="false">IF($B921="","",IF(COUNTIF($B$5:$B$1004,$B921)&gt;1,"중복 입력",""))</f>
        <v/>
      </c>
    </row>
    <row r="922" customFormat="false" ht="15" hidden="false" customHeight="false" outlineLevel="0" collapsed="false">
      <c r="A922" s="23"/>
      <c r="B922" s="24"/>
      <c r="C922" s="24"/>
      <c r="D922" s="24"/>
      <c r="E922" s="24"/>
      <c r="F922" s="24"/>
      <c r="G922" s="24"/>
      <c r="H922" s="25" t="str">
        <f aca="false">IF($B922="","",IFERROR(IF(INDEX(명단!$B$5:$B$404,MATCH($B922,명단!$A$5:$A$404,0))="","(이름 미입력)",INDEX(명단!$B$5:$B$404,MATCH($B922,명단!$A$5:$A$404,0))),"번호 없음"))</f>
        <v/>
      </c>
      <c r="I922" s="25" t="str">
        <f aca="false">IF(AND(C922="",D922=""),"",IF(OR(C922="-",D922="-"),"측정불가",IF(AND(ISNUMBER(C922),ISNUMBER(D922)),IF(OR(C922&gt;=설정!$C$11,D922&gt;=설정!$C$12),"긴급",IF(OR(C922&gt;=설정!$C$9,D922&gt;=설정!$C$10,C922&lt;설정!$C$13),"주의","정상")),"확인필요")))</f>
        <v/>
      </c>
      <c r="J922" s="25" t="str">
        <f aca="false">IF(E922="","",IF(E922="-","측정불가",IF(NOT(ISNUMBER(E922)),"확인필요",IF(E922&lt;설정!$C$17,"긴급(저혈당)",IF(E922&gt;=설정!$C$18,"긴급(고혈당)",IF(F922="공복",IF(E922&gt;=설정!$C$15,"주의","정상"),IF(F922="식후",IF(E922&gt;=설정!$C$16,"주의","정상"),"조건확인")))))))</f>
        <v/>
      </c>
      <c r="K922" s="25" t="str">
        <f aca="false">IF(OR(I922="긴급",LEFT(J922,2)="긴급"),"★ 즉시 선생님 호출",IF(OR(I922="주의",J922="주의"),"결과상담에서 확인",IF(J922="조건확인","혈당조건(공복/식후) 선택","")))</f>
        <v/>
      </c>
      <c r="L922" s="25" t="str">
        <f aca="false">IF($B922="","",IF(COUNTIF($B$5:$B$1004,$B922)&gt;1,"중복 입력",""))</f>
        <v/>
      </c>
    </row>
    <row r="923" customFormat="false" ht="15" hidden="false" customHeight="false" outlineLevel="0" collapsed="false">
      <c r="A923" s="23"/>
      <c r="B923" s="24"/>
      <c r="C923" s="24"/>
      <c r="D923" s="24"/>
      <c r="E923" s="24"/>
      <c r="F923" s="24"/>
      <c r="G923" s="24"/>
      <c r="H923" s="25" t="str">
        <f aca="false">IF($B923="","",IFERROR(IF(INDEX(명단!$B$5:$B$404,MATCH($B923,명단!$A$5:$A$404,0))="","(이름 미입력)",INDEX(명단!$B$5:$B$404,MATCH($B923,명단!$A$5:$A$404,0))),"번호 없음"))</f>
        <v/>
      </c>
      <c r="I923" s="25" t="str">
        <f aca="false">IF(AND(C923="",D923=""),"",IF(OR(C923="-",D923="-"),"측정불가",IF(AND(ISNUMBER(C923),ISNUMBER(D923)),IF(OR(C923&gt;=설정!$C$11,D923&gt;=설정!$C$12),"긴급",IF(OR(C923&gt;=설정!$C$9,D923&gt;=설정!$C$10,C923&lt;설정!$C$13),"주의","정상")),"확인필요")))</f>
        <v/>
      </c>
      <c r="J923" s="25" t="str">
        <f aca="false">IF(E923="","",IF(E923="-","측정불가",IF(NOT(ISNUMBER(E923)),"확인필요",IF(E923&lt;설정!$C$17,"긴급(저혈당)",IF(E923&gt;=설정!$C$18,"긴급(고혈당)",IF(F923="공복",IF(E923&gt;=설정!$C$15,"주의","정상"),IF(F923="식후",IF(E923&gt;=설정!$C$16,"주의","정상"),"조건확인")))))))</f>
        <v/>
      </c>
      <c r="K923" s="25" t="str">
        <f aca="false">IF(OR(I923="긴급",LEFT(J923,2)="긴급"),"★ 즉시 선생님 호출",IF(OR(I923="주의",J923="주의"),"결과상담에서 확인",IF(J923="조건확인","혈당조건(공복/식후) 선택","")))</f>
        <v/>
      </c>
      <c r="L923" s="25" t="str">
        <f aca="false">IF($B923="","",IF(COUNTIF($B$5:$B$1004,$B923)&gt;1,"중복 입력",""))</f>
        <v/>
      </c>
    </row>
    <row r="924" customFormat="false" ht="15" hidden="false" customHeight="false" outlineLevel="0" collapsed="false">
      <c r="A924" s="23"/>
      <c r="B924" s="24"/>
      <c r="C924" s="24"/>
      <c r="D924" s="24"/>
      <c r="E924" s="24"/>
      <c r="F924" s="24"/>
      <c r="G924" s="24"/>
      <c r="H924" s="25" t="str">
        <f aca="false">IF($B924="","",IFERROR(IF(INDEX(명단!$B$5:$B$404,MATCH($B924,명단!$A$5:$A$404,0))="","(이름 미입력)",INDEX(명단!$B$5:$B$404,MATCH($B924,명단!$A$5:$A$404,0))),"번호 없음"))</f>
        <v/>
      </c>
      <c r="I924" s="25" t="str">
        <f aca="false">IF(AND(C924="",D924=""),"",IF(OR(C924="-",D924="-"),"측정불가",IF(AND(ISNUMBER(C924),ISNUMBER(D924)),IF(OR(C924&gt;=설정!$C$11,D924&gt;=설정!$C$12),"긴급",IF(OR(C924&gt;=설정!$C$9,D924&gt;=설정!$C$10,C924&lt;설정!$C$13),"주의","정상")),"확인필요")))</f>
        <v/>
      </c>
      <c r="J924" s="25" t="str">
        <f aca="false">IF(E924="","",IF(E924="-","측정불가",IF(NOT(ISNUMBER(E924)),"확인필요",IF(E924&lt;설정!$C$17,"긴급(저혈당)",IF(E924&gt;=설정!$C$18,"긴급(고혈당)",IF(F924="공복",IF(E924&gt;=설정!$C$15,"주의","정상"),IF(F924="식후",IF(E924&gt;=설정!$C$16,"주의","정상"),"조건확인")))))))</f>
        <v/>
      </c>
      <c r="K924" s="25" t="str">
        <f aca="false">IF(OR(I924="긴급",LEFT(J924,2)="긴급"),"★ 즉시 선생님 호출",IF(OR(I924="주의",J924="주의"),"결과상담에서 확인",IF(J924="조건확인","혈당조건(공복/식후) 선택","")))</f>
        <v/>
      </c>
      <c r="L924" s="25" t="str">
        <f aca="false">IF($B924="","",IF(COUNTIF($B$5:$B$1004,$B924)&gt;1,"중복 입력",""))</f>
        <v/>
      </c>
    </row>
    <row r="925" customFormat="false" ht="15" hidden="false" customHeight="false" outlineLevel="0" collapsed="false">
      <c r="A925" s="23"/>
      <c r="B925" s="24"/>
      <c r="C925" s="24"/>
      <c r="D925" s="24"/>
      <c r="E925" s="24"/>
      <c r="F925" s="24"/>
      <c r="G925" s="24"/>
      <c r="H925" s="25" t="str">
        <f aca="false">IF($B925="","",IFERROR(IF(INDEX(명단!$B$5:$B$404,MATCH($B925,명단!$A$5:$A$404,0))="","(이름 미입력)",INDEX(명단!$B$5:$B$404,MATCH($B925,명단!$A$5:$A$404,0))),"번호 없음"))</f>
        <v/>
      </c>
      <c r="I925" s="25" t="str">
        <f aca="false">IF(AND(C925="",D925=""),"",IF(OR(C925="-",D925="-"),"측정불가",IF(AND(ISNUMBER(C925),ISNUMBER(D925)),IF(OR(C925&gt;=설정!$C$11,D925&gt;=설정!$C$12),"긴급",IF(OR(C925&gt;=설정!$C$9,D925&gt;=설정!$C$10,C925&lt;설정!$C$13),"주의","정상")),"확인필요")))</f>
        <v/>
      </c>
      <c r="J925" s="25" t="str">
        <f aca="false">IF(E925="","",IF(E925="-","측정불가",IF(NOT(ISNUMBER(E925)),"확인필요",IF(E925&lt;설정!$C$17,"긴급(저혈당)",IF(E925&gt;=설정!$C$18,"긴급(고혈당)",IF(F925="공복",IF(E925&gt;=설정!$C$15,"주의","정상"),IF(F925="식후",IF(E925&gt;=설정!$C$16,"주의","정상"),"조건확인")))))))</f>
        <v/>
      </c>
      <c r="K925" s="25" t="str">
        <f aca="false">IF(OR(I925="긴급",LEFT(J925,2)="긴급"),"★ 즉시 선생님 호출",IF(OR(I925="주의",J925="주의"),"결과상담에서 확인",IF(J925="조건확인","혈당조건(공복/식후) 선택","")))</f>
        <v/>
      </c>
      <c r="L925" s="25" t="str">
        <f aca="false">IF($B925="","",IF(COUNTIF($B$5:$B$1004,$B925)&gt;1,"중복 입력",""))</f>
        <v/>
      </c>
    </row>
    <row r="926" customFormat="false" ht="15" hidden="false" customHeight="false" outlineLevel="0" collapsed="false">
      <c r="A926" s="23"/>
      <c r="B926" s="24"/>
      <c r="C926" s="24"/>
      <c r="D926" s="24"/>
      <c r="E926" s="24"/>
      <c r="F926" s="24"/>
      <c r="G926" s="24"/>
      <c r="H926" s="25" t="str">
        <f aca="false">IF($B926="","",IFERROR(IF(INDEX(명단!$B$5:$B$404,MATCH($B926,명단!$A$5:$A$404,0))="","(이름 미입력)",INDEX(명단!$B$5:$B$404,MATCH($B926,명단!$A$5:$A$404,0))),"번호 없음"))</f>
        <v/>
      </c>
      <c r="I926" s="25" t="str">
        <f aca="false">IF(AND(C926="",D926=""),"",IF(OR(C926="-",D926="-"),"측정불가",IF(AND(ISNUMBER(C926),ISNUMBER(D926)),IF(OR(C926&gt;=설정!$C$11,D926&gt;=설정!$C$12),"긴급",IF(OR(C926&gt;=설정!$C$9,D926&gt;=설정!$C$10,C926&lt;설정!$C$13),"주의","정상")),"확인필요")))</f>
        <v/>
      </c>
      <c r="J926" s="25" t="str">
        <f aca="false">IF(E926="","",IF(E926="-","측정불가",IF(NOT(ISNUMBER(E926)),"확인필요",IF(E926&lt;설정!$C$17,"긴급(저혈당)",IF(E926&gt;=설정!$C$18,"긴급(고혈당)",IF(F926="공복",IF(E926&gt;=설정!$C$15,"주의","정상"),IF(F926="식후",IF(E926&gt;=설정!$C$16,"주의","정상"),"조건확인")))))))</f>
        <v/>
      </c>
      <c r="K926" s="25" t="str">
        <f aca="false">IF(OR(I926="긴급",LEFT(J926,2)="긴급"),"★ 즉시 선생님 호출",IF(OR(I926="주의",J926="주의"),"결과상담에서 확인",IF(J926="조건확인","혈당조건(공복/식후) 선택","")))</f>
        <v/>
      </c>
      <c r="L926" s="25" t="str">
        <f aca="false">IF($B926="","",IF(COUNTIF($B$5:$B$1004,$B926)&gt;1,"중복 입력",""))</f>
        <v/>
      </c>
    </row>
    <row r="927" customFormat="false" ht="15" hidden="false" customHeight="false" outlineLevel="0" collapsed="false">
      <c r="A927" s="23"/>
      <c r="B927" s="24"/>
      <c r="C927" s="24"/>
      <c r="D927" s="24"/>
      <c r="E927" s="24"/>
      <c r="F927" s="24"/>
      <c r="G927" s="24"/>
      <c r="H927" s="25" t="str">
        <f aca="false">IF($B927="","",IFERROR(IF(INDEX(명단!$B$5:$B$404,MATCH($B927,명단!$A$5:$A$404,0))="","(이름 미입력)",INDEX(명단!$B$5:$B$404,MATCH($B927,명단!$A$5:$A$404,0))),"번호 없음"))</f>
        <v/>
      </c>
      <c r="I927" s="25" t="str">
        <f aca="false">IF(AND(C927="",D927=""),"",IF(OR(C927="-",D927="-"),"측정불가",IF(AND(ISNUMBER(C927),ISNUMBER(D927)),IF(OR(C927&gt;=설정!$C$11,D927&gt;=설정!$C$12),"긴급",IF(OR(C927&gt;=설정!$C$9,D927&gt;=설정!$C$10,C927&lt;설정!$C$13),"주의","정상")),"확인필요")))</f>
        <v/>
      </c>
      <c r="J927" s="25" t="str">
        <f aca="false">IF(E927="","",IF(E927="-","측정불가",IF(NOT(ISNUMBER(E927)),"확인필요",IF(E927&lt;설정!$C$17,"긴급(저혈당)",IF(E927&gt;=설정!$C$18,"긴급(고혈당)",IF(F927="공복",IF(E927&gt;=설정!$C$15,"주의","정상"),IF(F927="식후",IF(E927&gt;=설정!$C$16,"주의","정상"),"조건확인")))))))</f>
        <v/>
      </c>
      <c r="K927" s="25" t="str">
        <f aca="false">IF(OR(I927="긴급",LEFT(J927,2)="긴급"),"★ 즉시 선생님 호출",IF(OR(I927="주의",J927="주의"),"결과상담에서 확인",IF(J927="조건확인","혈당조건(공복/식후) 선택","")))</f>
        <v/>
      </c>
      <c r="L927" s="25" t="str">
        <f aca="false">IF($B927="","",IF(COUNTIF($B$5:$B$1004,$B927)&gt;1,"중복 입력",""))</f>
        <v/>
      </c>
    </row>
    <row r="928" customFormat="false" ht="15" hidden="false" customHeight="false" outlineLevel="0" collapsed="false">
      <c r="A928" s="23"/>
      <c r="B928" s="24"/>
      <c r="C928" s="24"/>
      <c r="D928" s="24"/>
      <c r="E928" s="24"/>
      <c r="F928" s="24"/>
      <c r="G928" s="24"/>
      <c r="H928" s="25" t="str">
        <f aca="false">IF($B928="","",IFERROR(IF(INDEX(명단!$B$5:$B$404,MATCH($B928,명단!$A$5:$A$404,0))="","(이름 미입력)",INDEX(명단!$B$5:$B$404,MATCH($B928,명단!$A$5:$A$404,0))),"번호 없음"))</f>
        <v/>
      </c>
      <c r="I928" s="25" t="str">
        <f aca="false">IF(AND(C928="",D928=""),"",IF(OR(C928="-",D928="-"),"측정불가",IF(AND(ISNUMBER(C928),ISNUMBER(D928)),IF(OR(C928&gt;=설정!$C$11,D928&gt;=설정!$C$12),"긴급",IF(OR(C928&gt;=설정!$C$9,D928&gt;=설정!$C$10,C928&lt;설정!$C$13),"주의","정상")),"확인필요")))</f>
        <v/>
      </c>
      <c r="J928" s="25" t="str">
        <f aca="false">IF(E928="","",IF(E928="-","측정불가",IF(NOT(ISNUMBER(E928)),"확인필요",IF(E928&lt;설정!$C$17,"긴급(저혈당)",IF(E928&gt;=설정!$C$18,"긴급(고혈당)",IF(F928="공복",IF(E928&gt;=설정!$C$15,"주의","정상"),IF(F928="식후",IF(E928&gt;=설정!$C$16,"주의","정상"),"조건확인")))))))</f>
        <v/>
      </c>
      <c r="K928" s="25" t="str">
        <f aca="false">IF(OR(I928="긴급",LEFT(J928,2)="긴급"),"★ 즉시 선생님 호출",IF(OR(I928="주의",J928="주의"),"결과상담에서 확인",IF(J928="조건확인","혈당조건(공복/식후) 선택","")))</f>
        <v/>
      </c>
      <c r="L928" s="25" t="str">
        <f aca="false">IF($B928="","",IF(COUNTIF($B$5:$B$1004,$B928)&gt;1,"중복 입력",""))</f>
        <v/>
      </c>
    </row>
    <row r="929" customFormat="false" ht="15" hidden="false" customHeight="false" outlineLevel="0" collapsed="false">
      <c r="A929" s="23"/>
      <c r="B929" s="24"/>
      <c r="C929" s="24"/>
      <c r="D929" s="24"/>
      <c r="E929" s="24"/>
      <c r="F929" s="24"/>
      <c r="G929" s="24"/>
      <c r="H929" s="25" t="str">
        <f aca="false">IF($B929="","",IFERROR(IF(INDEX(명단!$B$5:$B$404,MATCH($B929,명단!$A$5:$A$404,0))="","(이름 미입력)",INDEX(명단!$B$5:$B$404,MATCH($B929,명단!$A$5:$A$404,0))),"번호 없음"))</f>
        <v/>
      </c>
      <c r="I929" s="25" t="str">
        <f aca="false">IF(AND(C929="",D929=""),"",IF(OR(C929="-",D929="-"),"측정불가",IF(AND(ISNUMBER(C929),ISNUMBER(D929)),IF(OR(C929&gt;=설정!$C$11,D929&gt;=설정!$C$12),"긴급",IF(OR(C929&gt;=설정!$C$9,D929&gt;=설정!$C$10,C929&lt;설정!$C$13),"주의","정상")),"확인필요")))</f>
        <v/>
      </c>
      <c r="J929" s="25" t="str">
        <f aca="false">IF(E929="","",IF(E929="-","측정불가",IF(NOT(ISNUMBER(E929)),"확인필요",IF(E929&lt;설정!$C$17,"긴급(저혈당)",IF(E929&gt;=설정!$C$18,"긴급(고혈당)",IF(F929="공복",IF(E929&gt;=설정!$C$15,"주의","정상"),IF(F929="식후",IF(E929&gt;=설정!$C$16,"주의","정상"),"조건확인")))))))</f>
        <v/>
      </c>
      <c r="K929" s="25" t="str">
        <f aca="false">IF(OR(I929="긴급",LEFT(J929,2)="긴급"),"★ 즉시 선생님 호출",IF(OR(I929="주의",J929="주의"),"결과상담에서 확인",IF(J929="조건확인","혈당조건(공복/식후) 선택","")))</f>
        <v/>
      </c>
      <c r="L929" s="25" t="str">
        <f aca="false">IF($B929="","",IF(COUNTIF($B$5:$B$1004,$B929)&gt;1,"중복 입력",""))</f>
        <v/>
      </c>
    </row>
    <row r="930" customFormat="false" ht="15" hidden="false" customHeight="false" outlineLevel="0" collapsed="false">
      <c r="A930" s="23"/>
      <c r="B930" s="24"/>
      <c r="C930" s="24"/>
      <c r="D930" s="24"/>
      <c r="E930" s="24"/>
      <c r="F930" s="24"/>
      <c r="G930" s="24"/>
      <c r="H930" s="25" t="str">
        <f aca="false">IF($B930="","",IFERROR(IF(INDEX(명단!$B$5:$B$404,MATCH($B930,명단!$A$5:$A$404,0))="","(이름 미입력)",INDEX(명단!$B$5:$B$404,MATCH($B930,명단!$A$5:$A$404,0))),"번호 없음"))</f>
        <v/>
      </c>
      <c r="I930" s="25" t="str">
        <f aca="false">IF(AND(C930="",D930=""),"",IF(OR(C930="-",D930="-"),"측정불가",IF(AND(ISNUMBER(C930),ISNUMBER(D930)),IF(OR(C930&gt;=설정!$C$11,D930&gt;=설정!$C$12),"긴급",IF(OR(C930&gt;=설정!$C$9,D930&gt;=설정!$C$10,C930&lt;설정!$C$13),"주의","정상")),"확인필요")))</f>
        <v/>
      </c>
      <c r="J930" s="25" t="str">
        <f aca="false">IF(E930="","",IF(E930="-","측정불가",IF(NOT(ISNUMBER(E930)),"확인필요",IF(E930&lt;설정!$C$17,"긴급(저혈당)",IF(E930&gt;=설정!$C$18,"긴급(고혈당)",IF(F930="공복",IF(E930&gt;=설정!$C$15,"주의","정상"),IF(F930="식후",IF(E930&gt;=설정!$C$16,"주의","정상"),"조건확인")))))))</f>
        <v/>
      </c>
      <c r="K930" s="25" t="str">
        <f aca="false">IF(OR(I930="긴급",LEFT(J930,2)="긴급"),"★ 즉시 선생님 호출",IF(OR(I930="주의",J930="주의"),"결과상담에서 확인",IF(J930="조건확인","혈당조건(공복/식후) 선택","")))</f>
        <v/>
      </c>
      <c r="L930" s="25" t="str">
        <f aca="false">IF($B930="","",IF(COUNTIF($B$5:$B$1004,$B930)&gt;1,"중복 입력",""))</f>
        <v/>
      </c>
    </row>
    <row r="931" customFormat="false" ht="15" hidden="false" customHeight="false" outlineLevel="0" collapsed="false">
      <c r="A931" s="23"/>
      <c r="B931" s="24"/>
      <c r="C931" s="24"/>
      <c r="D931" s="24"/>
      <c r="E931" s="24"/>
      <c r="F931" s="24"/>
      <c r="G931" s="24"/>
      <c r="H931" s="25" t="str">
        <f aca="false">IF($B931="","",IFERROR(IF(INDEX(명단!$B$5:$B$404,MATCH($B931,명단!$A$5:$A$404,0))="","(이름 미입력)",INDEX(명단!$B$5:$B$404,MATCH($B931,명단!$A$5:$A$404,0))),"번호 없음"))</f>
        <v/>
      </c>
      <c r="I931" s="25" t="str">
        <f aca="false">IF(AND(C931="",D931=""),"",IF(OR(C931="-",D931="-"),"측정불가",IF(AND(ISNUMBER(C931),ISNUMBER(D931)),IF(OR(C931&gt;=설정!$C$11,D931&gt;=설정!$C$12),"긴급",IF(OR(C931&gt;=설정!$C$9,D931&gt;=설정!$C$10,C931&lt;설정!$C$13),"주의","정상")),"확인필요")))</f>
        <v/>
      </c>
      <c r="J931" s="25" t="str">
        <f aca="false">IF(E931="","",IF(E931="-","측정불가",IF(NOT(ISNUMBER(E931)),"확인필요",IF(E931&lt;설정!$C$17,"긴급(저혈당)",IF(E931&gt;=설정!$C$18,"긴급(고혈당)",IF(F931="공복",IF(E931&gt;=설정!$C$15,"주의","정상"),IF(F931="식후",IF(E931&gt;=설정!$C$16,"주의","정상"),"조건확인")))))))</f>
        <v/>
      </c>
      <c r="K931" s="25" t="str">
        <f aca="false">IF(OR(I931="긴급",LEFT(J931,2)="긴급"),"★ 즉시 선생님 호출",IF(OR(I931="주의",J931="주의"),"결과상담에서 확인",IF(J931="조건확인","혈당조건(공복/식후) 선택","")))</f>
        <v/>
      </c>
      <c r="L931" s="25" t="str">
        <f aca="false">IF($B931="","",IF(COUNTIF($B$5:$B$1004,$B931)&gt;1,"중복 입력",""))</f>
        <v/>
      </c>
    </row>
    <row r="932" customFormat="false" ht="15" hidden="false" customHeight="false" outlineLevel="0" collapsed="false">
      <c r="A932" s="23"/>
      <c r="B932" s="24"/>
      <c r="C932" s="24"/>
      <c r="D932" s="24"/>
      <c r="E932" s="24"/>
      <c r="F932" s="24"/>
      <c r="G932" s="24"/>
      <c r="H932" s="25" t="str">
        <f aca="false">IF($B932="","",IFERROR(IF(INDEX(명단!$B$5:$B$404,MATCH($B932,명단!$A$5:$A$404,0))="","(이름 미입력)",INDEX(명단!$B$5:$B$404,MATCH($B932,명단!$A$5:$A$404,0))),"번호 없음"))</f>
        <v/>
      </c>
      <c r="I932" s="25" t="str">
        <f aca="false">IF(AND(C932="",D932=""),"",IF(OR(C932="-",D932="-"),"측정불가",IF(AND(ISNUMBER(C932),ISNUMBER(D932)),IF(OR(C932&gt;=설정!$C$11,D932&gt;=설정!$C$12),"긴급",IF(OR(C932&gt;=설정!$C$9,D932&gt;=설정!$C$10,C932&lt;설정!$C$13),"주의","정상")),"확인필요")))</f>
        <v/>
      </c>
      <c r="J932" s="25" t="str">
        <f aca="false">IF(E932="","",IF(E932="-","측정불가",IF(NOT(ISNUMBER(E932)),"확인필요",IF(E932&lt;설정!$C$17,"긴급(저혈당)",IF(E932&gt;=설정!$C$18,"긴급(고혈당)",IF(F932="공복",IF(E932&gt;=설정!$C$15,"주의","정상"),IF(F932="식후",IF(E932&gt;=설정!$C$16,"주의","정상"),"조건확인")))))))</f>
        <v/>
      </c>
      <c r="K932" s="25" t="str">
        <f aca="false">IF(OR(I932="긴급",LEFT(J932,2)="긴급"),"★ 즉시 선생님 호출",IF(OR(I932="주의",J932="주의"),"결과상담에서 확인",IF(J932="조건확인","혈당조건(공복/식후) 선택","")))</f>
        <v/>
      </c>
      <c r="L932" s="25" t="str">
        <f aca="false">IF($B932="","",IF(COUNTIF($B$5:$B$1004,$B932)&gt;1,"중복 입력",""))</f>
        <v/>
      </c>
    </row>
    <row r="933" customFormat="false" ht="15" hidden="false" customHeight="false" outlineLevel="0" collapsed="false">
      <c r="A933" s="23"/>
      <c r="B933" s="24"/>
      <c r="C933" s="24"/>
      <c r="D933" s="24"/>
      <c r="E933" s="24"/>
      <c r="F933" s="24"/>
      <c r="G933" s="24"/>
      <c r="H933" s="25" t="str">
        <f aca="false">IF($B933="","",IFERROR(IF(INDEX(명단!$B$5:$B$404,MATCH($B933,명단!$A$5:$A$404,0))="","(이름 미입력)",INDEX(명단!$B$5:$B$404,MATCH($B933,명단!$A$5:$A$404,0))),"번호 없음"))</f>
        <v/>
      </c>
      <c r="I933" s="25" t="str">
        <f aca="false">IF(AND(C933="",D933=""),"",IF(OR(C933="-",D933="-"),"측정불가",IF(AND(ISNUMBER(C933),ISNUMBER(D933)),IF(OR(C933&gt;=설정!$C$11,D933&gt;=설정!$C$12),"긴급",IF(OR(C933&gt;=설정!$C$9,D933&gt;=설정!$C$10,C933&lt;설정!$C$13),"주의","정상")),"확인필요")))</f>
        <v/>
      </c>
      <c r="J933" s="25" t="str">
        <f aca="false">IF(E933="","",IF(E933="-","측정불가",IF(NOT(ISNUMBER(E933)),"확인필요",IF(E933&lt;설정!$C$17,"긴급(저혈당)",IF(E933&gt;=설정!$C$18,"긴급(고혈당)",IF(F933="공복",IF(E933&gt;=설정!$C$15,"주의","정상"),IF(F933="식후",IF(E933&gt;=설정!$C$16,"주의","정상"),"조건확인")))))))</f>
        <v/>
      </c>
      <c r="K933" s="25" t="str">
        <f aca="false">IF(OR(I933="긴급",LEFT(J933,2)="긴급"),"★ 즉시 선생님 호출",IF(OR(I933="주의",J933="주의"),"결과상담에서 확인",IF(J933="조건확인","혈당조건(공복/식후) 선택","")))</f>
        <v/>
      </c>
      <c r="L933" s="25" t="str">
        <f aca="false">IF($B933="","",IF(COUNTIF($B$5:$B$1004,$B933)&gt;1,"중복 입력",""))</f>
        <v/>
      </c>
    </row>
    <row r="934" customFormat="false" ht="15" hidden="false" customHeight="false" outlineLevel="0" collapsed="false">
      <c r="A934" s="23"/>
      <c r="B934" s="24"/>
      <c r="C934" s="24"/>
      <c r="D934" s="24"/>
      <c r="E934" s="24"/>
      <c r="F934" s="24"/>
      <c r="G934" s="24"/>
      <c r="H934" s="25" t="str">
        <f aca="false">IF($B934="","",IFERROR(IF(INDEX(명단!$B$5:$B$404,MATCH($B934,명단!$A$5:$A$404,0))="","(이름 미입력)",INDEX(명단!$B$5:$B$404,MATCH($B934,명단!$A$5:$A$404,0))),"번호 없음"))</f>
        <v/>
      </c>
      <c r="I934" s="25" t="str">
        <f aca="false">IF(AND(C934="",D934=""),"",IF(OR(C934="-",D934="-"),"측정불가",IF(AND(ISNUMBER(C934),ISNUMBER(D934)),IF(OR(C934&gt;=설정!$C$11,D934&gt;=설정!$C$12),"긴급",IF(OR(C934&gt;=설정!$C$9,D934&gt;=설정!$C$10,C934&lt;설정!$C$13),"주의","정상")),"확인필요")))</f>
        <v/>
      </c>
      <c r="J934" s="25" t="str">
        <f aca="false">IF(E934="","",IF(E934="-","측정불가",IF(NOT(ISNUMBER(E934)),"확인필요",IF(E934&lt;설정!$C$17,"긴급(저혈당)",IF(E934&gt;=설정!$C$18,"긴급(고혈당)",IF(F934="공복",IF(E934&gt;=설정!$C$15,"주의","정상"),IF(F934="식후",IF(E934&gt;=설정!$C$16,"주의","정상"),"조건확인")))))))</f>
        <v/>
      </c>
      <c r="K934" s="25" t="str">
        <f aca="false">IF(OR(I934="긴급",LEFT(J934,2)="긴급"),"★ 즉시 선생님 호출",IF(OR(I934="주의",J934="주의"),"결과상담에서 확인",IF(J934="조건확인","혈당조건(공복/식후) 선택","")))</f>
        <v/>
      </c>
      <c r="L934" s="25" t="str">
        <f aca="false">IF($B934="","",IF(COUNTIF($B$5:$B$1004,$B934)&gt;1,"중복 입력",""))</f>
        <v/>
      </c>
    </row>
    <row r="935" customFormat="false" ht="15" hidden="false" customHeight="false" outlineLevel="0" collapsed="false">
      <c r="A935" s="23"/>
      <c r="B935" s="24"/>
      <c r="C935" s="24"/>
      <c r="D935" s="24"/>
      <c r="E935" s="24"/>
      <c r="F935" s="24"/>
      <c r="G935" s="24"/>
      <c r="H935" s="25" t="str">
        <f aca="false">IF($B935="","",IFERROR(IF(INDEX(명단!$B$5:$B$404,MATCH($B935,명단!$A$5:$A$404,0))="","(이름 미입력)",INDEX(명단!$B$5:$B$404,MATCH($B935,명단!$A$5:$A$404,0))),"번호 없음"))</f>
        <v/>
      </c>
      <c r="I935" s="25" t="str">
        <f aca="false">IF(AND(C935="",D935=""),"",IF(OR(C935="-",D935="-"),"측정불가",IF(AND(ISNUMBER(C935),ISNUMBER(D935)),IF(OR(C935&gt;=설정!$C$11,D935&gt;=설정!$C$12),"긴급",IF(OR(C935&gt;=설정!$C$9,D935&gt;=설정!$C$10,C935&lt;설정!$C$13),"주의","정상")),"확인필요")))</f>
        <v/>
      </c>
      <c r="J935" s="25" t="str">
        <f aca="false">IF(E935="","",IF(E935="-","측정불가",IF(NOT(ISNUMBER(E935)),"확인필요",IF(E935&lt;설정!$C$17,"긴급(저혈당)",IF(E935&gt;=설정!$C$18,"긴급(고혈당)",IF(F935="공복",IF(E935&gt;=설정!$C$15,"주의","정상"),IF(F935="식후",IF(E935&gt;=설정!$C$16,"주의","정상"),"조건확인")))))))</f>
        <v/>
      </c>
      <c r="K935" s="25" t="str">
        <f aca="false">IF(OR(I935="긴급",LEFT(J935,2)="긴급"),"★ 즉시 선생님 호출",IF(OR(I935="주의",J935="주의"),"결과상담에서 확인",IF(J935="조건확인","혈당조건(공복/식후) 선택","")))</f>
        <v/>
      </c>
      <c r="L935" s="25" t="str">
        <f aca="false">IF($B935="","",IF(COUNTIF($B$5:$B$1004,$B935)&gt;1,"중복 입력",""))</f>
        <v/>
      </c>
    </row>
    <row r="936" customFormat="false" ht="15" hidden="false" customHeight="false" outlineLevel="0" collapsed="false">
      <c r="A936" s="23"/>
      <c r="B936" s="24"/>
      <c r="C936" s="24"/>
      <c r="D936" s="24"/>
      <c r="E936" s="24"/>
      <c r="F936" s="24"/>
      <c r="G936" s="24"/>
      <c r="H936" s="25" t="str">
        <f aca="false">IF($B936="","",IFERROR(IF(INDEX(명단!$B$5:$B$404,MATCH($B936,명단!$A$5:$A$404,0))="","(이름 미입력)",INDEX(명단!$B$5:$B$404,MATCH($B936,명단!$A$5:$A$404,0))),"번호 없음"))</f>
        <v/>
      </c>
      <c r="I936" s="25" t="str">
        <f aca="false">IF(AND(C936="",D936=""),"",IF(OR(C936="-",D936="-"),"측정불가",IF(AND(ISNUMBER(C936),ISNUMBER(D936)),IF(OR(C936&gt;=설정!$C$11,D936&gt;=설정!$C$12),"긴급",IF(OR(C936&gt;=설정!$C$9,D936&gt;=설정!$C$10,C936&lt;설정!$C$13),"주의","정상")),"확인필요")))</f>
        <v/>
      </c>
      <c r="J936" s="25" t="str">
        <f aca="false">IF(E936="","",IF(E936="-","측정불가",IF(NOT(ISNUMBER(E936)),"확인필요",IF(E936&lt;설정!$C$17,"긴급(저혈당)",IF(E936&gt;=설정!$C$18,"긴급(고혈당)",IF(F936="공복",IF(E936&gt;=설정!$C$15,"주의","정상"),IF(F936="식후",IF(E936&gt;=설정!$C$16,"주의","정상"),"조건확인")))))))</f>
        <v/>
      </c>
      <c r="K936" s="25" t="str">
        <f aca="false">IF(OR(I936="긴급",LEFT(J936,2)="긴급"),"★ 즉시 선생님 호출",IF(OR(I936="주의",J936="주의"),"결과상담에서 확인",IF(J936="조건확인","혈당조건(공복/식후) 선택","")))</f>
        <v/>
      </c>
      <c r="L936" s="25" t="str">
        <f aca="false">IF($B936="","",IF(COUNTIF($B$5:$B$1004,$B936)&gt;1,"중복 입력",""))</f>
        <v/>
      </c>
    </row>
    <row r="937" customFormat="false" ht="15" hidden="false" customHeight="false" outlineLevel="0" collapsed="false">
      <c r="A937" s="23"/>
      <c r="B937" s="24"/>
      <c r="C937" s="24"/>
      <c r="D937" s="24"/>
      <c r="E937" s="24"/>
      <c r="F937" s="24"/>
      <c r="G937" s="24"/>
      <c r="H937" s="25" t="str">
        <f aca="false">IF($B937="","",IFERROR(IF(INDEX(명단!$B$5:$B$404,MATCH($B937,명단!$A$5:$A$404,0))="","(이름 미입력)",INDEX(명단!$B$5:$B$404,MATCH($B937,명단!$A$5:$A$404,0))),"번호 없음"))</f>
        <v/>
      </c>
      <c r="I937" s="25" t="str">
        <f aca="false">IF(AND(C937="",D937=""),"",IF(OR(C937="-",D937="-"),"측정불가",IF(AND(ISNUMBER(C937),ISNUMBER(D937)),IF(OR(C937&gt;=설정!$C$11,D937&gt;=설정!$C$12),"긴급",IF(OR(C937&gt;=설정!$C$9,D937&gt;=설정!$C$10,C937&lt;설정!$C$13),"주의","정상")),"확인필요")))</f>
        <v/>
      </c>
      <c r="J937" s="25" t="str">
        <f aca="false">IF(E937="","",IF(E937="-","측정불가",IF(NOT(ISNUMBER(E937)),"확인필요",IF(E937&lt;설정!$C$17,"긴급(저혈당)",IF(E937&gt;=설정!$C$18,"긴급(고혈당)",IF(F937="공복",IF(E937&gt;=설정!$C$15,"주의","정상"),IF(F937="식후",IF(E937&gt;=설정!$C$16,"주의","정상"),"조건확인")))))))</f>
        <v/>
      </c>
      <c r="K937" s="25" t="str">
        <f aca="false">IF(OR(I937="긴급",LEFT(J937,2)="긴급"),"★ 즉시 선생님 호출",IF(OR(I937="주의",J937="주의"),"결과상담에서 확인",IF(J937="조건확인","혈당조건(공복/식후) 선택","")))</f>
        <v/>
      </c>
      <c r="L937" s="25" t="str">
        <f aca="false">IF($B937="","",IF(COUNTIF($B$5:$B$1004,$B937)&gt;1,"중복 입력",""))</f>
        <v/>
      </c>
    </row>
    <row r="938" customFormat="false" ht="15" hidden="false" customHeight="false" outlineLevel="0" collapsed="false">
      <c r="A938" s="23"/>
      <c r="B938" s="24"/>
      <c r="C938" s="24"/>
      <c r="D938" s="24"/>
      <c r="E938" s="24"/>
      <c r="F938" s="24"/>
      <c r="G938" s="24"/>
      <c r="H938" s="25" t="str">
        <f aca="false">IF($B938="","",IFERROR(IF(INDEX(명단!$B$5:$B$404,MATCH($B938,명단!$A$5:$A$404,0))="","(이름 미입력)",INDEX(명단!$B$5:$B$404,MATCH($B938,명단!$A$5:$A$404,0))),"번호 없음"))</f>
        <v/>
      </c>
      <c r="I938" s="25" t="str">
        <f aca="false">IF(AND(C938="",D938=""),"",IF(OR(C938="-",D938="-"),"측정불가",IF(AND(ISNUMBER(C938),ISNUMBER(D938)),IF(OR(C938&gt;=설정!$C$11,D938&gt;=설정!$C$12),"긴급",IF(OR(C938&gt;=설정!$C$9,D938&gt;=설정!$C$10,C938&lt;설정!$C$13),"주의","정상")),"확인필요")))</f>
        <v/>
      </c>
      <c r="J938" s="25" t="str">
        <f aca="false">IF(E938="","",IF(E938="-","측정불가",IF(NOT(ISNUMBER(E938)),"확인필요",IF(E938&lt;설정!$C$17,"긴급(저혈당)",IF(E938&gt;=설정!$C$18,"긴급(고혈당)",IF(F938="공복",IF(E938&gt;=설정!$C$15,"주의","정상"),IF(F938="식후",IF(E938&gt;=설정!$C$16,"주의","정상"),"조건확인")))))))</f>
        <v/>
      </c>
      <c r="K938" s="25" t="str">
        <f aca="false">IF(OR(I938="긴급",LEFT(J938,2)="긴급"),"★ 즉시 선생님 호출",IF(OR(I938="주의",J938="주의"),"결과상담에서 확인",IF(J938="조건확인","혈당조건(공복/식후) 선택","")))</f>
        <v/>
      </c>
      <c r="L938" s="25" t="str">
        <f aca="false">IF($B938="","",IF(COUNTIF($B$5:$B$1004,$B938)&gt;1,"중복 입력",""))</f>
        <v/>
      </c>
    </row>
    <row r="939" customFormat="false" ht="15" hidden="false" customHeight="false" outlineLevel="0" collapsed="false">
      <c r="A939" s="23"/>
      <c r="B939" s="24"/>
      <c r="C939" s="24"/>
      <c r="D939" s="24"/>
      <c r="E939" s="24"/>
      <c r="F939" s="24"/>
      <c r="G939" s="24"/>
      <c r="H939" s="25" t="str">
        <f aca="false">IF($B939="","",IFERROR(IF(INDEX(명단!$B$5:$B$404,MATCH($B939,명단!$A$5:$A$404,0))="","(이름 미입력)",INDEX(명단!$B$5:$B$404,MATCH($B939,명단!$A$5:$A$404,0))),"번호 없음"))</f>
        <v/>
      </c>
      <c r="I939" s="25" t="str">
        <f aca="false">IF(AND(C939="",D939=""),"",IF(OR(C939="-",D939="-"),"측정불가",IF(AND(ISNUMBER(C939),ISNUMBER(D939)),IF(OR(C939&gt;=설정!$C$11,D939&gt;=설정!$C$12),"긴급",IF(OR(C939&gt;=설정!$C$9,D939&gt;=설정!$C$10,C939&lt;설정!$C$13),"주의","정상")),"확인필요")))</f>
        <v/>
      </c>
      <c r="J939" s="25" t="str">
        <f aca="false">IF(E939="","",IF(E939="-","측정불가",IF(NOT(ISNUMBER(E939)),"확인필요",IF(E939&lt;설정!$C$17,"긴급(저혈당)",IF(E939&gt;=설정!$C$18,"긴급(고혈당)",IF(F939="공복",IF(E939&gt;=설정!$C$15,"주의","정상"),IF(F939="식후",IF(E939&gt;=설정!$C$16,"주의","정상"),"조건확인")))))))</f>
        <v/>
      </c>
      <c r="K939" s="25" t="str">
        <f aca="false">IF(OR(I939="긴급",LEFT(J939,2)="긴급"),"★ 즉시 선생님 호출",IF(OR(I939="주의",J939="주의"),"결과상담에서 확인",IF(J939="조건확인","혈당조건(공복/식후) 선택","")))</f>
        <v/>
      </c>
      <c r="L939" s="25" t="str">
        <f aca="false">IF($B939="","",IF(COUNTIF($B$5:$B$1004,$B939)&gt;1,"중복 입력",""))</f>
        <v/>
      </c>
    </row>
    <row r="940" customFormat="false" ht="15" hidden="false" customHeight="false" outlineLevel="0" collapsed="false">
      <c r="A940" s="23"/>
      <c r="B940" s="24"/>
      <c r="C940" s="24"/>
      <c r="D940" s="24"/>
      <c r="E940" s="24"/>
      <c r="F940" s="24"/>
      <c r="G940" s="24"/>
      <c r="H940" s="25" t="str">
        <f aca="false">IF($B940="","",IFERROR(IF(INDEX(명단!$B$5:$B$404,MATCH($B940,명단!$A$5:$A$404,0))="","(이름 미입력)",INDEX(명단!$B$5:$B$404,MATCH($B940,명단!$A$5:$A$404,0))),"번호 없음"))</f>
        <v/>
      </c>
      <c r="I940" s="25" t="str">
        <f aca="false">IF(AND(C940="",D940=""),"",IF(OR(C940="-",D940="-"),"측정불가",IF(AND(ISNUMBER(C940),ISNUMBER(D940)),IF(OR(C940&gt;=설정!$C$11,D940&gt;=설정!$C$12),"긴급",IF(OR(C940&gt;=설정!$C$9,D940&gt;=설정!$C$10,C940&lt;설정!$C$13),"주의","정상")),"확인필요")))</f>
        <v/>
      </c>
      <c r="J940" s="25" t="str">
        <f aca="false">IF(E940="","",IF(E940="-","측정불가",IF(NOT(ISNUMBER(E940)),"확인필요",IF(E940&lt;설정!$C$17,"긴급(저혈당)",IF(E940&gt;=설정!$C$18,"긴급(고혈당)",IF(F940="공복",IF(E940&gt;=설정!$C$15,"주의","정상"),IF(F940="식후",IF(E940&gt;=설정!$C$16,"주의","정상"),"조건확인")))))))</f>
        <v/>
      </c>
      <c r="K940" s="25" t="str">
        <f aca="false">IF(OR(I940="긴급",LEFT(J940,2)="긴급"),"★ 즉시 선생님 호출",IF(OR(I940="주의",J940="주의"),"결과상담에서 확인",IF(J940="조건확인","혈당조건(공복/식후) 선택","")))</f>
        <v/>
      </c>
      <c r="L940" s="25" t="str">
        <f aca="false">IF($B940="","",IF(COUNTIF($B$5:$B$1004,$B940)&gt;1,"중복 입력",""))</f>
        <v/>
      </c>
    </row>
    <row r="941" customFormat="false" ht="15" hidden="false" customHeight="false" outlineLevel="0" collapsed="false">
      <c r="A941" s="23"/>
      <c r="B941" s="24"/>
      <c r="C941" s="24"/>
      <c r="D941" s="24"/>
      <c r="E941" s="24"/>
      <c r="F941" s="24"/>
      <c r="G941" s="24"/>
      <c r="H941" s="25" t="str">
        <f aca="false">IF($B941="","",IFERROR(IF(INDEX(명단!$B$5:$B$404,MATCH($B941,명단!$A$5:$A$404,0))="","(이름 미입력)",INDEX(명단!$B$5:$B$404,MATCH($B941,명단!$A$5:$A$404,0))),"번호 없음"))</f>
        <v/>
      </c>
      <c r="I941" s="25" t="str">
        <f aca="false">IF(AND(C941="",D941=""),"",IF(OR(C941="-",D941="-"),"측정불가",IF(AND(ISNUMBER(C941),ISNUMBER(D941)),IF(OR(C941&gt;=설정!$C$11,D941&gt;=설정!$C$12),"긴급",IF(OR(C941&gt;=설정!$C$9,D941&gt;=설정!$C$10,C941&lt;설정!$C$13),"주의","정상")),"확인필요")))</f>
        <v/>
      </c>
      <c r="J941" s="25" t="str">
        <f aca="false">IF(E941="","",IF(E941="-","측정불가",IF(NOT(ISNUMBER(E941)),"확인필요",IF(E941&lt;설정!$C$17,"긴급(저혈당)",IF(E941&gt;=설정!$C$18,"긴급(고혈당)",IF(F941="공복",IF(E941&gt;=설정!$C$15,"주의","정상"),IF(F941="식후",IF(E941&gt;=설정!$C$16,"주의","정상"),"조건확인")))))))</f>
        <v/>
      </c>
      <c r="K941" s="25" t="str">
        <f aca="false">IF(OR(I941="긴급",LEFT(J941,2)="긴급"),"★ 즉시 선생님 호출",IF(OR(I941="주의",J941="주의"),"결과상담에서 확인",IF(J941="조건확인","혈당조건(공복/식후) 선택","")))</f>
        <v/>
      </c>
      <c r="L941" s="25" t="str">
        <f aca="false">IF($B941="","",IF(COUNTIF($B$5:$B$1004,$B941)&gt;1,"중복 입력",""))</f>
        <v/>
      </c>
    </row>
    <row r="942" customFormat="false" ht="15" hidden="false" customHeight="false" outlineLevel="0" collapsed="false">
      <c r="A942" s="23"/>
      <c r="B942" s="24"/>
      <c r="C942" s="24"/>
      <c r="D942" s="24"/>
      <c r="E942" s="24"/>
      <c r="F942" s="24"/>
      <c r="G942" s="24"/>
      <c r="H942" s="25" t="str">
        <f aca="false">IF($B942="","",IFERROR(IF(INDEX(명단!$B$5:$B$404,MATCH($B942,명단!$A$5:$A$404,0))="","(이름 미입력)",INDEX(명단!$B$5:$B$404,MATCH($B942,명단!$A$5:$A$404,0))),"번호 없음"))</f>
        <v/>
      </c>
      <c r="I942" s="25" t="str">
        <f aca="false">IF(AND(C942="",D942=""),"",IF(OR(C942="-",D942="-"),"측정불가",IF(AND(ISNUMBER(C942),ISNUMBER(D942)),IF(OR(C942&gt;=설정!$C$11,D942&gt;=설정!$C$12),"긴급",IF(OR(C942&gt;=설정!$C$9,D942&gt;=설정!$C$10,C942&lt;설정!$C$13),"주의","정상")),"확인필요")))</f>
        <v/>
      </c>
      <c r="J942" s="25" t="str">
        <f aca="false">IF(E942="","",IF(E942="-","측정불가",IF(NOT(ISNUMBER(E942)),"확인필요",IF(E942&lt;설정!$C$17,"긴급(저혈당)",IF(E942&gt;=설정!$C$18,"긴급(고혈당)",IF(F942="공복",IF(E942&gt;=설정!$C$15,"주의","정상"),IF(F942="식후",IF(E942&gt;=설정!$C$16,"주의","정상"),"조건확인")))))))</f>
        <v/>
      </c>
      <c r="K942" s="25" t="str">
        <f aca="false">IF(OR(I942="긴급",LEFT(J942,2)="긴급"),"★ 즉시 선생님 호출",IF(OR(I942="주의",J942="주의"),"결과상담에서 확인",IF(J942="조건확인","혈당조건(공복/식후) 선택","")))</f>
        <v/>
      </c>
      <c r="L942" s="25" t="str">
        <f aca="false">IF($B942="","",IF(COUNTIF($B$5:$B$1004,$B942)&gt;1,"중복 입력",""))</f>
        <v/>
      </c>
    </row>
    <row r="943" customFormat="false" ht="15" hidden="false" customHeight="false" outlineLevel="0" collapsed="false">
      <c r="A943" s="23"/>
      <c r="B943" s="24"/>
      <c r="C943" s="24"/>
      <c r="D943" s="24"/>
      <c r="E943" s="24"/>
      <c r="F943" s="24"/>
      <c r="G943" s="24"/>
      <c r="H943" s="25" t="str">
        <f aca="false">IF($B943="","",IFERROR(IF(INDEX(명단!$B$5:$B$404,MATCH($B943,명단!$A$5:$A$404,0))="","(이름 미입력)",INDEX(명단!$B$5:$B$404,MATCH($B943,명단!$A$5:$A$404,0))),"번호 없음"))</f>
        <v/>
      </c>
      <c r="I943" s="25" t="str">
        <f aca="false">IF(AND(C943="",D943=""),"",IF(OR(C943="-",D943="-"),"측정불가",IF(AND(ISNUMBER(C943),ISNUMBER(D943)),IF(OR(C943&gt;=설정!$C$11,D943&gt;=설정!$C$12),"긴급",IF(OR(C943&gt;=설정!$C$9,D943&gt;=설정!$C$10,C943&lt;설정!$C$13),"주의","정상")),"확인필요")))</f>
        <v/>
      </c>
      <c r="J943" s="25" t="str">
        <f aca="false">IF(E943="","",IF(E943="-","측정불가",IF(NOT(ISNUMBER(E943)),"확인필요",IF(E943&lt;설정!$C$17,"긴급(저혈당)",IF(E943&gt;=설정!$C$18,"긴급(고혈당)",IF(F943="공복",IF(E943&gt;=설정!$C$15,"주의","정상"),IF(F943="식후",IF(E943&gt;=설정!$C$16,"주의","정상"),"조건확인")))))))</f>
        <v/>
      </c>
      <c r="K943" s="25" t="str">
        <f aca="false">IF(OR(I943="긴급",LEFT(J943,2)="긴급"),"★ 즉시 선생님 호출",IF(OR(I943="주의",J943="주의"),"결과상담에서 확인",IF(J943="조건확인","혈당조건(공복/식후) 선택","")))</f>
        <v/>
      </c>
      <c r="L943" s="25" t="str">
        <f aca="false">IF($B943="","",IF(COUNTIF($B$5:$B$1004,$B943)&gt;1,"중복 입력",""))</f>
        <v/>
      </c>
    </row>
    <row r="944" customFormat="false" ht="15" hidden="false" customHeight="false" outlineLevel="0" collapsed="false">
      <c r="A944" s="23"/>
      <c r="B944" s="24"/>
      <c r="C944" s="24"/>
      <c r="D944" s="24"/>
      <c r="E944" s="24"/>
      <c r="F944" s="24"/>
      <c r="G944" s="24"/>
      <c r="H944" s="25" t="str">
        <f aca="false">IF($B944="","",IFERROR(IF(INDEX(명단!$B$5:$B$404,MATCH($B944,명단!$A$5:$A$404,0))="","(이름 미입력)",INDEX(명단!$B$5:$B$404,MATCH($B944,명단!$A$5:$A$404,0))),"번호 없음"))</f>
        <v/>
      </c>
      <c r="I944" s="25" t="str">
        <f aca="false">IF(AND(C944="",D944=""),"",IF(OR(C944="-",D944="-"),"측정불가",IF(AND(ISNUMBER(C944),ISNUMBER(D944)),IF(OR(C944&gt;=설정!$C$11,D944&gt;=설정!$C$12),"긴급",IF(OR(C944&gt;=설정!$C$9,D944&gt;=설정!$C$10,C944&lt;설정!$C$13),"주의","정상")),"확인필요")))</f>
        <v/>
      </c>
      <c r="J944" s="25" t="str">
        <f aca="false">IF(E944="","",IF(E944="-","측정불가",IF(NOT(ISNUMBER(E944)),"확인필요",IF(E944&lt;설정!$C$17,"긴급(저혈당)",IF(E944&gt;=설정!$C$18,"긴급(고혈당)",IF(F944="공복",IF(E944&gt;=설정!$C$15,"주의","정상"),IF(F944="식후",IF(E944&gt;=설정!$C$16,"주의","정상"),"조건확인")))))))</f>
        <v/>
      </c>
      <c r="K944" s="25" t="str">
        <f aca="false">IF(OR(I944="긴급",LEFT(J944,2)="긴급"),"★ 즉시 선생님 호출",IF(OR(I944="주의",J944="주의"),"결과상담에서 확인",IF(J944="조건확인","혈당조건(공복/식후) 선택","")))</f>
        <v/>
      </c>
      <c r="L944" s="25" t="str">
        <f aca="false">IF($B944="","",IF(COUNTIF($B$5:$B$1004,$B944)&gt;1,"중복 입력",""))</f>
        <v/>
      </c>
    </row>
    <row r="945" customFormat="false" ht="15" hidden="false" customHeight="false" outlineLevel="0" collapsed="false">
      <c r="A945" s="23"/>
      <c r="B945" s="24"/>
      <c r="C945" s="24"/>
      <c r="D945" s="24"/>
      <c r="E945" s="24"/>
      <c r="F945" s="24"/>
      <c r="G945" s="24"/>
      <c r="H945" s="25" t="str">
        <f aca="false">IF($B945="","",IFERROR(IF(INDEX(명단!$B$5:$B$404,MATCH($B945,명단!$A$5:$A$404,0))="","(이름 미입력)",INDEX(명단!$B$5:$B$404,MATCH($B945,명단!$A$5:$A$404,0))),"번호 없음"))</f>
        <v/>
      </c>
      <c r="I945" s="25" t="str">
        <f aca="false">IF(AND(C945="",D945=""),"",IF(OR(C945="-",D945="-"),"측정불가",IF(AND(ISNUMBER(C945),ISNUMBER(D945)),IF(OR(C945&gt;=설정!$C$11,D945&gt;=설정!$C$12),"긴급",IF(OR(C945&gt;=설정!$C$9,D945&gt;=설정!$C$10,C945&lt;설정!$C$13),"주의","정상")),"확인필요")))</f>
        <v/>
      </c>
      <c r="J945" s="25" t="str">
        <f aca="false">IF(E945="","",IF(E945="-","측정불가",IF(NOT(ISNUMBER(E945)),"확인필요",IF(E945&lt;설정!$C$17,"긴급(저혈당)",IF(E945&gt;=설정!$C$18,"긴급(고혈당)",IF(F945="공복",IF(E945&gt;=설정!$C$15,"주의","정상"),IF(F945="식후",IF(E945&gt;=설정!$C$16,"주의","정상"),"조건확인")))))))</f>
        <v/>
      </c>
      <c r="K945" s="25" t="str">
        <f aca="false">IF(OR(I945="긴급",LEFT(J945,2)="긴급"),"★ 즉시 선생님 호출",IF(OR(I945="주의",J945="주의"),"결과상담에서 확인",IF(J945="조건확인","혈당조건(공복/식후) 선택","")))</f>
        <v/>
      </c>
      <c r="L945" s="25" t="str">
        <f aca="false">IF($B945="","",IF(COUNTIF($B$5:$B$1004,$B945)&gt;1,"중복 입력",""))</f>
        <v/>
      </c>
    </row>
    <row r="946" customFormat="false" ht="15" hidden="false" customHeight="false" outlineLevel="0" collapsed="false">
      <c r="A946" s="23"/>
      <c r="B946" s="24"/>
      <c r="C946" s="24"/>
      <c r="D946" s="24"/>
      <c r="E946" s="24"/>
      <c r="F946" s="24"/>
      <c r="G946" s="24"/>
      <c r="H946" s="25" t="str">
        <f aca="false">IF($B946="","",IFERROR(IF(INDEX(명단!$B$5:$B$404,MATCH($B946,명단!$A$5:$A$404,0))="","(이름 미입력)",INDEX(명단!$B$5:$B$404,MATCH($B946,명단!$A$5:$A$404,0))),"번호 없음"))</f>
        <v/>
      </c>
      <c r="I946" s="25" t="str">
        <f aca="false">IF(AND(C946="",D946=""),"",IF(OR(C946="-",D946="-"),"측정불가",IF(AND(ISNUMBER(C946),ISNUMBER(D946)),IF(OR(C946&gt;=설정!$C$11,D946&gt;=설정!$C$12),"긴급",IF(OR(C946&gt;=설정!$C$9,D946&gt;=설정!$C$10,C946&lt;설정!$C$13),"주의","정상")),"확인필요")))</f>
        <v/>
      </c>
      <c r="J946" s="25" t="str">
        <f aca="false">IF(E946="","",IF(E946="-","측정불가",IF(NOT(ISNUMBER(E946)),"확인필요",IF(E946&lt;설정!$C$17,"긴급(저혈당)",IF(E946&gt;=설정!$C$18,"긴급(고혈당)",IF(F946="공복",IF(E946&gt;=설정!$C$15,"주의","정상"),IF(F946="식후",IF(E946&gt;=설정!$C$16,"주의","정상"),"조건확인")))))))</f>
        <v/>
      </c>
      <c r="K946" s="25" t="str">
        <f aca="false">IF(OR(I946="긴급",LEFT(J946,2)="긴급"),"★ 즉시 선생님 호출",IF(OR(I946="주의",J946="주의"),"결과상담에서 확인",IF(J946="조건확인","혈당조건(공복/식후) 선택","")))</f>
        <v/>
      </c>
      <c r="L946" s="25" t="str">
        <f aca="false">IF($B946="","",IF(COUNTIF($B$5:$B$1004,$B946)&gt;1,"중복 입력",""))</f>
        <v/>
      </c>
    </row>
    <row r="947" customFormat="false" ht="15" hidden="false" customHeight="false" outlineLevel="0" collapsed="false">
      <c r="A947" s="23"/>
      <c r="B947" s="24"/>
      <c r="C947" s="24"/>
      <c r="D947" s="24"/>
      <c r="E947" s="24"/>
      <c r="F947" s="24"/>
      <c r="G947" s="24"/>
      <c r="H947" s="25" t="str">
        <f aca="false">IF($B947="","",IFERROR(IF(INDEX(명단!$B$5:$B$404,MATCH($B947,명단!$A$5:$A$404,0))="","(이름 미입력)",INDEX(명단!$B$5:$B$404,MATCH($B947,명단!$A$5:$A$404,0))),"번호 없음"))</f>
        <v/>
      </c>
      <c r="I947" s="25" t="str">
        <f aca="false">IF(AND(C947="",D947=""),"",IF(OR(C947="-",D947="-"),"측정불가",IF(AND(ISNUMBER(C947),ISNUMBER(D947)),IF(OR(C947&gt;=설정!$C$11,D947&gt;=설정!$C$12),"긴급",IF(OR(C947&gt;=설정!$C$9,D947&gt;=설정!$C$10,C947&lt;설정!$C$13),"주의","정상")),"확인필요")))</f>
        <v/>
      </c>
      <c r="J947" s="25" t="str">
        <f aca="false">IF(E947="","",IF(E947="-","측정불가",IF(NOT(ISNUMBER(E947)),"확인필요",IF(E947&lt;설정!$C$17,"긴급(저혈당)",IF(E947&gt;=설정!$C$18,"긴급(고혈당)",IF(F947="공복",IF(E947&gt;=설정!$C$15,"주의","정상"),IF(F947="식후",IF(E947&gt;=설정!$C$16,"주의","정상"),"조건확인")))))))</f>
        <v/>
      </c>
      <c r="K947" s="25" t="str">
        <f aca="false">IF(OR(I947="긴급",LEFT(J947,2)="긴급"),"★ 즉시 선생님 호출",IF(OR(I947="주의",J947="주의"),"결과상담에서 확인",IF(J947="조건확인","혈당조건(공복/식후) 선택","")))</f>
        <v/>
      </c>
      <c r="L947" s="25" t="str">
        <f aca="false">IF($B947="","",IF(COUNTIF($B$5:$B$1004,$B947)&gt;1,"중복 입력",""))</f>
        <v/>
      </c>
    </row>
    <row r="948" customFormat="false" ht="15" hidden="false" customHeight="false" outlineLevel="0" collapsed="false">
      <c r="A948" s="23"/>
      <c r="B948" s="24"/>
      <c r="C948" s="24"/>
      <c r="D948" s="24"/>
      <c r="E948" s="24"/>
      <c r="F948" s="24"/>
      <c r="G948" s="24"/>
      <c r="H948" s="25" t="str">
        <f aca="false">IF($B948="","",IFERROR(IF(INDEX(명단!$B$5:$B$404,MATCH($B948,명단!$A$5:$A$404,0))="","(이름 미입력)",INDEX(명단!$B$5:$B$404,MATCH($B948,명단!$A$5:$A$404,0))),"번호 없음"))</f>
        <v/>
      </c>
      <c r="I948" s="25" t="str">
        <f aca="false">IF(AND(C948="",D948=""),"",IF(OR(C948="-",D948="-"),"측정불가",IF(AND(ISNUMBER(C948),ISNUMBER(D948)),IF(OR(C948&gt;=설정!$C$11,D948&gt;=설정!$C$12),"긴급",IF(OR(C948&gt;=설정!$C$9,D948&gt;=설정!$C$10,C948&lt;설정!$C$13),"주의","정상")),"확인필요")))</f>
        <v/>
      </c>
      <c r="J948" s="25" t="str">
        <f aca="false">IF(E948="","",IF(E948="-","측정불가",IF(NOT(ISNUMBER(E948)),"확인필요",IF(E948&lt;설정!$C$17,"긴급(저혈당)",IF(E948&gt;=설정!$C$18,"긴급(고혈당)",IF(F948="공복",IF(E948&gt;=설정!$C$15,"주의","정상"),IF(F948="식후",IF(E948&gt;=설정!$C$16,"주의","정상"),"조건확인")))))))</f>
        <v/>
      </c>
      <c r="K948" s="25" t="str">
        <f aca="false">IF(OR(I948="긴급",LEFT(J948,2)="긴급"),"★ 즉시 선생님 호출",IF(OR(I948="주의",J948="주의"),"결과상담에서 확인",IF(J948="조건확인","혈당조건(공복/식후) 선택","")))</f>
        <v/>
      </c>
      <c r="L948" s="25" t="str">
        <f aca="false">IF($B948="","",IF(COUNTIF($B$5:$B$1004,$B948)&gt;1,"중복 입력",""))</f>
        <v/>
      </c>
    </row>
    <row r="949" customFormat="false" ht="15" hidden="false" customHeight="false" outlineLevel="0" collapsed="false">
      <c r="A949" s="23"/>
      <c r="B949" s="24"/>
      <c r="C949" s="24"/>
      <c r="D949" s="24"/>
      <c r="E949" s="24"/>
      <c r="F949" s="24"/>
      <c r="G949" s="24"/>
      <c r="H949" s="25" t="str">
        <f aca="false">IF($B949="","",IFERROR(IF(INDEX(명단!$B$5:$B$404,MATCH($B949,명단!$A$5:$A$404,0))="","(이름 미입력)",INDEX(명단!$B$5:$B$404,MATCH($B949,명단!$A$5:$A$404,0))),"번호 없음"))</f>
        <v/>
      </c>
      <c r="I949" s="25" t="str">
        <f aca="false">IF(AND(C949="",D949=""),"",IF(OR(C949="-",D949="-"),"측정불가",IF(AND(ISNUMBER(C949),ISNUMBER(D949)),IF(OR(C949&gt;=설정!$C$11,D949&gt;=설정!$C$12),"긴급",IF(OR(C949&gt;=설정!$C$9,D949&gt;=설정!$C$10,C949&lt;설정!$C$13),"주의","정상")),"확인필요")))</f>
        <v/>
      </c>
      <c r="J949" s="25" t="str">
        <f aca="false">IF(E949="","",IF(E949="-","측정불가",IF(NOT(ISNUMBER(E949)),"확인필요",IF(E949&lt;설정!$C$17,"긴급(저혈당)",IF(E949&gt;=설정!$C$18,"긴급(고혈당)",IF(F949="공복",IF(E949&gt;=설정!$C$15,"주의","정상"),IF(F949="식후",IF(E949&gt;=설정!$C$16,"주의","정상"),"조건확인")))))))</f>
        <v/>
      </c>
      <c r="K949" s="25" t="str">
        <f aca="false">IF(OR(I949="긴급",LEFT(J949,2)="긴급"),"★ 즉시 선생님 호출",IF(OR(I949="주의",J949="주의"),"결과상담에서 확인",IF(J949="조건확인","혈당조건(공복/식후) 선택","")))</f>
        <v/>
      </c>
      <c r="L949" s="25" t="str">
        <f aca="false">IF($B949="","",IF(COUNTIF($B$5:$B$1004,$B949)&gt;1,"중복 입력",""))</f>
        <v/>
      </c>
    </row>
    <row r="950" customFormat="false" ht="15" hidden="false" customHeight="false" outlineLevel="0" collapsed="false">
      <c r="A950" s="23"/>
      <c r="B950" s="24"/>
      <c r="C950" s="24"/>
      <c r="D950" s="24"/>
      <c r="E950" s="24"/>
      <c r="F950" s="24"/>
      <c r="G950" s="24"/>
      <c r="H950" s="25" t="str">
        <f aca="false">IF($B950="","",IFERROR(IF(INDEX(명단!$B$5:$B$404,MATCH($B950,명단!$A$5:$A$404,0))="","(이름 미입력)",INDEX(명단!$B$5:$B$404,MATCH($B950,명단!$A$5:$A$404,0))),"번호 없음"))</f>
        <v/>
      </c>
      <c r="I950" s="25" t="str">
        <f aca="false">IF(AND(C950="",D950=""),"",IF(OR(C950="-",D950="-"),"측정불가",IF(AND(ISNUMBER(C950),ISNUMBER(D950)),IF(OR(C950&gt;=설정!$C$11,D950&gt;=설정!$C$12),"긴급",IF(OR(C950&gt;=설정!$C$9,D950&gt;=설정!$C$10,C950&lt;설정!$C$13),"주의","정상")),"확인필요")))</f>
        <v/>
      </c>
      <c r="J950" s="25" t="str">
        <f aca="false">IF(E950="","",IF(E950="-","측정불가",IF(NOT(ISNUMBER(E950)),"확인필요",IF(E950&lt;설정!$C$17,"긴급(저혈당)",IF(E950&gt;=설정!$C$18,"긴급(고혈당)",IF(F950="공복",IF(E950&gt;=설정!$C$15,"주의","정상"),IF(F950="식후",IF(E950&gt;=설정!$C$16,"주의","정상"),"조건확인")))))))</f>
        <v/>
      </c>
      <c r="K950" s="25" t="str">
        <f aca="false">IF(OR(I950="긴급",LEFT(J950,2)="긴급"),"★ 즉시 선생님 호출",IF(OR(I950="주의",J950="주의"),"결과상담에서 확인",IF(J950="조건확인","혈당조건(공복/식후) 선택","")))</f>
        <v/>
      </c>
      <c r="L950" s="25" t="str">
        <f aca="false">IF($B950="","",IF(COUNTIF($B$5:$B$1004,$B950)&gt;1,"중복 입력",""))</f>
        <v/>
      </c>
    </row>
    <row r="951" customFormat="false" ht="15" hidden="false" customHeight="false" outlineLevel="0" collapsed="false">
      <c r="A951" s="23"/>
      <c r="B951" s="24"/>
      <c r="C951" s="24"/>
      <c r="D951" s="24"/>
      <c r="E951" s="24"/>
      <c r="F951" s="24"/>
      <c r="G951" s="24"/>
      <c r="H951" s="25" t="str">
        <f aca="false">IF($B951="","",IFERROR(IF(INDEX(명단!$B$5:$B$404,MATCH($B951,명단!$A$5:$A$404,0))="","(이름 미입력)",INDEX(명단!$B$5:$B$404,MATCH($B951,명단!$A$5:$A$404,0))),"번호 없음"))</f>
        <v/>
      </c>
      <c r="I951" s="25" t="str">
        <f aca="false">IF(AND(C951="",D951=""),"",IF(OR(C951="-",D951="-"),"측정불가",IF(AND(ISNUMBER(C951),ISNUMBER(D951)),IF(OR(C951&gt;=설정!$C$11,D951&gt;=설정!$C$12),"긴급",IF(OR(C951&gt;=설정!$C$9,D951&gt;=설정!$C$10,C951&lt;설정!$C$13),"주의","정상")),"확인필요")))</f>
        <v/>
      </c>
      <c r="J951" s="25" t="str">
        <f aca="false">IF(E951="","",IF(E951="-","측정불가",IF(NOT(ISNUMBER(E951)),"확인필요",IF(E951&lt;설정!$C$17,"긴급(저혈당)",IF(E951&gt;=설정!$C$18,"긴급(고혈당)",IF(F951="공복",IF(E951&gt;=설정!$C$15,"주의","정상"),IF(F951="식후",IF(E951&gt;=설정!$C$16,"주의","정상"),"조건확인")))))))</f>
        <v/>
      </c>
      <c r="K951" s="25" t="str">
        <f aca="false">IF(OR(I951="긴급",LEFT(J951,2)="긴급"),"★ 즉시 선생님 호출",IF(OR(I951="주의",J951="주의"),"결과상담에서 확인",IF(J951="조건확인","혈당조건(공복/식후) 선택","")))</f>
        <v/>
      </c>
      <c r="L951" s="25" t="str">
        <f aca="false">IF($B951="","",IF(COUNTIF($B$5:$B$1004,$B951)&gt;1,"중복 입력",""))</f>
        <v/>
      </c>
    </row>
    <row r="952" customFormat="false" ht="15" hidden="false" customHeight="false" outlineLevel="0" collapsed="false">
      <c r="A952" s="23"/>
      <c r="B952" s="24"/>
      <c r="C952" s="24"/>
      <c r="D952" s="24"/>
      <c r="E952" s="24"/>
      <c r="F952" s="24"/>
      <c r="G952" s="24"/>
      <c r="H952" s="25" t="str">
        <f aca="false">IF($B952="","",IFERROR(IF(INDEX(명단!$B$5:$B$404,MATCH($B952,명단!$A$5:$A$404,0))="","(이름 미입력)",INDEX(명단!$B$5:$B$404,MATCH($B952,명단!$A$5:$A$404,0))),"번호 없음"))</f>
        <v/>
      </c>
      <c r="I952" s="25" t="str">
        <f aca="false">IF(AND(C952="",D952=""),"",IF(OR(C952="-",D952="-"),"측정불가",IF(AND(ISNUMBER(C952),ISNUMBER(D952)),IF(OR(C952&gt;=설정!$C$11,D952&gt;=설정!$C$12),"긴급",IF(OR(C952&gt;=설정!$C$9,D952&gt;=설정!$C$10,C952&lt;설정!$C$13),"주의","정상")),"확인필요")))</f>
        <v/>
      </c>
      <c r="J952" s="25" t="str">
        <f aca="false">IF(E952="","",IF(E952="-","측정불가",IF(NOT(ISNUMBER(E952)),"확인필요",IF(E952&lt;설정!$C$17,"긴급(저혈당)",IF(E952&gt;=설정!$C$18,"긴급(고혈당)",IF(F952="공복",IF(E952&gt;=설정!$C$15,"주의","정상"),IF(F952="식후",IF(E952&gt;=설정!$C$16,"주의","정상"),"조건확인")))))))</f>
        <v/>
      </c>
      <c r="K952" s="25" t="str">
        <f aca="false">IF(OR(I952="긴급",LEFT(J952,2)="긴급"),"★ 즉시 선생님 호출",IF(OR(I952="주의",J952="주의"),"결과상담에서 확인",IF(J952="조건확인","혈당조건(공복/식후) 선택","")))</f>
        <v/>
      </c>
      <c r="L952" s="25" t="str">
        <f aca="false">IF($B952="","",IF(COUNTIF($B$5:$B$1004,$B952)&gt;1,"중복 입력",""))</f>
        <v/>
      </c>
    </row>
    <row r="953" customFormat="false" ht="15" hidden="false" customHeight="false" outlineLevel="0" collapsed="false">
      <c r="A953" s="23"/>
      <c r="B953" s="24"/>
      <c r="C953" s="24"/>
      <c r="D953" s="24"/>
      <c r="E953" s="24"/>
      <c r="F953" s="24"/>
      <c r="G953" s="24"/>
      <c r="H953" s="25" t="str">
        <f aca="false">IF($B953="","",IFERROR(IF(INDEX(명단!$B$5:$B$404,MATCH($B953,명단!$A$5:$A$404,0))="","(이름 미입력)",INDEX(명단!$B$5:$B$404,MATCH($B953,명단!$A$5:$A$404,0))),"번호 없음"))</f>
        <v/>
      </c>
      <c r="I953" s="25" t="str">
        <f aca="false">IF(AND(C953="",D953=""),"",IF(OR(C953="-",D953="-"),"측정불가",IF(AND(ISNUMBER(C953),ISNUMBER(D953)),IF(OR(C953&gt;=설정!$C$11,D953&gt;=설정!$C$12),"긴급",IF(OR(C953&gt;=설정!$C$9,D953&gt;=설정!$C$10,C953&lt;설정!$C$13),"주의","정상")),"확인필요")))</f>
        <v/>
      </c>
      <c r="J953" s="25" t="str">
        <f aca="false">IF(E953="","",IF(E953="-","측정불가",IF(NOT(ISNUMBER(E953)),"확인필요",IF(E953&lt;설정!$C$17,"긴급(저혈당)",IF(E953&gt;=설정!$C$18,"긴급(고혈당)",IF(F953="공복",IF(E953&gt;=설정!$C$15,"주의","정상"),IF(F953="식후",IF(E953&gt;=설정!$C$16,"주의","정상"),"조건확인")))))))</f>
        <v/>
      </c>
      <c r="K953" s="25" t="str">
        <f aca="false">IF(OR(I953="긴급",LEFT(J953,2)="긴급"),"★ 즉시 선생님 호출",IF(OR(I953="주의",J953="주의"),"결과상담에서 확인",IF(J953="조건확인","혈당조건(공복/식후) 선택","")))</f>
        <v/>
      </c>
      <c r="L953" s="25" t="str">
        <f aca="false">IF($B953="","",IF(COUNTIF($B$5:$B$1004,$B953)&gt;1,"중복 입력",""))</f>
        <v/>
      </c>
    </row>
    <row r="954" customFormat="false" ht="15" hidden="false" customHeight="false" outlineLevel="0" collapsed="false">
      <c r="A954" s="23"/>
      <c r="B954" s="24"/>
      <c r="C954" s="24"/>
      <c r="D954" s="24"/>
      <c r="E954" s="24"/>
      <c r="F954" s="24"/>
      <c r="G954" s="24"/>
      <c r="H954" s="25" t="str">
        <f aca="false">IF($B954="","",IFERROR(IF(INDEX(명단!$B$5:$B$404,MATCH($B954,명단!$A$5:$A$404,0))="","(이름 미입력)",INDEX(명단!$B$5:$B$404,MATCH($B954,명단!$A$5:$A$404,0))),"번호 없음"))</f>
        <v/>
      </c>
      <c r="I954" s="25" t="str">
        <f aca="false">IF(AND(C954="",D954=""),"",IF(OR(C954="-",D954="-"),"측정불가",IF(AND(ISNUMBER(C954),ISNUMBER(D954)),IF(OR(C954&gt;=설정!$C$11,D954&gt;=설정!$C$12),"긴급",IF(OR(C954&gt;=설정!$C$9,D954&gt;=설정!$C$10,C954&lt;설정!$C$13),"주의","정상")),"확인필요")))</f>
        <v/>
      </c>
      <c r="J954" s="25" t="str">
        <f aca="false">IF(E954="","",IF(E954="-","측정불가",IF(NOT(ISNUMBER(E954)),"확인필요",IF(E954&lt;설정!$C$17,"긴급(저혈당)",IF(E954&gt;=설정!$C$18,"긴급(고혈당)",IF(F954="공복",IF(E954&gt;=설정!$C$15,"주의","정상"),IF(F954="식후",IF(E954&gt;=설정!$C$16,"주의","정상"),"조건확인")))))))</f>
        <v/>
      </c>
      <c r="K954" s="25" t="str">
        <f aca="false">IF(OR(I954="긴급",LEFT(J954,2)="긴급"),"★ 즉시 선생님 호출",IF(OR(I954="주의",J954="주의"),"결과상담에서 확인",IF(J954="조건확인","혈당조건(공복/식후) 선택","")))</f>
        <v/>
      </c>
      <c r="L954" s="25" t="str">
        <f aca="false">IF($B954="","",IF(COUNTIF($B$5:$B$1004,$B954)&gt;1,"중복 입력",""))</f>
        <v/>
      </c>
    </row>
    <row r="955" customFormat="false" ht="15" hidden="false" customHeight="false" outlineLevel="0" collapsed="false">
      <c r="A955" s="23"/>
      <c r="B955" s="24"/>
      <c r="C955" s="24"/>
      <c r="D955" s="24"/>
      <c r="E955" s="24"/>
      <c r="F955" s="24"/>
      <c r="G955" s="24"/>
      <c r="H955" s="25" t="str">
        <f aca="false">IF($B955="","",IFERROR(IF(INDEX(명단!$B$5:$B$404,MATCH($B955,명단!$A$5:$A$404,0))="","(이름 미입력)",INDEX(명단!$B$5:$B$404,MATCH($B955,명단!$A$5:$A$404,0))),"번호 없음"))</f>
        <v/>
      </c>
      <c r="I955" s="25" t="str">
        <f aca="false">IF(AND(C955="",D955=""),"",IF(OR(C955="-",D955="-"),"측정불가",IF(AND(ISNUMBER(C955),ISNUMBER(D955)),IF(OR(C955&gt;=설정!$C$11,D955&gt;=설정!$C$12),"긴급",IF(OR(C955&gt;=설정!$C$9,D955&gt;=설정!$C$10,C955&lt;설정!$C$13),"주의","정상")),"확인필요")))</f>
        <v/>
      </c>
      <c r="J955" s="25" t="str">
        <f aca="false">IF(E955="","",IF(E955="-","측정불가",IF(NOT(ISNUMBER(E955)),"확인필요",IF(E955&lt;설정!$C$17,"긴급(저혈당)",IF(E955&gt;=설정!$C$18,"긴급(고혈당)",IF(F955="공복",IF(E955&gt;=설정!$C$15,"주의","정상"),IF(F955="식후",IF(E955&gt;=설정!$C$16,"주의","정상"),"조건확인")))))))</f>
        <v/>
      </c>
      <c r="K955" s="25" t="str">
        <f aca="false">IF(OR(I955="긴급",LEFT(J955,2)="긴급"),"★ 즉시 선생님 호출",IF(OR(I955="주의",J955="주의"),"결과상담에서 확인",IF(J955="조건확인","혈당조건(공복/식후) 선택","")))</f>
        <v/>
      </c>
      <c r="L955" s="25" t="str">
        <f aca="false">IF($B955="","",IF(COUNTIF($B$5:$B$1004,$B955)&gt;1,"중복 입력",""))</f>
        <v/>
      </c>
    </row>
    <row r="956" customFormat="false" ht="15" hidden="false" customHeight="false" outlineLevel="0" collapsed="false">
      <c r="A956" s="23"/>
      <c r="B956" s="24"/>
      <c r="C956" s="24"/>
      <c r="D956" s="24"/>
      <c r="E956" s="24"/>
      <c r="F956" s="24"/>
      <c r="G956" s="24"/>
      <c r="H956" s="25" t="str">
        <f aca="false">IF($B956="","",IFERROR(IF(INDEX(명단!$B$5:$B$404,MATCH($B956,명단!$A$5:$A$404,0))="","(이름 미입력)",INDEX(명단!$B$5:$B$404,MATCH($B956,명단!$A$5:$A$404,0))),"번호 없음"))</f>
        <v/>
      </c>
      <c r="I956" s="25" t="str">
        <f aca="false">IF(AND(C956="",D956=""),"",IF(OR(C956="-",D956="-"),"측정불가",IF(AND(ISNUMBER(C956),ISNUMBER(D956)),IF(OR(C956&gt;=설정!$C$11,D956&gt;=설정!$C$12),"긴급",IF(OR(C956&gt;=설정!$C$9,D956&gt;=설정!$C$10,C956&lt;설정!$C$13),"주의","정상")),"확인필요")))</f>
        <v/>
      </c>
      <c r="J956" s="25" t="str">
        <f aca="false">IF(E956="","",IF(E956="-","측정불가",IF(NOT(ISNUMBER(E956)),"확인필요",IF(E956&lt;설정!$C$17,"긴급(저혈당)",IF(E956&gt;=설정!$C$18,"긴급(고혈당)",IF(F956="공복",IF(E956&gt;=설정!$C$15,"주의","정상"),IF(F956="식후",IF(E956&gt;=설정!$C$16,"주의","정상"),"조건확인")))))))</f>
        <v/>
      </c>
      <c r="K956" s="25" t="str">
        <f aca="false">IF(OR(I956="긴급",LEFT(J956,2)="긴급"),"★ 즉시 선생님 호출",IF(OR(I956="주의",J956="주의"),"결과상담에서 확인",IF(J956="조건확인","혈당조건(공복/식후) 선택","")))</f>
        <v/>
      </c>
      <c r="L956" s="25" t="str">
        <f aca="false">IF($B956="","",IF(COUNTIF($B$5:$B$1004,$B956)&gt;1,"중복 입력",""))</f>
        <v/>
      </c>
    </row>
    <row r="957" customFormat="false" ht="15" hidden="false" customHeight="false" outlineLevel="0" collapsed="false">
      <c r="A957" s="23"/>
      <c r="B957" s="24"/>
      <c r="C957" s="24"/>
      <c r="D957" s="24"/>
      <c r="E957" s="24"/>
      <c r="F957" s="24"/>
      <c r="G957" s="24"/>
      <c r="H957" s="25" t="str">
        <f aca="false">IF($B957="","",IFERROR(IF(INDEX(명단!$B$5:$B$404,MATCH($B957,명단!$A$5:$A$404,0))="","(이름 미입력)",INDEX(명단!$B$5:$B$404,MATCH($B957,명단!$A$5:$A$404,0))),"번호 없음"))</f>
        <v/>
      </c>
      <c r="I957" s="25" t="str">
        <f aca="false">IF(AND(C957="",D957=""),"",IF(OR(C957="-",D957="-"),"측정불가",IF(AND(ISNUMBER(C957),ISNUMBER(D957)),IF(OR(C957&gt;=설정!$C$11,D957&gt;=설정!$C$12),"긴급",IF(OR(C957&gt;=설정!$C$9,D957&gt;=설정!$C$10,C957&lt;설정!$C$13),"주의","정상")),"확인필요")))</f>
        <v/>
      </c>
      <c r="J957" s="25" t="str">
        <f aca="false">IF(E957="","",IF(E957="-","측정불가",IF(NOT(ISNUMBER(E957)),"확인필요",IF(E957&lt;설정!$C$17,"긴급(저혈당)",IF(E957&gt;=설정!$C$18,"긴급(고혈당)",IF(F957="공복",IF(E957&gt;=설정!$C$15,"주의","정상"),IF(F957="식후",IF(E957&gt;=설정!$C$16,"주의","정상"),"조건확인")))))))</f>
        <v/>
      </c>
      <c r="K957" s="25" t="str">
        <f aca="false">IF(OR(I957="긴급",LEFT(J957,2)="긴급"),"★ 즉시 선생님 호출",IF(OR(I957="주의",J957="주의"),"결과상담에서 확인",IF(J957="조건확인","혈당조건(공복/식후) 선택","")))</f>
        <v/>
      </c>
      <c r="L957" s="25" t="str">
        <f aca="false">IF($B957="","",IF(COUNTIF($B$5:$B$1004,$B957)&gt;1,"중복 입력",""))</f>
        <v/>
      </c>
    </row>
    <row r="958" customFormat="false" ht="15" hidden="false" customHeight="false" outlineLevel="0" collapsed="false">
      <c r="A958" s="23"/>
      <c r="B958" s="24"/>
      <c r="C958" s="24"/>
      <c r="D958" s="24"/>
      <c r="E958" s="24"/>
      <c r="F958" s="24"/>
      <c r="G958" s="24"/>
      <c r="H958" s="25" t="str">
        <f aca="false">IF($B958="","",IFERROR(IF(INDEX(명단!$B$5:$B$404,MATCH($B958,명단!$A$5:$A$404,0))="","(이름 미입력)",INDEX(명단!$B$5:$B$404,MATCH($B958,명단!$A$5:$A$404,0))),"번호 없음"))</f>
        <v/>
      </c>
      <c r="I958" s="25" t="str">
        <f aca="false">IF(AND(C958="",D958=""),"",IF(OR(C958="-",D958="-"),"측정불가",IF(AND(ISNUMBER(C958),ISNUMBER(D958)),IF(OR(C958&gt;=설정!$C$11,D958&gt;=설정!$C$12),"긴급",IF(OR(C958&gt;=설정!$C$9,D958&gt;=설정!$C$10,C958&lt;설정!$C$13),"주의","정상")),"확인필요")))</f>
        <v/>
      </c>
      <c r="J958" s="25" t="str">
        <f aca="false">IF(E958="","",IF(E958="-","측정불가",IF(NOT(ISNUMBER(E958)),"확인필요",IF(E958&lt;설정!$C$17,"긴급(저혈당)",IF(E958&gt;=설정!$C$18,"긴급(고혈당)",IF(F958="공복",IF(E958&gt;=설정!$C$15,"주의","정상"),IF(F958="식후",IF(E958&gt;=설정!$C$16,"주의","정상"),"조건확인")))))))</f>
        <v/>
      </c>
      <c r="K958" s="25" t="str">
        <f aca="false">IF(OR(I958="긴급",LEFT(J958,2)="긴급"),"★ 즉시 선생님 호출",IF(OR(I958="주의",J958="주의"),"결과상담에서 확인",IF(J958="조건확인","혈당조건(공복/식후) 선택","")))</f>
        <v/>
      </c>
      <c r="L958" s="25" t="str">
        <f aca="false">IF($B958="","",IF(COUNTIF($B$5:$B$1004,$B958)&gt;1,"중복 입력",""))</f>
        <v/>
      </c>
    </row>
    <row r="959" customFormat="false" ht="15" hidden="false" customHeight="false" outlineLevel="0" collapsed="false">
      <c r="A959" s="23"/>
      <c r="B959" s="24"/>
      <c r="C959" s="24"/>
      <c r="D959" s="24"/>
      <c r="E959" s="24"/>
      <c r="F959" s="24"/>
      <c r="G959" s="24"/>
      <c r="H959" s="25" t="str">
        <f aca="false">IF($B959="","",IFERROR(IF(INDEX(명단!$B$5:$B$404,MATCH($B959,명단!$A$5:$A$404,0))="","(이름 미입력)",INDEX(명단!$B$5:$B$404,MATCH($B959,명단!$A$5:$A$404,0))),"번호 없음"))</f>
        <v/>
      </c>
      <c r="I959" s="25" t="str">
        <f aca="false">IF(AND(C959="",D959=""),"",IF(OR(C959="-",D959="-"),"측정불가",IF(AND(ISNUMBER(C959),ISNUMBER(D959)),IF(OR(C959&gt;=설정!$C$11,D959&gt;=설정!$C$12),"긴급",IF(OR(C959&gt;=설정!$C$9,D959&gt;=설정!$C$10,C959&lt;설정!$C$13),"주의","정상")),"확인필요")))</f>
        <v/>
      </c>
      <c r="J959" s="25" t="str">
        <f aca="false">IF(E959="","",IF(E959="-","측정불가",IF(NOT(ISNUMBER(E959)),"확인필요",IF(E959&lt;설정!$C$17,"긴급(저혈당)",IF(E959&gt;=설정!$C$18,"긴급(고혈당)",IF(F959="공복",IF(E959&gt;=설정!$C$15,"주의","정상"),IF(F959="식후",IF(E959&gt;=설정!$C$16,"주의","정상"),"조건확인")))))))</f>
        <v/>
      </c>
      <c r="K959" s="25" t="str">
        <f aca="false">IF(OR(I959="긴급",LEFT(J959,2)="긴급"),"★ 즉시 선생님 호출",IF(OR(I959="주의",J959="주의"),"결과상담에서 확인",IF(J959="조건확인","혈당조건(공복/식후) 선택","")))</f>
        <v/>
      </c>
      <c r="L959" s="25" t="str">
        <f aca="false">IF($B959="","",IF(COUNTIF($B$5:$B$1004,$B959)&gt;1,"중복 입력",""))</f>
        <v/>
      </c>
    </row>
    <row r="960" customFormat="false" ht="15" hidden="false" customHeight="false" outlineLevel="0" collapsed="false">
      <c r="A960" s="23"/>
      <c r="B960" s="24"/>
      <c r="C960" s="24"/>
      <c r="D960" s="24"/>
      <c r="E960" s="24"/>
      <c r="F960" s="24"/>
      <c r="G960" s="24"/>
      <c r="H960" s="25" t="str">
        <f aca="false">IF($B960="","",IFERROR(IF(INDEX(명단!$B$5:$B$404,MATCH($B960,명단!$A$5:$A$404,0))="","(이름 미입력)",INDEX(명단!$B$5:$B$404,MATCH($B960,명단!$A$5:$A$404,0))),"번호 없음"))</f>
        <v/>
      </c>
      <c r="I960" s="25" t="str">
        <f aca="false">IF(AND(C960="",D960=""),"",IF(OR(C960="-",D960="-"),"측정불가",IF(AND(ISNUMBER(C960),ISNUMBER(D960)),IF(OR(C960&gt;=설정!$C$11,D960&gt;=설정!$C$12),"긴급",IF(OR(C960&gt;=설정!$C$9,D960&gt;=설정!$C$10,C960&lt;설정!$C$13),"주의","정상")),"확인필요")))</f>
        <v/>
      </c>
      <c r="J960" s="25" t="str">
        <f aca="false">IF(E960="","",IF(E960="-","측정불가",IF(NOT(ISNUMBER(E960)),"확인필요",IF(E960&lt;설정!$C$17,"긴급(저혈당)",IF(E960&gt;=설정!$C$18,"긴급(고혈당)",IF(F960="공복",IF(E960&gt;=설정!$C$15,"주의","정상"),IF(F960="식후",IF(E960&gt;=설정!$C$16,"주의","정상"),"조건확인")))))))</f>
        <v/>
      </c>
      <c r="K960" s="25" t="str">
        <f aca="false">IF(OR(I960="긴급",LEFT(J960,2)="긴급"),"★ 즉시 선생님 호출",IF(OR(I960="주의",J960="주의"),"결과상담에서 확인",IF(J960="조건확인","혈당조건(공복/식후) 선택","")))</f>
        <v/>
      </c>
      <c r="L960" s="25" t="str">
        <f aca="false">IF($B960="","",IF(COUNTIF($B$5:$B$1004,$B960)&gt;1,"중복 입력",""))</f>
        <v/>
      </c>
    </row>
    <row r="961" customFormat="false" ht="15" hidden="false" customHeight="false" outlineLevel="0" collapsed="false">
      <c r="A961" s="23"/>
      <c r="B961" s="24"/>
      <c r="C961" s="24"/>
      <c r="D961" s="24"/>
      <c r="E961" s="24"/>
      <c r="F961" s="24"/>
      <c r="G961" s="24"/>
      <c r="H961" s="25" t="str">
        <f aca="false">IF($B961="","",IFERROR(IF(INDEX(명단!$B$5:$B$404,MATCH($B961,명단!$A$5:$A$404,0))="","(이름 미입력)",INDEX(명단!$B$5:$B$404,MATCH($B961,명단!$A$5:$A$404,0))),"번호 없음"))</f>
        <v/>
      </c>
      <c r="I961" s="25" t="str">
        <f aca="false">IF(AND(C961="",D961=""),"",IF(OR(C961="-",D961="-"),"측정불가",IF(AND(ISNUMBER(C961),ISNUMBER(D961)),IF(OR(C961&gt;=설정!$C$11,D961&gt;=설정!$C$12),"긴급",IF(OR(C961&gt;=설정!$C$9,D961&gt;=설정!$C$10,C961&lt;설정!$C$13),"주의","정상")),"확인필요")))</f>
        <v/>
      </c>
      <c r="J961" s="25" t="str">
        <f aca="false">IF(E961="","",IF(E961="-","측정불가",IF(NOT(ISNUMBER(E961)),"확인필요",IF(E961&lt;설정!$C$17,"긴급(저혈당)",IF(E961&gt;=설정!$C$18,"긴급(고혈당)",IF(F961="공복",IF(E961&gt;=설정!$C$15,"주의","정상"),IF(F961="식후",IF(E961&gt;=설정!$C$16,"주의","정상"),"조건확인")))))))</f>
        <v/>
      </c>
      <c r="K961" s="25" t="str">
        <f aca="false">IF(OR(I961="긴급",LEFT(J961,2)="긴급"),"★ 즉시 선생님 호출",IF(OR(I961="주의",J961="주의"),"결과상담에서 확인",IF(J961="조건확인","혈당조건(공복/식후) 선택","")))</f>
        <v/>
      </c>
      <c r="L961" s="25" t="str">
        <f aca="false">IF($B961="","",IF(COUNTIF($B$5:$B$1004,$B961)&gt;1,"중복 입력",""))</f>
        <v/>
      </c>
    </row>
    <row r="962" customFormat="false" ht="15" hidden="false" customHeight="false" outlineLevel="0" collapsed="false">
      <c r="A962" s="23"/>
      <c r="B962" s="24"/>
      <c r="C962" s="24"/>
      <c r="D962" s="24"/>
      <c r="E962" s="24"/>
      <c r="F962" s="24"/>
      <c r="G962" s="24"/>
      <c r="H962" s="25" t="str">
        <f aca="false">IF($B962="","",IFERROR(IF(INDEX(명단!$B$5:$B$404,MATCH($B962,명단!$A$5:$A$404,0))="","(이름 미입력)",INDEX(명단!$B$5:$B$404,MATCH($B962,명단!$A$5:$A$404,0))),"번호 없음"))</f>
        <v/>
      </c>
      <c r="I962" s="25" t="str">
        <f aca="false">IF(AND(C962="",D962=""),"",IF(OR(C962="-",D962="-"),"측정불가",IF(AND(ISNUMBER(C962),ISNUMBER(D962)),IF(OR(C962&gt;=설정!$C$11,D962&gt;=설정!$C$12),"긴급",IF(OR(C962&gt;=설정!$C$9,D962&gt;=설정!$C$10,C962&lt;설정!$C$13),"주의","정상")),"확인필요")))</f>
        <v/>
      </c>
      <c r="J962" s="25" t="str">
        <f aca="false">IF(E962="","",IF(E962="-","측정불가",IF(NOT(ISNUMBER(E962)),"확인필요",IF(E962&lt;설정!$C$17,"긴급(저혈당)",IF(E962&gt;=설정!$C$18,"긴급(고혈당)",IF(F962="공복",IF(E962&gt;=설정!$C$15,"주의","정상"),IF(F962="식후",IF(E962&gt;=설정!$C$16,"주의","정상"),"조건확인")))))))</f>
        <v/>
      </c>
      <c r="K962" s="25" t="str">
        <f aca="false">IF(OR(I962="긴급",LEFT(J962,2)="긴급"),"★ 즉시 선생님 호출",IF(OR(I962="주의",J962="주의"),"결과상담에서 확인",IF(J962="조건확인","혈당조건(공복/식후) 선택","")))</f>
        <v/>
      </c>
      <c r="L962" s="25" t="str">
        <f aca="false">IF($B962="","",IF(COUNTIF($B$5:$B$1004,$B962)&gt;1,"중복 입력",""))</f>
        <v/>
      </c>
    </row>
    <row r="963" customFormat="false" ht="15" hidden="false" customHeight="false" outlineLevel="0" collapsed="false">
      <c r="A963" s="23"/>
      <c r="B963" s="24"/>
      <c r="C963" s="24"/>
      <c r="D963" s="24"/>
      <c r="E963" s="24"/>
      <c r="F963" s="24"/>
      <c r="G963" s="24"/>
      <c r="H963" s="25" t="str">
        <f aca="false">IF($B963="","",IFERROR(IF(INDEX(명단!$B$5:$B$404,MATCH($B963,명단!$A$5:$A$404,0))="","(이름 미입력)",INDEX(명단!$B$5:$B$404,MATCH($B963,명단!$A$5:$A$404,0))),"번호 없음"))</f>
        <v/>
      </c>
      <c r="I963" s="25" t="str">
        <f aca="false">IF(AND(C963="",D963=""),"",IF(OR(C963="-",D963="-"),"측정불가",IF(AND(ISNUMBER(C963),ISNUMBER(D963)),IF(OR(C963&gt;=설정!$C$11,D963&gt;=설정!$C$12),"긴급",IF(OR(C963&gt;=설정!$C$9,D963&gt;=설정!$C$10,C963&lt;설정!$C$13),"주의","정상")),"확인필요")))</f>
        <v/>
      </c>
      <c r="J963" s="25" t="str">
        <f aca="false">IF(E963="","",IF(E963="-","측정불가",IF(NOT(ISNUMBER(E963)),"확인필요",IF(E963&lt;설정!$C$17,"긴급(저혈당)",IF(E963&gt;=설정!$C$18,"긴급(고혈당)",IF(F963="공복",IF(E963&gt;=설정!$C$15,"주의","정상"),IF(F963="식후",IF(E963&gt;=설정!$C$16,"주의","정상"),"조건확인")))))))</f>
        <v/>
      </c>
      <c r="K963" s="25" t="str">
        <f aca="false">IF(OR(I963="긴급",LEFT(J963,2)="긴급"),"★ 즉시 선생님 호출",IF(OR(I963="주의",J963="주의"),"결과상담에서 확인",IF(J963="조건확인","혈당조건(공복/식후) 선택","")))</f>
        <v/>
      </c>
      <c r="L963" s="25" t="str">
        <f aca="false">IF($B963="","",IF(COUNTIF($B$5:$B$1004,$B963)&gt;1,"중복 입력",""))</f>
        <v/>
      </c>
    </row>
    <row r="964" customFormat="false" ht="15" hidden="false" customHeight="false" outlineLevel="0" collapsed="false">
      <c r="A964" s="23"/>
      <c r="B964" s="24"/>
      <c r="C964" s="24"/>
      <c r="D964" s="24"/>
      <c r="E964" s="24"/>
      <c r="F964" s="24"/>
      <c r="G964" s="24"/>
      <c r="H964" s="25" t="str">
        <f aca="false">IF($B964="","",IFERROR(IF(INDEX(명단!$B$5:$B$404,MATCH($B964,명단!$A$5:$A$404,0))="","(이름 미입력)",INDEX(명단!$B$5:$B$404,MATCH($B964,명단!$A$5:$A$404,0))),"번호 없음"))</f>
        <v/>
      </c>
      <c r="I964" s="25" t="str">
        <f aca="false">IF(AND(C964="",D964=""),"",IF(OR(C964="-",D964="-"),"측정불가",IF(AND(ISNUMBER(C964),ISNUMBER(D964)),IF(OR(C964&gt;=설정!$C$11,D964&gt;=설정!$C$12),"긴급",IF(OR(C964&gt;=설정!$C$9,D964&gt;=설정!$C$10,C964&lt;설정!$C$13),"주의","정상")),"확인필요")))</f>
        <v/>
      </c>
      <c r="J964" s="25" t="str">
        <f aca="false">IF(E964="","",IF(E964="-","측정불가",IF(NOT(ISNUMBER(E964)),"확인필요",IF(E964&lt;설정!$C$17,"긴급(저혈당)",IF(E964&gt;=설정!$C$18,"긴급(고혈당)",IF(F964="공복",IF(E964&gt;=설정!$C$15,"주의","정상"),IF(F964="식후",IF(E964&gt;=설정!$C$16,"주의","정상"),"조건확인")))))))</f>
        <v/>
      </c>
      <c r="K964" s="25" t="str">
        <f aca="false">IF(OR(I964="긴급",LEFT(J964,2)="긴급"),"★ 즉시 선생님 호출",IF(OR(I964="주의",J964="주의"),"결과상담에서 확인",IF(J964="조건확인","혈당조건(공복/식후) 선택","")))</f>
        <v/>
      </c>
      <c r="L964" s="25" t="str">
        <f aca="false">IF($B964="","",IF(COUNTIF($B$5:$B$1004,$B964)&gt;1,"중복 입력",""))</f>
        <v/>
      </c>
    </row>
    <row r="965" customFormat="false" ht="15" hidden="false" customHeight="false" outlineLevel="0" collapsed="false">
      <c r="A965" s="23"/>
      <c r="B965" s="24"/>
      <c r="C965" s="24"/>
      <c r="D965" s="24"/>
      <c r="E965" s="24"/>
      <c r="F965" s="24"/>
      <c r="G965" s="24"/>
      <c r="H965" s="25" t="str">
        <f aca="false">IF($B965="","",IFERROR(IF(INDEX(명단!$B$5:$B$404,MATCH($B965,명단!$A$5:$A$404,0))="","(이름 미입력)",INDEX(명단!$B$5:$B$404,MATCH($B965,명단!$A$5:$A$404,0))),"번호 없음"))</f>
        <v/>
      </c>
      <c r="I965" s="25" t="str">
        <f aca="false">IF(AND(C965="",D965=""),"",IF(OR(C965="-",D965="-"),"측정불가",IF(AND(ISNUMBER(C965),ISNUMBER(D965)),IF(OR(C965&gt;=설정!$C$11,D965&gt;=설정!$C$12),"긴급",IF(OR(C965&gt;=설정!$C$9,D965&gt;=설정!$C$10,C965&lt;설정!$C$13),"주의","정상")),"확인필요")))</f>
        <v/>
      </c>
      <c r="J965" s="25" t="str">
        <f aca="false">IF(E965="","",IF(E965="-","측정불가",IF(NOT(ISNUMBER(E965)),"확인필요",IF(E965&lt;설정!$C$17,"긴급(저혈당)",IF(E965&gt;=설정!$C$18,"긴급(고혈당)",IF(F965="공복",IF(E965&gt;=설정!$C$15,"주의","정상"),IF(F965="식후",IF(E965&gt;=설정!$C$16,"주의","정상"),"조건확인")))))))</f>
        <v/>
      </c>
      <c r="K965" s="25" t="str">
        <f aca="false">IF(OR(I965="긴급",LEFT(J965,2)="긴급"),"★ 즉시 선생님 호출",IF(OR(I965="주의",J965="주의"),"결과상담에서 확인",IF(J965="조건확인","혈당조건(공복/식후) 선택","")))</f>
        <v/>
      </c>
      <c r="L965" s="25" t="str">
        <f aca="false">IF($B965="","",IF(COUNTIF($B$5:$B$1004,$B965)&gt;1,"중복 입력",""))</f>
        <v/>
      </c>
    </row>
    <row r="966" customFormat="false" ht="15" hidden="false" customHeight="false" outlineLevel="0" collapsed="false">
      <c r="A966" s="23"/>
      <c r="B966" s="24"/>
      <c r="C966" s="24"/>
      <c r="D966" s="24"/>
      <c r="E966" s="24"/>
      <c r="F966" s="24"/>
      <c r="G966" s="24"/>
      <c r="H966" s="25" t="str">
        <f aca="false">IF($B966="","",IFERROR(IF(INDEX(명단!$B$5:$B$404,MATCH($B966,명단!$A$5:$A$404,0))="","(이름 미입력)",INDEX(명단!$B$5:$B$404,MATCH($B966,명단!$A$5:$A$404,0))),"번호 없음"))</f>
        <v/>
      </c>
      <c r="I966" s="25" t="str">
        <f aca="false">IF(AND(C966="",D966=""),"",IF(OR(C966="-",D966="-"),"측정불가",IF(AND(ISNUMBER(C966),ISNUMBER(D966)),IF(OR(C966&gt;=설정!$C$11,D966&gt;=설정!$C$12),"긴급",IF(OR(C966&gt;=설정!$C$9,D966&gt;=설정!$C$10,C966&lt;설정!$C$13),"주의","정상")),"확인필요")))</f>
        <v/>
      </c>
      <c r="J966" s="25" t="str">
        <f aca="false">IF(E966="","",IF(E966="-","측정불가",IF(NOT(ISNUMBER(E966)),"확인필요",IF(E966&lt;설정!$C$17,"긴급(저혈당)",IF(E966&gt;=설정!$C$18,"긴급(고혈당)",IF(F966="공복",IF(E966&gt;=설정!$C$15,"주의","정상"),IF(F966="식후",IF(E966&gt;=설정!$C$16,"주의","정상"),"조건확인")))))))</f>
        <v/>
      </c>
      <c r="K966" s="25" t="str">
        <f aca="false">IF(OR(I966="긴급",LEFT(J966,2)="긴급"),"★ 즉시 선생님 호출",IF(OR(I966="주의",J966="주의"),"결과상담에서 확인",IF(J966="조건확인","혈당조건(공복/식후) 선택","")))</f>
        <v/>
      </c>
      <c r="L966" s="25" t="str">
        <f aca="false">IF($B966="","",IF(COUNTIF($B$5:$B$1004,$B966)&gt;1,"중복 입력",""))</f>
        <v/>
      </c>
    </row>
    <row r="967" customFormat="false" ht="15" hidden="false" customHeight="false" outlineLevel="0" collapsed="false">
      <c r="A967" s="23"/>
      <c r="B967" s="24"/>
      <c r="C967" s="24"/>
      <c r="D967" s="24"/>
      <c r="E967" s="24"/>
      <c r="F967" s="24"/>
      <c r="G967" s="24"/>
      <c r="H967" s="25" t="str">
        <f aca="false">IF($B967="","",IFERROR(IF(INDEX(명단!$B$5:$B$404,MATCH($B967,명단!$A$5:$A$404,0))="","(이름 미입력)",INDEX(명단!$B$5:$B$404,MATCH($B967,명단!$A$5:$A$404,0))),"번호 없음"))</f>
        <v/>
      </c>
      <c r="I967" s="25" t="str">
        <f aca="false">IF(AND(C967="",D967=""),"",IF(OR(C967="-",D967="-"),"측정불가",IF(AND(ISNUMBER(C967),ISNUMBER(D967)),IF(OR(C967&gt;=설정!$C$11,D967&gt;=설정!$C$12),"긴급",IF(OR(C967&gt;=설정!$C$9,D967&gt;=설정!$C$10,C967&lt;설정!$C$13),"주의","정상")),"확인필요")))</f>
        <v/>
      </c>
      <c r="J967" s="25" t="str">
        <f aca="false">IF(E967="","",IF(E967="-","측정불가",IF(NOT(ISNUMBER(E967)),"확인필요",IF(E967&lt;설정!$C$17,"긴급(저혈당)",IF(E967&gt;=설정!$C$18,"긴급(고혈당)",IF(F967="공복",IF(E967&gt;=설정!$C$15,"주의","정상"),IF(F967="식후",IF(E967&gt;=설정!$C$16,"주의","정상"),"조건확인")))))))</f>
        <v/>
      </c>
      <c r="K967" s="25" t="str">
        <f aca="false">IF(OR(I967="긴급",LEFT(J967,2)="긴급"),"★ 즉시 선생님 호출",IF(OR(I967="주의",J967="주의"),"결과상담에서 확인",IF(J967="조건확인","혈당조건(공복/식후) 선택","")))</f>
        <v/>
      </c>
      <c r="L967" s="25" t="str">
        <f aca="false">IF($B967="","",IF(COUNTIF($B$5:$B$1004,$B967)&gt;1,"중복 입력",""))</f>
        <v/>
      </c>
    </row>
    <row r="968" customFormat="false" ht="15" hidden="false" customHeight="false" outlineLevel="0" collapsed="false">
      <c r="A968" s="23"/>
      <c r="B968" s="24"/>
      <c r="C968" s="24"/>
      <c r="D968" s="24"/>
      <c r="E968" s="24"/>
      <c r="F968" s="24"/>
      <c r="G968" s="24"/>
      <c r="H968" s="25" t="str">
        <f aca="false">IF($B968="","",IFERROR(IF(INDEX(명단!$B$5:$B$404,MATCH($B968,명단!$A$5:$A$404,0))="","(이름 미입력)",INDEX(명단!$B$5:$B$404,MATCH($B968,명단!$A$5:$A$404,0))),"번호 없음"))</f>
        <v/>
      </c>
      <c r="I968" s="25" t="str">
        <f aca="false">IF(AND(C968="",D968=""),"",IF(OR(C968="-",D968="-"),"측정불가",IF(AND(ISNUMBER(C968),ISNUMBER(D968)),IF(OR(C968&gt;=설정!$C$11,D968&gt;=설정!$C$12),"긴급",IF(OR(C968&gt;=설정!$C$9,D968&gt;=설정!$C$10,C968&lt;설정!$C$13),"주의","정상")),"확인필요")))</f>
        <v/>
      </c>
      <c r="J968" s="25" t="str">
        <f aca="false">IF(E968="","",IF(E968="-","측정불가",IF(NOT(ISNUMBER(E968)),"확인필요",IF(E968&lt;설정!$C$17,"긴급(저혈당)",IF(E968&gt;=설정!$C$18,"긴급(고혈당)",IF(F968="공복",IF(E968&gt;=설정!$C$15,"주의","정상"),IF(F968="식후",IF(E968&gt;=설정!$C$16,"주의","정상"),"조건확인")))))))</f>
        <v/>
      </c>
      <c r="K968" s="25" t="str">
        <f aca="false">IF(OR(I968="긴급",LEFT(J968,2)="긴급"),"★ 즉시 선생님 호출",IF(OR(I968="주의",J968="주의"),"결과상담에서 확인",IF(J968="조건확인","혈당조건(공복/식후) 선택","")))</f>
        <v/>
      </c>
      <c r="L968" s="25" t="str">
        <f aca="false">IF($B968="","",IF(COUNTIF($B$5:$B$1004,$B968)&gt;1,"중복 입력",""))</f>
        <v/>
      </c>
    </row>
    <row r="969" customFormat="false" ht="15" hidden="false" customHeight="false" outlineLevel="0" collapsed="false">
      <c r="A969" s="23"/>
      <c r="B969" s="24"/>
      <c r="C969" s="24"/>
      <c r="D969" s="24"/>
      <c r="E969" s="24"/>
      <c r="F969" s="24"/>
      <c r="G969" s="24"/>
      <c r="H969" s="25" t="str">
        <f aca="false">IF($B969="","",IFERROR(IF(INDEX(명단!$B$5:$B$404,MATCH($B969,명단!$A$5:$A$404,0))="","(이름 미입력)",INDEX(명단!$B$5:$B$404,MATCH($B969,명단!$A$5:$A$404,0))),"번호 없음"))</f>
        <v/>
      </c>
      <c r="I969" s="25" t="str">
        <f aca="false">IF(AND(C969="",D969=""),"",IF(OR(C969="-",D969="-"),"측정불가",IF(AND(ISNUMBER(C969),ISNUMBER(D969)),IF(OR(C969&gt;=설정!$C$11,D969&gt;=설정!$C$12),"긴급",IF(OR(C969&gt;=설정!$C$9,D969&gt;=설정!$C$10,C969&lt;설정!$C$13),"주의","정상")),"확인필요")))</f>
        <v/>
      </c>
      <c r="J969" s="25" t="str">
        <f aca="false">IF(E969="","",IF(E969="-","측정불가",IF(NOT(ISNUMBER(E969)),"확인필요",IF(E969&lt;설정!$C$17,"긴급(저혈당)",IF(E969&gt;=설정!$C$18,"긴급(고혈당)",IF(F969="공복",IF(E969&gt;=설정!$C$15,"주의","정상"),IF(F969="식후",IF(E969&gt;=설정!$C$16,"주의","정상"),"조건확인")))))))</f>
        <v/>
      </c>
      <c r="K969" s="25" t="str">
        <f aca="false">IF(OR(I969="긴급",LEFT(J969,2)="긴급"),"★ 즉시 선생님 호출",IF(OR(I969="주의",J969="주의"),"결과상담에서 확인",IF(J969="조건확인","혈당조건(공복/식후) 선택","")))</f>
        <v/>
      </c>
      <c r="L969" s="25" t="str">
        <f aca="false">IF($B969="","",IF(COUNTIF($B$5:$B$1004,$B969)&gt;1,"중복 입력",""))</f>
        <v/>
      </c>
    </row>
    <row r="970" customFormat="false" ht="15" hidden="false" customHeight="false" outlineLevel="0" collapsed="false">
      <c r="A970" s="23"/>
      <c r="B970" s="24"/>
      <c r="C970" s="24"/>
      <c r="D970" s="24"/>
      <c r="E970" s="24"/>
      <c r="F970" s="24"/>
      <c r="G970" s="24"/>
      <c r="H970" s="25" t="str">
        <f aca="false">IF($B970="","",IFERROR(IF(INDEX(명단!$B$5:$B$404,MATCH($B970,명단!$A$5:$A$404,0))="","(이름 미입력)",INDEX(명단!$B$5:$B$404,MATCH($B970,명단!$A$5:$A$404,0))),"번호 없음"))</f>
        <v/>
      </c>
      <c r="I970" s="25" t="str">
        <f aca="false">IF(AND(C970="",D970=""),"",IF(OR(C970="-",D970="-"),"측정불가",IF(AND(ISNUMBER(C970),ISNUMBER(D970)),IF(OR(C970&gt;=설정!$C$11,D970&gt;=설정!$C$12),"긴급",IF(OR(C970&gt;=설정!$C$9,D970&gt;=설정!$C$10,C970&lt;설정!$C$13),"주의","정상")),"확인필요")))</f>
        <v/>
      </c>
      <c r="J970" s="25" t="str">
        <f aca="false">IF(E970="","",IF(E970="-","측정불가",IF(NOT(ISNUMBER(E970)),"확인필요",IF(E970&lt;설정!$C$17,"긴급(저혈당)",IF(E970&gt;=설정!$C$18,"긴급(고혈당)",IF(F970="공복",IF(E970&gt;=설정!$C$15,"주의","정상"),IF(F970="식후",IF(E970&gt;=설정!$C$16,"주의","정상"),"조건확인")))))))</f>
        <v/>
      </c>
      <c r="K970" s="25" t="str">
        <f aca="false">IF(OR(I970="긴급",LEFT(J970,2)="긴급"),"★ 즉시 선생님 호출",IF(OR(I970="주의",J970="주의"),"결과상담에서 확인",IF(J970="조건확인","혈당조건(공복/식후) 선택","")))</f>
        <v/>
      </c>
      <c r="L970" s="25" t="str">
        <f aca="false">IF($B970="","",IF(COUNTIF($B$5:$B$1004,$B970)&gt;1,"중복 입력",""))</f>
        <v/>
      </c>
    </row>
    <row r="971" customFormat="false" ht="15" hidden="false" customHeight="false" outlineLevel="0" collapsed="false">
      <c r="A971" s="23"/>
      <c r="B971" s="24"/>
      <c r="C971" s="24"/>
      <c r="D971" s="24"/>
      <c r="E971" s="24"/>
      <c r="F971" s="24"/>
      <c r="G971" s="24"/>
      <c r="H971" s="25" t="str">
        <f aca="false">IF($B971="","",IFERROR(IF(INDEX(명단!$B$5:$B$404,MATCH($B971,명단!$A$5:$A$404,0))="","(이름 미입력)",INDEX(명단!$B$5:$B$404,MATCH($B971,명단!$A$5:$A$404,0))),"번호 없음"))</f>
        <v/>
      </c>
      <c r="I971" s="25" t="str">
        <f aca="false">IF(AND(C971="",D971=""),"",IF(OR(C971="-",D971="-"),"측정불가",IF(AND(ISNUMBER(C971),ISNUMBER(D971)),IF(OR(C971&gt;=설정!$C$11,D971&gt;=설정!$C$12),"긴급",IF(OR(C971&gt;=설정!$C$9,D971&gt;=설정!$C$10,C971&lt;설정!$C$13),"주의","정상")),"확인필요")))</f>
        <v/>
      </c>
      <c r="J971" s="25" t="str">
        <f aca="false">IF(E971="","",IF(E971="-","측정불가",IF(NOT(ISNUMBER(E971)),"확인필요",IF(E971&lt;설정!$C$17,"긴급(저혈당)",IF(E971&gt;=설정!$C$18,"긴급(고혈당)",IF(F971="공복",IF(E971&gt;=설정!$C$15,"주의","정상"),IF(F971="식후",IF(E971&gt;=설정!$C$16,"주의","정상"),"조건확인")))))))</f>
        <v/>
      </c>
      <c r="K971" s="25" t="str">
        <f aca="false">IF(OR(I971="긴급",LEFT(J971,2)="긴급"),"★ 즉시 선생님 호출",IF(OR(I971="주의",J971="주의"),"결과상담에서 확인",IF(J971="조건확인","혈당조건(공복/식후) 선택","")))</f>
        <v/>
      </c>
      <c r="L971" s="25" t="str">
        <f aca="false">IF($B971="","",IF(COUNTIF($B$5:$B$1004,$B971)&gt;1,"중복 입력",""))</f>
        <v/>
      </c>
    </row>
    <row r="972" customFormat="false" ht="15" hidden="false" customHeight="false" outlineLevel="0" collapsed="false">
      <c r="A972" s="23"/>
      <c r="B972" s="24"/>
      <c r="C972" s="24"/>
      <c r="D972" s="24"/>
      <c r="E972" s="24"/>
      <c r="F972" s="24"/>
      <c r="G972" s="24"/>
      <c r="H972" s="25" t="str">
        <f aca="false">IF($B972="","",IFERROR(IF(INDEX(명단!$B$5:$B$404,MATCH($B972,명단!$A$5:$A$404,0))="","(이름 미입력)",INDEX(명단!$B$5:$B$404,MATCH($B972,명단!$A$5:$A$404,0))),"번호 없음"))</f>
        <v/>
      </c>
      <c r="I972" s="25" t="str">
        <f aca="false">IF(AND(C972="",D972=""),"",IF(OR(C972="-",D972="-"),"측정불가",IF(AND(ISNUMBER(C972),ISNUMBER(D972)),IF(OR(C972&gt;=설정!$C$11,D972&gt;=설정!$C$12),"긴급",IF(OR(C972&gt;=설정!$C$9,D972&gt;=설정!$C$10,C972&lt;설정!$C$13),"주의","정상")),"확인필요")))</f>
        <v/>
      </c>
      <c r="J972" s="25" t="str">
        <f aca="false">IF(E972="","",IF(E972="-","측정불가",IF(NOT(ISNUMBER(E972)),"확인필요",IF(E972&lt;설정!$C$17,"긴급(저혈당)",IF(E972&gt;=설정!$C$18,"긴급(고혈당)",IF(F972="공복",IF(E972&gt;=설정!$C$15,"주의","정상"),IF(F972="식후",IF(E972&gt;=설정!$C$16,"주의","정상"),"조건확인")))))))</f>
        <v/>
      </c>
      <c r="K972" s="25" t="str">
        <f aca="false">IF(OR(I972="긴급",LEFT(J972,2)="긴급"),"★ 즉시 선생님 호출",IF(OR(I972="주의",J972="주의"),"결과상담에서 확인",IF(J972="조건확인","혈당조건(공복/식후) 선택","")))</f>
        <v/>
      </c>
      <c r="L972" s="25" t="str">
        <f aca="false">IF($B972="","",IF(COUNTIF($B$5:$B$1004,$B972)&gt;1,"중복 입력",""))</f>
        <v/>
      </c>
    </row>
    <row r="973" customFormat="false" ht="15" hidden="false" customHeight="false" outlineLevel="0" collapsed="false">
      <c r="A973" s="23"/>
      <c r="B973" s="24"/>
      <c r="C973" s="24"/>
      <c r="D973" s="24"/>
      <c r="E973" s="24"/>
      <c r="F973" s="24"/>
      <c r="G973" s="24"/>
      <c r="H973" s="25" t="str">
        <f aca="false">IF($B973="","",IFERROR(IF(INDEX(명단!$B$5:$B$404,MATCH($B973,명단!$A$5:$A$404,0))="","(이름 미입력)",INDEX(명단!$B$5:$B$404,MATCH($B973,명단!$A$5:$A$404,0))),"번호 없음"))</f>
        <v/>
      </c>
      <c r="I973" s="25" t="str">
        <f aca="false">IF(AND(C973="",D973=""),"",IF(OR(C973="-",D973="-"),"측정불가",IF(AND(ISNUMBER(C973),ISNUMBER(D973)),IF(OR(C973&gt;=설정!$C$11,D973&gt;=설정!$C$12),"긴급",IF(OR(C973&gt;=설정!$C$9,D973&gt;=설정!$C$10,C973&lt;설정!$C$13),"주의","정상")),"확인필요")))</f>
        <v/>
      </c>
      <c r="J973" s="25" t="str">
        <f aca="false">IF(E973="","",IF(E973="-","측정불가",IF(NOT(ISNUMBER(E973)),"확인필요",IF(E973&lt;설정!$C$17,"긴급(저혈당)",IF(E973&gt;=설정!$C$18,"긴급(고혈당)",IF(F973="공복",IF(E973&gt;=설정!$C$15,"주의","정상"),IF(F973="식후",IF(E973&gt;=설정!$C$16,"주의","정상"),"조건확인")))))))</f>
        <v/>
      </c>
      <c r="K973" s="25" t="str">
        <f aca="false">IF(OR(I973="긴급",LEFT(J973,2)="긴급"),"★ 즉시 선생님 호출",IF(OR(I973="주의",J973="주의"),"결과상담에서 확인",IF(J973="조건확인","혈당조건(공복/식후) 선택","")))</f>
        <v/>
      </c>
      <c r="L973" s="25" t="str">
        <f aca="false">IF($B973="","",IF(COUNTIF($B$5:$B$1004,$B973)&gt;1,"중복 입력",""))</f>
        <v/>
      </c>
    </row>
    <row r="974" customFormat="false" ht="15" hidden="false" customHeight="false" outlineLevel="0" collapsed="false">
      <c r="A974" s="23"/>
      <c r="B974" s="24"/>
      <c r="C974" s="24"/>
      <c r="D974" s="24"/>
      <c r="E974" s="24"/>
      <c r="F974" s="24"/>
      <c r="G974" s="24"/>
      <c r="H974" s="25" t="str">
        <f aca="false">IF($B974="","",IFERROR(IF(INDEX(명단!$B$5:$B$404,MATCH($B974,명단!$A$5:$A$404,0))="","(이름 미입력)",INDEX(명단!$B$5:$B$404,MATCH($B974,명단!$A$5:$A$404,0))),"번호 없음"))</f>
        <v/>
      </c>
      <c r="I974" s="25" t="str">
        <f aca="false">IF(AND(C974="",D974=""),"",IF(OR(C974="-",D974="-"),"측정불가",IF(AND(ISNUMBER(C974),ISNUMBER(D974)),IF(OR(C974&gt;=설정!$C$11,D974&gt;=설정!$C$12),"긴급",IF(OR(C974&gt;=설정!$C$9,D974&gt;=설정!$C$10,C974&lt;설정!$C$13),"주의","정상")),"확인필요")))</f>
        <v/>
      </c>
      <c r="J974" s="25" t="str">
        <f aca="false">IF(E974="","",IF(E974="-","측정불가",IF(NOT(ISNUMBER(E974)),"확인필요",IF(E974&lt;설정!$C$17,"긴급(저혈당)",IF(E974&gt;=설정!$C$18,"긴급(고혈당)",IF(F974="공복",IF(E974&gt;=설정!$C$15,"주의","정상"),IF(F974="식후",IF(E974&gt;=설정!$C$16,"주의","정상"),"조건확인")))))))</f>
        <v/>
      </c>
      <c r="K974" s="25" t="str">
        <f aca="false">IF(OR(I974="긴급",LEFT(J974,2)="긴급"),"★ 즉시 선생님 호출",IF(OR(I974="주의",J974="주의"),"결과상담에서 확인",IF(J974="조건확인","혈당조건(공복/식후) 선택","")))</f>
        <v/>
      </c>
      <c r="L974" s="25" t="str">
        <f aca="false">IF($B974="","",IF(COUNTIF($B$5:$B$1004,$B974)&gt;1,"중복 입력",""))</f>
        <v/>
      </c>
    </row>
    <row r="975" customFormat="false" ht="15" hidden="false" customHeight="false" outlineLevel="0" collapsed="false">
      <c r="A975" s="23"/>
      <c r="B975" s="24"/>
      <c r="C975" s="24"/>
      <c r="D975" s="24"/>
      <c r="E975" s="24"/>
      <c r="F975" s="24"/>
      <c r="G975" s="24"/>
      <c r="H975" s="25" t="str">
        <f aca="false">IF($B975="","",IFERROR(IF(INDEX(명단!$B$5:$B$404,MATCH($B975,명단!$A$5:$A$404,0))="","(이름 미입력)",INDEX(명단!$B$5:$B$404,MATCH($B975,명단!$A$5:$A$404,0))),"번호 없음"))</f>
        <v/>
      </c>
      <c r="I975" s="25" t="str">
        <f aca="false">IF(AND(C975="",D975=""),"",IF(OR(C975="-",D975="-"),"측정불가",IF(AND(ISNUMBER(C975),ISNUMBER(D975)),IF(OR(C975&gt;=설정!$C$11,D975&gt;=설정!$C$12),"긴급",IF(OR(C975&gt;=설정!$C$9,D975&gt;=설정!$C$10,C975&lt;설정!$C$13),"주의","정상")),"확인필요")))</f>
        <v/>
      </c>
      <c r="J975" s="25" t="str">
        <f aca="false">IF(E975="","",IF(E975="-","측정불가",IF(NOT(ISNUMBER(E975)),"확인필요",IF(E975&lt;설정!$C$17,"긴급(저혈당)",IF(E975&gt;=설정!$C$18,"긴급(고혈당)",IF(F975="공복",IF(E975&gt;=설정!$C$15,"주의","정상"),IF(F975="식후",IF(E975&gt;=설정!$C$16,"주의","정상"),"조건확인")))))))</f>
        <v/>
      </c>
      <c r="K975" s="25" t="str">
        <f aca="false">IF(OR(I975="긴급",LEFT(J975,2)="긴급"),"★ 즉시 선생님 호출",IF(OR(I975="주의",J975="주의"),"결과상담에서 확인",IF(J975="조건확인","혈당조건(공복/식후) 선택","")))</f>
        <v/>
      </c>
      <c r="L975" s="25" t="str">
        <f aca="false">IF($B975="","",IF(COUNTIF($B$5:$B$1004,$B975)&gt;1,"중복 입력",""))</f>
        <v/>
      </c>
    </row>
    <row r="976" customFormat="false" ht="15" hidden="false" customHeight="false" outlineLevel="0" collapsed="false">
      <c r="A976" s="23"/>
      <c r="B976" s="24"/>
      <c r="C976" s="24"/>
      <c r="D976" s="24"/>
      <c r="E976" s="24"/>
      <c r="F976" s="24"/>
      <c r="G976" s="24"/>
      <c r="H976" s="25" t="str">
        <f aca="false">IF($B976="","",IFERROR(IF(INDEX(명단!$B$5:$B$404,MATCH($B976,명단!$A$5:$A$404,0))="","(이름 미입력)",INDEX(명단!$B$5:$B$404,MATCH($B976,명단!$A$5:$A$404,0))),"번호 없음"))</f>
        <v/>
      </c>
      <c r="I976" s="25" t="str">
        <f aca="false">IF(AND(C976="",D976=""),"",IF(OR(C976="-",D976="-"),"측정불가",IF(AND(ISNUMBER(C976),ISNUMBER(D976)),IF(OR(C976&gt;=설정!$C$11,D976&gt;=설정!$C$12),"긴급",IF(OR(C976&gt;=설정!$C$9,D976&gt;=설정!$C$10,C976&lt;설정!$C$13),"주의","정상")),"확인필요")))</f>
        <v/>
      </c>
      <c r="J976" s="25" t="str">
        <f aca="false">IF(E976="","",IF(E976="-","측정불가",IF(NOT(ISNUMBER(E976)),"확인필요",IF(E976&lt;설정!$C$17,"긴급(저혈당)",IF(E976&gt;=설정!$C$18,"긴급(고혈당)",IF(F976="공복",IF(E976&gt;=설정!$C$15,"주의","정상"),IF(F976="식후",IF(E976&gt;=설정!$C$16,"주의","정상"),"조건확인")))))))</f>
        <v/>
      </c>
      <c r="K976" s="25" t="str">
        <f aca="false">IF(OR(I976="긴급",LEFT(J976,2)="긴급"),"★ 즉시 선생님 호출",IF(OR(I976="주의",J976="주의"),"결과상담에서 확인",IF(J976="조건확인","혈당조건(공복/식후) 선택","")))</f>
        <v/>
      </c>
      <c r="L976" s="25" t="str">
        <f aca="false">IF($B976="","",IF(COUNTIF($B$5:$B$1004,$B976)&gt;1,"중복 입력",""))</f>
        <v/>
      </c>
    </row>
    <row r="977" customFormat="false" ht="15" hidden="false" customHeight="false" outlineLevel="0" collapsed="false">
      <c r="A977" s="23"/>
      <c r="B977" s="24"/>
      <c r="C977" s="24"/>
      <c r="D977" s="24"/>
      <c r="E977" s="24"/>
      <c r="F977" s="24"/>
      <c r="G977" s="24"/>
      <c r="H977" s="25" t="str">
        <f aca="false">IF($B977="","",IFERROR(IF(INDEX(명단!$B$5:$B$404,MATCH($B977,명단!$A$5:$A$404,0))="","(이름 미입력)",INDEX(명단!$B$5:$B$404,MATCH($B977,명단!$A$5:$A$404,0))),"번호 없음"))</f>
        <v/>
      </c>
      <c r="I977" s="25" t="str">
        <f aca="false">IF(AND(C977="",D977=""),"",IF(OR(C977="-",D977="-"),"측정불가",IF(AND(ISNUMBER(C977),ISNUMBER(D977)),IF(OR(C977&gt;=설정!$C$11,D977&gt;=설정!$C$12),"긴급",IF(OR(C977&gt;=설정!$C$9,D977&gt;=설정!$C$10,C977&lt;설정!$C$13),"주의","정상")),"확인필요")))</f>
        <v/>
      </c>
      <c r="J977" s="25" t="str">
        <f aca="false">IF(E977="","",IF(E977="-","측정불가",IF(NOT(ISNUMBER(E977)),"확인필요",IF(E977&lt;설정!$C$17,"긴급(저혈당)",IF(E977&gt;=설정!$C$18,"긴급(고혈당)",IF(F977="공복",IF(E977&gt;=설정!$C$15,"주의","정상"),IF(F977="식후",IF(E977&gt;=설정!$C$16,"주의","정상"),"조건확인")))))))</f>
        <v/>
      </c>
      <c r="K977" s="25" t="str">
        <f aca="false">IF(OR(I977="긴급",LEFT(J977,2)="긴급"),"★ 즉시 선생님 호출",IF(OR(I977="주의",J977="주의"),"결과상담에서 확인",IF(J977="조건확인","혈당조건(공복/식후) 선택","")))</f>
        <v/>
      </c>
      <c r="L977" s="25" t="str">
        <f aca="false">IF($B977="","",IF(COUNTIF($B$5:$B$1004,$B977)&gt;1,"중복 입력",""))</f>
        <v/>
      </c>
    </row>
    <row r="978" customFormat="false" ht="15" hidden="false" customHeight="false" outlineLevel="0" collapsed="false">
      <c r="A978" s="23"/>
      <c r="B978" s="24"/>
      <c r="C978" s="24"/>
      <c r="D978" s="24"/>
      <c r="E978" s="24"/>
      <c r="F978" s="24"/>
      <c r="G978" s="24"/>
      <c r="H978" s="25" t="str">
        <f aca="false">IF($B978="","",IFERROR(IF(INDEX(명단!$B$5:$B$404,MATCH($B978,명단!$A$5:$A$404,0))="","(이름 미입력)",INDEX(명단!$B$5:$B$404,MATCH($B978,명단!$A$5:$A$404,0))),"번호 없음"))</f>
        <v/>
      </c>
      <c r="I978" s="25" t="str">
        <f aca="false">IF(AND(C978="",D978=""),"",IF(OR(C978="-",D978="-"),"측정불가",IF(AND(ISNUMBER(C978),ISNUMBER(D978)),IF(OR(C978&gt;=설정!$C$11,D978&gt;=설정!$C$12),"긴급",IF(OR(C978&gt;=설정!$C$9,D978&gt;=설정!$C$10,C978&lt;설정!$C$13),"주의","정상")),"확인필요")))</f>
        <v/>
      </c>
      <c r="J978" s="25" t="str">
        <f aca="false">IF(E978="","",IF(E978="-","측정불가",IF(NOT(ISNUMBER(E978)),"확인필요",IF(E978&lt;설정!$C$17,"긴급(저혈당)",IF(E978&gt;=설정!$C$18,"긴급(고혈당)",IF(F978="공복",IF(E978&gt;=설정!$C$15,"주의","정상"),IF(F978="식후",IF(E978&gt;=설정!$C$16,"주의","정상"),"조건확인")))))))</f>
        <v/>
      </c>
      <c r="K978" s="25" t="str">
        <f aca="false">IF(OR(I978="긴급",LEFT(J978,2)="긴급"),"★ 즉시 선생님 호출",IF(OR(I978="주의",J978="주의"),"결과상담에서 확인",IF(J978="조건확인","혈당조건(공복/식후) 선택","")))</f>
        <v/>
      </c>
      <c r="L978" s="25" t="str">
        <f aca="false">IF($B978="","",IF(COUNTIF($B$5:$B$1004,$B978)&gt;1,"중복 입력",""))</f>
        <v/>
      </c>
    </row>
    <row r="979" customFormat="false" ht="15" hidden="false" customHeight="false" outlineLevel="0" collapsed="false">
      <c r="A979" s="23"/>
      <c r="B979" s="24"/>
      <c r="C979" s="24"/>
      <c r="D979" s="24"/>
      <c r="E979" s="24"/>
      <c r="F979" s="24"/>
      <c r="G979" s="24"/>
      <c r="H979" s="25" t="str">
        <f aca="false">IF($B979="","",IFERROR(IF(INDEX(명단!$B$5:$B$404,MATCH($B979,명단!$A$5:$A$404,0))="","(이름 미입력)",INDEX(명단!$B$5:$B$404,MATCH($B979,명단!$A$5:$A$404,0))),"번호 없음"))</f>
        <v/>
      </c>
      <c r="I979" s="25" t="str">
        <f aca="false">IF(AND(C979="",D979=""),"",IF(OR(C979="-",D979="-"),"측정불가",IF(AND(ISNUMBER(C979),ISNUMBER(D979)),IF(OR(C979&gt;=설정!$C$11,D979&gt;=설정!$C$12),"긴급",IF(OR(C979&gt;=설정!$C$9,D979&gt;=설정!$C$10,C979&lt;설정!$C$13),"주의","정상")),"확인필요")))</f>
        <v/>
      </c>
      <c r="J979" s="25" t="str">
        <f aca="false">IF(E979="","",IF(E979="-","측정불가",IF(NOT(ISNUMBER(E979)),"확인필요",IF(E979&lt;설정!$C$17,"긴급(저혈당)",IF(E979&gt;=설정!$C$18,"긴급(고혈당)",IF(F979="공복",IF(E979&gt;=설정!$C$15,"주의","정상"),IF(F979="식후",IF(E979&gt;=설정!$C$16,"주의","정상"),"조건확인")))))))</f>
        <v/>
      </c>
      <c r="K979" s="25" t="str">
        <f aca="false">IF(OR(I979="긴급",LEFT(J979,2)="긴급"),"★ 즉시 선생님 호출",IF(OR(I979="주의",J979="주의"),"결과상담에서 확인",IF(J979="조건확인","혈당조건(공복/식후) 선택","")))</f>
        <v/>
      </c>
      <c r="L979" s="25" t="str">
        <f aca="false">IF($B979="","",IF(COUNTIF($B$5:$B$1004,$B979)&gt;1,"중복 입력",""))</f>
        <v/>
      </c>
    </row>
    <row r="980" customFormat="false" ht="15" hidden="false" customHeight="false" outlineLevel="0" collapsed="false">
      <c r="A980" s="23"/>
      <c r="B980" s="24"/>
      <c r="C980" s="24"/>
      <c r="D980" s="24"/>
      <c r="E980" s="24"/>
      <c r="F980" s="24"/>
      <c r="G980" s="24"/>
      <c r="H980" s="25" t="str">
        <f aca="false">IF($B980="","",IFERROR(IF(INDEX(명단!$B$5:$B$404,MATCH($B980,명단!$A$5:$A$404,0))="","(이름 미입력)",INDEX(명단!$B$5:$B$404,MATCH($B980,명단!$A$5:$A$404,0))),"번호 없음"))</f>
        <v/>
      </c>
      <c r="I980" s="25" t="str">
        <f aca="false">IF(AND(C980="",D980=""),"",IF(OR(C980="-",D980="-"),"측정불가",IF(AND(ISNUMBER(C980),ISNUMBER(D980)),IF(OR(C980&gt;=설정!$C$11,D980&gt;=설정!$C$12),"긴급",IF(OR(C980&gt;=설정!$C$9,D980&gt;=설정!$C$10,C980&lt;설정!$C$13),"주의","정상")),"확인필요")))</f>
        <v/>
      </c>
      <c r="J980" s="25" t="str">
        <f aca="false">IF(E980="","",IF(E980="-","측정불가",IF(NOT(ISNUMBER(E980)),"확인필요",IF(E980&lt;설정!$C$17,"긴급(저혈당)",IF(E980&gt;=설정!$C$18,"긴급(고혈당)",IF(F980="공복",IF(E980&gt;=설정!$C$15,"주의","정상"),IF(F980="식후",IF(E980&gt;=설정!$C$16,"주의","정상"),"조건확인")))))))</f>
        <v/>
      </c>
      <c r="K980" s="25" t="str">
        <f aca="false">IF(OR(I980="긴급",LEFT(J980,2)="긴급"),"★ 즉시 선생님 호출",IF(OR(I980="주의",J980="주의"),"결과상담에서 확인",IF(J980="조건확인","혈당조건(공복/식후) 선택","")))</f>
        <v/>
      </c>
      <c r="L980" s="25" t="str">
        <f aca="false">IF($B980="","",IF(COUNTIF($B$5:$B$1004,$B980)&gt;1,"중복 입력",""))</f>
        <v/>
      </c>
    </row>
    <row r="981" customFormat="false" ht="15" hidden="false" customHeight="false" outlineLevel="0" collapsed="false">
      <c r="A981" s="23"/>
      <c r="B981" s="24"/>
      <c r="C981" s="24"/>
      <c r="D981" s="24"/>
      <c r="E981" s="24"/>
      <c r="F981" s="24"/>
      <c r="G981" s="24"/>
      <c r="H981" s="25" t="str">
        <f aca="false">IF($B981="","",IFERROR(IF(INDEX(명단!$B$5:$B$404,MATCH($B981,명단!$A$5:$A$404,0))="","(이름 미입력)",INDEX(명단!$B$5:$B$404,MATCH($B981,명단!$A$5:$A$404,0))),"번호 없음"))</f>
        <v/>
      </c>
      <c r="I981" s="25" t="str">
        <f aca="false">IF(AND(C981="",D981=""),"",IF(OR(C981="-",D981="-"),"측정불가",IF(AND(ISNUMBER(C981),ISNUMBER(D981)),IF(OR(C981&gt;=설정!$C$11,D981&gt;=설정!$C$12),"긴급",IF(OR(C981&gt;=설정!$C$9,D981&gt;=설정!$C$10,C981&lt;설정!$C$13),"주의","정상")),"확인필요")))</f>
        <v/>
      </c>
      <c r="J981" s="25" t="str">
        <f aca="false">IF(E981="","",IF(E981="-","측정불가",IF(NOT(ISNUMBER(E981)),"확인필요",IF(E981&lt;설정!$C$17,"긴급(저혈당)",IF(E981&gt;=설정!$C$18,"긴급(고혈당)",IF(F981="공복",IF(E981&gt;=설정!$C$15,"주의","정상"),IF(F981="식후",IF(E981&gt;=설정!$C$16,"주의","정상"),"조건확인")))))))</f>
        <v/>
      </c>
      <c r="K981" s="25" t="str">
        <f aca="false">IF(OR(I981="긴급",LEFT(J981,2)="긴급"),"★ 즉시 선생님 호출",IF(OR(I981="주의",J981="주의"),"결과상담에서 확인",IF(J981="조건확인","혈당조건(공복/식후) 선택","")))</f>
        <v/>
      </c>
      <c r="L981" s="25" t="str">
        <f aca="false">IF($B981="","",IF(COUNTIF($B$5:$B$1004,$B981)&gt;1,"중복 입력",""))</f>
        <v/>
      </c>
    </row>
    <row r="982" customFormat="false" ht="15" hidden="false" customHeight="false" outlineLevel="0" collapsed="false">
      <c r="A982" s="23"/>
      <c r="B982" s="24"/>
      <c r="C982" s="24"/>
      <c r="D982" s="24"/>
      <c r="E982" s="24"/>
      <c r="F982" s="24"/>
      <c r="G982" s="24"/>
      <c r="H982" s="25" t="str">
        <f aca="false">IF($B982="","",IFERROR(IF(INDEX(명단!$B$5:$B$404,MATCH($B982,명단!$A$5:$A$404,0))="","(이름 미입력)",INDEX(명단!$B$5:$B$404,MATCH($B982,명단!$A$5:$A$404,0))),"번호 없음"))</f>
        <v/>
      </c>
      <c r="I982" s="25" t="str">
        <f aca="false">IF(AND(C982="",D982=""),"",IF(OR(C982="-",D982="-"),"측정불가",IF(AND(ISNUMBER(C982),ISNUMBER(D982)),IF(OR(C982&gt;=설정!$C$11,D982&gt;=설정!$C$12),"긴급",IF(OR(C982&gt;=설정!$C$9,D982&gt;=설정!$C$10,C982&lt;설정!$C$13),"주의","정상")),"확인필요")))</f>
        <v/>
      </c>
      <c r="J982" s="25" t="str">
        <f aca="false">IF(E982="","",IF(E982="-","측정불가",IF(NOT(ISNUMBER(E982)),"확인필요",IF(E982&lt;설정!$C$17,"긴급(저혈당)",IF(E982&gt;=설정!$C$18,"긴급(고혈당)",IF(F982="공복",IF(E982&gt;=설정!$C$15,"주의","정상"),IF(F982="식후",IF(E982&gt;=설정!$C$16,"주의","정상"),"조건확인")))))))</f>
        <v/>
      </c>
      <c r="K982" s="25" t="str">
        <f aca="false">IF(OR(I982="긴급",LEFT(J982,2)="긴급"),"★ 즉시 선생님 호출",IF(OR(I982="주의",J982="주의"),"결과상담에서 확인",IF(J982="조건확인","혈당조건(공복/식후) 선택","")))</f>
        <v/>
      </c>
      <c r="L982" s="25" t="str">
        <f aca="false">IF($B982="","",IF(COUNTIF($B$5:$B$1004,$B982)&gt;1,"중복 입력",""))</f>
        <v/>
      </c>
    </row>
    <row r="983" customFormat="false" ht="15" hidden="false" customHeight="false" outlineLevel="0" collapsed="false">
      <c r="A983" s="23"/>
      <c r="B983" s="24"/>
      <c r="C983" s="24"/>
      <c r="D983" s="24"/>
      <c r="E983" s="24"/>
      <c r="F983" s="24"/>
      <c r="G983" s="24"/>
      <c r="H983" s="25" t="str">
        <f aca="false">IF($B983="","",IFERROR(IF(INDEX(명단!$B$5:$B$404,MATCH($B983,명단!$A$5:$A$404,0))="","(이름 미입력)",INDEX(명단!$B$5:$B$404,MATCH($B983,명단!$A$5:$A$404,0))),"번호 없음"))</f>
        <v/>
      </c>
      <c r="I983" s="25" t="str">
        <f aca="false">IF(AND(C983="",D983=""),"",IF(OR(C983="-",D983="-"),"측정불가",IF(AND(ISNUMBER(C983),ISNUMBER(D983)),IF(OR(C983&gt;=설정!$C$11,D983&gt;=설정!$C$12),"긴급",IF(OR(C983&gt;=설정!$C$9,D983&gt;=설정!$C$10,C983&lt;설정!$C$13),"주의","정상")),"확인필요")))</f>
        <v/>
      </c>
      <c r="J983" s="25" t="str">
        <f aca="false">IF(E983="","",IF(E983="-","측정불가",IF(NOT(ISNUMBER(E983)),"확인필요",IF(E983&lt;설정!$C$17,"긴급(저혈당)",IF(E983&gt;=설정!$C$18,"긴급(고혈당)",IF(F983="공복",IF(E983&gt;=설정!$C$15,"주의","정상"),IF(F983="식후",IF(E983&gt;=설정!$C$16,"주의","정상"),"조건확인")))))))</f>
        <v/>
      </c>
      <c r="K983" s="25" t="str">
        <f aca="false">IF(OR(I983="긴급",LEFT(J983,2)="긴급"),"★ 즉시 선생님 호출",IF(OR(I983="주의",J983="주의"),"결과상담에서 확인",IF(J983="조건확인","혈당조건(공복/식후) 선택","")))</f>
        <v/>
      </c>
      <c r="L983" s="25" t="str">
        <f aca="false">IF($B983="","",IF(COUNTIF($B$5:$B$1004,$B983)&gt;1,"중복 입력",""))</f>
        <v/>
      </c>
    </row>
    <row r="984" customFormat="false" ht="15" hidden="false" customHeight="false" outlineLevel="0" collapsed="false">
      <c r="A984" s="23"/>
      <c r="B984" s="24"/>
      <c r="C984" s="24"/>
      <c r="D984" s="24"/>
      <c r="E984" s="24"/>
      <c r="F984" s="24"/>
      <c r="G984" s="24"/>
      <c r="H984" s="25" t="str">
        <f aca="false">IF($B984="","",IFERROR(IF(INDEX(명단!$B$5:$B$404,MATCH($B984,명단!$A$5:$A$404,0))="","(이름 미입력)",INDEX(명단!$B$5:$B$404,MATCH($B984,명단!$A$5:$A$404,0))),"번호 없음"))</f>
        <v/>
      </c>
      <c r="I984" s="25" t="str">
        <f aca="false">IF(AND(C984="",D984=""),"",IF(OR(C984="-",D984="-"),"측정불가",IF(AND(ISNUMBER(C984),ISNUMBER(D984)),IF(OR(C984&gt;=설정!$C$11,D984&gt;=설정!$C$12),"긴급",IF(OR(C984&gt;=설정!$C$9,D984&gt;=설정!$C$10,C984&lt;설정!$C$13),"주의","정상")),"확인필요")))</f>
        <v/>
      </c>
      <c r="J984" s="25" t="str">
        <f aca="false">IF(E984="","",IF(E984="-","측정불가",IF(NOT(ISNUMBER(E984)),"확인필요",IF(E984&lt;설정!$C$17,"긴급(저혈당)",IF(E984&gt;=설정!$C$18,"긴급(고혈당)",IF(F984="공복",IF(E984&gt;=설정!$C$15,"주의","정상"),IF(F984="식후",IF(E984&gt;=설정!$C$16,"주의","정상"),"조건확인")))))))</f>
        <v/>
      </c>
      <c r="K984" s="25" t="str">
        <f aca="false">IF(OR(I984="긴급",LEFT(J984,2)="긴급"),"★ 즉시 선생님 호출",IF(OR(I984="주의",J984="주의"),"결과상담에서 확인",IF(J984="조건확인","혈당조건(공복/식후) 선택","")))</f>
        <v/>
      </c>
      <c r="L984" s="25" t="str">
        <f aca="false">IF($B984="","",IF(COUNTIF($B$5:$B$1004,$B984)&gt;1,"중복 입력",""))</f>
        <v/>
      </c>
    </row>
    <row r="985" customFormat="false" ht="15" hidden="false" customHeight="false" outlineLevel="0" collapsed="false">
      <c r="A985" s="23"/>
      <c r="B985" s="24"/>
      <c r="C985" s="24"/>
      <c r="D985" s="24"/>
      <c r="E985" s="24"/>
      <c r="F985" s="24"/>
      <c r="G985" s="24"/>
      <c r="H985" s="25" t="str">
        <f aca="false">IF($B985="","",IFERROR(IF(INDEX(명단!$B$5:$B$404,MATCH($B985,명단!$A$5:$A$404,0))="","(이름 미입력)",INDEX(명단!$B$5:$B$404,MATCH($B985,명단!$A$5:$A$404,0))),"번호 없음"))</f>
        <v/>
      </c>
      <c r="I985" s="25" t="str">
        <f aca="false">IF(AND(C985="",D985=""),"",IF(OR(C985="-",D985="-"),"측정불가",IF(AND(ISNUMBER(C985),ISNUMBER(D985)),IF(OR(C985&gt;=설정!$C$11,D985&gt;=설정!$C$12),"긴급",IF(OR(C985&gt;=설정!$C$9,D985&gt;=설정!$C$10,C985&lt;설정!$C$13),"주의","정상")),"확인필요")))</f>
        <v/>
      </c>
      <c r="J985" s="25" t="str">
        <f aca="false">IF(E985="","",IF(E985="-","측정불가",IF(NOT(ISNUMBER(E985)),"확인필요",IF(E985&lt;설정!$C$17,"긴급(저혈당)",IF(E985&gt;=설정!$C$18,"긴급(고혈당)",IF(F985="공복",IF(E985&gt;=설정!$C$15,"주의","정상"),IF(F985="식후",IF(E985&gt;=설정!$C$16,"주의","정상"),"조건확인")))))))</f>
        <v/>
      </c>
      <c r="K985" s="25" t="str">
        <f aca="false">IF(OR(I985="긴급",LEFT(J985,2)="긴급"),"★ 즉시 선생님 호출",IF(OR(I985="주의",J985="주의"),"결과상담에서 확인",IF(J985="조건확인","혈당조건(공복/식후) 선택","")))</f>
        <v/>
      </c>
      <c r="L985" s="25" t="str">
        <f aca="false">IF($B985="","",IF(COUNTIF($B$5:$B$1004,$B985)&gt;1,"중복 입력",""))</f>
        <v/>
      </c>
    </row>
    <row r="986" customFormat="false" ht="15" hidden="false" customHeight="false" outlineLevel="0" collapsed="false">
      <c r="A986" s="23"/>
      <c r="B986" s="24"/>
      <c r="C986" s="24"/>
      <c r="D986" s="24"/>
      <c r="E986" s="24"/>
      <c r="F986" s="24"/>
      <c r="G986" s="24"/>
      <c r="H986" s="25" t="str">
        <f aca="false">IF($B986="","",IFERROR(IF(INDEX(명단!$B$5:$B$404,MATCH($B986,명단!$A$5:$A$404,0))="","(이름 미입력)",INDEX(명단!$B$5:$B$404,MATCH($B986,명단!$A$5:$A$404,0))),"번호 없음"))</f>
        <v/>
      </c>
      <c r="I986" s="25" t="str">
        <f aca="false">IF(AND(C986="",D986=""),"",IF(OR(C986="-",D986="-"),"측정불가",IF(AND(ISNUMBER(C986),ISNUMBER(D986)),IF(OR(C986&gt;=설정!$C$11,D986&gt;=설정!$C$12),"긴급",IF(OR(C986&gt;=설정!$C$9,D986&gt;=설정!$C$10,C986&lt;설정!$C$13),"주의","정상")),"확인필요")))</f>
        <v/>
      </c>
      <c r="J986" s="25" t="str">
        <f aca="false">IF(E986="","",IF(E986="-","측정불가",IF(NOT(ISNUMBER(E986)),"확인필요",IF(E986&lt;설정!$C$17,"긴급(저혈당)",IF(E986&gt;=설정!$C$18,"긴급(고혈당)",IF(F986="공복",IF(E986&gt;=설정!$C$15,"주의","정상"),IF(F986="식후",IF(E986&gt;=설정!$C$16,"주의","정상"),"조건확인")))))))</f>
        <v/>
      </c>
      <c r="K986" s="25" t="str">
        <f aca="false">IF(OR(I986="긴급",LEFT(J986,2)="긴급"),"★ 즉시 선생님 호출",IF(OR(I986="주의",J986="주의"),"결과상담에서 확인",IF(J986="조건확인","혈당조건(공복/식후) 선택","")))</f>
        <v/>
      </c>
      <c r="L986" s="25" t="str">
        <f aca="false">IF($B986="","",IF(COUNTIF($B$5:$B$1004,$B986)&gt;1,"중복 입력",""))</f>
        <v/>
      </c>
    </row>
    <row r="987" customFormat="false" ht="15" hidden="false" customHeight="false" outlineLevel="0" collapsed="false">
      <c r="A987" s="23"/>
      <c r="B987" s="24"/>
      <c r="C987" s="24"/>
      <c r="D987" s="24"/>
      <c r="E987" s="24"/>
      <c r="F987" s="24"/>
      <c r="G987" s="24"/>
      <c r="H987" s="25" t="str">
        <f aca="false">IF($B987="","",IFERROR(IF(INDEX(명단!$B$5:$B$404,MATCH($B987,명단!$A$5:$A$404,0))="","(이름 미입력)",INDEX(명단!$B$5:$B$404,MATCH($B987,명단!$A$5:$A$404,0))),"번호 없음"))</f>
        <v/>
      </c>
      <c r="I987" s="25" t="str">
        <f aca="false">IF(AND(C987="",D987=""),"",IF(OR(C987="-",D987="-"),"측정불가",IF(AND(ISNUMBER(C987),ISNUMBER(D987)),IF(OR(C987&gt;=설정!$C$11,D987&gt;=설정!$C$12),"긴급",IF(OR(C987&gt;=설정!$C$9,D987&gt;=설정!$C$10,C987&lt;설정!$C$13),"주의","정상")),"확인필요")))</f>
        <v/>
      </c>
      <c r="J987" s="25" t="str">
        <f aca="false">IF(E987="","",IF(E987="-","측정불가",IF(NOT(ISNUMBER(E987)),"확인필요",IF(E987&lt;설정!$C$17,"긴급(저혈당)",IF(E987&gt;=설정!$C$18,"긴급(고혈당)",IF(F987="공복",IF(E987&gt;=설정!$C$15,"주의","정상"),IF(F987="식후",IF(E987&gt;=설정!$C$16,"주의","정상"),"조건확인")))))))</f>
        <v/>
      </c>
      <c r="K987" s="25" t="str">
        <f aca="false">IF(OR(I987="긴급",LEFT(J987,2)="긴급"),"★ 즉시 선생님 호출",IF(OR(I987="주의",J987="주의"),"결과상담에서 확인",IF(J987="조건확인","혈당조건(공복/식후) 선택","")))</f>
        <v/>
      </c>
      <c r="L987" s="25" t="str">
        <f aca="false">IF($B987="","",IF(COUNTIF($B$5:$B$1004,$B987)&gt;1,"중복 입력",""))</f>
        <v/>
      </c>
    </row>
    <row r="988" customFormat="false" ht="15" hidden="false" customHeight="false" outlineLevel="0" collapsed="false">
      <c r="A988" s="23"/>
      <c r="B988" s="24"/>
      <c r="C988" s="24"/>
      <c r="D988" s="24"/>
      <c r="E988" s="24"/>
      <c r="F988" s="24"/>
      <c r="G988" s="24"/>
      <c r="H988" s="25" t="str">
        <f aca="false">IF($B988="","",IFERROR(IF(INDEX(명단!$B$5:$B$404,MATCH($B988,명단!$A$5:$A$404,0))="","(이름 미입력)",INDEX(명단!$B$5:$B$404,MATCH($B988,명단!$A$5:$A$404,0))),"번호 없음"))</f>
        <v/>
      </c>
      <c r="I988" s="25" t="str">
        <f aca="false">IF(AND(C988="",D988=""),"",IF(OR(C988="-",D988="-"),"측정불가",IF(AND(ISNUMBER(C988),ISNUMBER(D988)),IF(OR(C988&gt;=설정!$C$11,D988&gt;=설정!$C$12),"긴급",IF(OR(C988&gt;=설정!$C$9,D988&gt;=설정!$C$10,C988&lt;설정!$C$13),"주의","정상")),"확인필요")))</f>
        <v/>
      </c>
      <c r="J988" s="25" t="str">
        <f aca="false">IF(E988="","",IF(E988="-","측정불가",IF(NOT(ISNUMBER(E988)),"확인필요",IF(E988&lt;설정!$C$17,"긴급(저혈당)",IF(E988&gt;=설정!$C$18,"긴급(고혈당)",IF(F988="공복",IF(E988&gt;=설정!$C$15,"주의","정상"),IF(F988="식후",IF(E988&gt;=설정!$C$16,"주의","정상"),"조건확인")))))))</f>
        <v/>
      </c>
      <c r="K988" s="25" t="str">
        <f aca="false">IF(OR(I988="긴급",LEFT(J988,2)="긴급"),"★ 즉시 선생님 호출",IF(OR(I988="주의",J988="주의"),"결과상담에서 확인",IF(J988="조건확인","혈당조건(공복/식후) 선택","")))</f>
        <v/>
      </c>
      <c r="L988" s="25" t="str">
        <f aca="false">IF($B988="","",IF(COUNTIF($B$5:$B$1004,$B988)&gt;1,"중복 입력",""))</f>
        <v/>
      </c>
    </row>
    <row r="989" customFormat="false" ht="15" hidden="false" customHeight="false" outlineLevel="0" collapsed="false">
      <c r="A989" s="23"/>
      <c r="B989" s="24"/>
      <c r="C989" s="24"/>
      <c r="D989" s="24"/>
      <c r="E989" s="24"/>
      <c r="F989" s="24"/>
      <c r="G989" s="24"/>
      <c r="H989" s="25" t="str">
        <f aca="false">IF($B989="","",IFERROR(IF(INDEX(명단!$B$5:$B$404,MATCH($B989,명단!$A$5:$A$404,0))="","(이름 미입력)",INDEX(명단!$B$5:$B$404,MATCH($B989,명단!$A$5:$A$404,0))),"번호 없음"))</f>
        <v/>
      </c>
      <c r="I989" s="25" t="str">
        <f aca="false">IF(AND(C989="",D989=""),"",IF(OR(C989="-",D989="-"),"측정불가",IF(AND(ISNUMBER(C989),ISNUMBER(D989)),IF(OR(C989&gt;=설정!$C$11,D989&gt;=설정!$C$12),"긴급",IF(OR(C989&gt;=설정!$C$9,D989&gt;=설정!$C$10,C989&lt;설정!$C$13),"주의","정상")),"확인필요")))</f>
        <v/>
      </c>
      <c r="J989" s="25" t="str">
        <f aca="false">IF(E989="","",IF(E989="-","측정불가",IF(NOT(ISNUMBER(E989)),"확인필요",IF(E989&lt;설정!$C$17,"긴급(저혈당)",IF(E989&gt;=설정!$C$18,"긴급(고혈당)",IF(F989="공복",IF(E989&gt;=설정!$C$15,"주의","정상"),IF(F989="식후",IF(E989&gt;=설정!$C$16,"주의","정상"),"조건확인")))))))</f>
        <v/>
      </c>
      <c r="K989" s="25" t="str">
        <f aca="false">IF(OR(I989="긴급",LEFT(J989,2)="긴급"),"★ 즉시 선생님 호출",IF(OR(I989="주의",J989="주의"),"결과상담에서 확인",IF(J989="조건확인","혈당조건(공복/식후) 선택","")))</f>
        <v/>
      </c>
      <c r="L989" s="25" t="str">
        <f aca="false">IF($B989="","",IF(COUNTIF($B$5:$B$1004,$B989)&gt;1,"중복 입력",""))</f>
        <v/>
      </c>
    </row>
    <row r="990" customFormat="false" ht="15" hidden="false" customHeight="false" outlineLevel="0" collapsed="false">
      <c r="A990" s="23"/>
      <c r="B990" s="24"/>
      <c r="C990" s="24"/>
      <c r="D990" s="24"/>
      <c r="E990" s="24"/>
      <c r="F990" s="24"/>
      <c r="G990" s="24"/>
      <c r="H990" s="25" t="str">
        <f aca="false">IF($B990="","",IFERROR(IF(INDEX(명단!$B$5:$B$404,MATCH($B990,명단!$A$5:$A$404,0))="","(이름 미입력)",INDEX(명단!$B$5:$B$404,MATCH($B990,명단!$A$5:$A$404,0))),"번호 없음"))</f>
        <v/>
      </c>
      <c r="I990" s="25" t="str">
        <f aca="false">IF(AND(C990="",D990=""),"",IF(OR(C990="-",D990="-"),"측정불가",IF(AND(ISNUMBER(C990),ISNUMBER(D990)),IF(OR(C990&gt;=설정!$C$11,D990&gt;=설정!$C$12),"긴급",IF(OR(C990&gt;=설정!$C$9,D990&gt;=설정!$C$10,C990&lt;설정!$C$13),"주의","정상")),"확인필요")))</f>
        <v/>
      </c>
      <c r="J990" s="25" t="str">
        <f aca="false">IF(E990="","",IF(E990="-","측정불가",IF(NOT(ISNUMBER(E990)),"확인필요",IF(E990&lt;설정!$C$17,"긴급(저혈당)",IF(E990&gt;=설정!$C$18,"긴급(고혈당)",IF(F990="공복",IF(E990&gt;=설정!$C$15,"주의","정상"),IF(F990="식후",IF(E990&gt;=설정!$C$16,"주의","정상"),"조건확인")))))))</f>
        <v/>
      </c>
      <c r="K990" s="25" t="str">
        <f aca="false">IF(OR(I990="긴급",LEFT(J990,2)="긴급"),"★ 즉시 선생님 호출",IF(OR(I990="주의",J990="주의"),"결과상담에서 확인",IF(J990="조건확인","혈당조건(공복/식후) 선택","")))</f>
        <v/>
      </c>
      <c r="L990" s="25" t="str">
        <f aca="false">IF($B990="","",IF(COUNTIF($B$5:$B$1004,$B990)&gt;1,"중복 입력",""))</f>
        <v/>
      </c>
    </row>
    <row r="991" customFormat="false" ht="15" hidden="false" customHeight="false" outlineLevel="0" collapsed="false">
      <c r="A991" s="23"/>
      <c r="B991" s="24"/>
      <c r="C991" s="24"/>
      <c r="D991" s="24"/>
      <c r="E991" s="24"/>
      <c r="F991" s="24"/>
      <c r="G991" s="24"/>
      <c r="H991" s="25" t="str">
        <f aca="false">IF($B991="","",IFERROR(IF(INDEX(명단!$B$5:$B$404,MATCH($B991,명단!$A$5:$A$404,0))="","(이름 미입력)",INDEX(명단!$B$5:$B$404,MATCH($B991,명단!$A$5:$A$404,0))),"번호 없음"))</f>
        <v/>
      </c>
      <c r="I991" s="25" t="str">
        <f aca="false">IF(AND(C991="",D991=""),"",IF(OR(C991="-",D991="-"),"측정불가",IF(AND(ISNUMBER(C991),ISNUMBER(D991)),IF(OR(C991&gt;=설정!$C$11,D991&gt;=설정!$C$12),"긴급",IF(OR(C991&gt;=설정!$C$9,D991&gt;=설정!$C$10,C991&lt;설정!$C$13),"주의","정상")),"확인필요")))</f>
        <v/>
      </c>
      <c r="J991" s="25" t="str">
        <f aca="false">IF(E991="","",IF(E991="-","측정불가",IF(NOT(ISNUMBER(E991)),"확인필요",IF(E991&lt;설정!$C$17,"긴급(저혈당)",IF(E991&gt;=설정!$C$18,"긴급(고혈당)",IF(F991="공복",IF(E991&gt;=설정!$C$15,"주의","정상"),IF(F991="식후",IF(E991&gt;=설정!$C$16,"주의","정상"),"조건확인")))))))</f>
        <v/>
      </c>
      <c r="K991" s="25" t="str">
        <f aca="false">IF(OR(I991="긴급",LEFT(J991,2)="긴급"),"★ 즉시 선생님 호출",IF(OR(I991="주의",J991="주의"),"결과상담에서 확인",IF(J991="조건확인","혈당조건(공복/식후) 선택","")))</f>
        <v/>
      </c>
      <c r="L991" s="25" t="str">
        <f aca="false">IF($B991="","",IF(COUNTIF($B$5:$B$1004,$B991)&gt;1,"중복 입력",""))</f>
        <v/>
      </c>
    </row>
    <row r="992" customFormat="false" ht="15" hidden="false" customHeight="false" outlineLevel="0" collapsed="false">
      <c r="A992" s="23"/>
      <c r="B992" s="24"/>
      <c r="C992" s="24"/>
      <c r="D992" s="24"/>
      <c r="E992" s="24"/>
      <c r="F992" s="24"/>
      <c r="G992" s="24"/>
      <c r="H992" s="25" t="str">
        <f aca="false">IF($B992="","",IFERROR(IF(INDEX(명단!$B$5:$B$404,MATCH($B992,명단!$A$5:$A$404,0))="","(이름 미입력)",INDEX(명단!$B$5:$B$404,MATCH($B992,명단!$A$5:$A$404,0))),"번호 없음"))</f>
        <v/>
      </c>
      <c r="I992" s="25" t="str">
        <f aca="false">IF(AND(C992="",D992=""),"",IF(OR(C992="-",D992="-"),"측정불가",IF(AND(ISNUMBER(C992),ISNUMBER(D992)),IF(OR(C992&gt;=설정!$C$11,D992&gt;=설정!$C$12),"긴급",IF(OR(C992&gt;=설정!$C$9,D992&gt;=설정!$C$10,C992&lt;설정!$C$13),"주의","정상")),"확인필요")))</f>
        <v/>
      </c>
      <c r="J992" s="25" t="str">
        <f aca="false">IF(E992="","",IF(E992="-","측정불가",IF(NOT(ISNUMBER(E992)),"확인필요",IF(E992&lt;설정!$C$17,"긴급(저혈당)",IF(E992&gt;=설정!$C$18,"긴급(고혈당)",IF(F992="공복",IF(E992&gt;=설정!$C$15,"주의","정상"),IF(F992="식후",IF(E992&gt;=설정!$C$16,"주의","정상"),"조건확인")))))))</f>
        <v/>
      </c>
      <c r="K992" s="25" t="str">
        <f aca="false">IF(OR(I992="긴급",LEFT(J992,2)="긴급"),"★ 즉시 선생님 호출",IF(OR(I992="주의",J992="주의"),"결과상담에서 확인",IF(J992="조건확인","혈당조건(공복/식후) 선택","")))</f>
        <v/>
      </c>
      <c r="L992" s="25" t="str">
        <f aca="false">IF($B992="","",IF(COUNTIF($B$5:$B$1004,$B992)&gt;1,"중복 입력",""))</f>
        <v/>
      </c>
    </row>
    <row r="993" customFormat="false" ht="15" hidden="false" customHeight="false" outlineLevel="0" collapsed="false">
      <c r="A993" s="23"/>
      <c r="B993" s="24"/>
      <c r="C993" s="24"/>
      <c r="D993" s="24"/>
      <c r="E993" s="24"/>
      <c r="F993" s="24"/>
      <c r="G993" s="24"/>
      <c r="H993" s="25" t="str">
        <f aca="false">IF($B993="","",IFERROR(IF(INDEX(명단!$B$5:$B$404,MATCH($B993,명단!$A$5:$A$404,0))="","(이름 미입력)",INDEX(명단!$B$5:$B$404,MATCH($B993,명단!$A$5:$A$404,0))),"번호 없음"))</f>
        <v/>
      </c>
      <c r="I993" s="25" t="str">
        <f aca="false">IF(AND(C993="",D993=""),"",IF(OR(C993="-",D993="-"),"측정불가",IF(AND(ISNUMBER(C993),ISNUMBER(D993)),IF(OR(C993&gt;=설정!$C$11,D993&gt;=설정!$C$12),"긴급",IF(OR(C993&gt;=설정!$C$9,D993&gt;=설정!$C$10,C993&lt;설정!$C$13),"주의","정상")),"확인필요")))</f>
        <v/>
      </c>
      <c r="J993" s="25" t="str">
        <f aca="false">IF(E993="","",IF(E993="-","측정불가",IF(NOT(ISNUMBER(E993)),"확인필요",IF(E993&lt;설정!$C$17,"긴급(저혈당)",IF(E993&gt;=설정!$C$18,"긴급(고혈당)",IF(F993="공복",IF(E993&gt;=설정!$C$15,"주의","정상"),IF(F993="식후",IF(E993&gt;=설정!$C$16,"주의","정상"),"조건확인")))))))</f>
        <v/>
      </c>
      <c r="K993" s="25" t="str">
        <f aca="false">IF(OR(I993="긴급",LEFT(J993,2)="긴급"),"★ 즉시 선생님 호출",IF(OR(I993="주의",J993="주의"),"결과상담에서 확인",IF(J993="조건확인","혈당조건(공복/식후) 선택","")))</f>
        <v/>
      </c>
      <c r="L993" s="25" t="str">
        <f aca="false">IF($B993="","",IF(COUNTIF($B$5:$B$1004,$B993)&gt;1,"중복 입력",""))</f>
        <v/>
      </c>
    </row>
    <row r="994" customFormat="false" ht="15" hidden="false" customHeight="false" outlineLevel="0" collapsed="false">
      <c r="A994" s="23"/>
      <c r="B994" s="24"/>
      <c r="C994" s="24"/>
      <c r="D994" s="24"/>
      <c r="E994" s="24"/>
      <c r="F994" s="24"/>
      <c r="G994" s="24"/>
      <c r="H994" s="25" t="str">
        <f aca="false">IF($B994="","",IFERROR(IF(INDEX(명단!$B$5:$B$404,MATCH($B994,명단!$A$5:$A$404,0))="","(이름 미입력)",INDEX(명단!$B$5:$B$404,MATCH($B994,명단!$A$5:$A$404,0))),"번호 없음"))</f>
        <v/>
      </c>
      <c r="I994" s="25" t="str">
        <f aca="false">IF(AND(C994="",D994=""),"",IF(OR(C994="-",D994="-"),"측정불가",IF(AND(ISNUMBER(C994),ISNUMBER(D994)),IF(OR(C994&gt;=설정!$C$11,D994&gt;=설정!$C$12),"긴급",IF(OR(C994&gt;=설정!$C$9,D994&gt;=설정!$C$10,C994&lt;설정!$C$13),"주의","정상")),"확인필요")))</f>
        <v/>
      </c>
      <c r="J994" s="25" t="str">
        <f aca="false">IF(E994="","",IF(E994="-","측정불가",IF(NOT(ISNUMBER(E994)),"확인필요",IF(E994&lt;설정!$C$17,"긴급(저혈당)",IF(E994&gt;=설정!$C$18,"긴급(고혈당)",IF(F994="공복",IF(E994&gt;=설정!$C$15,"주의","정상"),IF(F994="식후",IF(E994&gt;=설정!$C$16,"주의","정상"),"조건확인")))))))</f>
        <v/>
      </c>
      <c r="K994" s="25" t="str">
        <f aca="false">IF(OR(I994="긴급",LEFT(J994,2)="긴급"),"★ 즉시 선생님 호출",IF(OR(I994="주의",J994="주의"),"결과상담에서 확인",IF(J994="조건확인","혈당조건(공복/식후) 선택","")))</f>
        <v/>
      </c>
      <c r="L994" s="25" t="str">
        <f aca="false">IF($B994="","",IF(COUNTIF($B$5:$B$1004,$B994)&gt;1,"중복 입력",""))</f>
        <v/>
      </c>
    </row>
    <row r="995" customFormat="false" ht="15" hidden="false" customHeight="false" outlineLevel="0" collapsed="false">
      <c r="A995" s="23"/>
      <c r="B995" s="24"/>
      <c r="C995" s="24"/>
      <c r="D995" s="24"/>
      <c r="E995" s="24"/>
      <c r="F995" s="24"/>
      <c r="G995" s="24"/>
      <c r="H995" s="25" t="str">
        <f aca="false">IF($B995="","",IFERROR(IF(INDEX(명단!$B$5:$B$404,MATCH($B995,명단!$A$5:$A$404,0))="","(이름 미입력)",INDEX(명단!$B$5:$B$404,MATCH($B995,명단!$A$5:$A$404,0))),"번호 없음"))</f>
        <v/>
      </c>
      <c r="I995" s="25" t="str">
        <f aca="false">IF(AND(C995="",D995=""),"",IF(OR(C995="-",D995="-"),"측정불가",IF(AND(ISNUMBER(C995),ISNUMBER(D995)),IF(OR(C995&gt;=설정!$C$11,D995&gt;=설정!$C$12),"긴급",IF(OR(C995&gt;=설정!$C$9,D995&gt;=설정!$C$10,C995&lt;설정!$C$13),"주의","정상")),"확인필요")))</f>
        <v/>
      </c>
      <c r="J995" s="25" t="str">
        <f aca="false">IF(E995="","",IF(E995="-","측정불가",IF(NOT(ISNUMBER(E995)),"확인필요",IF(E995&lt;설정!$C$17,"긴급(저혈당)",IF(E995&gt;=설정!$C$18,"긴급(고혈당)",IF(F995="공복",IF(E995&gt;=설정!$C$15,"주의","정상"),IF(F995="식후",IF(E995&gt;=설정!$C$16,"주의","정상"),"조건확인")))))))</f>
        <v/>
      </c>
      <c r="K995" s="25" t="str">
        <f aca="false">IF(OR(I995="긴급",LEFT(J995,2)="긴급"),"★ 즉시 선생님 호출",IF(OR(I995="주의",J995="주의"),"결과상담에서 확인",IF(J995="조건확인","혈당조건(공복/식후) 선택","")))</f>
        <v/>
      </c>
      <c r="L995" s="25" t="str">
        <f aca="false">IF($B995="","",IF(COUNTIF($B$5:$B$1004,$B995)&gt;1,"중복 입력",""))</f>
        <v/>
      </c>
    </row>
    <row r="996" customFormat="false" ht="15" hidden="false" customHeight="false" outlineLevel="0" collapsed="false">
      <c r="A996" s="23"/>
      <c r="B996" s="24"/>
      <c r="C996" s="24"/>
      <c r="D996" s="24"/>
      <c r="E996" s="24"/>
      <c r="F996" s="24"/>
      <c r="G996" s="24"/>
      <c r="H996" s="25" t="str">
        <f aca="false">IF($B996="","",IFERROR(IF(INDEX(명단!$B$5:$B$404,MATCH($B996,명단!$A$5:$A$404,0))="","(이름 미입력)",INDEX(명단!$B$5:$B$404,MATCH($B996,명단!$A$5:$A$404,0))),"번호 없음"))</f>
        <v/>
      </c>
      <c r="I996" s="25" t="str">
        <f aca="false">IF(AND(C996="",D996=""),"",IF(OR(C996="-",D996="-"),"측정불가",IF(AND(ISNUMBER(C996),ISNUMBER(D996)),IF(OR(C996&gt;=설정!$C$11,D996&gt;=설정!$C$12),"긴급",IF(OR(C996&gt;=설정!$C$9,D996&gt;=설정!$C$10,C996&lt;설정!$C$13),"주의","정상")),"확인필요")))</f>
        <v/>
      </c>
      <c r="J996" s="25" t="str">
        <f aca="false">IF(E996="","",IF(E996="-","측정불가",IF(NOT(ISNUMBER(E996)),"확인필요",IF(E996&lt;설정!$C$17,"긴급(저혈당)",IF(E996&gt;=설정!$C$18,"긴급(고혈당)",IF(F996="공복",IF(E996&gt;=설정!$C$15,"주의","정상"),IF(F996="식후",IF(E996&gt;=설정!$C$16,"주의","정상"),"조건확인")))))))</f>
        <v/>
      </c>
      <c r="K996" s="25" t="str">
        <f aca="false">IF(OR(I996="긴급",LEFT(J996,2)="긴급"),"★ 즉시 선생님 호출",IF(OR(I996="주의",J996="주의"),"결과상담에서 확인",IF(J996="조건확인","혈당조건(공복/식후) 선택","")))</f>
        <v/>
      </c>
      <c r="L996" s="25" t="str">
        <f aca="false">IF($B996="","",IF(COUNTIF($B$5:$B$1004,$B996)&gt;1,"중복 입력",""))</f>
        <v/>
      </c>
    </row>
    <row r="997" customFormat="false" ht="15" hidden="false" customHeight="false" outlineLevel="0" collapsed="false">
      <c r="A997" s="23"/>
      <c r="B997" s="24"/>
      <c r="C997" s="24"/>
      <c r="D997" s="24"/>
      <c r="E997" s="24"/>
      <c r="F997" s="24"/>
      <c r="G997" s="24"/>
      <c r="H997" s="25" t="str">
        <f aca="false">IF($B997="","",IFERROR(IF(INDEX(명단!$B$5:$B$404,MATCH($B997,명단!$A$5:$A$404,0))="","(이름 미입력)",INDEX(명단!$B$5:$B$404,MATCH($B997,명단!$A$5:$A$404,0))),"번호 없음"))</f>
        <v/>
      </c>
      <c r="I997" s="25" t="str">
        <f aca="false">IF(AND(C997="",D997=""),"",IF(OR(C997="-",D997="-"),"측정불가",IF(AND(ISNUMBER(C997),ISNUMBER(D997)),IF(OR(C997&gt;=설정!$C$11,D997&gt;=설정!$C$12),"긴급",IF(OR(C997&gt;=설정!$C$9,D997&gt;=설정!$C$10,C997&lt;설정!$C$13),"주의","정상")),"확인필요")))</f>
        <v/>
      </c>
      <c r="J997" s="25" t="str">
        <f aca="false">IF(E997="","",IF(E997="-","측정불가",IF(NOT(ISNUMBER(E997)),"확인필요",IF(E997&lt;설정!$C$17,"긴급(저혈당)",IF(E997&gt;=설정!$C$18,"긴급(고혈당)",IF(F997="공복",IF(E997&gt;=설정!$C$15,"주의","정상"),IF(F997="식후",IF(E997&gt;=설정!$C$16,"주의","정상"),"조건확인")))))))</f>
        <v/>
      </c>
      <c r="K997" s="25" t="str">
        <f aca="false">IF(OR(I997="긴급",LEFT(J997,2)="긴급"),"★ 즉시 선생님 호출",IF(OR(I997="주의",J997="주의"),"결과상담에서 확인",IF(J997="조건확인","혈당조건(공복/식후) 선택","")))</f>
        <v/>
      </c>
      <c r="L997" s="25" t="str">
        <f aca="false">IF($B997="","",IF(COUNTIF($B$5:$B$1004,$B997)&gt;1,"중복 입력",""))</f>
        <v/>
      </c>
    </row>
    <row r="998" customFormat="false" ht="15" hidden="false" customHeight="false" outlineLevel="0" collapsed="false">
      <c r="A998" s="23"/>
      <c r="B998" s="24"/>
      <c r="C998" s="24"/>
      <c r="D998" s="24"/>
      <c r="E998" s="24"/>
      <c r="F998" s="24"/>
      <c r="G998" s="24"/>
      <c r="H998" s="25" t="str">
        <f aca="false">IF($B998="","",IFERROR(IF(INDEX(명단!$B$5:$B$404,MATCH($B998,명단!$A$5:$A$404,0))="","(이름 미입력)",INDEX(명단!$B$5:$B$404,MATCH($B998,명단!$A$5:$A$404,0))),"번호 없음"))</f>
        <v/>
      </c>
      <c r="I998" s="25" t="str">
        <f aca="false">IF(AND(C998="",D998=""),"",IF(OR(C998="-",D998="-"),"측정불가",IF(AND(ISNUMBER(C998),ISNUMBER(D998)),IF(OR(C998&gt;=설정!$C$11,D998&gt;=설정!$C$12),"긴급",IF(OR(C998&gt;=설정!$C$9,D998&gt;=설정!$C$10,C998&lt;설정!$C$13),"주의","정상")),"확인필요")))</f>
        <v/>
      </c>
      <c r="J998" s="25" t="str">
        <f aca="false">IF(E998="","",IF(E998="-","측정불가",IF(NOT(ISNUMBER(E998)),"확인필요",IF(E998&lt;설정!$C$17,"긴급(저혈당)",IF(E998&gt;=설정!$C$18,"긴급(고혈당)",IF(F998="공복",IF(E998&gt;=설정!$C$15,"주의","정상"),IF(F998="식후",IF(E998&gt;=설정!$C$16,"주의","정상"),"조건확인")))))))</f>
        <v/>
      </c>
      <c r="K998" s="25" t="str">
        <f aca="false">IF(OR(I998="긴급",LEFT(J998,2)="긴급"),"★ 즉시 선생님 호출",IF(OR(I998="주의",J998="주의"),"결과상담에서 확인",IF(J998="조건확인","혈당조건(공복/식후) 선택","")))</f>
        <v/>
      </c>
      <c r="L998" s="25" t="str">
        <f aca="false">IF($B998="","",IF(COUNTIF($B$5:$B$1004,$B998)&gt;1,"중복 입력",""))</f>
        <v/>
      </c>
    </row>
    <row r="999" customFormat="false" ht="15" hidden="false" customHeight="false" outlineLevel="0" collapsed="false">
      <c r="A999" s="23"/>
      <c r="B999" s="24"/>
      <c r="C999" s="24"/>
      <c r="D999" s="24"/>
      <c r="E999" s="24"/>
      <c r="F999" s="24"/>
      <c r="G999" s="24"/>
      <c r="H999" s="25" t="str">
        <f aca="false">IF($B999="","",IFERROR(IF(INDEX(명단!$B$5:$B$404,MATCH($B999,명단!$A$5:$A$404,0))="","(이름 미입력)",INDEX(명단!$B$5:$B$404,MATCH($B999,명단!$A$5:$A$404,0))),"번호 없음"))</f>
        <v/>
      </c>
      <c r="I999" s="25" t="str">
        <f aca="false">IF(AND(C999="",D999=""),"",IF(OR(C999="-",D999="-"),"측정불가",IF(AND(ISNUMBER(C999),ISNUMBER(D999)),IF(OR(C999&gt;=설정!$C$11,D999&gt;=설정!$C$12),"긴급",IF(OR(C999&gt;=설정!$C$9,D999&gt;=설정!$C$10,C999&lt;설정!$C$13),"주의","정상")),"확인필요")))</f>
        <v/>
      </c>
      <c r="J999" s="25" t="str">
        <f aca="false">IF(E999="","",IF(E999="-","측정불가",IF(NOT(ISNUMBER(E999)),"확인필요",IF(E999&lt;설정!$C$17,"긴급(저혈당)",IF(E999&gt;=설정!$C$18,"긴급(고혈당)",IF(F999="공복",IF(E999&gt;=설정!$C$15,"주의","정상"),IF(F999="식후",IF(E999&gt;=설정!$C$16,"주의","정상"),"조건확인")))))))</f>
        <v/>
      </c>
      <c r="K999" s="25" t="str">
        <f aca="false">IF(OR(I999="긴급",LEFT(J999,2)="긴급"),"★ 즉시 선생님 호출",IF(OR(I999="주의",J999="주의"),"결과상담에서 확인",IF(J999="조건확인","혈당조건(공복/식후) 선택","")))</f>
        <v/>
      </c>
      <c r="L999" s="25" t="str">
        <f aca="false">IF($B999="","",IF(COUNTIF($B$5:$B$1004,$B999)&gt;1,"중복 입력",""))</f>
        <v/>
      </c>
    </row>
    <row r="1000" customFormat="false" ht="15" hidden="false" customHeight="false" outlineLevel="0" collapsed="false">
      <c r="A1000" s="23"/>
      <c r="B1000" s="24"/>
      <c r="C1000" s="24"/>
      <c r="D1000" s="24"/>
      <c r="E1000" s="24"/>
      <c r="F1000" s="24"/>
      <c r="G1000" s="24"/>
      <c r="H1000" s="25" t="str">
        <f aca="false">IF($B1000="","",IFERROR(IF(INDEX(명단!$B$5:$B$404,MATCH($B1000,명단!$A$5:$A$404,0))="","(이름 미입력)",INDEX(명단!$B$5:$B$404,MATCH($B1000,명단!$A$5:$A$404,0))),"번호 없음"))</f>
        <v/>
      </c>
      <c r="I1000" s="25" t="str">
        <f aca="false">IF(AND(C1000="",D1000=""),"",IF(OR(C1000="-",D1000="-"),"측정불가",IF(AND(ISNUMBER(C1000),ISNUMBER(D1000)),IF(OR(C1000&gt;=설정!$C$11,D1000&gt;=설정!$C$12),"긴급",IF(OR(C1000&gt;=설정!$C$9,D1000&gt;=설정!$C$10,C1000&lt;설정!$C$13),"주의","정상")),"확인필요")))</f>
        <v/>
      </c>
      <c r="J1000" s="25" t="str">
        <f aca="false">IF(E1000="","",IF(E1000="-","측정불가",IF(NOT(ISNUMBER(E1000)),"확인필요",IF(E1000&lt;설정!$C$17,"긴급(저혈당)",IF(E1000&gt;=설정!$C$18,"긴급(고혈당)",IF(F1000="공복",IF(E1000&gt;=설정!$C$15,"주의","정상"),IF(F1000="식후",IF(E1000&gt;=설정!$C$16,"주의","정상"),"조건확인")))))))</f>
        <v/>
      </c>
      <c r="K1000" s="25" t="str">
        <f aca="false">IF(OR(I1000="긴급",LEFT(J1000,2)="긴급"),"★ 즉시 선생님 호출",IF(OR(I1000="주의",J1000="주의"),"결과상담에서 확인",IF(J1000="조건확인","혈당조건(공복/식후) 선택","")))</f>
        <v/>
      </c>
      <c r="L1000" s="25" t="str">
        <f aca="false">IF($B1000="","",IF(COUNTIF($B$5:$B$1004,$B1000)&gt;1,"중복 입력",""))</f>
        <v/>
      </c>
    </row>
    <row r="1001" customFormat="false" ht="15" hidden="false" customHeight="false" outlineLevel="0" collapsed="false">
      <c r="A1001" s="23"/>
      <c r="B1001" s="24"/>
      <c r="C1001" s="24"/>
      <c r="D1001" s="24"/>
      <c r="E1001" s="24"/>
      <c r="F1001" s="24"/>
      <c r="G1001" s="24"/>
      <c r="H1001" s="25" t="str">
        <f aca="false">IF($B1001="","",IFERROR(IF(INDEX(명단!$B$5:$B$404,MATCH($B1001,명단!$A$5:$A$404,0))="","(이름 미입력)",INDEX(명단!$B$5:$B$404,MATCH($B1001,명단!$A$5:$A$404,0))),"번호 없음"))</f>
        <v/>
      </c>
      <c r="I1001" s="25" t="str">
        <f aca="false">IF(AND(C1001="",D1001=""),"",IF(OR(C1001="-",D1001="-"),"측정불가",IF(AND(ISNUMBER(C1001),ISNUMBER(D1001)),IF(OR(C1001&gt;=설정!$C$11,D1001&gt;=설정!$C$12),"긴급",IF(OR(C1001&gt;=설정!$C$9,D1001&gt;=설정!$C$10,C1001&lt;설정!$C$13),"주의","정상")),"확인필요")))</f>
        <v/>
      </c>
      <c r="J1001" s="25" t="str">
        <f aca="false">IF(E1001="","",IF(E1001="-","측정불가",IF(NOT(ISNUMBER(E1001)),"확인필요",IF(E1001&lt;설정!$C$17,"긴급(저혈당)",IF(E1001&gt;=설정!$C$18,"긴급(고혈당)",IF(F1001="공복",IF(E1001&gt;=설정!$C$15,"주의","정상"),IF(F1001="식후",IF(E1001&gt;=설정!$C$16,"주의","정상"),"조건확인")))))))</f>
        <v/>
      </c>
      <c r="K1001" s="25" t="str">
        <f aca="false">IF(OR(I1001="긴급",LEFT(J1001,2)="긴급"),"★ 즉시 선생님 호출",IF(OR(I1001="주의",J1001="주의"),"결과상담에서 확인",IF(J1001="조건확인","혈당조건(공복/식후) 선택","")))</f>
        <v/>
      </c>
      <c r="L1001" s="25" t="str">
        <f aca="false">IF($B1001="","",IF(COUNTIF($B$5:$B$1004,$B1001)&gt;1,"중복 입력",""))</f>
        <v/>
      </c>
    </row>
    <row r="1002" customFormat="false" ht="15" hidden="false" customHeight="false" outlineLevel="0" collapsed="false">
      <c r="A1002" s="23"/>
      <c r="B1002" s="24"/>
      <c r="C1002" s="24"/>
      <c r="D1002" s="24"/>
      <c r="E1002" s="24"/>
      <c r="F1002" s="24"/>
      <c r="G1002" s="24"/>
      <c r="H1002" s="25" t="str">
        <f aca="false">IF($B1002="","",IFERROR(IF(INDEX(명단!$B$5:$B$404,MATCH($B1002,명단!$A$5:$A$404,0))="","(이름 미입력)",INDEX(명단!$B$5:$B$404,MATCH($B1002,명단!$A$5:$A$404,0))),"번호 없음"))</f>
        <v/>
      </c>
      <c r="I1002" s="25" t="str">
        <f aca="false">IF(AND(C1002="",D1002=""),"",IF(OR(C1002="-",D1002="-"),"측정불가",IF(AND(ISNUMBER(C1002),ISNUMBER(D1002)),IF(OR(C1002&gt;=설정!$C$11,D1002&gt;=설정!$C$12),"긴급",IF(OR(C1002&gt;=설정!$C$9,D1002&gt;=설정!$C$10,C1002&lt;설정!$C$13),"주의","정상")),"확인필요")))</f>
        <v/>
      </c>
      <c r="J1002" s="25" t="str">
        <f aca="false">IF(E1002="","",IF(E1002="-","측정불가",IF(NOT(ISNUMBER(E1002)),"확인필요",IF(E1002&lt;설정!$C$17,"긴급(저혈당)",IF(E1002&gt;=설정!$C$18,"긴급(고혈당)",IF(F1002="공복",IF(E1002&gt;=설정!$C$15,"주의","정상"),IF(F1002="식후",IF(E1002&gt;=설정!$C$16,"주의","정상"),"조건확인")))))))</f>
        <v/>
      </c>
      <c r="K1002" s="25" t="str">
        <f aca="false">IF(OR(I1002="긴급",LEFT(J1002,2)="긴급"),"★ 즉시 선생님 호출",IF(OR(I1002="주의",J1002="주의"),"결과상담에서 확인",IF(J1002="조건확인","혈당조건(공복/식후) 선택","")))</f>
        <v/>
      </c>
      <c r="L1002" s="25" t="str">
        <f aca="false">IF($B1002="","",IF(COUNTIF($B$5:$B$1004,$B1002)&gt;1,"중복 입력",""))</f>
        <v/>
      </c>
    </row>
    <row r="1003" customFormat="false" ht="15" hidden="false" customHeight="false" outlineLevel="0" collapsed="false">
      <c r="A1003" s="23"/>
      <c r="B1003" s="24"/>
      <c r="C1003" s="24"/>
      <c r="D1003" s="24"/>
      <c r="E1003" s="24"/>
      <c r="F1003" s="24"/>
      <c r="G1003" s="24"/>
      <c r="H1003" s="25" t="str">
        <f aca="false">IF($B1003="","",IFERROR(IF(INDEX(명단!$B$5:$B$404,MATCH($B1003,명단!$A$5:$A$404,0))="","(이름 미입력)",INDEX(명단!$B$5:$B$404,MATCH($B1003,명단!$A$5:$A$404,0))),"번호 없음"))</f>
        <v/>
      </c>
      <c r="I1003" s="25" t="str">
        <f aca="false">IF(AND(C1003="",D1003=""),"",IF(OR(C1003="-",D1003="-"),"측정불가",IF(AND(ISNUMBER(C1003),ISNUMBER(D1003)),IF(OR(C1003&gt;=설정!$C$11,D1003&gt;=설정!$C$12),"긴급",IF(OR(C1003&gt;=설정!$C$9,D1003&gt;=설정!$C$10,C1003&lt;설정!$C$13),"주의","정상")),"확인필요")))</f>
        <v/>
      </c>
      <c r="J1003" s="25" t="str">
        <f aca="false">IF(E1003="","",IF(E1003="-","측정불가",IF(NOT(ISNUMBER(E1003)),"확인필요",IF(E1003&lt;설정!$C$17,"긴급(저혈당)",IF(E1003&gt;=설정!$C$18,"긴급(고혈당)",IF(F1003="공복",IF(E1003&gt;=설정!$C$15,"주의","정상"),IF(F1003="식후",IF(E1003&gt;=설정!$C$16,"주의","정상"),"조건확인")))))))</f>
        <v/>
      </c>
      <c r="K1003" s="25" t="str">
        <f aca="false">IF(OR(I1003="긴급",LEFT(J1003,2)="긴급"),"★ 즉시 선생님 호출",IF(OR(I1003="주의",J1003="주의"),"결과상담에서 확인",IF(J1003="조건확인","혈당조건(공복/식후) 선택","")))</f>
        <v/>
      </c>
      <c r="L1003" s="25" t="str">
        <f aca="false">IF($B1003="","",IF(COUNTIF($B$5:$B$1004,$B1003)&gt;1,"중복 입력",""))</f>
        <v/>
      </c>
    </row>
    <row r="1004" customFormat="false" ht="15" hidden="false" customHeight="false" outlineLevel="0" collapsed="false">
      <c r="A1004" s="23"/>
      <c r="B1004" s="24"/>
      <c r="C1004" s="24"/>
      <c r="D1004" s="24"/>
      <c r="E1004" s="24"/>
      <c r="F1004" s="24"/>
      <c r="G1004" s="24"/>
      <c r="H1004" s="25" t="str">
        <f aca="false">IF($B1004="","",IFERROR(IF(INDEX(명단!$B$5:$B$404,MATCH($B1004,명단!$A$5:$A$404,0))="","(이름 미입력)",INDEX(명단!$B$5:$B$404,MATCH($B1004,명단!$A$5:$A$404,0))),"번호 없음"))</f>
        <v/>
      </c>
      <c r="I1004" s="25" t="str">
        <f aca="false">IF(AND(C1004="",D1004=""),"",IF(OR(C1004="-",D1004="-"),"측정불가",IF(AND(ISNUMBER(C1004),ISNUMBER(D1004)),IF(OR(C1004&gt;=설정!$C$11,D1004&gt;=설정!$C$12),"긴급",IF(OR(C1004&gt;=설정!$C$9,D1004&gt;=설정!$C$10,C1004&lt;설정!$C$13),"주의","정상")),"확인필요")))</f>
        <v/>
      </c>
      <c r="J1004" s="25" t="str">
        <f aca="false">IF(E1004="","",IF(E1004="-","측정불가",IF(NOT(ISNUMBER(E1004)),"확인필요",IF(E1004&lt;설정!$C$17,"긴급(저혈당)",IF(E1004&gt;=설정!$C$18,"긴급(고혈당)",IF(F1004="공복",IF(E1004&gt;=설정!$C$15,"주의","정상"),IF(F1004="식후",IF(E1004&gt;=설정!$C$16,"주의","정상"),"조건확인")))))))</f>
        <v/>
      </c>
      <c r="K1004" s="25" t="str">
        <f aca="false">IF(OR(I1004="긴급",LEFT(J1004,2)="긴급"),"★ 즉시 선생님 호출",IF(OR(I1004="주의",J1004="주의"),"결과상담에서 확인",IF(J1004="조건확인","혈당조건(공복/식후) 선택","")))</f>
        <v/>
      </c>
      <c r="L1004" s="25" t="str">
        <f aca="false">IF($B1004="","",IF(COUNTIF($B$5:$B$1004,$B1004)&gt;1,"중복 입력",""))</f>
        <v/>
      </c>
    </row>
  </sheetData>
  <conditionalFormatting sqref="A5:L1004">
    <cfRule type="expression" priority="2" aboveAverage="0" equalAverage="0" bottom="0" percent="0" rank="0" text="" dxfId="3">
      <formula>AND($B5="",$B4&lt;&gt;"")</formula>
    </cfRule>
  </conditionalFormatting>
  <conditionalFormatting sqref="H5:H1004">
    <cfRule type="expression" priority="3" aboveAverage="0" equalAverage="0" bottom="0" percent="0" rank="0" text="" dxfId="4">
      <formula>H5="번호 없음"</formula>
    </cfRule>
  </conditionalFormatting>
  <conditionalFormatting sqref="I5:J1004">
    <cfRule type="expression" priority="4" aboveAverage="0" equalAverage="0" bottom="0" percent="0" rank="0" text="" dxfId="6">
      <formula>LEFT(I5,2)="긴급"</formula>
    </cfRule>
    <cfRule type="expression" priority="5" aboveAverage="0" equalAverage="0" bottom="0" percent="0" rank="0" text="" dxfId="7">
      <formula>I5="주의"</formula>
    </cfRule>
    <cfRule type="expression" priority="6" aboveAverage="0" equalAverage="0" bottom="0" percent="0" rank="0" text="" dxfId="8">
      <formula>OR(I5="확인필요",I5="조건확인",I5="측정불가")</formula>
    </cfRule>
  </conditionalFormatting>
  <conditionalFormatting sqref="K5:K1004">
    <cfRule type="expression" priority="7" aboveAverage="0" equalAverage="0" bottom="0" percent="0" rank="0" text="" dxfId="6">
      <formula>LEFT(K5,1)="★"</formula>
    </cfRule>
  </conditionalFormatting>
  <conditionalFormatting sqref="L5:L1004">
    <cfRule type="expression" priority="8" aboveAverage="0" equalAverage="0" bottom="0" percent="0" rank="0" text="" dxfId="5">
      <formula>L5&lt;&gt;""</formula>
    </cfRule>
  </conditionalFormatting>
  <dataValidations count="5">
    <dataValidation allowBlank="true" error="번호는 1~400 사이의 숫자입니다." errorStyle="stop" errorTitle="번호 확인" operator="between" showDropDown="false" showErrorMessage="true" showInputMessage="false" sqref="B5:B1004" type="whole">
      <formula1>1</formula1>
      <formula2>400</formula2>
    </dataValidation>
    <dataValidation allowBlank="true" error="수축기 60~260 범위를 벗어났습니다. 측정 거부·불가라면 '-'를 입력하세요. 그대로 입력할까요?" errorStyle="warning" errorTitle="값 확인" operator="between" showDropDown="false" showErrorMessage="true" showInputMessage="false" sqref="C5:C1004" type="decimal">
      <formula1>60</formula1>
      <formula2>260</formula2>
    </dataValidation>
    <dataValidation allowBlank="true" error="이완기 30~160 범위를 벗어났습니다. 측정 거부·불가라면 '-'를 입력하세요. 그대로 입력할까요?" errorStyle="warning" errorTitle="값 확인" operator="between" showDropDown="false" showErrorMessage="true" showInputMessage="false" sqref="D5:D1004" type="decimal">
      <formula1>30</formula1>
      <formula2>160</formula2>
    </dataValidation>
    <dataValidation allowBlank="true" error="혈당 20~600 범위를 벗어났습니다. 측정 거부·불가라면 '-'를 입력하세요. 그대로 입력할까요?" errorStyle="warning" errorTitle="값 확인" operator="between" showDropDown="false" showErrorMessage="true" showInputMessage="false" sqref="E5:E1004" type="decimal">
      <formula1>20</formula1>
      <formula2>600</formula2>
    </dataValidation>
    <dataValidation allowBlank="true" errorStyle="stop" operator="between" showDropDown="false" showErrorMessage="true" showInputMessage="false" sqref="F5:F1004" type="list">
      <formula1>"공복,식후"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8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19.4" hidden="false" customHeight="false" outlineLevel="0" collapsed="false">
      <c r="A1" s="18" t="s">
        <v>146</v>
      </c>
    </row>
    <row r="2" customFormat="false" ht="15" hidden="false" customHeight="false" outlineLevel="0" collapsed="false">
      <c r="A2" s="2" t="s">
        <v>147</v>
      </c>
    </row>
    <row r="3" customFormat="false" ht="15" hidden="false" customHeight="false" outlineLevel="0" collapsed="false">
      <c r="A3" s="19" t="s">
        <v>148</v>
      </c>
    </row>
    <row r="4" customFormat="false" ht="31.5" hidden="false" customHeight="true" outlineLevel="0" collapsed="false">
      <c r="A4" s="28" t="s">
        <v>127</v>
      </c>
      <c r="B4" s="28" t="s">
        <v>128</v>
      </c>
      <c r="C4" s="28" t="s">
        <v>149</v>
      </c>
      <c r="D4" s="28" t="s">
        <v>150</v>
      </c>
      <c r="E4" s="28" t="s">
        <v>133</v>
      </c>
      <c r="F4" s="22" t="s">
        <v>134</v>
      </c>
    </row>
    <row r="5" customFormat="false" ht="15" hidden="false" customHeight="false" outlineLevel="0" collapsed="false">
      <c r="A5" s="23"/>
      <c r="B5" s="24"/>
      <c r="C5" s="24"/>
      <c r="D5" s="24"/>
      <c r="E5" s="24"/>
      <c r="F5" s="25" t="str">
        <f aca="false">IF($B5="","",IFERROR(IF(INDEX(명단!$B$5:$B$404,MATCH($B5,명단!$A$5:$A$404,0))="","(이름 미입력)",INDEX(명단!$B$5:$B$404,MATCH($B5,명단!$A$5:$A$404,0))),"번호 없음"))</f>
        <v/>
      </c>
    </row>
    <row r="6" customFormat="false" ht="15" hidden="false" customHeight="false" outlineLevel="0" collapsed="false">
      <c r="A6" s="23"/>
      <c r="B6" s="24"/>
      <c r="C6" s="24"/>
      <c r="D6" s="24"/>
      <c r="E6" s="24"/>
      <c r="F6" s="25" t="str">
        <f aca="false">IF($B6="","",IFERROR(IF(INDEX(명단!$B$5:$B$404,MATCH($B6,명단!$A$5:$A$404,0))="","(이름 미입력)",INDEX(명단!$B$5:$B$404,MATCH($B6,명단!$A$5:$A$404,0))),"번호 없음"))</f>
        <v/>
      </c>
    </row>
    <row r="7" customFormat="false" ht="15" hidden="false" customHeight="false" outlineLevel="0" collapsed="false">
      <c r="A7" s="23"/>
      <c r="B7" s="24"/>
      <c r="C7" s="24"/>
      <c r="D7" s="24"/>
      <c r="E7" s="24"/>
      <c r="F7" s="25" t="str">
        <f aca="false">IF($B7="","",IFERROR(IF(INDEX(명단!$B$5:$B$404,MATCH($B7,명단!$A$5:$A$404,0))="","(이름 미입력)",INDEX(명단!$B$5:$B$404,MATCH($B7,명단!$A$5:$A$404,0))),"번호 없음"))</f>
        <v/>
      </c>
    </row>
    <row r="8" customFormat="false" ht="15" hidden="false" customHeight="false" outlineLevel="0" collapsed="false">
      <c r="A8" s="23"/>
      <c r="B8" s="24"/>
      <c r="C8" s="24"/>
      <c r="D8" s="24"/>
      <c r="E8" s="24"/>
      <c r="F8" s="25" t="str">
        <f aca="false">IF($B8="","",IFERROR(IF(INDEX(명단!$B$5:$B$404,MATCH($B8,명단!$A$5:$A$404,0))="","(이름 미입력)",INDEX(명단!$B$5:$B$404,MATCH($B8,명단!$A$5:$A$404,0))),"번호 없음"))</f>
        <v/>
      </c>
    </row>
    <row r="9" customFormat="false" ht="15" hidden="false" customHeight="false" outlineLevel="0" collapsed="false">
      <c r="A9" s="23"/>
      <c r="B9" s="24"/>
      <c r="C9" s="24"/>
      <c r="D9" s="24"/>
      <c r="E9" s="24"/>
      <c r="F9" s="25" t="str">
        <f aca="false">IF($B9="","",IFERROR(IF(INDEX(명단!$B$5:$B$404,MATCH($B9,명단!$A$5:$A$404,0))="","(이름 미입력)",INDEX(명단!$B$5:$B$404,MATCH($B9,명단!$A$5:$A$404,0))),"번호 없음"))</f>
        <v/>
      </c>
    </row>
    <row r="10" customFormat="false" ht="15" hidden="false" customHeight="false" outlineLevel="0" collapsed="false">
      <c r="A10" s="23"/>
      <c r="B10" s="24"/>
      <c r="C10" s="24"/>
      <c r="D10" s="24"/>
      <c r="E10" s="24"/>
      <c r="F10" s="25" t="str">
        <f aca="false">IF($B10="","",IFERROR(IF(INDEX(명단!$B$5:$B$404,MATCH($B10,명단!$A$5:$A$404,0))="","(이름 미입력)",INDEX(명단!$B$5:$B$404,MATCH($B10,명단!$A$5:$A$404,0))),"번호 없음"))</f>
        <v/>
      </c>
    </row>
    <row r="11" customFormat="false" ht="15" hidden="false" customHeight="false" outlineLevel="0" collapsed="false">
      <c r="A11" s="23"/>
      <c r="B11" s="24"/>
      <c r="C11" s="24"/>
      <c r="D11" s="24"/>
      <c r="E11" s="24"/>
      <c r="F11" s="25" t="str">
        <f aca="false">IF($B11="","",IFERROR(IF(INDEX(명단!$B$5:$B$404,MATCH($B11,명단!$A$5:$A$404,0))="","(이름 미입력)",INDEX(명단!$B$5:$B$404,MATCH($B11,명단!$A$5:$A$404,0))),"번호 없음"))</f>
        <v/>
      </c>
    </row>
    <row r="12" customFormat="false" ht="15" hidden="false" customHeight="false" outlineLevel="0" collapsed="false">
      <c r="A12" s="23"/>
      <c r="B12" s="24"/>
      <c r="C12" s="24"/>
      <c r="D12" s="24"/>
      <c r="E12" s="24"/>
      <c r="F12" s="25" t="str">
        <f aca="false">IF($B12="","",IFERROR(IF(INDEX(명단!$B$5:$B$404,MATCH($B12,명단!$A$5:$A$404,0))="","(이름 미입력)",INDEX(명단!$B$5:$B$404,MATCH($B12,명단!$A$5:$A$404,0))),"번호 없음"))</f>
        <v/>
      </c>
    </row>
    <row r="13" customFormat="false" ht="15" hidden="false" customHeight="false" outlineLevel="0" collapsed="false">
      <c r="A13" s="23"/>
      <c r="B13" s="24"/>
      <c r="C13" s="24"/>
      <c r="D13" s="24"/>
      <c r="E13" s="24"/>
      <c r="F13" s="25" t="str">
        <f aca="false">IF($B13="","",IFERROR(IF(INDEX(명단!$B$5:$B$404,MATCH($B13,명단!$A$5:$A$404,0))="","(이름 미입력)",INDEX(명단!$B$5:$B$404,MATCH($B13,명단!$A$5:$A$404,0))),"번호 없음"))</f>
        <v/>
      </c>
    </row>
    <row r="14" customFormat="false" ht="15" hidden="false" customHeight="false" outlineLevel="0" collapsed="false">
      <c r="A14" s="23"/>
      <c r="B14" s="24"/>
      <c r="C14" s="24"/>
      <c r="D14" s="24"/>
      <c r="E14" s="24"/>
      <c r="F14" s="25" t="str">
        <f aca="false">IF($B14="","",IFERROR(IF(INDEX(명단!$B$5:$B$404,MATCH($B14,명단!$A$5:$A$404,0))="","(이름 미입력)",INDEX(명단!$B$5:$B$404,MATCH($B14,명단!$A$5:$A$404,0))),"번호 없음"))</f>
        <v/>
      </c>
    </row>
    <row r="15" customFormat="false" ht="15" hidden="false" customHeight="false" outlineLevel="0" collapsed="false">
      <c r="A15" s="23"/>
      <c r="B15" s="24"/>
      <c r="C15" s="24"/>
      <c r="D15" s="24"/>
      <c r="E15" s="24"/>
      <c r="F15" s="25" t="str">
        <f aca="false">IF($B15="","",IFERROR(IF(INDEX(명단!$B$5:$B$404,MATCH($B15,명단!$A$5:$A$404,0))="","(이름 미입력)",INDEX(명단!$B$5:$B$404,MATCH($B15,명단!$A$5:$A$404,0))),"번호 없음"))</f>
        <v/>
      </c>
    </row>
    <row r="16" customFormat="false" ht="15" hidden="false" customHeight="false" outlineLevel="0" collapsed="false">
      <c r="A16" s="23"/>
      <c r="B16" s="24"/>
      <c r="C16" s="24"/>
      <c r="D16" s="24"/>
      <c r="E16" s="24"/>
      <c r="F16" s="25" t="str">
        <f aca="false">IF($B16="","",IFERROR(IF(INDEX(명단!$B$5:$B$404,MATCH($B16,명단!$A$5:$A$404,0))="","(이름 미입력)",INDEX(명단!$B$5:$B$404,MATCH($B16,명단!$A$5:$A$404,0))),"번호 없음"))</f>
        <v/>
      </c>
    </row>
    <row r="17" customFormat="false" ht="15" hidden="false" customHeight="false" outlineLevel="0" collapsed="false">
      <c r="A17" s="23"/>
      <c r="B17" s="24"/>
      <c r="C17" s="24"/>
      <c r="D17" s="24"/>
      <c r="E17" s="24"/>
      <c r="F17" s="25" t="str">
        <f aca="false">IF($B17="","",IFERROR(IF(INDEX(명단!$B$5:$B$404,MATCH($B17,명단!$A$5:$A$404,0))="","(이름 미입력)",INDEX(명단!$B$5:$B$404,MATCH($B17,명단!$A$5:$A$404,0))),"번호 없음"))</f>
        <v/>
      </c>
    </row>
    <row r="18" customFormat="false" ht="15" hidden="false" customHeight="false" outlineLevel="0" collapsed="false">
      <c r="A18" s="23"/>
      <c r="B18" s="24"/>
      <c r="C18" s="24"/>
      <c r="D18" s="24"/>
      <c r="E18" s="24"/>
      <c r="F18" s="25" t="str">
        <f aca="false">IF($B18="","",IFERROR(IF(INDEX(명단!$B$5:$B$404,MATCH($B18,명단!$A$5:$A$404,0))="","(이름 미입력)",INDEX(명단!$B$5:$B$404,MATCH($B18,명단!$A$5:$A$404,0))),"번호 없음"))</f>
        <v/>
      </c>
    </row>
    <row r="19" customFormat="false" ht="15" hidden="false" customHeight="false" outlineLevel="0" collapsed="false">
      <c r="A19" s="23"/>
      <c r="B19" s="24"/>
      <c r="C19" s="24"/>
      <c r="D19" s="24"/>
      <c r="E19" s="24"/>
      <c r="F19" s="25" t="str">
        <f aca="false">IF($B19="","",IFERROR(IF(INDEX(명단!$B$5:$B$404,MATCH($B19,명단!$A$5:$A$404,0))="","(이름 미입력)",INDEX(명단!$B$5:$B$404,MATCH($B19,명단!$A$5:$A$404,0))),"번호 없음"))</f>
        <v/>
      </c>
    </row>
    <row r="20" customFormat="false" ht="15" hidden="false" customHeight="false" outlineLevel="0" collapsed="false">
      <c r="A20" s="23"/>
      <c r="B20" s="24"/>
      <c r="C20" s="24"/>
      <c r="D20" s="24"/>
      <c r="E20" s="24"/>
      <c r="F20" s="25" t="str">
        <f aca="false">IF($B20="","",IFERROR(IF(INDEX(명단!$B$5:$B$404,MATCH($B20,명단!$A$5:$A$404,0))="","(이름 미입력)",INDEX(명단!$B$5:$B$404,MATCH($B20,명단!$A$5:$A$404,0))),"번호 없음"))</f>
        <v/>
      </c>
    </row>
    <row r="21" customFormat="false" ht="15" hidden="false" customHeight="false" outlineLevel="0" collapsed="false">
      <c r="A21" s="23"/>
      <c r="B21" s="24"/>
      <c r="C21" s="24"/>
      <c r="D21" s="24"/>
      <c r="E21" s="24"/>
      <c r="F21" s="25" t="str">
        <f aca="false">IF($B21="","",IFERROR(IF(INDEX(명단!$B$5:$B$404,MATCH($B21,명단!$A$5:$A$404,0))="","(이름 미입력)",INDEX(명단!$B$5:$B$404,MATCH($B21,명단!$A$5:$A$404,0))),"번호 없음"))</f>
        <v/>
      </c>
    </row>
    <row r="22" customFormat="false" ht="15" hidden="false" customHeight="false" outlineLevel="0" collapsed="false">
      <c r="A22" s="23"/>
      <c r="B22" s="24"/>
      <c r="C22" s="24"/>
      <c r="D22" s="24"/>
      <c r="E22" s="24"/>
      <c r="F22" s="25" t="str">
        <f aca="false">IF($B22="","",IFERROR(IF(INDEX(명단!$B$5:$B$404,MATCH($B22,명단!$A$5:$A$404,0))="","(이름 미입력)",INDEX(명단!$B$5:$B$404,MATCH($B22,명단!$A$5:$A$404,0))),"번호 없음"))</f>
        <v/>
      </c>
    </row>
    <row r="23" customFormat="false" ht="15" hidden="false" customHeight="false" outlineLevel="0" collapsed="false">
      <c r="A23" s="23"/>
      <c r="B23" s="24"/>
      <c r="C23" s="24"/>
      <c r="D23" s="24"/>
      <c r="E23" s="24"/>
      <c r="F23" s="25" t="str">
        <f aca="false">IF($B23="","",IFERROR(IF(INDEX(명단!$B$5:$B$404,MATCH($B23,명단!$A$5:$A$404,0))="","(이름 미입력)",INDEX(명단!$B$5:$B$404,MATCH($B23,명단!$A$5:$A$404,0))),"번호 없음"))</f>
        <v/>
      </c>
    </row>
    <row r="24" customFormat="false" ht="15" hidden="false" customHeight="false" outlineLevel="0" collapsed="false">
      <c r="A24" s="23"/>
      <c r="B24" s="24"/>
      <c r="C24" s="24"/>
      <c r="D24" s="24"/>
      <c r="E24" s="24"/>
      <c r="F24" s="25" t="str">
        <f aca="false">IF($B24="","",IFERROR(IF(INDEX(명단!$B$5:$B$404,MATCH($B24,명단!$A$5:$A$404,0))="","(이름 미입력)",INDEX(명단!$B$5:$B$404,MATCH($B24,명단!$A$5:$A$404,0))),"번호 없음"))</f>
        <v/>
      </c>
    </row>
    <row r="25" customFormat="false" ht="15" hidden="false" customHeight="false" outlineLevel="0" collapsed="false">
      <c r="A25" s="23"/>
      <c r="B25" s="24"/>
      <c r="C25" s="24"/>
      <c r="D25" s="24"/>
      <c r="E25" s="24"/>
      <c r="F25" s="25" t="str">
        <f aca="false">IF($B25="","",IFERROR(IF(INDEX(명단!$B$5:$B$404,MATCH($B25,명단!$A$5:$A$404,0))="","(이름 미입력)",INDEX(명단!$B$5:$B$404,MATCH($B25,명단!$A$5:$A$404,0))),"번호 없음"))</f>
        <v/>
      </c>
    </row>
    <row r="26" customFormat="false" ht="15" hidden="false" customHeight="false" outlineLevel="0" collapsed="false">
      <c r="A26" s="23"/>
      <c r="B26" s="24"/>
      <c r="C26" s="24"/>
      <c r="D26" s="24"/>
      <c r="E26" s="24"/>
      <c r="F26" s="25" t="str">
        <f aca="false">IF($B26="","",IFERROR(IF(INDEX(명단!$B$5:$B$404,MATCH($B26,명단!$A$5:$A$404,0))="","(이름 미입력)",INDEX(명단!$B$5:$B$404,MATCH($B26,명단!$A$5:$A$404,0))),"번호 없음"))</f>
        <v/>
      </c>
    </row>
    <row r="27" customFormat="false" ht="15" hidden="false" customHeight="false" outlineLevel="0" collapsed="false">
      <c r="A27" s="23"/>
      <c r="B27" s="24"/>
      <c r="C27" s="24"/>
      <c r="D27" s="24"/>
      <c r="E27" s="24"/>
      <c r="F27" s="25" t="str">
        <f aca="false">IF($B27="","",IFERROR(IF(INDEX(명단!$B$5:$B$404,MATCH($B27,명단!$A$5:$A$404,0))="","(이름 미입력)",INDEX(명단!$B$5:$B$404,MATCH($B27,명단!$A$5:$A$404,0))),"번호 없음"))</f>
        <v/>
      </c>
    </row>
    <row r="28" customFormat="false" ht="15" hidden="false" customHeight="false" outlineLevel="0" collapsed="false">
      <c r="A28" s="23"/>
      <c r="B28" s="24"/>
      <c r="C28" s="24"/>
      <c r="D28" s="24"/>
      <c r="E28" s="24"/>
      <c r="F28" s="25" t="str">
        <f aca="false">IF($B28="","",IFERROR(IF(INDEX(명단!$B$5:$B$404,MATCH($B28,명단!$A$5:$A$404,0))="","(이름 미입력)",INDEX(명단!$B$5:$B$404,MATCH($B28,명단!$A$5:$A$404,0))),"번호 없음"))</f>
        <v/>
      </c>
    </row>
    <row r="29" customFormat="false" ht="15" hidden="false" customHeight="false" outlineLevel="0" collapsed="false">
      <c r="A29" s="23"/>
      <c r="B29" s="24"/>
      <c r="C29" s="24"/>
      <c r="D29" s="24"/>
      <c r="E29" s="24"/>
      <c r="F29" s="25" t="str">
        <f aca="false">IF($B29="","",IFERROR(IF(INDEX(명단!$B$5:$B$404,MATCH($B29,명단!$A$5:$A$404,0))="","(이름 미입력)",INDEX(명단!$B$5:$B$404,MATCH($B29,명단!$A$5:$A$404,0))),"번호 없음"))</f>
        <v/>
      </c>
    </row>
    <row r="30" customFormat="false" ht="15" hidden="false" customHeight="false" outlineLevel="0" collapsed="false">
      <c r="A30" s="23"/>
      <c r="B30" s="24"/>
      <c r="C30" s="24"/>
      <c r="D30" s="24"/>
      <c r="E30" s="24"/>
      <c r="F30" s="25" t="str">
        <f aca="false">IF($B30="","",IFERROR(IF(INDEX(명단!$B$5:$B$404,MATCH($B30,명단!$A$5:$A$404,0))="","(이름 미입력)",INDEX(명단!$B$5:$B$404,MATCH($B30,명단!$A$5:$A$404,0))),"번호 없음"))</f>
        <v/>
      </c>
    </row>
    <row r="31" customFormat="false" ht="15" hidden="false" customHeight="false" outlineLevel="0" collapsed="false">
      <c r="A31" s="23"/>
      <c r="B31" s="24"/>
      <c r="C31" s="24"/>
      <c r="D31" s="24"/>
      <c r="E31" s="24"/>
      <c r="F31" s="25" t="str">
        <f aca="false">IF($B31="","",IFERROR(IF(INDEX(명단!$B$5:$B$404,MATCH($B31,명단!$A$5:$A$404,0))="","(이름 미입력)",INDEX(명단!$B$5:$B$404,MATCH($B31,명단!$A$5:$A$404,0))),"번호 없음"))</f>
        <v/>
      </c>
    </row>
    <row r="32" customFormat="false" ht="15" hidden="false" customHeight="false" outlineLevel="0" collapsed="false">
      <c r="A32" s="23"/>
      <c r="B32" s="24"/>
      <c r="C32" s="24"/>
      <c r="D32" s="24"/>
      <c r="E32" s="24"/>
      <c r="F32" s="25" t="str">
        <f aca="false">IF($B32="","",IFERROR(IF(INDEX(명단!$B$5:$B$404,MATCH($B32,명단!$A$5:$A$404,0))="","(이름 미입력)",INDEX(명단!$B$5:$B$404,MATCH($B32,명단!$A$5:$A$404,0))),"번호 없음"))</f>
        <v/>
      </c>
    </row>
    <row r="33" customFormat="false" ht="15" hidden="false" customHeight="false" outlineLevel="0" collapsed="false">
      <c r="A33" s="23"/>
      <c r="B33" s="24"/>
      <c r="C33" s="24"/>
      <c r="D33" s="24"/>
      <c r="E33" s="24"/>
      <c r="F33" s="25" t="str">
        <f aca="false">IF($B33="","",IFERROR(IF(INDEX(명단!$B$5:$B$404,MATCH($B33,명단!$A$5:$A$404,0))="","(이름 미입력)",INDEX(명단!$B$5:$B$404,MATCH($B33,명단!$A$5:$A$404,0))),"번호 없음"))</f>
        <v/>
      </c>
    </row>
    <row r="34" customFormat="false" ht="15" hidden="false" customHeight="false" outlineLevel="0" collapsed="false">
      <c r="A34" s="23"/>
      <c r="B34" s="24"/>
      <c r="C34" s="24"/>
      <c r="D34" s="24"/>
      <c r="E34" s="24"/>
      <c r="F34" s="25" t="str">
        <f aca="false">IF($B34="","",IFERROR(IF(INDEX(명단!$B$5:$B$404,MATCH($B34,명단!$A$5:$A$404,0))="","(이름 미입력)",INDEX(명단!$B$5:$B$404,MATCH($B34,명단!$A$5:$A$404,0))),"번호 없음"))</f>
        <v/>
      </c>
    </row>
    <row r="35" customFormat="false" ht="15" hidden="false" customHeight="false" outlineLevel="0" collapsed="false">
      <c r="A35" s="23"/>
      <c r="B35" s="24"/>
      <c r="C35" s="24"/>
      <c r="D35" s="24"/>
      <c r="E35" s="24"/>
      <c r="F35" s="25" t="str">
        <f aca="false">IF($B35="","",IFERROR(IF(INDEX(명단!$B$5:$B$404,MATCH($B35,명단!$A$5:$A$404,0))="","(이름 미입력)",INDEX(명단!$B$5:$B$404,MATCH($B35,명단!$A$5:$A$404,0))),"번호 없음"))</f>
        <v/>
      </c>
    </row>
    <row r="36" customFormat="false" ht="15" hidden="false" customHeight="false" outlineLevel="0" collapsed="false">
      <c r="A36" s="23"/>
      <c r="B36" s="24"/>
      <c r="C36" s="24"/>
      <c r="D36" s="24"/>
      <c r="E36" s="24"/>
      <c r="F36" s="25" t="str">
        <f aca="false">IF($B36="","",IFERROR(IF(INDEX(명단!$B$5:$B$404,MATCH($B36,명단!$A$5:$A$404,0))="","(이름 미입력)",INDEX(명단!$B$5:$B$404,MATCH($B36,명단!$A$5:$A$404,0))),"번호 없음"))</f>
        <v/>
      </c>
    </row>
    <row r="37" customFormat="false" ht="15" hidden="false" customHeight="false" outlineLevel="0" collapsed="false">
      <c r="A37" s="23"/>
      <c r="B37" s="24"/>
      <c r="C37" s="24"/>
      <c r="D37" s="24"/>
      <c r="E37" s="24"/>
      <c r="F37" s="25" t="str">
        <f aca="false">IF($B37="","",IFERROR(IF(INDEX(명단!$B$5:$B$404,MATCH($B37,명단!$A$5:$A$404,0))="","(이름 미입력)",INDEX(명단!$B$5:$B$404,MATCH($B37,명단!$A$5:$A$404,0))),"번호 없음"))</f>
        <v/>
      </c>
    </row>
    <row r="38" customFormat="false" ht="15" hidden="false" customHeight="false" outlineLevel="0" collapsed="false">
      <c r="A38" s="23"/>
      <c r="B38" s="24"/>
      <c r="C38" s="24"/>
      <c r="D38" s="24"/>
      <c r="E38" s="24"/>
      <c r="F38" s="25" t="str">
        <f aca="false">IF($B38="","",IFERROR(IF(INDEX(명단!$B$5:$B$404,MATCH($B38,명단!$A$5:$A$404,0))="","(이름 미입력)",INDEX(명단!$B$5:$B$404,MATCH($B38,명단!$A$5:$A$404,0))),"번호 없음"))</f>
        <v/>
      </c>
    </row>
    <row r="39" customFormat="false" ht="15" hidden="false" customHeight="false" outlineLevel="0" collapsed="false">
      <c r="A39" s="23"/>
      <c r="B39" s="24"/>
      <c r="C39" s="24"/>
      <c r="D39" s="24"/>
      <c r="E39" s="24"/>
      <c r="F39" s="25" t="str">
        <f aca="false">IF($B39="","",IFERROR(IF(INDEX(명단!$B$5:$B$404,MATCH($B39,명단!$A$5:$A$404,0))="","(이름 미입력)",INDEX(명단!$B$5:$B$404,MATCH($B39,명단!$A$5:$A$404,0))),"번호 없음"))</f>
        <v/>
      </c>
    </row>
    <row r="40" customFormat="false" ht="15" hidden="false" customHeight="false" outlineLevel="0" collapsed="false">
      <c r="A40" s="23"/>
      <c r="B40" s="24"/>
      <c r="C40" s="24"/>
      <c r="D40" s="24"/>
      <c r="E40" s="24"/>
      <c r="F40" s="25" t="str">
        <f aca="false">IF($B40="","",IFERROR(IF(INDEX(명단!$B$5:$B$404,MATCH($B40,명단!$A$5:$A$404,0))="","(이름 미입력)",INDEX(명단!$B$5:$B$404,MATCH($B40,명단!$A$5:$A$404,0))),"번호 없음"))</f>
        <v/>
      </c>
    </row>
    <row r="41" customFormat="false" ht="15" hidden="false" customHeight="false" outlineLevel="0" collapsed="false">
      <c r="A41" s="23"/>
      <c r="B41" s="24"/>
      <c r="C41" s="24"/>
      <c r="D41" s="24"/>
      <c r="E41" s="24"/>
      <c r="F41" s="25" t="str">
        <f aca="false">IF($B41="","",IFERROR(IF(INDEX(명단!$B$5:$B$404,MATCH($B41,명단!$A$5:$A$404,0))="","(이름 미입력)",INDEX(명단!$B$5:$B$404,MATCH($B41,명단!$A$5:$A$404,0))),"번호 없음"))</f>
        <v/>
      </c>
    </row>
    <row r="42" customFormat="false" ht="15" hidden="false" customHeight="false" outlineLevel="0" collapsed="false">
      <c r="A42" s="23"/>
      <c r="B42" s="24"/>
      <c r="C42" s="24"/>
      <c r="D42" s="24"/>
      <c r="E42" s="24"/>
      <c r="F42" s="25" t="str">
        <f aca="false">IF($B42="","",IFERROR(IF(INDEX(명단!$B$5:$B$404,MATCH($B42,명단!$A$5:$A$404,0))="","(이름 미입력)",INDEX(명단!$B$5:$B$404,MATCH($B42,명단!$A$5:$A$404,0))),"번호 없음"))</f>
        <v/>
      </c>
    </row>
    <row r="43" customFormat="false" ht="15" hidden="false" customHeight="false" outlineLevel="0" collapsed="false">
      <c r="A43" s="23"/>
      <c r="B43" s="24"/>
      <c r="C43" s="24"/>
      <c r="D43" s="24"/>
      <c r="E43" s="24"/>
      <c r="F43" s="25" t="str">
        <f aca="false">IF($B43="","",IFERROR(IF(INDEX(명단!$B$5:$B$404,MATCH($B43,명단!$A$5:$A$404,0))="","(이름 미입력)",INDEX(명단!$B$5:$B$404,MATCH($B43,명단!$A$5:$A$404,0))),"번호 없음"))</f>
        <v/>
      </c>
    </row>
    <row r="44" customFormat="false" ht="15" hidden="false" customHeight="false" outlineLevel="0" collapsed="false">
      <c r="A44" s="23"/>
      <c r="B44" s="24"/>
      <c r="C44" s="24"/>
      <c r="D44" s="24"/>
      <c r="E44" s="24"/>
      <c r="F44" s="25" t="str">
        <f aca="false">IF($B44="","",IFERROR(IF(INDEX(명단!$B$5:$B$404,MATCH($B44,명단!$A$5:$A$404,0))="","(이름 미입력)",INDEX(명단!$B$5:$B$404,MATCH($B44,명단!$A$5:$A$404,0))),"번호 없음"))</f>
        <v/>
      </c>
    </row>
    <row r="45" customFormat="false" ht="15" hidden="false" customHeight="false" outlineLevel="0" collapsed="false">
      <c r="A45" s="23"/>
      <c r="B45" s="24"/>
      <c r="C45" s="24"/>
      <c r="D45" s="24"/>
      <c r="E45" s="24"/>
      <c r="F45" s="25" t="str">
        <f aca="false">IF($B45="","",IFERROR(IF(INDEX(명단!$B$5:$B$404,MATCH($B45,명단!$A$5:$A$404,0))="","(이름 미입력)",INDEX(명단!$B$5:$B$404,MATCH($B45,명단!$A$5:$A$404,0))),"번호 없음"))</f>
        <v/>
      </c>
    </row>
    <row r="46" customFormat="false" ht="15" hidden="false" customHeight="false" outlineLevel="0" collapsed="false">
      <c r="A46" s="23"/>
      <c r="B46" s="24"/>
      <c r="C46" s="24"/>
      <c r="D46" s="24"/>
      <c r="E46" s="24"/>
      <c r="F46" s="25" t="str">
        <f aca="false">IF($B46="","",IFERROR(IF(INDEX(명단!$B$5:$B$404,MATCH($B46,명단!$A$5:$A$404,0))="","(이름 미입력)",INDEX(명단!$B$5:$B$404,MATCH($B46,명단!$A$5:$A$404,0))),"번호 없음"))</f>
        <v/>
      </c>
    </row>
    <row r="47" customFormat="false" ht="15" hidden="false" customHeight="false" outlineLevel="0" collapsed="false">
      <c r="A47" s="23"/>
      <c r="B47" s="24"/>
      <c r="C47" s="24"/>
      <c r="D47" s="24"/>
      <c r="E47" s="24"/>
      <c r="F47" s="25" t="str">
        <f aca="false">IF($B47="","",IFERROR(IF(INDEX(명단!$B$5:$B$404,MATCH($B47,명단!$A$5:$A$404,0))="","(이름 미입력)",INDEX(명단!$B$5:$B$404,MATCH($B47,명단!$A$5:$A$404,0))),"번호 없음"))</f>
        <v/>
      </c>
    </row>
    <row r="48" customFormat="false" ht="15" hidden="false" customHeight="false" outlineLevel="0" collapsed="false">
      <c r="A48" s="23"/>
      <c r="B48" s="24"/>
      <c r="C48" s="24"/>
      <c r="D48" s="24"/>
      <c r="E48" s="24"/>
      <c r="F48" s="25" t="str">
        <f aca="false">IF($B48="","",IFERROR(IF(INDEX(명단!$B$5:$B$404,MATCH($B48,명단!$A$5:$A$404,0))="","(이름 미입력)",INDEX(명단!$B$5:$B$404,MATCH($B48,명단!$A$5:$A$404,0))),"번호 없음"))</f>
        <v/>
      </c>
    </row>
    <row r="49" customFormat="false" ht="15" hidden="false" customHeight="false" outlineLevel="0" collapsed="false">
      <c r="A49" s="23"/>
      <c r="B49" s="24"/>
      <c r="C49" s="24"/>
      <c r="D49" s="24"/>
      <c r="E49" s="24"/>
      <c r="F49" s="25" t="str">
        <f aca="false">IF($B49="","",IFERROR(IF(INDEX(명단!$B$5:$B$404,MATCH($B49,명단!$A$5:$A$404,0))="","(이름 미입력)",INDEX(명단!$B$5:$B$404,MATCH($B49,명단!$A$5:$A$404,0))),"번호 없음"))</f>
        <v/>
      </c>
    </row>
    <row r="50" customFormat="false" ht="15" hidden="false" customHeight="false" outlineLevel="0" collapsed="false">
      <c r="A50" s="23"/>
      <c r="B50" s="24"/>
      <c r="C50" s="24"/>
      <c r="D50" s="24"/>
      <c r="E50" s="24"/>
      <c r="F50" s="25" t="str">
        <f aca="false">IF($B50="","",IFERROR(IF(INDEX(명단!$B$5:$B$404,MATCH($B50,명단!$A$5:$A$404,0))="","(이름 미입력)",INDEX(명단!$B$5:$B$404,MATCH($B50,명단!$A$5:$A$404,0))),"번호 없음"))</f>
        <v/>
      </c>
    </row>
    <row r="51" customFormat="false" ht="15" hidden="false" customHeight="false" outlineLevel="0" collapsed="false">
      <c r="A51" s="23"/>
      <c r="B51" s="24"/>
      <c r="C51" s="24"/>
      <c r="D51" s="24"/>
      <c r="E51" s="24"/>
      <c r="F51" s="25" t="str">
        <f aca="false">IF($B51="","",IFERROR(IF(INDEX(명단!$B$5:$B$404,MATCH($B51,명단!$A$5:$A$404,0))="","(이름 미입력)",INDEX(명단!$B$5:$B$404,MATCH($B51,명단!$A$5:$A$404,0))),"번호 없음"))</f>
        <v/>
      </c>
    </row>
    <row r="52" customFormat="false" ht="15" hidden="false" customHeight="false" outlineLevel="0" collapsed="false">
      <c r="A52" s="23"/>
      <c r="B52" s="24"/>
      <c r="C52" s="24"/>
      <c r="D52" s="24"/>
      <c r="E52" s="24"/>
      <c r="F52" s="25" t="str">
        <f aca="false">IF($B52="","",IFERROR(IF(INDEX(명단!$B$5:$B$404,MATCH($B52,명단!$A$5:$A$404,0))="","(이름 미입력)",INDEX(명단!$B$5:$B$404,MATCH($B52,명단!$A$5:$A$404,0))),"번호 없음"))</f>
        <v/>
      </c>
    </row>
    <row r="53" customFormat="false" ht="15" hidden="false" customHeight="false" outlineLevel="0" collapsed="false">
      <c r="A53" s="23"/>
      <c r="B53" s="24"/>
      <c r="C53" s="24"/>
      <c r="D53" s="24"/>
      <c r="E53" s="24"/>
      <c r="F53" s="25" t="str">
        <f aca="false">IF($B53="","",IFERROR(IF(INDEX(명단!$B$5:$B$404,MATCH($B53,명단!$A$5:$A$404,0))="","(이름 미입력)",INDEX(명단!$B$5:$B$404,MATCH($B53,명단!$A$5:$A$404,0))),"번호 없음"))</f>
        <v/>
      </c>
    </row>
    <row r="54" customFormat="false" ht="15" hidden="false" customHeight="false" outlineLevel="0" collapsed="false">
      <c r="A54" s="23"/>
      <c r="B54" s="24"/>
      <c r="C54" s="24"/>
      <c r="D54" s="24"/>
      <c r="E54" s="24"/>
      <c r="F54" s="25" t="str">
        <f aca="false">IF($B54="","",IFERROR(IF(INDEX(명단!$B$5:$B$404,MATCH($B54,명단!$A$5:$A$404,0))="","(이름 미입력)",INDEX(명단!$B$5:$B$404,MATCH($B54,명단!$A$5:$A$404,0))),"번호 없음"))</f>
        <v/>
      </c>
    </row>
    <row r="55" customFormat="false" ht="15" hidden="false" customHeight="false" outlineLevel="0" collapsed="false">
      <c r="A55" s="23"/>
      <c r="B55" s="24"/>
      <c r="C55" s="24"/>
      <c r="D55" s="24"/>
      <c r="E55" s="24"/>
      <c r="F55" s="25" t="str">
        <f aca="false">IF($B55="","",IFERROR(IF(INDEX(명단!$B$5:$B$404,MATCH($B55,명단!$A$5:$A$404,0))="","(이름 미입력)",INDEX(명단!$B$5:$B$404,MATCH($B55,명단!$A$5:$A$404,0))),"번호 없음"))</f>
        <v/>
      </c>
    </row>
    <row r="56" customFormat="false" ht="15" hidden="false" customHeight="false" outlineLevel="0" collapsed="false">
      <c r="A56" s="23"/>
      <c r="B56" s="24"/>
      <c r="C56" s="24"/>
      <c r="D56" s="24"/>
      <c r="E56" s="24"/>
      <c r="F56" s="25" t="str">
        <f aca="false">IF($B56="","",IFERROR(IF(INDEX(명단!$B$5:$B$404,MATCH($B56,명단!$A$5:$A$404,0))="","(이름 미입력)",INDEX(명단!$B$5:$B$404,MATCH($B56,명단!$A$5:$A$404,0))),"번호 없음"))</f>
        <v/>
      </c>
    </row>
    <row r="57" customFormat="false" ht="15" hidden="false" customHeight="false" outlineLevel="0" collapsed="false">
      <c r="A57" s="23"/>
      <c r="B57" s="24"/>
      <c r="C57" s="24"/>
      <c r="D57" s="24"/>
      <c r="E57" s="24"/>
      <c r="F57" s="25" t="str">
        <f aca="false">IF($B57="","",IFERROR(IF(INDEX(명단!$B$5:$B$404,MATCH($B57,명단!$A$5:$A$404,0))="","(이름 미입력)",INDEX(명단!$B$5:$B$404,MATCH($B57,명단!$A$5:$A$404,0))),"번호 없음"))</f>
        <v/>
      </c>
    </row>
    <row r="58" customFormat="false" ht="15" hidden="false" customHeight="false" outlineLevel="0" collapsed="false">
      <c r="A58" s="23"/>
      <c r="B58" s="24"/>
      <c r="C58" s="24"/>
      <c r="D58" s="24"/>
      <c r="E58" s="24"/>
      <c r="F58" s="25" t="str">
        <f aca="false">IF($B58="","",IFERROR(IF(INDEX(명단!$B$5:$B$404,MATCH($B58,명단!$A$5:$A$404,0))="","(이름 미입력)",INDEX(명단!$B$5:$B$404,MATCH($B58,명단!$A$5:$A$404,0))),"번호 없음"))</f>
        <v/>
      </c>
    </row>
    <row r="59" customFormat="false" ht="15" hidden="false" customHeight="false" outlineLevel="0" collapsed="false">
      <c r="A59" s="23"/>
      <c r="B59" s="24"/>
      <c r="C59" s="24"/>
      <c r="D59" s="24"/>
      <c r="E59" s="24"/>
      <c r="F59" s="25" t="str">
        <f aca="false">IF($B59="","",IFERROR(IF(INDEX(명단!$B$5:$B$404,MATCH($B59,명단!$A$5:$A$404,0))="","(이름 미입력)",INDEX(명단!$B$5:$B$404,MATCH($B59,명단!$A$5:$A$404,0))),"번호 없음"))</f>
        <v/>
      </c>
    </row>
    <row r="60" customFormat="false" ht="15" hidden="false" customHeight="false" outlineLevel="0" collapsed="false">
      <c r="A60" s="23"/>
      <c r="B60" s="24"/>
      <c r="C60" s="24"/>
      <c r="D60" s="24"/>
      <c r="E60" s="24"/>
      <c r="F60" s="25" t="str">
        <f aca="false">IF($B60="","",IFERROR(IF(INDEX(명단!$B$5:$B$404,MATCH($B60,명단!$A$5:$A$404,0))="","(이름 미입력)",INDEX(명단!$B$5:$B$404,MATCH($B60,명단!$A$5:$A$404,0))),"번호 없음"))</f>
        <v/>
      </c>
    </row>
    <row r="61" customFormat="false" ht="15" hidden="false" customHeight="false" outlineLevel="0" collapsed="false">
      <c r="A61" s="23"/>
      <c r="B61" s="24"/>
      <c r="C61" s="24"/>
      <c r="D61" s="24"/>
      <c r="E61" s="24"/>
      <c r="F61" s="25" t="str">
        <f aca="false">IF($B61="","",IFERROR(IF(INDEX(명단!$B$5:$B$404,MATCH($B61,명단!$A$5:$A$404,0))="","(이름 미입력)",INDEX(명단!$B$5:$B$404,MATCH($B61,명단!$A$5:$A$404,0))),"번호 없음"))</f>
        <v/>
      </c>
    </row>
    <row r="62" customFormat="false" ht="15" hidden="false" customHeight="false" outlineLevel="0" collapsed="false">
      <c r="A62" s="23"/>
      <c r="B62" s="24"/>
      <c r="C62" s="24"/>
      <c r="D62" s="24"/>
      <c r="E62" s="24"/>
      <c r="F62" s="25" t="str">
        <f aca="false">IF($B62="","",IFERROR(IF(INDEX(명단!$B$5:$B$404,MATCH($B62,명단!$A$5:$A$404,0))="","(이름 미입력)",INDEX(명단!$B$5:$B$404,MATCH($B62,명단!$A$5:$A$404,0))),"번호 없음"))</f>
        <v/>
      </c>
    </row>
    <row r="63" customFormat="false" ht="15" hidden="false" customHeight="false" outlineLevel="0" collapsed="false">
      <c r="A63" s="23"/>
      <c r="B63" s="24"/>
      <c r="C63" s="24"/>
      <c r="D63" s="24"/>
      <c r="E63" s="24"/>
      <c r="F63" s="25" t="str">
        <f aca="false">IF($B63="","",IFERROR(IF(INDEX(명단!$B$5:$B$404,MATCH($B63,명단!$A$5:$A$404,0))="","(이름 미입력)",INDEX(명단!$B$5:$B$404,MATCH($B63,명단!$A$5:$A$404,0))),"번호 없음"))</f>
        <v/>
      </c>
    </row>
    <row r="64" customFormat="false" ht="15" hidden="false" customHeight="false" outlineLevel="0" collapsed="false">
      <c r="A64" s="23"/>
      <c r="B64" s="24"/>
      <c r="C64" s="24"/>
      <c r="D64" s="24"/>
      <c r="E64" s="24"/>
      <c r="F64" s="25" t="str">
        <f aca="false">IF($B64="","",IFERROR(IF(INDEX(명단!$B$5:$B$404,MATCH($B64,명단!$A$5:$A$404,0))="","(이름 미입력)",INDEX(명단!$B$5:$B$404,MATCH($B64,명단!$A$5:$A$404,0))),"번호 없음"))</f>
        <v/>
      </c>
    </row>
    <row r="65" customFormat="false" ht="15" hidden="false" customHeight="false" outlineLevel="0" collapsed="false">
      <c r="A65" s="23"/>
      <c r="B65" s="24"/>
      <c r="C65" s="24"/>
      <c r="D65" s="24"/>
      <c r="E65" s="24"/>
      <c r="F65" s="25" t="str">
        <f aca="false">IF($B65="","",IFERROR(IF(INDEX(명단!$B$5:$B$404,MATCH($B65,명단!$A$5:$A$404,0))="","(이름 미입력)",INDEX(명단!$B$5:$B$404,MATCH($B65,명단!$A$5:$A$404,0))),"번호 없음"))</f>
        <v/>
      </c>
    </row>
    <row r="66" customFormat="false" ht="15" hidden="false" customHeight="false" outlineLevel="0" collapsed="false">
      <c r="A66" s="23"/>
      <c r="B66" s="24"/>
      <c r="C66" s="24"/>
      <c r="D66" s="24"/>
      <c r="E66" s="24"/>
      <c r="F66" s="25" t="str">
        <f aca="false">IF($B66="","",IFERROR(IF(INDEX(명단!$B$5:$B$404,MATCH($B66,명단!$A$5:$A$404,0))="","(이름 미입력)",INDEX(명단!$B$5:$B$404,MATCH($B66,명단!$A$5:$A$404,0))),"번호 없음"))</f>
        <v/>
      </c>
    </row>
    <row r="67" customFormat="false" ht="15" hidden="false" customHeight="false" outlineLevel="0" collapsed="false">
      <c r="A67" s="23"/>
      <c r="B67" s="24"/>
      <c r="C67" s="24"/>
      <c r="D67" s="24"/>
      <c r="E67" s="24"/>
      <c r="F67" s="25" t="str">
        <f aca="false">IF($B67="","",IFERROR(IF(INDEX(명단!$B$5:$B$404,MATCH($B67,명단!$A$5:$A$404,0))="","(이름 미입력)",INDEX(명단!$B$5:$B$404,MATCH($B67,명단!$A$5:$A$404,0))),"번호 없음"))</f>
        <v/>
      </c>
    </row>
    <row r="68" customFormat="false" ht="15" hidden="false" customHeight="false" outlineLevel="0" collapsed="false">
      <c r="A68" s="23"/>
      <c r="B68" s="24"/>
      <c r="C68" s="24"/>
      <c r="D68" s="24"/>
      <c r="E68" s="24"/>
      <c r="F68" s="25" t="str">
        <f aca="false">IF($B68="","",IFERROR(IF(INDEX(명단!$B$5:$B$404,MATCH($B68,명단!$A$5:$A$404,0))="","(이름 미입력)",INDEX(명단!$B$5:$B$404,MATCH($B68,명단!$A$5:$A$404,0))),"번호 없음"))</f>
        <v/>
      </c>
    </row>
    <row r="69" customFormat="false" ht="15" hidden="false" customHeight="false" outlineLevel="0" collapsed="false">
      <c r="A69" s="23"/>
      <c r="B69" s="24"/>
      <c r="C69" s="24"/>
      <c r="D69" s="24"/>
      <c r="E69" s="24"/>
      <c r="F69" s="25" t="str">
        <f aca="false">IF($B69="","",IFERROR(IF(INDEX(명단!$B$5:$B$404,MATCH($B69,명단!$A$5:$A$404,0))="","(이름 미입력)",INDEX(명단!$B$5:$B$404,MATCH($B69,명단!$A$5:$A$404,0))),"번호 없음"))</f>
        <v/>
      </c>
    </row>
    <row r="70" customFormat="false" ht="15" hidden="false" customHeight="false" outlineLevel="0" collapsed="false">
      <c r="A70" s="23"/>
      <c r="B70" s="24"/>
      <c r="C70" s="24"/>
      <c r="D70" s="24"/>
      <c r="E70" s="24"/>
      <c r="F70" s="25" t="str">
        <f aca="false">IF($B70="","",IFERROR(IF(INDEX(명단!$B$5:$B$404,MATCH($B70,명단!$A$5:$A$404,0))="","(이름 미입력)",INDEX(명단!$B$5:$B$404,MATCH($B70,명단!$A$5:$A$404,0))),"번호 없음"))</f>
        <v/>
      </c>
    </row>
    <row r="71" customFormat="false" ht="15" hidden="false" customHeight="false" outlineLevel="0" collapsed="false">
      <c r="A71" s="23"/>
      <c r="B71" s="24"/>
      <c r="C71" s="24"/>
      <c r="D71" s="24"/>
      <c r="E71" s="24"/>
      <c r="F71" s="25" t="str">
        <f aca="false">IF($B71="","",IFERROR(IF(INDEX(명단!$B$5:$B$404,MATCH($B71,명단!$A$5:$A$404,0))="","(이름 미입력)",INDEX(명단!$B$5:$B$404,MATCH($B71,명단!$A$5:$A$404,0))),"번호 없음"))</f>
        <v/>
      </c>
    </row>
    <row r="72" customFormat="false" ht="15" hidden="false" customHeight="false" outlineLevel="0" collapsed="false">
      <c r="A72" s="23"/>
      <c r="B72" s="24"/>
      <c r="C72" s="24"/>
      <c r="D72" s="24"/>
      <c r="E72" s="24"/>
      <c r="F72" s="25" t="str">
        <f aca="false">IF($B72="","",IFERROR(IF(INDEX(명단!$B$5:$B$404,MATCH($B72,명단!$A$5:$A$404,0))="","(이름 미입력)",INDEX(명단!$B$5:$B$404,MATCH($B72,명단!$A$5:$A$404,0))),"번호 없음"))</f>
        <v/>
      </c>
    </row>
    <row r="73" customFormat="false" ht="15" hidden="false" customHeight="false" outlineLevel="0" collapsed="false">
      <c r="A73" s="23"/>
      <c r="B73" s="24"/>
      <c r="C73" s="24"/>
      <c r="D73" s="24"/>
      <c r="E73" s="24"/>
      <c r="F73" s="25" t="str">
        <f aca="false">IF($B73="","",IFERROR(IF(INDEX(명단!$B$5:$B$404,MATCH($B73,명단!$A$5:$A$404,0))="","(이름 미입력)",INDEX(명단!$B$5:$B$404,MATCH($B73,명단!$A$5:$A$404,0))),"번호 없음"))</f>
        <v/>
      </c>
    </row>
    <row r="74" customFormat="false" ht="15" hidden="false" customHeight="false" outlineLevel="0" collapsed="false">
      <c r="A74" s="23"/>
      <c r="B74" s="24"/>
      <c r="C74" s="24"/>
      <c r="D74" s="24"/>
      <c r="E74" s="24"/>
      <c r="F74" s="25" t="str">
        <f aca="false">IF($B74="","",IFERROR(IF(INDEX(명단!$B$5:$B$404,MATCH($B74,명단!$A$5:$A$404,0))="","(이름 미입력)",INDEX(명단!$B$5:$B$404,MATCH($B74,명단!$A$5:$A$404,0))),"번호 없음"))</f>
        <v/>
      </c>
    </row>
    <row r="75" customFormat="false" ht="15" hidden="false" customHeight="false" outlineLevel="0" collapsed="false">
      <c r="A75" s="23"/>
      <c r="B75" s="24"/>
      <c r="C75" s="24"/>
      <c r="D75" s="24"/>
      <c r="E75" s="24"/>
      <c r="F75" s="25" t="str">
        <f aca="false">IF($B75="","",IFERROR(IF(INDEX(명단!$B$5:$B$404,MATCH($B75,명단!$A$5:$A$404,0))="","(이름 미입력)",INDEX(명단!$B$5:$B$404,MATCH($B75,명단!$A$5:$A$404,0))),"번호 없음"))</f>
        <v/>
      </c>
    </row>
    <row r="76" customFormat="false" ht="15" hidden="false" customHeight="false" outlineLevel="0" collapsed="false">
      <c r="A76" s="23"/>
      <c r="B76" s="24"/>
      <c r="C76" s="24"/>
      <c r="D76" s="24"/>
      <c r="E76" s="24"/>
      <c r="F76" s="25" t="str">
        <f aca="false">IF($B76="","",IFERROR(IF(INDEX(명단!$B$5:$B$404,MATCH($B76,명단!$A$5:$A$404,0))="","(이름 미입력)",INDEX(명단!$B$5:$B$404,MATCH($B76,명단!$A$5:$A$404,0))),"번호 없음"))</f>
        <v/>
      </c>
    </row>
    <row r="77" customFormat="false" ht="15" hidden="false" customHeight="false" outlineLevel="0" collapsed="false">
      <c r="A77" s="23"/>
      <c r="B77" s="24"/>
      <c r="C77" s="24"/>
      <c r="D77" s="24"/>
      <c r="E77" s="24"/>
      <c r="F77" s="25" t="str">
        <f aca="false">IF($B77="","",IFERROR(IF(INDEX(명단!$B$5:$B$404,MATCH($B77,명단!$A$5:$A$404,0))="","(이름 미입력)",INDEX(명단!$B$5:$B$404,MATCH($B77,명단!$A$5:$A$404,0))),"번호 없음"))</f>
        <v/>
      </c>
    </row>
    <row r="78" customFormat="false" ht="15" hidden="false" customHeight="false" outlineLevel="0" collapsed="false">
      <c r="A78" s="23"/>
      <c r="B78" s="24"/>
      <c r="C78" s="24"/>
      <c r="D78" s="24"/>
      <c r="E78" s="24"/>
      <c r="F78" s="25" t="str">
        <f aca="false">IF($B78="","",IFERROR(IF(INDEX(명단!$B$5:$B$404,MATCH($B78,명단!$A$5:$A$404,0))="","(이름 미입력)",INDEX(명단!$B$5:$B$404,MATCH($B78,명단!$A$5:$A$404,0))),"번호 없음"))</f>
        <v/>
      </c>
    </row>
    <row r="79" customFormat="false" ht="15" hidden="false" customHeight="false" outlineLevel="0" collapsed="false">
      <c r="A79" s="23"/>
      <c r="B79" s="24"/>
      <c r="C79" s="24"/>
      <c r="D79" s="24"/>
      <c r="E79" s="24"/>
      <c r="F79" s="25" t="str">
        <f aca="false">IF($B79="","",IFERROR(IF(INDEX(명단!$B$5:$B$404,MATCH($B79,명단!$A$5:$A$404,0))="","(이름 미입력)",INDEX(명단!$B$5:$B$404,MATCH($B79,명단!$A$5:$A$404,0))),"번호 없음"))</f>
        <v/>
      </c>
    </row>
    <row r="80" customFormat="false" ht="15" hidden="false" customHeight="false" outlineLevel="0" collapsed="false">
      <c r="A80" s="23"/>
      <c r="B80" s="24"/>
      <c r="C80" s="24"/>
      <c r="D80" s="24"/>
      <c r="E80" s="24"/>
      <c r="F80" s="25" t="str">
        <f aca="false">IF($B80="","",IFERROR(IF(INDEX(명단!$B$5:$B$404,MATCH($B80,명단!$A$5:$A$404,0))="","(이름 미입력)",INDEX(명단!$B$5:$B$404,MATCH($B80,명단!$A$5:$A$404,0))),"번호 없음"))</f>
        <v/>
      </c>
    </row>
    <row r="81" customFormat="false" ht="15" hidden="false" customHeight="false" outlineLevel="0" collapsed="false">
      <c r="A81" s="23"/>
      <c r="B81" s="24"/>
      <c r="C81" s="24"/>
      <c r="D81" s="24"/>
      <c r="E81" s="24"/>
      <c r="F81" s="25" t="str">
        <f aca="false">IF($B81="","",IFERROR(IF(INDEX(명단!$B$5:$B$404,MATCH($B81,명단!$A$5:$A$404,0))="","(이름 미입력)",INDEX(명단!$B$5:$B$404,MATCH($B81,명단!$A$5:$A$404,0))),"번호 없음"))</f>
        <v/>
      </c>
    </row>
    <row r="82" customFormat="false" ht="15" hidden="false" customHeight="false" outlineLevel="0" collapsed="false">
      <c r="A82" s="23"/>
      <c r="B82" s="24"/>
      <c r="C82" s="24"/>
      <c r="D82" s="24"/>
      <c r="E82" s="24"/>
      <c r="F82" s="25" t="str">
        <f aca="false">IF($B82="","",IFERROR(IF(INDEX(명단!$B$5:$B$404,MATCH($B82,명단!$A$5:$A$404,0))="","(이름 미입력)",INDEX(명단!$B$5:$B$404,MATCH($B82,명단!$A$5:$A$404,0))),"번호 없음"))</f>
        <v/>
      </c>
    </row>
    <row r="83" customFormat="false" ht="15" hidden="false" customHeight="false" outlineLevel="0" collapsed="false">
      <c r="A83" s="23"/>
      <c r="B83" s="24"/>
      <c r="C83" s="24"/>
      <c r="D83" s="24"/>
      <c r="E83" s="24"/>
      <c r="F83" s="25" t="str">
        <f aca="false">IF($B83="","",IFERROR(IF(INDEX(명단!$B$5:$B$404,MATCH($B83,명단!$A$5:$A$404,0))="","(이름 미입력)",INDEX(명단!$B$5:$B$404,MATCH($B83,명단!$A$5:$A$404,0))),"번호 없음"))</f>
        <v/>
      </c>
    </row>
    <row r="84" customFormat="false" ht="15" hidden="false" customHeight="false" outlineLevel="0" collapsed="false">
      <c r="A84" s="23"/>
      <c r="B84" s="24"/>
      <c r="C84" s="24"/>
      <c r="D84" s="24"/>
      <c r="E84" s="24"/>
      <c r="F84" s="25" t="str">
        <f aca="false">IF($B84="","",IFERROR(IF(INDEX(명단!$B$5:$B$404,MATCH($B84,명단!$A$5:$A$404,0))="","(이름 미입력)",INDEX(명단!$B$5:$B$404,MATCH($B84,명단!$A$5:$A$404,0))),"번호 없음"))</f>
        <v/>
      </c>
    </row>
    <row r="85" customFormat="false" ht="15" hidden="false" customHeight="false" outlineLevel="0" collapsed="false">
      <c r="A85" s="23"/>
      <c r="B85" s="24"/>
      <c r="C85" s="24"/>
      <c r="D85" s="24"/>
      <c r="E85" s="24"/>
      <c r="F85" s="25" t="str">
        <f aca="false">IF($B85="","",IFERROR(IF(INDEX(명단!$B$5:$B$404,MATCH($B85,명단!$A$5:$A$404,0))="","(이름 미입력)",INDEX(명단!$B$5:$B$404,MATCH($B85,명단!$A$5:$A$404,0))),"번호 없음"))</f>
        <v/>
      </c>
    </row>
    <row r="86" customFormat="false" ht="15" hidden="false" customHeight="false" outlineLevel="0" collapsed="false">
      <c r="A86" s="23"/>
      <c r="B86" s="24"/>
      <c r="C86" s="24"/>
      <c r="D86" s="24"/>
      <c r="E86" s="24"/>
      <c r="F86" s="25" t="str">
        <f aca="false">IF($B86="","",IFERROR(IF(INDEX(명단!$B$5:$B$404,MATCH($B86,명단!$A$5:$A$404,0))="","(이름 미입력)",INDEX(명단!$B$5:$B$404,MATCH($B86,명단!$A$5:$A$404,0))),"번호 없음"))</f>
        <v/>
      </c>
    </row>
    <row r="87" customFormat="false" ht="15" hidden="false" customHeight="false" outlineLevel="0" collapsed="false">
      <c r="A87" s="23"/>
      <c r="B87" s="24"/>
      <c r="C87" s="24"/>
      <c r="D87" s="24"/>
      <c r="E87" s="24"/>
      <c r="F87" s="25" t="str">
        <f aca="false">IF($B87="","",IFERROR(IF(INDEX(명단!$B$5:$B$404,MATCH($B87,명단!$A$5:$A$404,0))="","(이름 미입력)",INDEX(명단!$B$5:$B$404,MATCH($B87,명단!$A$5:$A$404,0))),"번호 없음"))</f>
        <v/>
      </c>
    </row>
    <row r="88" customFormat="false" ht="15" hidden="false" customHeight="false" outlineLevel="0" collapsed="false">
      <c r="A88" s="23"/>
      <c r="B88" s="24"/>
      <c r="C88" s="24"/>
      <c r="D88" s="24"/>
      <c r="E88" s="24"/>
      <c r="F88" s="25" t="str">
        <f aca="false">IF($B88="","",IFERROR(IF(INDEX(명단!$B$5:$B$404,MATCH($B88,명단!$A$5:$A$404,0))="","(이름 미입력)",INDEX(명단!$B$5:$B$404,MATCH($B88,명단!$A$5:$A$404,0))),"번호 없음"))</f>
        <v/>
      </c>
    </row>
    <row r="89" customFormat="false" ht="15" hidden="false" customHeight="false" outlineLevel="0" collapsed="false">
      <c r="A89" s="23"/>
      <c r="B89" s="24"/>
      <c r="C89" s="24"/>
      <c r="D89" s="24"/>
      <c r="E89" s="24"/>
      <c r="F89" s="25" t="str">
        <f aca="false">IF($B89="","",IFERROR(IF(INDEX(명단!$B$5:$B$404,MATCH($B89,명단!$A$5:$A$404,0))="","(이름 미입력)",INDEX(명단!$B$5:$B$404,MATCH($B89,명단!$A$5:$A$404,0))),"번호 없음"))</f>
        <v/>
      </c>
    </row>
    <row r="90" customFormat="false" ht="15" hidden="false" customHeight="false" outlineLevel="0" collapsed="false">
      <c r="A90" s="23"/>
      <c r="B90" s="24"/>
      <c r="C90" s="24"/>
      <c r="D90" s="24"/>
      <c r="E90" s="24"/>
      <c r="F90" s="25" t="str">
        <f aca="false">IF($B90="","",IFERROR(IF(INDEX(명단!$B$5:$B$404,MATCH($B90,명단!$A$5:$A$404,0))="","(이름 미입력)",INDEX(명단!$B$5:$B$404,MATCH($B90,명단!$A$5:$A$404,0))),"번호 없음"))</f>
        <v/>
      </c>
    </row>
    <row r="91" customFormat="false" ht="15" hidden="false" customHeight="false" outlineLevel="0" collapsed="false">
      <c r="A91" s="23"/>
      <c r="B91" s="24"/>
      <c r="C91" s="24"/>
      <c r="D91" s="24"/>
      <c r="E91" s="24"/>
      <c r="F91" s="25" t="str">
        <f aca="false">IF($B91="","",IFERROR(IF(INDEX(명단!$B$5:$B$404,MATCH($B91,명단!$A$5:$A$404,0))="","(이름 미입력)",INDEX(명단!$B$5:$B$404,MATCH($B91,명단!$A$5:$A$404,0))),"번호 없음"))</f>
        <v/>
      </c>
    </row>
    <row r="92" customFormat="false" ht="15" hidden="false" customHeight="false" outlineLevel="0" collapsed="false">
      <c r="A92" s="23"/>
      <c r="B92" s="24"/>
      <c r="C92" s="24"/>
      <c r="D92" s="24"/>
      <c r="E92" s="24"/>
      <c r="F92" s="25" t="str">
        <f aca="false">IF($B92="","",IFERROR(IF(INDEX(명단!$B$5:$B$404,MATCH($B92,명단!$A$5:$A$404,0))="","(이름 미입력)",INDEX(명단!$B$5:$B$404,MATCH($B92,명단!$A$5:$A$404,0))),"번호 없음"))</f>
        <v/>
      </c>
    </row>
    <row r="93" customFormat="false" ht="15" hidden="false" customHeight="false" outlineLevel="0" collapsed="false">
      <c r="A93" s="23"/>
      <c r="B93" s="24"/>
      <c r="C93" s="24"/>
      <c r="D93" s="24"/>
      <c r="E93" s="24"/>
      <c r="F93" s="25" t="str">
        <f aca="false">IF($B93="","",IFERROR(IF(INDEX(명단!$B$5:$B$404,MATCH($B93,명단!$A$5:$A$404,0))="","(이름 미입력)",INDEX(명단!$B$5:$B$404,MATCH($B93,명단!$A$5:$A$404,0))),"번호 없음"))</f>
        <v/>
      </c>
    </row>
    <row r="94" customFormat="false" ht="15" hidden="false" customHeight="false" outlineLevel="0" collapsed="false">
      <c r="A94" s="23"/>
      <c r="B94" s="24"/>
      <c r="C94" s="24"/>
      <c r="D94" s="24"/>
      <c r="E94" s="24"/>
      <c r="F94" s="25" t="str">
        <f aca="false">IF($B94="","",IFERROR(IF(INDEX(명단!$B$5:$B$404,MATCH($B94,명단!$A$5:$A$404,0))="","(이름 미입력)",INDEX(명단!$B$5:$B$404,MATCH($B94,명단!$A$5:$A$404,0))),"번호 없음"))</f>
        <v/>
      </c>
    </row>
    <row r="95" customFormat="false" ht="15" hidden="false" customHeight="false" outlineLevel="0" collapsed="false">
      <c r="A95" s="23"/>
      <c r="B95" s="24"/>
      <c r="C95" s="24"/>
      <c r="D95" s="24"/>
      <c r="E95" s="24"/>
      <c r="F95" s="25" t="str">
        <f aca="false">IF($B95="","",IFERROR(IF(INDEX(명단!$B$5:$B$404,MATCH($B95,명단!$A$5:$A$404,0))="","(이름 미입력)",INDEX(명단!$B$5:$B$404,MATCH($B95,명단!$A$5:$A$404,0))),"번호 없음"))</f>
        <v/>
      </c>
    </row>
    <row r="96" customFormat="false" ht="15" hidden="false" customHeight="false" outlineLevel="0" collapsed="false">
      <c r="A96" s="23"/>
      <c r="B96" s="24"/>
      <c r="C96" s="24"/>
      <c r="D96" s="24"/>
      <c r="E96" s="24"/>
      <c r="F96" s="25" t="str">
        <f aca="false">IF($B96="","",IFERROR(IF(INDEX(명단!$B$5:$B$404,MATCH($B96,명단!$A$5:$A$404,0))="","(이름 미입력)",INDEX(명단!$B$5:$B$404,MATCH($B96,명단!$A$5:$A$404,0))),"번호 없음"))</f>
        <v/>
      </c>
    </row>
    <row r="97" customFormat="false" ht="15" hidden="false" customHeight="false" outlineLevel="0" collapsed="false">
      <c r="A97" s="23"/>
      <c r="B97" s="24"/>
      <c r="C97" s="24"/>
      <c r="D97" s="24"/>
      <c r="E97" s="24"/>
      <c r="F97" s="25" t="str">
        <f aca="false">IF($B97="","",IFERROR(IF(INDEX(명단!$B$5:$B$404,MATCH($B97,명단!$A$5:$A$404,0))="","(이름 미입력)",INDEX(명단!$B$5:$B$404,MATCH($B97,명단!$A$5:$A$404,0))),"번호 없음"))</f>
        <v/>
      </c>
    </row>
    <row r="98" customFormat="false" ht="15" hidden="false" customHeight="false" outlineLevel="0" collapsed="false">
      <c r="A98" s="23"/>
      <c r="B98" s="24"/>
      <c r="C98" s="24"/>
      <c r="D98" s="24"/>
      <c r="E98" s="24"/>
      <c r="F98" s="25" t="str">
        <f aca="false">IF($B98="","",IFERROR(IF(INDEX(명단!$B$5:$B$404,MATCH($B98,명단!$A$5:$A$404,0))="","(이름 미입력)",INDEX(명단!$B$5:$B$404,MATCH($B98,명단!$A$5:$A$404,0))),"번호 없음"))</f>
        <v/>
      </c>
    </row>
    <row r="99" customFormat="false" ht="15" hidden="false" customHeight="false" outlineLevel="0" collapsed="false">
      <c r="A99" s="23"/>
      <c r="B99" s="24"/>
      <c r="C99" s="24"/>
      <c r="D99" s="24"/>
      <c r="E99" s="24"/>
      <c r="F99" s="25" t="str">
        <f aca="false">IF($B99="","",IFERROR(IF(INDEX(명단!$B$5:$B$404,MATCH($B99,명단!$A$5:$A$404,0))="","(이름 미입력)",INDEX(명단!$B$5:$B$404,MATCH($B99,명단!$A$5:$A$404,0))),"번호 없음"))</f>
        <v/>
      </c>
    </row>
    <row r="100" customFormat="false" ht="15" hidden="false" customHeight="false" outlineLevel="0" collapsed="false">
      <c r="A100" s="23"/>
      <c r="B100" s="24"/>
      <c r="C100" s="24"/>
      <c r="D100" s="24"/>
      <c r="E100" s="24"/>
      <c r="F100" s="25" t="str">
        <f aca="false">IF($B100="","",IFERROR(IF(INDEX(명단!$B$5:$B$404,MATCH($B100,명단!$A$5:$A$404,0))="","(이름 미입력)",INDEX(명단!$B$5:$B$404,MATCH($B100,명단!$A$5:$A$404,0))),"번호 없음"))</f>
        <v/>
      </c>
    </row>
    <row r="101" customFormat="false" ht="15" hidden="false" customHeight="false" outlineLevel="0" collapsed="false">
      <c r="A101" s="23"/>
      <c r="B101" s="24"/>
      <c r="C101" s="24"/>
      <c r="D101" s="24"/>
      <c r="E101" s="24"/>
      <c r="F101" s="25" t="str">
        <f aca="false">IF($B101="","",IFERROR(IF(INDEX(명단!$B$5:$B$404,MATCH($B101,명단!$A$5:$A$404,0))="","(이름 미입력)",INDEX(명단!$B$5:$B$404,MATCH($B101,명단!$A$5:$A$404,0))),"번호 없음"))</f>
        <v/>
      </c>
    </row>
    <row r="102" customFormat="false" ht="15" hidden="false" customHeight="false" outlineLevel="0" collapsed="false">
      <c r="A102" s="23"/>
      <c r="B102" s="24"/>
      <c r="C102" s="24"/>
      <c r="D102" s="24"/>
      <c r="E102" s="24"/>
      <c r="F102" s="25" t="str">
        <f aca="false">IF($B102="","",IFERROR(IF(INDEX(명단!$B$5:$B$404,MATCH($B102,명단!$A$5:$A$404,0))="","(이름 미입력)",INDEX(명단!$B$5:$B$404,MATCH($B102,명단!$A$5:$A$404,0))),"번호 없음"))</f>
        <v/>
      </c>
    </row>
    <row r="103" customFormat="false" ht="15" hidden="false" customHeight="false" outlineLevel="0" collapsed="false">
      <c r="A103" s="23"/>
      <c r="B103" s="24"/>
      <c r="C103" s="24"/>
      <c r="D103" s="24"/>
      <c r="E103" s="24"/>
      <c r="F103" s="25" t="str">
        <f aca="false">IF($B103="","",IFERROR(IF(INDEX(명단!$B$5:$B$404,MATCH($B103,명단!$A$5:$A$404,0))="","(이름 미입력)",INDEX(명단!$B$5:$B$404,MATCH($B103,명단!$A$5:$A$404,0))),"번호 없음"))</f>
        <v/>
      </c>
    </row>
    <row r="104" customFormat="false" ht="15" hidden="false" customHeight="false" outlineLevel="0" collapsed="false">
      <c r="A104" s="23"/>
      <c r="B104" s="24"/>
      <c r="C104" s="24"/>
      <c r="D104" s="24"/>
      <c r="E104" s="24"/>
      <c r="F104" s="25" t="str">
        <f aca="false">IF($B104="","",IFERROR(IF(INDEX(명단!$B$5:$B$404,MATCH($B104,명단!$A$5:$A$404,0))="","(이름 미입력)",INDEX(명단!$B$5:$B$404,MATCH($B104,명단!$A$5:$A$404,0))),"번호 없음"))</f>
        <v/>
      </c>
    </row>
    <row r="105" customFormat="false" ht="15" hidden="false" customHeight="false" outlineLevel="0" collapsed="false">
      <c r="A105" s="23"/>
      <c r="B105" s="24"/>
      <c r="C105" s="24"/>
      <c r="D105" s="24"/>
      <c r="E105" s="24"/>
      <c r="F105" s="25" t="str">
        <f aca="false">IF($B105="","",IFERROR(IF(INDEX(명단!$B$5:$B$404,MATCH($B105,명단!$A$5:$A$404,0))="","(이름 미입력)",INDEX(명단!$B$5:$B$404,MATCH($B105,명단!$A$5:$A$404,0))),"번호 없음"))</f>
        <v/>
      </c>
    </row>
    <row r="106" customFormat="false" ht="15" hidden="false" customHeight="false" outlineLevel="0" collapsed="false">
      <c r="A106" s="23"/>
      <c r="B106" s="24"/>
      <c r="C106" s="24"/>
      <c r="D106" s="24"/>
      <c r="E106" s="24"/>
      <c r="F106" s="25" t="str">
        <f aca="false">IF($B106="","",IFERROR(IF(INDEX(명단!$B$5:$B$404,MATCH($B106,명단!$A$5:$A$404,0))="","(이름 미입력)",INDEX(명단!$B$5:$B$404,MATCH($B106,명단!$A$5:$A$404,0))),"번호 없음"))</f>
        <v/>
      </c>
    </row>
    <row r="107" customFormat="false" ht="15" hidden="false" customHeight="false" outlineLevel="0" collapsed="false">
      <c r="A107" s="23"/>
      <c r="B107" s="24"/>
      <c r="C107" s="24"/>
      <c r="D107" s="24"/>
      <c r="E107" s="24"/>
      <c r="F107" s="25" t="str">
        <f aca="false">IF($B107="","",IFERROR(IF(INDEX(명단!$B$5:$B$404,MATCH($B107,명단!$A$5:$A$404,0))="","(이름 미입력)",INDEX(명단!$B$5:$B$404,MATCH($B107,명단!$A$5:$A$404,0))),"번호 없음"))</f>
        <v/>
      </c>
    </row>
    <row r="108" customFormat="false" ht="15" hidden="false" customHeight="false" outlineLevel="0" collapsed="false">
      <c r="A108" s="23"/>
      <c r="B108" s="24"/>
      <c r="C108" s="24"/>
      <c r="D108" s="24"/>
      <c r="E108" s="24"/>
      <c r="F108" s="25" t="str">
        <f aca="false">IF($B108="","",IFERROR(IF(INDEX(명단!$B$5:$B$404,MATCH($B108,명단!$A$5:$A$404,0))="","(이름 미입력)",INDEX(명단!$B$5:$B$404,MATCH($B108,명단!$A$5:$A$404,0))),"번호 없음"))</f>
        <v/>
      </c>
    </row>
    <row r="109" customFormat="false" ht="15" hidden="false" customHeight="false" outlineLevel="0" collapsed="false">
      <c r="A109" s="23"/>
      <c r="B109" s="24"/>
      <c r="C109" s="24"/>
      <c r="D109" s="24"/>
      <c r="E109" s="24"/>
      <c r="F109" s="25" t="str">
        <f aca="false">IF($B109="","",IFERROR(IF(INDEX(명단!$B$5:$B$404,MATCH($B109,명단!$A$5:$A$404,0))="","(이름 미입력)",INDEX(명단!$B$5:$B$404,MATCH($B109,명단!$A$5:$A$404,0))),"번호 없음"))</f>
        <v/>
      </c>
    </row>
    <row r="110" customFormat="false" ht="15" hidden="false" customHeight="false" outlineLevel="0" collapsed="false">
      <c r="A110" s="23"/>
      <c r="B110" s="24"/>
      <c r="C110" s="24"/>
      <c r="D110" s="24"/>
      <c r="E110" s="24"/>
      <c r="F110" s="25" t="str">
        <f aca="false">IF($B110="","",IFERROR(IF(INDEX(명단!$B$5:$B$404,MATCH($B110,명단!$A$5:$A$404,0))="","(이름 미입력)",INDEX(명단!$B$5:$B$404,MATCH($B110,명단!$A$5:$A$404,0))),"번호 없음"))</f>
        <v/>
      </c>
    </row>
    <row r="111" customFormat="false" ht="15" hidden="false" customHeight="false" outlineLevel="0" collapsed="false">
      <c r="A111" s="23"/>
      <c r="B111" s="24"/>
      <c r="C111" s="24"/>
      <c r="D111" s="24"/>
      <c r="E111" s="24"/>
      <c r="F111" s="25" t="str">
        <f aca="false">IF($B111="","",IFERROR(IF(INDEX(명단!$B$5:$B$404,MATCH($B111,명단!$A$5:$A$404,0))="","(이름 미입력)",INDEX(명단!$B$5:$B$404,MATCH($B111,명단!$A$5:$A$404,0))),"번호 없음"))</f>
        <v/>
      </c>
    </row>
    <row r="112" customFormat="false" ht="15" hidden="false" customHeight="false" outlineLevel="0" collapsed="false">
      <c r="A112" s="23"/>
      <c r="B112" s="24"/>
      <c r="C112" s="24"/>
      <c r="D112" s="24"/>
      <c r="E112" s="24"/>
      <c r="F112" s="25" t="str">
        <f aca="false">IF($B112="","",IFERROR(IF(INDEX(명단!$B$5:$B$404,MATCH($B112,명단!$A$5:$A$404,0))="","(이름 미입력)",INDEX(명단!$B$5:$B$404,MATCH($B112,명단!$A$5:$A$404,0))),"번호 없음"))</f>
        <v/>
      </c>
    </row>
    <row r="113" customFormat="false" ht="15" hidden="false" customHeight="false" outlineLevel="0" collapsed="false">
      <c r="A113" s="23"/>
      <c r="B113" s="24"/>
      <c r="C113" s="24"/>
      <c r="D113" s="24"/>
      <c r="E113" s="24"/>
      <c r="F113" s="25" t="str">
        <f aca="false">IF($B113="","",IFERROR(IF(INDEX(명단!$B$5:$B$404,MATCH($B113,명단!$A$5:$A$404,0))="","(이름 미입력)",INDEX(명단!$B$5:$B$404,MATCH($B113,명단!$A$5:$A$404,0))),"번호 없음"))</f>
        <v/>
      </c>
    </row>
    <row r="114" customFormat="false" ht="15" hidden="false" customHeight="false" outlineLevel="0" collapsed="false">
      <c r="A114" s="23"/>
      <c r="B114" s="24"/>
      <c r="C114" s="24"/>
      <c r="D114" s="24"/>
      <c r="E114" s="24"/>
      <c r="F114" s="25" t="str">
        <f aca="false">IF($B114="","",IFERROR(IF(INDEX(명단!$B$5:$B$404,MATCH($B114,명단!$A$5:$A$404,0))="","(이름 미입력)",INDEX(명단!$B$5:$B$404,MATCH($B114,명단!$A$5:$A$404,0))),"번호 없음"))</f>
        <v/>
      </c>
    </row>
    <row r="115" customFormat="false" ht="15" hidden="false" customHeight="false" outlineLevel="0" collapsed="false">
      <c r="A115" s="23"/>
      <c r="B115" s="24"/>
      <c r="C115" s="24"/>
      <c r="D115" s="24"/>
      <c r="E115" s="24"/>
      <c r="F115" s="25" t="str">
        <f aca="false">IF($B115="","",IFERROR(IF(INDEX(명단!$B$5:$B$404,MATCH($B115,명단!$A$5:$A$404,0))="","(이름 미입력)",INDEX(명단!$B$5:$B$404,MATCH($B115,명단!$A$5:$A$404,0))),"번호 없음"))</f>
        <v/>
      </c>
    </row>
    <row r="116" customFormat="false" ht="15" hidden="false" customHeight="false" outlineLevel="0" collapsed="false">
      <c r="A116" s="23"/>
      <c r="B116" s="24"/>
      <c r="C116" s="24"/>
      <c r="D116" s="24"/>
      <c r="E116" s="24"/>
      <c r="F116" s="25" t="str">
        <f aca="false">IF($B116="","",IFERROR(IF(INDEX(명단!$B$5:$B$404,MATCH($B116,명단!$A$5:$A$404,0))="","(이름 미입력)",INDEX(명단!$B$5:$B$404,MATCH($B116,명단!$A$5:$A$404,0))),"번호 없음"))</f>
        <v/>
      </c>
    </row>
    <row r="117" customFormat="false" ht="15" hidden="false" customHeight="false" outlineLevel="0" collapsed="false">
      <c r="A117" s="23"/>
      <c r="B117" s="24"/>
      <c r="C117" s="24"/>
      <c r="D117" s="24"/>
      <c r="E117" s="24"/>
      <c r="F117" s="25" t="str">
        <f aca="false">IF($B117="","",IFERROR(IF(INDEX(명단!$B$5:$B$404,MATCH($B117,명단!$A$5:$A$404,0))="","(이름 미입력)",INDEX(명단!$B$5:$B$404,MATCH($B117,명단!$A$5:$A$404,0))),"번호 없음"))</f>
        <v/>
      </c>
    </row>
    <row r="118" customFormat="false" ht="15" hidden="false" customHeight="false" outlineLevel="0" collapsed="false">
      <c r="A118" s="23"/>
      <c r="B118" s="24"/>
      <c r="C118" s="24"/>
      <c r="D118" s="24"/>
      <c r="E118" s="24"/>
      <c r="F118" s="25" t="str">
        <f aca="false">IF($B118="","",IFERROR(IF(INDEX(명단!$B$5:$B$404,MATCH($B118,명단!$A$5:$A$404,0))="","(이름 미입력)",INDEX(명단!$B$5:$B$404,MATCH($B118,명단!$A$5:$A$404,0))),"번호 없음"))</f>
        <v/>
      </c>
    </row>
    <row r="119" customFormat="false" ht="15" hidden="false" customHeight="false" outlineLevel="0" collapsed="false">
      <c r="A119" s="23"/>
      <c r="B119" s="24"/>
      <c r="C119" s="24"/>
      <c r="D119" s="24"/>
      <c r="E119" s="24"/>
      <c r="F119" s="25" t="str">
        <f aca="false">IF($B119="","",IFERROR(IF(INDEX(명단!$B$5:$B$404,MATCH($B119,명단!$A$5:$A$404,0))="","(이름 미입력)",INDEX(명단!$B$5:$B$404,MATCH($B119,명단!$A$5:$A$404,0))),"번호 없음"))</f>
        <v/>
      </c>
    </row>
    <row r="120" customFormat="false" ht="15" hidden="false" customHeight="false" outlineLevel="0" collapsed="false">
      <c r="A120" s="23"/>
      <c r="B120" s="24"/>
      <c r="C120" s="24"/>
      <c r="D120" s="24"/>
      <c r="E120" s="24"/>
      <c r="F120" s="25" t="str">
        <f aca="false">IF($B120="","",IFERROR(IF(INDEX(명단!$B$5:$B$404,MATCH($B120,명단!$A$5:$A$404,0))="","(이름 미입력)",INDEX(명단!$B$5:$B$404,MATCH($B120,명단!$A$5:$A$404,0))),"번호 없음"))</f>
        <v/>
      </c>
    </row>
    <row r="121" customFormat="false" ht="15" hidden="false" customHeight="false" outlineLevel="0" collapsed="false">
      <c r="A121" s="23"/>
      <c r="B121" s="24"/>
      <c r="C121" s="24"/>
      <c r="D121" s="24"/>
      <c r="E121" s="24"/>
      <c r="F121" s="25" t="str">
        <f aca="false">IF($B121="","",IFERROR(IF(INDEX(명단!$B$5:$B$404,MATCH($B121,명단!$A$5:$A$404,0))="","(이름 미입력)",INDEX(명단!$B$5:$B$404,MATCH($B121,명단!$A$5:$A$404,0))),"번호 없음"))</f>
        <v/>
      </c>
    </row>
    <row r="122" customFormat="false" ht="15" hidden="false" customHeight="false" outlineLevel="0" collapsed="false">
      <c r="A122" s="23"/>
      <c r="B122" s="24"/>
      <c r="C122" s="24"/>
      <c r="D122" s="24"/>
      <c r="E122" s="24"/>
      <c r="F122" s="25" t="str">
        <f aca="false">IF($B122="","",IFERROR(IF(INDEX(명단!$B$5:$B$404,MATCH($B122,명단!$A$5:$A$404,0))="","(이름 미입력)",INDEX(명단!$B$5:$B$404,MATCH($B122,명단!$A$5:$A$404,0))),"번호 없음"))</f>
        <v/>
      </c>
    </row>
    <row r="123" customFormat="false" ht="15" hidden="false" customHeight="false" outlineLevel="0" collapsed="false">
      <c r="A123" s="23"/>
      <c r="B123" s="24"/>
      <c r="C123" s="24"/>
      <c r="D123" s="24"/>
      <c r="E123" s="24"/>
      <c r="F123" s="25" t="str">
        <f aca="false">IF($B123="","",IFERROR(IF(INDEX(명단!$B$5:$B$404,MATCH($B123,명단!$A$5:$A$404,0))="","(이름 미입력)",INDEX(명단!$B$5:$B$404,MATCH($B123,명단!$A$5:$A$404,0))),"번호 없음"))</f>
        <v/>
      </c>
    </row>
    <row r="124" customFormat="false" ht="15" hidden="false" customHeight="false" outlineLevel="0" collapsed="false">
      <c r="A124" s="23"/>
      <c r="B124" s="24"/>
      <c r="C124" s="24"/>
      <c r="D124" s="24"/>
      <c r="E124" s="24"/>
      <c r="F124" s="25" t="str">
        <f aca="false">IF($B124="","",IFERROR(IF(INDEX(명단!$B$5:$B$404,MATCH($B124,명단!$A$5:$A$404,0))="","(이름 미입력)",INDEX(명단!$B$5:$B$404,MATCH($B124,명단!$A$5:$A$404,0))),"번호 없음"))</f>
        <v/>
      </c>
    </row>
    <row r="125" customFormat="false" ht="15" hidden="false" customHeight="false" outlineLevel="0" collapsed="false">
      <c r="A125" s="23"/>
      <c r="B125" s="24"/>
      <c r="C125" s="24"/>
      <c r="D125" s="24"/>
      <c r="E125" s="24"/>
      <c r="F125" s="25" t="str">
        <f aca="false">IF($B125="","",IFERROR(IF(INDEX(명단!$B$5:$B$404,MATCH($B125,명단!$A$5:$A$404,0))="","(이름 미입력)",INDEX(명단!$B$5:$B$404,MATCH($B125,명단!$A$5:$A$404,0))),"번호 없음"))</f>
        <v/>
      </c>
    </row>
    <row r="126" customFormat="false" ht="15" hidden="false" customHeight="false" outlineLevel="0" collapsed="false">
      <c r="A126" s="23"/>
      <c r="B126" s="24"/>
      <c r="C126" s="24"/>
      <c r="D126" s="24"/>
      <c r="E126" s="24"/>
      <c r="F126" s="25" t="str">
        <f aca="false">IF($B126="","",IFERROR(IF(INDEX(명단!$B$5:$B$404,MATCH($B126,명단!$A$5:$A$404,0))="","(이름 미입력)",INDEX(명단!$B$5:$B$404,MATCH($B126,명단!$A$5:$A$404,0))),"번호 없음"))</f>
        <v/>
      </c>
    </row>
    <row r="127" customFormat="false" ht="15" hidden="false" customHeight="false" outlineLevel="0" collapsed="false">
      <c r="A127" s="23"/>
      <c r="B127" s="24"/>
      <c r="C127" s="24"/>
      <c r="D127" s="24"/>
      <c r="E127" s="24"/>
      <c r="F127" s="25" t="str">
        <f aca="false">IF($B127="","",IFERROR(IF(INDEX(명단!$B$5:$B$404,MATCH($B127,명단!$A$5:$A$404,0))="","(이름 미입력)",INDEX(명단!$B$5:$B$404,MATCH($B127,명단!$A$5:$A$404,0))),"번호 없음"))</f>
        <v/>
      </c>
    </row>
    <row r="128" customFormat="false" ht="15" hidden="false" customHeight="false" outlineLevel="0" collapsed="false">
      <c r="A128" s="23"/>
      <c r="B128" s="24"/>
      <c r="C128" s="24"/>
      <c r="D128" s="24"/>
      <c r="E128" s="24"/>
      <c r="F128" s="25" t="str">
        <f aca="false">IF($B128="","",IFERROR(IF(INDEX(명단!$B$5:$B$404,MATCH($B128,명단!$A$5:$A$404,0))="","(이름 미입력)",INDEX(명단!$B$5:$B$404,MATCH($B128,명단!$A$5:$A$404,0))),"번호 없음"))</f>
        <v/>
      </c>
    </row>
    <row r="129" customFormat="false" ht="15" hidden="false" customHeight="false" outlineLevel="0" collapsed="false">
      <c r="A129" s="23"/>
      <c r="B129" s="24"/>
      <c r="C129" s="24"/>
      <c r="D129" s="24"/>
      <c r="E129" s="24"/>
      <c r="F129" s="25" t="str">
        <f aca="false">IF($B129="","",IFERROR(IF(INDEX(명단!$B$5:$B$404,MATCH($B129,명단!$A$5:$A$404,0))="","(이름 미입력)",INDEX(명단!$B$5:$B$404,MATCH($B129,명단!$A$5:$A$404,0))),"번호 없음"))</f>
        <v/>
      </c>
    </row>
    <row r="130" customFormat="false" ht="15" hidden="false" customHeight="false" outlineLevel="0" collapsed="false">
      <c r="A130" s="23"/>
      <c r="B130" s="24"/>
      <c r="C130" s="24"/>
      <c r="D130" s="24"/>
      <c r="E130" s="24"/>
      <c r="F130" s="25" t="str">
        <f aca="false">IF($B130="","",IFERROR(IF(INDEX(명단!$B$5:$B$404,MATCH($B130,명단!$A$5:$A$404,0))="","(이름 미입력)",INDEX(명단!$B$5:$B$404,MATCH($B130,명단!$A$5:$A$404,0))),"번호 없음"))</f>
        <v/>
      </c>
    </row>
    <row r="131" customFormat="false" ht="15" hidden="false" customHeight="false" outlineLevel="0" collapsed="false">
      <c r="A131" s="23"/>
      <c r="B131" s="24"/>
      <c r="C131" s="24"/>
      <c r="D131" s="24"/>
      <c r="E131" s="24"/>
      <c r="F131" s="25" t="str">
        <f aca="false">IF($B131="","",IFERROR(IF(INDEX(명단!$B$5:$B$404,MATCH($B131,명단!$A$5:$A$404,0))="","(이름 미입력)",INDEX(명단!$B$5:$B$404,MATCH($B131,명단!$A$5:$A$404,0))),"번호 없음"))</f>
        <v/>
      </c>
    </row>
    <row r="132" customFormat="false" ht="15" hidden="false" customHeight="false" outlineLevel="0" collapsed="false">
      <c r="A132" s="23"/>
      <c r="B132" s="24"/>
      <c r="C132" s="24"/>
      <c r="D132" s="24"/>
      <c r="E132" s="24"/>
      <c r="F132" s="25" t="str">
        <f aca="false">IF($B132="","",IFERROR(IF(INDEX(명단!$B$5:$B$404,MATCH($B132,명단!$A$5:$A$404,0))="","(이름 미입력)",INDEX(명단!$B$5:$B$404,MATCH($B132,명단!$A$5:$A$404,0))),"번호 없음"))</f>
        <v/>
      </c>
    </row>
    <row r="133" customFormat="false" ht="15" hidden="false" customHeight="false" outlineLevel="0" collapsed="false">
      <c r="A133" s="23"/>
      <c r="B133" s="24"/>
      <c r="C133" s="24"/>
      <c r="D133" s="24"/>
      <c r="E133" s="24"/>
      <c r="F133" s="25" t="str">
        <f aca="false">IF($B133="","",IFERROR(IF(INDEX(명단!$B$5:$B$404,MATCH($B133,명단!$A$5:$A$404,0))="","(이름 미입력)",INDEX(명단!$B$5:$B$404,MATCH($B133,명단!$A$5:$A$404,0))),"번호 없음"))</f>
        <v/>
      </c>
    </row>
    <row r="134" customFormat="false" ht="15" hidden="false" customHeight="false" outlineLevel="0" collapsed="false">
      <c r="A134" s="23"/>
      <c r="B134" s="24"/>
      <c r="C134" s="24"/>
      <c r="D134" s="24"/>
      <c r="E134" s="24"/>
      <c r="F134" s="25" t="str">
        <f aca="false">IF($B134="","",IFERROR(IF(INDEX(명단!$B$5:$B$404,MATCH($B134,명단!$A$5:$A$404,0))="","(이름 미입력)",INDEX(명단!$B$5:$B$404,MATCH($B134,명단!$A$5:$A$404,0))),"번호 없음"))</f>
        <v/>
      </c>
    </row>
    <row r="135" customFormat="false" ht="15" hidden="false" customHeight="false" outlineLevel="0" collapsed="false">
      <c r="A135" s="23"/>
      <c r="B135" s="24"/>
      <c r="C135" s="24"/>
      <c r="D135" s="24"/>
      <c r="E135" s="24"/>
      <c r="F135" s="25" t="str">
        <f aca="false">IF($B135="","",IFERROR(IF(INDEX(명단!$B$5:$B$404,MATCH($B135,명단!$A$5:$A$404,0))="","(이름 미입력)",INDEX(명단!$B$5:$B$404,MATCH($B135,명단!$A$5:$A$404,0))),"번호 없음"))</f>
        <v/>
      </c>
    </row>
    <row r="136" customFormat="false" ht="15" hidden="false" customHeight="false" outlineLevel="0" collapsed="false">
      <c r="A136" s="23"/>
      <c r="B136" s="24"/>
      <c r="C136" s="24"/>
      <c r="D136" s="24"/>
      <c r="E136" s="24"/>
      <c r="F136" s="25" t="str">
        <f aca="false">IF($B136="","",IFERROR(IF(INDEX(명단!$B$5:$B$404,MATCH($B136,명단!$A$5:$A$404,0))="","(이름 미입력)",INDEX(명단!$B$5:$B$404,MATCH($B136,명단!$A$5:$A$404,0))),"번호 없음"))</f>
        <v/>
      </c>
    </row>
    <row r="137" customFormat="false" ht="15" hidden="false" customHeight="false" outlineLevel="0" collapsed="false">
      <c r="A137" s="23"/>
      <c r="B137" s="24"/>
      <c r="C137" s="24"/>
      <c r="D137" s="24"/>
      <c r="E137" s="24"/>
      <c r="F137" s="25" t="str">
        <f aca="false">IF($B137="","",IFERROR(IF(INDEX(명단!$B$5:$B$404,MATCH($B137,명단!$A$5:$A$404,0))="","(이름 미입력)",INDEX(명단!$B$5:$B$404,MATCH($B137,명단!$A$5:$A$404,0))),"번호 없음"))</f>
        <v/>
      </c>
    </row>
    <row r="138" customFormat="false" ht="15" hidden="false" customHeight="false" outlineLevel="0" collapsed="false">
      <c r="A138" s="23"/>
      <c r="B138" s="24"/>
      <c r="C138" s="24"/>
      <c r="D138" s="24"/>
      <c r="E138" s="24"/>
      <c r="F138" s="25" t="str">
        <f aca="false">IF($B138="","",IFERROR(IF(INDEX(명단!$B$5:$B$404,MATCH($B138,명단!$A$5:$A$404,0))="","(이름 미입력)",INDEX(명단!$B$5:$B$404,MATCH($B138,명단!$A$5:$A$404,0))),"번호 없음"))</f>
        <v/>
      </c>
    </row>
    <row r="139" customFormat="false" ht="15" hidden="false" customHeight="false" outlineLevel="0" collapsed="false">
      <c r="A139" s="23"/>
      <c r="B139" s="24"/>
      <c r="C139" s="24"/>
      <c r="D139" s="24"/>
      <c r="E139" s="24"/>
      <c r="F139" s="25" t="str">
        <f aca="false">IF($B139="","",IFERROR(IF(INDEX(명단!$B$5:$B$404,MATCH($B139,명단!$A$5:$A$404,0))="","(이름 미입력)",INDEX(명단!$B$5:$B$404,MATCH($B139,명단!$A$5:$A$404,0))),"번호 없음"))</f>
        <v/>
      </c>
    </row>
    <row r="140" customFormat="false" ht="15" hidden="false" customHeight="false" outlineLevel="0" collapsed="false">
      <c r="A140" s="23"/>
      <c r="B140" s="24"/>
      <c r="C140" s="24"/>
      <c r="D140" s="24"/>
      <c r="E140" s="24"/>
      <c r="F140" s="25" t="str">
        <f aca="false">IF($B140="","",IFERROR(IF(INDEX(명단!$B$5:$B$404,MATCH($B140,명단!$A$5:$A$404,0))="","(이름 미입력)",INDEX(명단!$B$5:$B$404,MATCH($B140,명단!$A$5:$A$404,0))),"번호 없음"))</f>
        <v/>
      </c>
    </row>
    <row r="141" customFormat="false" ht="15" hidden="false" customHeight="false" outlineLevel="0" collapsed="false">
      <c r="A141" s="23"/>
      <c r="B141" s="24"/>
      <c r="C141" s="24"/>
      <c r="D141" s="24"/>
      <c r="E141" s="24"/>
      <c r="F141" s="25" t="str">
        <f aca="false">IF($B141="","",IFERROR(IF(INDEX(명단!$B$5:$B$404,MATCH($B141,명단!$A$5:$A$404,0))="","(이름 미입력)",INDEX(명단!$B$5:$B$404,MATCH($B141,명단!$A$5:$A$404,0))),"번호 없음"))</f>
        <v/>
      </c>
    </row>
    <row r="142" customFormat="false" ht="15" hidden="false" customHeight="false" outlineLevel="0" collapsed="false">
      <c r="A142" s="23"/>
      <c r="B142" s="24"/>
      <c r="C142" s="24"/>
      <c r="D142" s="24"/>
      <c r="E142" s="24"/>
      <c r="F142" s="25" t="str">
        <f aca="false">IF($B142="","",IFERROR(IF(INDEX(명단!$B$5:$B$404,MATCH($B142,명단!$A$5:$A$404,0))="","(이름 미입력)",INDEX(명단!$B$5:$B$404,MATCH($B142,명단!$A$5:$A$404,0))),"번호 없음"))</f>
        <v/>
      </c>
    </row>
    <row r="143" customFormat="false" ht="15" hidden="false" customHeight="false" outlineLevel="0" collapsed="false">
      <c r="A143" s="23"/>
      <c r="B143" s="24"/>
      <c r="C143" s="24"/>
      <c r="D143" s="24"/>
      <c r="E143" s="24"/>
      <c r="F143" s="25" t="str">
        <f aca="false">IF($B143="","",IFERROR(IF(INDEX(명단!$B$5:$B$404,MATCH($B143,명단!$A$5:$A$404,0))="","(이름 미입력)",INDEX(명단!$B$5:$B$404,MATCH($B143,명단!$A$5:$A$404,0))),"번호 없음"))</f>
        <v/>
      </c>
    </row>
    <row r="144" customFormat="false" ht="15" hidden="false" customHeight="false" outlineLevel="0" collapsed="false">
      <c r="A144" s="23"/>
      <c r="B144" s="24"/>
      <c r="C144" s="24"/>
      <c r="D144" s="24"/>
      <c r="E144" s="24"/>
      <c r="F144" s="25" t="str">
        <f aca="false">IF($B144="","",IFERROR(IF(INDEX(명단!$B$5:$B$404,MATCH($B144,명단!$A$5:$A$404,0))="","(이름 미입력)",INDEX(명단!$B$5:$B$404,MATCH($B144,명단!$A$5:$A$404,0))),"번호 없음"))</f>
        <v/>
      </c>
    </row>
    <row r="145" customFormat="false" ht="15" hidden="false" customHeight="false" outlineLevel="0" collapsed="false">
      <c r="A145" s="23"/>
      <c r="B145" s="24"/>
      <c r="C145" s="24"/>
      <c r="D145" s="24"/>
      <c r="E145" s="24"/>
      <c r="F145" s="25" t="str">
        <f aca="false">IF($B145="","",IFERROR(IF(INDEX(명단!$B$5:$B$404,MATCH($B145,명단!$A$5:$A$404,0))="","(이름 미입력)",INDEX(명단!$B$5:$B$404,MATCH($B145,명단!$A$5:$A$404,0))),"번호 없음"))</f>
        <v/>
      </c>
    </row>
    <row r="146" customFormat="false" ht="15" hidden="false" customHeight="false" outlineLevel="0" collapsed="false">
      <c r="A146" s="23"/>
      <c r="B146" s="24"/>
      <c r="C146" s="24"/>
      <c r="D146" s="24"/>
      <c r="E146" s="24"/>
      <c r="F146" s="25" t="str">
        <f aca="false">IF($B146="","",IFERROR(IF(INDEX(명단!$B$5:$B$404,MATCH($B146,명단!$A$5:$A$404,0))="","(이름 미입력)",INDEX(명단!$B$5:$B$404,MATCH($B146,명단!$A$5:$A$404,0))),"번호 없음"))</f>
        <v/>
      </c>
    </row>
    <row r="147" customFormat="false" ht="15" hidden="false" customHeight="false" outlineLevel="0" collapsed="false">
      <c r="A147" s="23"/>
      <c r="B147" s="24"/>
      <c r="C147" s="24"/>
      <c r="D147" s="24"/>
      <c r="E147" s="24"/>
      <c r="F147" s="25" t="str">
        <f aca="false">IF($B147="","",IFERROR(IF(INDEX(명단!$B$5:$B$404,MATCH($B147,명단!$A$5:$A$404,0))="","(이름 미입력)",INDEX(명단!$B$5:$B$404,MATCH($B147,명단!$A$5:$A$404,0))),"번호 없음"))</f>
        <v/>
      </c>
    </row>
    <row r="148" customFormat="false" ht="15" hidden="false" customHeight="false" outlineLevel="0" collapsed="false">
      <c r="A148" s="23"/>
      <c r="B148" s="24"/>
      <c r="C148" s="24"/>
      <c r="D148" s="24"/>
      <c r="E148" s="24"/>
      <c r="F148" s="25" t="str">
        <f aca="false">IF($B148="","",IFERROR(IF(INDEX(명단!$B$5:$B$404,MATCH($B148,명단!$A$5:$A$404,0))="","(이름 미입력)",INDEX(명단!$B$5:$B$404,MATCH($B148,명단!$A$5:$A$404,0))),"번호 없음"))</f>
        <v/>
      </c>
    </row>
    <row r="149" customFormat="false" ht="15" hidden="false" customHeight="false" outlineLevel="0" collapsed="false">
      <c r="A149" s="23"/>
      <c r="B149" s="24"/>
      <c r="C149" s="24"/>
      <c r="D149" s="24"/>
      <c r="E149" s="24"/>
      <c r="F149" s="25" t="str">
        <f aca="false">IF($B149="","",IFERROR(IF(INDEX(명단!$B$5:$B$404,MATCH($B149,명단!$A$5:$A$404,0))="","(이름 미입력)",INDEX(명단!$B$5:$B$404,MATCH($B149,명단!$A$5:$A$404,0))),"번호 없음"))</f>
        <v/>
      </c>
    </row>
    <row r="150" customFormat="false" ht="15" hidden="false" customHeight="false" outlineLevel="0" collapsed="false">
      <c r="A150" s="23"/>
      <c r="B150" s="24"/>
      <c r="C150" s="24"/>
      <c r="D150" s="24"/>
      <c r="E150" s="24"/>
      <c r="F150" s="25" t="str">
        <f aca="false">IF($B150="","",IFERROR(IF(INDEX(명단!$B$5:$B$404,MATCH($B150,명단!$A$5:$A$404,0))="","(이름 미입력)",INDEX(명단!$B$5:$B$404,MATCH($B150,명단!$A$5:$A$404,0))),"번호 없음"))</f>
        <v/>
      </c>
    </row>
    <row r="151" customFormat="false" ht="15" hidden="false" customHeight="false" outlineLevel="0" collapsed="false">
      <c r="A151" s="23"/>
      <c r="B151" s="24"/>
      <c r="C151" s="24"/>
      <c r="D151" s="24"/>
      <c r="E151" s="24"/>
      <c r="F151" s="25" t="str">
        <f aca="false">IF($B151="","",IFERROR(IF(INDEX(명단!$B$5:$B$404,MATCH($B151,명단!$A$5:$A$404,0))="","(이름 미입력)",INDEX(명단!$B$5:$B$404,MATCH($B151,명단!$A$5:$A$404,0))),"번호 없음"))</f>
        <v/>
      </c>
    </row>
    <row r="152" customFormat="false" ht="15" hidden="false" customHeight="false" outlineLevel="0" collapsed="false">
      <c r="A152" s="23"/>
      <c r="B152" s="24"/>
      <c r="C152" s="24"/>
      <c r="D152" s="24"/>
      <c r="E152" s="24"/>
      <c r="F152" s="25" t="str">
        <f aca="false">IF($B152="","",IFERROR(IF(INDEX(명단!$B$5:$B$404,MATCH($B152,명단!$A$5:$A$404,0))="","(이름 미입력)",INDEX(명단!$B$5:$B$404,MATCH($B152,명단!$A$5:$A$404,0))),"번호 없음"))</f>
        <v/>
      </c>
    </row>
    <row r="153" customFormat="false" ht="15" hidden="false" customHeight="false" outlineLevel="0" collapsed="false">
      <c r="A153" s="23"/>
      <c r="B153" s="24"/>
      <c r="C153" s="24"/>
      <c r="D153" s="24"/>
      <c r="E153" s="24"/>
      <c r="F153" s="25" t="str">
        <f aca="false">IF($B153="","",IFERROR(IF(INDEX(명단!$B$5:$B$404,MATCH($B153,명단!$A$5:$A$404,0))="","(이름 미입력)",INDEX(명단!$B$5:$B$404,MATCH($B153,명단!$A$5:$A$404,0))),"번호 없음"))</f>
        <v/>
      </c>
    </row>
    <row r="154" customFormat="false" ht="15" hidden="false" customHeight="false" outlineLevel="0" collapsed="false">
      <c r="A154" s="23"/>
      <c r="B154" s="24"/>
      <c r="C154" s="24"/>
      <c r="D154" s="24"/>
      <c r="E154" s="24"/>
      <c r="F154" s="25" t="str">
        <f aca="false">IF($B154="","",IFERROR(IF(INDEX(명단!$B$5:$B$404,MATCH($B154,명단!$A$5:$A$404,0))="","(이름 미입력)",INDEX(명단!$B$5:$B$404,MATCH($B154,명단!$A$5:$A$404,0))),"번호 없음"))</f>
        <v/>
      </c>
    </row>
    <row r="155" customFormat="false" ht="15" hidden="false" customHeight="false" outlineLevel="0" collapsed="false">
      <c r="A155" s="23"/>
      <c r="B155" s="24"/>
      <c r="C155" s="24"/>
      <c r="D155" s="24"/>
      <c r="E155" s="24"/>
      <c r="F155" s="25" t="str">
        <f aca="false">IF($B155="","",IFERROR(IF(INDEX(명단!$B$5:$B$404,MATCH($B155,명단!$A$5:$A$404,0))="","(이름 미입력)",INDEX(명단!$B$5:$B$404,MATCH($B155,명단!$A$5:$A$404,0))),"번호 없음"))</f>
        <v/>
      </c>
    </row>
    <row r="156" customFormat="false" ht="15" hidden="false" customHeight="false" outlineLevel="0" collapsed="false">
      <c r="A156" s="23"/>
      <c r="B156" s="24"/>
      <c r="C156" s="24"/>
      <c r="D156" s="24"/>
      <c r="E156" s="24"/>
      <c r="F156" s="25" t="str">
        <f aca="false">IF($B156="","",IFERROR(IF(INDEX(명단!$B$5:$B$404,MATCH($B156,명단!$A$5:$A$404,0))="","(이름 미입력)",INDEX(명단!$B$5:$B$404,MATCH($B156,명단!$A$5:$A$404,0))),"번호 없음"))</f>
        <v/>
      </c>
    </row>
    <row r="157" customFormat="false" ht="15" hidden="false" customHeight="false" outlineLevel="0" collapsed="false">
      <c r="A157" s="23"/>
      <c r="B157" s="24"/>
      <c r="C157" s="24"/>
      <c r="D157" s="24"/>
      <c r="E157" s="24"/>
      <c r="F157" s="25" t="str">
        <f aca="false">IF($B157="","",IFERROR(IF(INDEX(명단!$B$5:$B$404,MATCH($B157,명단!$A$5:$A$404,0))="","(이름 미입력)",INDEX(명단!$B$5:$B$404,MATCH($B157,명단!$A$5:$A$404,0))),"번호 없음"))</f>
        <v/>
      </c>
    </row>
    <row r="158" customFormat="false" ht="15" hidden="false" customHeight="false" outlineLevel="0" collapsed="false">
      <c r="A158" s="23"/>
      <c r="B158" s="24"/>
      <c r="C158" s="24"/>
      <c r="D158" s="24"/>
      <c r="E158" s="24"/>
      <c r="F158" s="25" t="str">
        <f aca="false">IF($B158="","",IFERROR(IF(INDEX(명단!$B$5:$B$404,MATCH($B158,명단!$A$5:$A$404,0))="","(이름 미입력)",INDEX(명단!$B$5:$B$404,MATCH($B158,명단!$A$5:$A$404,0))),"번호 없음"))</f>
        <v/>
      </c>
    </row>
    <row r="159" customFormat="false" ht="15" hidden="false" customHeight="false" outlineLevel="0" collapsed="false">
      <c r="A159" s="23"/>
      <c r="B159" s="24"/>
      <c r="C159" s="24"/>
      <c r="D159" s="24"/>
      <c r="E159" s="24"/>
      <c r="F159" s="25" t="str">
        <f aca="false">IF($B159="","",IFERROR(IF(INDEX(명단!$B$5:$B$404,MATCH($B159,명단!$A$5:$A$404,0))="","(이름 미입력)",INDEX(명단!$B$5:$B$404,MATCH($B159,명단!$A$5:$A$404,0))),"번호 없음"))</f>
        <v/>
      </c>
    </row>
    <row r="160" customFormat="false" ht="15" hidden="false" customHeight="false" outlineLevel="0" collapsed="false">
      <c r="A160" s="23"/>
      <c r="B160" s="24"/>
      <c r="C160" s="24"/>
      <c r="D160" s="24"/>
      <c r="E160" s="24"/>
      <c r="F160" s="25" t="str">
        <f aca="false">IF($B160="","",IFERROR(IF(INDEX(명단!$B$5:$B$404,MATCH($B160,명단!$A$5:$A$404,0))="","(이름 미입력)",INDEX(명단!$B$5:$B$404,MATCH($B160,명단!$A$5:$A$404,0))),"번호 없음"))</f>
        <v/>
      </c>
    </row>
    <row r="161" customFormat="false" ht="15" hidden="false" customHeight="false" outlineLevel="0" collapsed="false">
      <c r="A161" s="23"/>
      <c r="B161" s="24"/>
      <c r="C161" s="24"/>
      <c r="D161" s="24"/>
      <c r="E161" s="24"/>
      <c r="F161" s="25" t="str">
        <f aca="false">IF($B161="","",IFERROR(IF(INDEX(명단!$B$5:$B$404,MATCH($B161,명단!$A$5:$A$404,0))="","(이름 미입력)",INDEX(명단!$B$5:$B$404,MATCH($B161,명단!$A$5:$A$404,0))),"번호 없음"))</f>
        <v/>
      </c>
    </row>
    <row r="162" customFormat="false" ht="15" hidden="false" customHeight="false" outlineLevel="0" collapsed="false">
      <c r="A162" s="23"/>
      <c r="B162" s="24"/>
      <c r="C162" s="24"/>
      <c r="D162" s="24"/>
      <c r="E162" s="24"/>
      <c r="F162" s="25" t="str">
        <f aca="false">IF($B162="","",IFERROR(IF(INDEX(명단!$B$5:$B$404,MATCH($B162,명단!$A$5:$A$404,0))="","(이름 미입력)",INDEX(명단!$B$5:$B$404,MATCH($B162,명단!$A$5:$A$404,0))),"번호 없음"))</f>
        <v/>
      </c>
    </row>
    <row r="163" customFormat="false" ht="15" hidden="false" customHeight="false" outlineLevel="0" collapsed="false">
      <c r="A163" s="23"/>
      <c r="B163" s="24"/>
      <c r="C163" s="24"/>
      <c r="D163" s="24"/>
      <c r="E163" s="24"/>
      <c r="F163" s="25" t="str">
        <f aca="false">IF($B163="","",IFERROR(IF(INDEX(명단!$B$5:$B$404,MATCH($B163,명단!$A$5:$A$404,0))="","(이름 미입력)",INDEX(명단!$B$5:$B$404,MATCH($B163,명단!$A$5:$A$404,0))),"번호 없음"))</f>
        <v/>
      </c>
    </row>
    <row r="164" customFormat="false" ht="15" hidden="false" customHeight="false" outlineLevel="0" collapsed="false">
      <c r="A164" s="23"/>
      <c r="B164" s="24"/>
      <c r="C164" s="24"/>
      <c r="D164" s="24"/>
      <c r="E164" s="24"/>
      <c r="F164" s="25" t="str">
        <f aca="false">IF($B164="","",IFERROR(IF(INDEX(명단!$B$5:$B$404,MATCH($B164,명단!$A$5:$A$404,0))="","(이름 미입력)",INDEX(명단!$B$5:$B$404,MATCH($B164,명단!$A$5:$A$404,0))),"번호 없음"))</f>
        <v/>
      </c>
    </row>
    <row r="165" customFormat="false" ht="15" hidden="false" customHeight="false" outlineLevel="0" collapsed="false">
      <c r="A165" s="23"/>
      <c r="B165" s="24"/>
      <c r="C165" s="24"/>
      <c r="D165" s="24"/>
      <c r="E165" s="24"/>
      <c r="F165" s="25" t="str">
        <f aca="false">IF($B165="","",IFERROR(IF(INDEX(명단!$B$5:$B$404,MATCH($B165,명단!$A$5:$A$404,0))="","(이름 미입력)",INDEX(명단!$B$5:$B$404,MATCH($B165,명단!$A$5:$A$404,0))),"번호 없음"))</f>
        <v/>
      </c>
    </row>
    <row r="166" customFormat="false" ht="15" hidden="false" customHeight="false" outlineLevel="0" collapsed="false">
      <c r="A166" s="23"/>
      <c r="B166" s="24"/>
      <c r="C166" s="24"/>
      <c r="D166" s="24"/>
      <c r="E166" s="24"/>
      <c r="F166" s="25" t="str">
        <f aca="false">IF($B166="","",IFERROR(IF(INDEX(명단!$B$5:$B$404,MATCH($B166,명단!$A$5:$A$404,0))="","(이름 미입력)",INDEX(명단!$B$5:$B$404,MATCH($B166,명단!$A$5:$A$404,0))),"번호 없음"))</f>
        <v/>
      </c>
    </row>
    <row r="167" customFormat="false" ht="15" hidden="false" customHeight="false" outlineLevel="0" collapsed="false">
      <c r="A167" s="23"/>
      <c r="B167" s="24"/>
      <c r="C167" s="24"/>
      <c r="D167" s="24"/>
      <c r="E167" s="24"/>
      <c r="F167" s="25" t="str">
        <f aca="false">IF($B167="","",IFERROR(IF(INDEX(명단!$B$5:$B$404,MATCH($B167,명단!$A$5:$A$404,0))="","(이름 미입력)",INDEX(명단!$B$5:$B$404,MATCH($B167,명단!$A$5:$A$404,0))),"번호 없음"))</f>
        <v/>
      </c>
    </row>
    <row r="168" customFormat="false" ht="15" hidden="false" customHeight="false" outlineLevel="0" collapsed="false">
      <c r="A168" s="23"/>
      <c r="B168" s="24"/>
      <c r="C168" s="24"/>
      <c r="D168" s="24"/>
      <c r="E168" s="24"/>
      <c r="F168" s="25" t="str">
        <f aca="false">IF($B168="","",IFERROR(IF(INDEX(명단!$B$5:$B$404,MATCH($B168,명단!$A$5:$A$404,0))="","(이름 미입력)",INDEX(명단!$B$5:$B$404,MATCH($B168,명단!$A$5:$A$404,0))),"번호 없음"))</f>
        <v/>
      </c>
    </row>
    <row r="169" customFormat="false" ht="15" hidden="false" customHeight="false" outlineLevel="0" collapsed="false">
      <c r="A169" s="23"/>
      <c r="B169" s="24"/>
      <c r="C169" s="24"/>
      <c r="D169" s="24"/>
      <c r="E169" s="24"/>
      <c r="F169" s="25" t="str">
        <f aca="false">IF($B169="","",IFERROR(IF(INDEX(명단!$B$5:$B$404,MATCH($B169,명단!$A$5:$A$404,0))="","(이름 미입력)",INDEX(명단!$B$5:$B$404,MATCH($B169,명단!$A$5:$A$404,0))),"번호 없음"))</f>
        <v/>
      </c>
    </row>
    <row r="170" customFormat="false" ht="15" hidden="false" customHeight="false" outlineLevel="0" collapsed="false">
      <c r="A170" s="23"/>
      <c r="B170" s="24"/>
      <c r="C170" s="24"/>
      <c r="D170" s="24"/>
      <c r="E170" s="24"/>
      <c r="F170" s="25" t="str">
        <f aca="false">IF($B170="","",IFERROR(IF(INDEX(명단!$B$5:$B$404,MATCH($B170,명단!$A$5:$A$404,0))="","(이름 미입력)",INDEX(명단!$B$5:$B$404,MATCH($B170,명단!$A$5:$A$404,0))),"번호 없음"))</f>
        <v/>
      </c>
    </row>
    <row r="171" customFormat="false" ht="15" hidden="false" customHeight="false" outlineLevel="0" collapsed="false">
      <c r="A171" s="23"/>
      <c r="B171" s="24"/>
      <c r="C171" s="24"/>
      <c r="D171" s="24"/>
      <c r="E171" s="24"/>
      <c r="F171" s="25" t="str">
        <f aca="false">IF($B171="","",IFERROR(IF(INDEX(명단!$B$5:$B$404,MATCH($B171,명단!$A$5:$A$404,0))="","(이름 미입력)",INDEX(명단!$B$5:$B$404,MATCH($B171,명단!$A$5:$A$404,0))),"번호 없음"))</f>
        <v/>
      </c>
    </row>
    <row r="172" customFormat="false" ht="15" hidden="false" customHeight="false" outlineLevel="0" collapsed="false">
      <c r="A172" s="23"/>
      <c r="B172" s="24"/>
      <c r="C172" s="24"/>
      <c r="D172" s="24"/>
      <c r="E172" s="24"/>
      <c r="F172" s="25" t="str">
        <f aca="false">IF($B172="","",IFERROR(IF(INDEX(명단!$B$5:$B$404,MATCH($B172,명단!$A$5:$A$404,0))="","(이름 미입력)",INDEX(명단!$B$5:$B$404,MATCH($B172,명단!$A$5:$A$404,0))),"번호 없음"))</f>
        <v/>
      </c>
    </row>
    <row r="173" customFormat="false" ht="15" hidden="false" customHeight="false" outlineLevel="0" collapsed="false">
      <c r="A173" s="23"/>
      <c r="B173" s="24"/>
      <c r="C173" s="24"/>
      <c r="D173" s="24"/>
      <c r="E173" s="24"/>
      <c r="F173" s="25" t="str">
        <f aca="false">IF($B173="","",IFERROR(IF(INDEX(명단!$B$5:$B$404,MATCH($B173,명단!$A$5:$A$404,0))="","(이름 미입력)",INDEX(명단!$B$5:$B$404,MATCH($B173,명단!$A$5:$A$404,0))),"번호 없음"))</f>
        <v/>
      </c>
    </row>
    <row r="174" customFormat="false" ht="15" hidden="false" customHeight="false" outlineLevel="0" collapsed="false">
      <c r="A174" s="23"/>
      <c r="B174" s="24"/>
      <c r="C174" s="24"/>
      <c r="D174" s="24"/>
      <c r="E174" s="24"/>
      <c r="F174" s="25" t="str">
        <f aca="false">IF($B174="","",IFERROR(IF(INDEX(명단!$B$5:$B$404,MATCH($B174,명단!$A$5:$A$404,0))="","(이름 미입력)",INDEX(명단!$B$5:$B$404,MATCH($B174,명단!$A$5:$A$404,0))),"번호 없음"))</f>
        <v/>
      </c>
    </row>
    <row r="175" customFormat="false" ht="15" hidden="false" customHeight="false" outlineLevel="0" collapsed="false">
      <c r="A175" s="23"/>
      <c r="B175" s="24"/>
      <c r="C175" s="24"/>
      <c r="D175" s="24"/>
      <c r="E175" s="24"/>
      <c r="F175" s="25" t="str">
        <f aca="false">IF($B175="","",IFERROR(IF(INDEX(명단!$B$5:$B$404,MATCH($B175,명단!$A$5:$A$404,0))="","(이름 미입력)",INDEX(명단!$B$5:$B$404,MATCH($B175,명단!$A$5:$A$404,0))),"번호 없음"))</f>
        <v/>
      </c>
    </row>
    <row r="176" customFormat="false" ht="15" hidden="false" customHeight="false" outlineLevel="0" collapsed="false">
      <c r="A176" s="23"/>
      <c r="B176" s="24"/>
      <c r="C176" s="24"/>
      <c r="D176" s="24"/>
      <c r="E176" s="24"/>
      <c r="F176" s="25" t="str">
        <f aca="false">IF($B176="","",IFERROR(IF(INDEX(명단!$B$5:$B$404,MATCH($B176,명단!$A$5:$A$404,0))="","(이름 미입력)",INDEX(명단!$B$5:$B$404,MATCH($B176,명단!$A$5:$A$404,0))),"번호 없음"))</f>
        <v/>
      </c>
    </row>
    <row r="177" customFormat="false" ht="15" hidden="false" customHeight="false" outlineLevel="0" collapsed="false">
      <c r="A177" s="23"/>
      <c r="B177" s="24"/>
      <c r="C177" s="24"/>
      <c r="D177" s="24"/>
      <c r="E177" s="24"/>
      <c r="F177" s="25" t="str">
        <f aca="false">IF($B177="","",IFERROR(IF(INDEX(명단!$B$5:$B$404,MATCH($B177,명단!$A$5:$A$404,0))="","(이름 미입력)",INDEX(명단!$B$5:$B$404,MATCH($B177,명단!$A$5:$A$404,0))),"번호 없음"))</f>
        <v/>
      </c>
    </row>
    <row r="178" customFormat="false" ht="15" hidden="false" customHeight="false" outlineLevel="0" collapsed="false">
      <c r="A178" s="23"/>
      <c r="B178" s="24"/>
      <c r="C178" s="24"/>
      <c r="D178" s="24"/>
      <c r="E178" s="24"/>
      <c r="F178" s="25" t="str">
        <f aca="false">IF($B178="","",IFERROR(IF(INDEX(명단!$B$5:$B$404,MATCH($B178,명단!$A$5:$A$404,0))="","(이름 미입력)",INDEX(명단!$B$5:$B$404,MATCH($B178,명단!$A$5:$A$404,0))),"번호 없음"))</f>
        <v/>
      </c>
    </row>
    <row r="179" customFormat="false" ht="15" hidden="false" customHeight="false" outlineLevel="0" collapsed="false">
      <c r="A179" s="23"/>
      <c r="B179" s="24"/>
      <c r="C179" s="24"/>
      <c r="D179" s="24"/>
      <c r="E179" s="24"/>
      <c r="F179" s="25" t="str">
        <f aca="false">IF($B179="","",IFERROR(IF(INDEX(명단!$B$5:$B$404,MATCH($B179,명단!$A$5:$A$404,0))="","(이름 미입력)",INDEX(명단!$B$5:$B$404,MATCH($B179,명단!$A$5:$A$404,0))),"번호 없음"))</f>
        <v/>
      </c>
    </row>
    <row r="180" customFormat="false" ht="15" hidden="false" customHeight="false" outlineLevel="0" collapsed="false">
      <c r="A180" s="23"/>
      <c r="B180" s="24"/>
      <c r="C180" s="24"/>
      <c r="D180" s="24"/>
      <c r="E180" s="24"/>
      <c r="F180" s="25" t="str">
        <f aca="false">IF($B180="","",IFERROR(IF(INDEX(명단!$B$5:$B$404,MATCH($B180,명단!$A$5:$A$404,0))="","(이름 미입력)",INDEX(명단!$B$5:$B$404,MATCH($B180,명단!$A$5:$A$404,0))),"번호 없음"))</f>
        <v/>
      </c>
    </row>
    <row r="181" customFormat="false" ht="15" hidden="false" customHeight="false" outlineLevel="0" collapsed="false">
      <c r="A181" s="23"/>
      <c r="B181" s="24"/>
      <c r="C181" s="24"/>
      <c r="D181" s="24"/>
      <c r="E181" s="24"/>
      <c r="F181" s="25" t="str">
        <f aca="false">IF($B181="","",IFERROR(IF(INDEX(명단!$B$5:$B$404,MATCH($B181,명단!$A$5:$A$404,0))="","(이름 미입력)",INDEX(명단!$B$5:$B$404,MATCH($B181,명단!$A$5:$A$404,0))),"번호 없음"))</f>
        <v/>
      </c>
    </row>
    <row r="182" customFormat="false" ht="15" hidden="false" customHeight="false" outlineLevel="0" collapsed="false">
      <c r="A182" s="23"/>
      <c r="B182" s="24"/>
      <c r="C182" s="24"/>
      <c r="D182" s="24"/>
      <c r="E182" s="24"/>
      <c r="F182" s="25" t="str">
        <f aca="false">IF($B182="","",IFERROR(IF(INDEX(명단!$B$5:$B$404,MATCH($B182,명단!$A$5:$A$404,0))="","(이름 미입력)",INDEX(명단!$B$5:$B$404,MATCH($B182,명단!$A$5:$A$404,0))),"번호 없음"))</f>
        <v/>
      </c>
    </row>
    <row r="183" customFormat="false" ht="15" hidden="false" customHeight="false" outlineLevel="0" collapsed="false">
      <c r="A183" s="23"/>
      <c r="B183" s="24"/>
      <c r="C183" s="24"/>
      <c r="D183" s="24"/>
      <c r="E183" s="24"/>
      <c r="F183" s="25" t="str">
        <f aca="false">IF($B183="","",IFERROR(IF(INDEX(명단!$B$5:$B$404,MATCH($B183,명단!$A$5:$A$404,0))="","(이름 미입력)",INDEX(명단!$B$5:$B$404,MATCH($B183,명단!$A$5:$A$404,0))),"번호 없음"))</f>
        <v/>
      </c>
    </row>
    <row r="184" customFormat="false" ht="15" hidden="false" customHeight="false" outlineLevel="0" collapsed="false">
      <c r="A184" s="23"/>
      <c r="B184" s="24"/>
      <c r="C184" s="24"/>
      <c r="D184" s="24"/>
      <c r="E184" s="24"/>
      <c r="F184" s="25" t="str">
        <f aca="false">IF($B184="","",IFERROR(IF(INDEX(명단!$B$5:$B$404,MATCH($B184,명단!$A$5:$A$404,0))="","(이름 미입력)",INDEX(명단!$B$5:$B$404,MATCH($B184,명단!$A$5:$A$404,0))),"번호 없음"))</f>
        <v/>
      </c>
    </row>
    <row r="185" customFormat="false" ht="15" hidden="false" customHeight="false" outlineLevel="0" collapsed="false">
      <c r="A185" s="23"/>
      <c r="B185" s="24"/>
      <c r="C185" s="24"/>
      <c r="D185" s="24"/>
      <c r="E185" s="24"/>
      <c r="F185" s="25" t="str">
        <f aca="false">IF($B185="","",IFERROR(IF(INDEX(명단!$B$5:$B$404,MATCH($B185,명단!$A$5:$A$404,0))="","(이름 미입력)",INDEX(명단!$B$5:$B$404,MATCH($B185,명단!$A$5:$A$404,0))),"번호 없음"))</f>
        <v/>
      </c>
    </row>
    <row r="186" customFormat="false" ht="15" hidden="false" customHeight="false" outlineLevel="0" collapsed="false">
      <c r="A186" s="23"/>
      <c r="B186" s="24"/>
      <c r="C186" s="24"/>
      <c r="D186" s="24"/>
      <c r="E186" s="24"/>
      <c r="F186" s="25" t="str">
        <f aca="false">IF($B186="","",IFERROR(IF(INDEX(명단!$B$5:$B$404,MATCH($B186,명단!$A$5:$A$404,0))="","(이름 미입력)",INDEX(명단!$B$5:$B$404,MATCH($B186,명단!$A$5:$A$404,0))),"번호 없음"))</f>
        <v/>
      </c>
    </row>
    <row r="187" customFormat="false" ht="15" hidden="false" customHeight="false" outlineLevel="0" collapsed="false">
      <c r="A187" s="23"/>
      <c r="B187" s="24"/>
      <c r="C187" s="24"/>
      <c r="D187" s="24"/>
      <c r="E187" s="24"/>
      <c r="F187" s="25" t="str">
        <f aca="false">IF($B187="","",IFERROR(IF(INDEX(명단!$B$5:$B$404,MATCH($B187,명단!$A$5:$A$404,0))="","(이름 미입력)",INDEX(명단!$B$5:$B$404,MATCH($B187,명단!$A$5:$A$404,0))),"번호 없음"))</f>
        <v/>
      </c>
    </row>
    <row r="188" customFormat="false" ht="15" hidden="false" customHeight="false" outlineLevel="0" collapsed="false">
      <c r="A188" s="23"/>
      <c r="B188" s="24"/>
      <c r="C188" s="24"/>
      <c r="D188" s="24"/>
      <c r="E188" s="24"/>
      <c r="F188" s="25" t="str">
        <f aca="false">IF($B188="","",IFERROR(IF(INDEX(명단!$B$5:$B$404,MATCH($B188,명단!$A$5:$A$404,0))="","(이름 미입력)",INDEX(명단!$B$5:$B$404,MATCH($B188,명단!$A$5:$A$404,0))),"번호 없음"))</f>
        <v/>
      </c>
    </row>
    <row r="189" customFormat="false" ht="15" hidden="false" customHeight="false" outlineLevel="0" collapsed="false">
      <c r="A189" s="23"/>
      <c r="B189" s="24"/>
      <c r="C189" s="24"/>
      <c r="D189" s="24"/>
      <c r="E189" s="24"/>
      <c r="F189" s="25" t="str">
        <f aca="false">IF($B189="","",IFERROR(IF(INDEX(명단!$B$5:$B$404,MATCH($B189,명단!$A$5:$A$404,0))="","(이름 미입력)",INDEX(명단!$B$5:$B$404,MATCH($B189,명단!$A$5:$A$404,0))),"번호 없음"))</f>
        <v/>
      </c>
    </row>
    <row r="190" customFormat="false" ht="15" hidden="false" customHeight="false" outlineLevel="0" collapsed="false">
      <c r="A190" s="23"/>
      <c r="B190" s="24"/>
      <c r="C190" s="24"/>
      <c r="D190" s="24"/>
      <c r="E190" s="24"/>
      <c r="F190" s="25" t="str">
        <f aca="false">IF($B190="","",IFERROR(IF(INDEX(명단!$B$5:$B$404,MATCH($B190,명단!$A$5:$A$404,0))="","(이름 미입력)",INDEX(명단!$B$5:$B$404,MATCH($B190,명단!$A$5:$A$404,0))),"번호 없음"))</f>
        <v/>
      </c>
    </row>
    <row r="191" customFormat="false" ht="15" hidden="false" customHeight="false" outlineLevel="0" collapsed="false">
      <c r="A191" s="23"/>
      <c r="B191" s="24"/>
      <c r="C191" s="24"/>
      <c r="D191" s="24"/>
      <c r="E191" s="24"/>
      <c r="F191" s="25" t="str">
        <f aca="false">IF($B191="","",IFERROR(IF(INDEX(명단!$B$5:$B$404,MATCH($B191,명단!$A$5:$A$404,0))="","(이름 미입력)",INDEX(명단!$B$5:$B$404,MATCH($B191,명단!$A$5:$A$404,0))),"번호 없음"))</f>
        <v/>
      </c>
    </row>
    <row r="192" customFormat="false" ht="15" hidden="false" customHeight="false" outlineLevel="0" collapsed="false">
      <c r="A192" s="23"/>
      <c r="B192" s="24"/>
      <c r="C192" s="24"/>
      <c r="D192" s="24"/>
      <c r="E192" s="24"/>
      <c r="F192" s="25" t="str">
        <f aca="false">IF($B192="","",IFERROR(IF(INDEX(명단!$B$5:$B$404,MATCH($B192,명단!$A$5:$A$404,0))="","(이름 미입력)",INDEX(명단!$B$5:$B$404,MATCH($B192,명단!$A$5:$A$404,0))),"번호 없음"))</f>
        <v/>
      </c>
    </row>
    <row r="193" customFormat="false" ht="15" hidden="false" customHeight="false" outlineLevel="0" collapsed="false">
      <c r="A193" s="23"/>
      <c r="B193" s="24"/>
      <c r="C193" s="24"/>
      <c r="D193" s="24"/>
      <c r="E193" s="24"/>
      <c r="F193" s="25" t="str">
        <f aca="false">IF($B193="","",IFERROR(IF(INDEX(명단!$B$5:$B$404,MATCH($B193,명단!$A$5:$A$404,0))="","(이름 미입력)",INDEX(명단!$B$5:$B$404,MATCH($B193,명단!$A$5:$A$404,0))),"번호 없음"))</f>
        <v/>
      </c>
    </row>
    <row r="194" customFormat="false" ht="15" hidden="false" customHeight="false" outlineLevel="0" collapsed="false">
      <c r="A194" s="23"/>
      <c r="B194" s="24"/>
      <c r="C194" s="24"/>
      <c r="D194" s="24"/>
      <c r="E194" s="24"/>
      <c r="F194" s="25" t="str">
        <f aca="false">IF($B194="","",IFERROR(IF(INDEX(명단!$B$5:$B$404,MATCH($B194,명단!$A$5:$A$404,0))="","(이름 미입력)",INDEX(명단!$B$5:$B$404,MATCH($B194,명단!$A$5:$A$404,0))),"번호 없음"))</f>
        <v/>
      </c>
    </row>
    <row r="195" customFormat="false" ht="15" hidden="false" customHeight="false" outlineLevel="0" collapsed="false">
      <c r="A195" s="23"/>
      <c r="B195" s="24"/>
      <c r="C195" s="24"/>
      <c r="D195" s="24"/>
      <c r="E195" s="24"/>
      <c r="F195" s="25" t="str">
        <f aca="false">IF($B195="","",IFERROR(IF(INDEX(명단!$B$5:$B$404,MATCH($B195,명단!$A$5:$A$404,0))="","(이름 미입력)",INDEX(명단!$B$5:$B$404,MATCH($B195,명단!$A$5:$A$404,0))),"번호 없음"))</f>
        <v/>
      </c>
    </row>
    <row r="196" customFormat="false" ht="15" hidden="false" customHeight="false" outlineLevel="0" collapsed="false">
      <c r="A196" s="23"/>
      <c r="B196" s="24"/>
      <c r="C196" s="24"/>
      <c r="D196" s="24"/>
      <c r="E196" s="24"/>
      <c r="F196" s="25" t="str">
        <f aca="false">IF($B196="","",IFERROR(IF(INDEX(명단!$B$5:$B$404,MATCH($B196,명단!$A$5:$A$404,0))="","(이름 미입력)",INDEX(명단!$B$5:$B$404,MATCH($B196,명단!$A$5:$A$404,0))),"번호 없음"))</f>
        <v/>
      </c>
    </row>
    <row r="197" customFormat="false" ht="15" hidden="false" customHeight="false" outlineLevel="0" collapsed="false">
      <c r="A197" s="23"/>
      <c r="B197" s="24"/>
      <c r="C197" s="24"/>
      <c r="D197" s="24"/>
      <c r="E197" s="24"/>
      <c r="F197" s="25" t="str">
        <f aca="false">IF($B197="","",IFERROR(IF(INDEX(명단!$B$5:$B$404,MATCH($B197,명단!$A$5:$A$404,0))="","(이름 미입력)",INDEX(명단!$B$5:$B$404,MATCH($B197,명단!$A$5:$A$404,0))),"번호 없음"))</f>
        <v/>
      </c>
    </row>
    <row r="198" customFormat="false" ht="15" hidden="false" customHeight="false" outlineLevel="0" collapsed="false">
      <c r="A198" s="23"/>
      <c r="B198" s="24"/>
      <c r="C198" s="24"/>
      <c r="D198" s="24"/>
      <c r="E198" s="24"/>
      <c r="F198" s="25" t="str">
        <f aca="false">IF($B198="","",IFERROR(IF(INDEX(명단!$B$5:$B$404,MATCH($B198,명단!$A$5:$A$404,0))="","(이름 미입력)",INDEX(명단!$B$5:$B$404,MATCH($B198,명단!$A$5:$A$404,0))),"번호 없음"))</f>
        <v/>
      </c>
    </row>
    <row r="199" customFormat="false" ht="15" hidden="false" customHeight="false" outlineLevel="0" collapsed="false">
      <c r="A199" s="23"/>
      <c r="B199" s="24"/>
      <c r="C199" s="24"/>
      <c r="D199" s="24"/>
      <c r="E199" s="24"/>
      <c r="F199" s="25" t="str">
        <f aca="false">IF($B199="","",IFERROR(IF(INDEX(명단!$B$5:$B$404,MATCH($B199,명단!$A$5:$A$404,0))="","(이름 미입력)",INDEX(명단!$B$5:$B$404,MATCH($B199,명단!$A$5:$A$404,0))),"번호 없음"))</f>
        <v/>
      </c>
    </row>
    <row r="200" customFormat="false" ht="15" hidden="false" customHeight="false" outlineLevel="0" collapsed="false">
      <c r="A200" s="23"/>
      <c r="B200" s="24"/>
      <c r="C200" s="24"/>
      <c r="D200" s="24"/>
      <c r="E200" s="24"/>
      <c r="F200" s="25" t="str">
        <f aca="false">IF($B200="","",IFERROR(IF(INDEX(명단!$B$5:$B$404,MATCH($B200,명단!$A$5:$A$404,0))="","(이름 미입력)",INDEX(명단!$B$5:$B$404,MATCH($B200,명단!$A$5:$A$404,0))),"번호 없음"))</f>
        <v/>
      </c>
    </row>
    <row r="201" customFormat="false" ht="15" hidden="false" customHeight="false" outlineLevel="0" collapsed="false">
      <c r="A201" s="23"/>
      <c r="B201" s="24"/>
      <c r="C201" s="24"/>
      <c r="D201" s="24"/>
      <c r="E201" s="24"/>
      <c r="F201" s="25" t="str">
        <f aca="false">IF($B201="","",IFERROR(IF(INDEX(명단!$B$5:$B$404,MATCH($B201,명단!$A$5:$A$404,0))="","(이름 미입력)",INDEX(명단!$B$5:$B$404,MATCH($B201,명단!$A$5:$A$404,0))),"번호 없음"))</f>
        <v/>
      </c>
    </row>
    <row r="202" customFormat="false" ht="15" hidden="false" customHeight="false" outlineLevel="0" collapsed="false">
      <c r="A202" s="23"/>
      <c r="B202" s="24"/>
      <c r="C202" s="24"/>
      <c r="D202" s="24"/>
      <c r="E202" s="24"/>
      <c r="F202" s="25" t="str">
        <f aca="false">IF($B202="","",IFERROR(IF(INDEX(명단!$B$5:$B$404,MATCH($B202,명단!$A$5:$A$404,0))="","(이름 미입력)",INDEX(명단!$B$5:$B$404,MATCH($B202,명단!$A$5:$A$404,0))),"번호 없음"))</f>
        <v/>
      </c>
    </row>
    <row r="203" customFormat="false" ht="15" hidden="false" customHeight="false" outlineLevel="0" collapsed="false">
      <c r="A203" s="23"/>
      <c r="B203" s="24"/>
      <c r="C203" s="24"/>
      <c r="D203" s="24"/>
      <c r="E203" s="24"/>
      <c r="F203" s="25" t="str">
        <f aca="false">IF($B203="","",IFERROR(IF(INDEX(명단!$B$5:$B$404,MATCH($B203,명단!$A$5:$A$404,0))="","(이름 미입력)",INDEX(명단!$B$5:$B$404,MATCH($B203,명단!$A$5:$A$404,0))),"번호 없음"))</f>
        <v/>
      </c>
    </row>
    <row r="204" customFormat="false" ht="15" hidden="false" customHeight="false" outlineLevel="0" collapsed="false">
      <c r="A204" s="23"/>
      <c r="B204" s="24"/>
      <c r="C204" s="24"/>
      <c r="D204" s="24"/>
      <c r="E204" s="24"/>
      <c r="F204" s="25" t="str">
        <f aca="false">IF($B204="","",IFERROR(IF(INDEX(명단!$B$5:$B$404,MATCH($B204,명단!$A$5:$A$404,0))="","(이름 미입력)",INDEX(명단!$B$5:$B$404,MATCH($B204,명단!$A$5:$A$404,0))),"번호 없음"))</f>
        <v/>
      </c>
    </row>
    <row r="205" customFormat="false" ht="15" hidden="false" customHeight="false" outlineLevel="0" collapsed="false">
      <c r="A205" s="23"/>
      <c r="B205" s="24"/>
      <c r="C205" s="24"/>
      <c r="D205" s="24"/>
      <c r="E205" s="24"/>
      <c r="F205" s="25" t="str">
        <f aca="false">IF($B205="","",IFERROR(IF(INDEX(명단!$B$5:$B$404,MATCH($B205,명단!$A$5:$A$404,0))="","(이름 미입력)",INDEX(명단!$B$5:$B$404,MATCH($B205,명단!$A$5:$A$404,0))),"번호 없음"))</f>
        <v/>
      </c>
    </row>
    <row r="206" customFormat="false" ht="15" hidden="false" customHeight="false" outlineLevel="0" collapsed="false">
      <c r="A206" s="23"/>
      <c r="B206" s="24"/>
      <c r="C206" s="24"/>
      <c r="D206" s="24"/>
      <c r="E206" s="24"/>
      <c r="F206" s="25" t="str">
        <f aca="false">IF($B206="","",IFERROR(IF(INDEX(명단!$B$5:$B$404,MATCH($B206,명단!$A$5:$A$404,0))="","(이름 미입력)",INDEX(명단!$B$5:$B$404,MATCH($B206,명단!$A$5:$A$404,0))),"번호 없음"))</f>
        <v/>
      </c>
    </row>
    <row r="207" customFormat="false" ht="15" hidden="false" customHeight="false" outlineLevel="0" collapsed="false">
      <c r="A207" s="23"/>
      <c r="B207" s="24"/>
      <c r="C207" s="24"/>
      <c r="D207" s="24"/>
      <c r="E207" s="24"/>
      <c r="F207" s="25" t="str">
        <f aca="false">IF($B207="","",IFERROR(IF(INDEX(명단!$B$5:$B$404,MATCH($B207,명단!$A$5:$A$404,0))="","(이름 미입력)",INDEX(명단!$B$5:$B$404,MATCH($B207,명단!$A$5:$A$404,0))),"번호 없음"))</f>
        <v/>
      </c>
    </row>
    <row r="208" customFormat="false" ht="15" hidden="false" customHeight="false" outlineLevel="0" collapsed="false">
      <c r="A208" s="23"/>
      <c r="B208" s="24"/>
      <c r="C208" s="24"/>
      <c r="D208" s="24"/>
      <c r="E208" s="24"/>
      <c r="F208" s="25" t="str">
        <f aca="false">IF($B208="","",IFERROR(IF(INDEX(명단!$B$5:$B$404,MATCH($B208,명단!$A$5:$A$404,0))="","(이름 미입력)",INDEX(명단!$B$5:$B$404,MATCH($B208,명단!$A$5:$A$404,0))),"번호 없음"))</f>
        <v/>
      </c>
    </row>
    <row r="209" customFormat="false" ht="15" hidden="false" customHeight="false" outlineLevel="0" collapsed="false">
      <c r="A209" s="23"/>
      <c r="B209" s="24"/>
      <c r="C209" s="24"/>
      <c r="D209" s="24"/>
      <c r="E209" s="24"/>
      <c r="F209" s="25" t="str">
        <f aca="false">IF($B209="","",IFERROR(IF(INDEX(명단!$B$5:$B$404,MATCH($B209,명단!$A$5:$A$404,0))="","(이름 미입력)",INDEX(명단!$B$5:$B$404,MATCH($B209,명단!$A$5:$A$404,0))),"번호 없음"))</f>
        <v/>
      </c>
    </row>
    <row r="210" customFormat="false" ht="15" hidden="false" customHeight="false" outlineLevel="0" collapsed="false">
      <c r="A210" s="23"/>
      <c r="B210" s="24"/>
      <c r="C210" s="24"/>
      <c r="D210" s="24"/>
      <c r="E210" s="24"/>
      <c r="F210" s="25" t="str">
        <f aca="false">IF($B210="","",IFERROR(IF(INDEX(명단!$B$5:$B$404,MATCH($B210,명단!$A$5:$A$404,0))="","(이름 미입력)",INDEX(명단!$B$5:$B$404,MATCH($B210,명단!$A$5:$A$404,0))),"번호 없음"))</f>
        <v/>
      </c>
    </row>
    <row r="211" customFormat="false" ht="15" hidden="false" customHeight="false" outlineLevel="0" collapsed="false">
      <c r="A211" s="23"/>
      <c r="B211" s="24"/>
      <c r="C211" s="24"/>
      <c r="D211" s="24"/>
      <c r="E211" s="24"/>
      <c r="F211" s="25" t="str">
        <f aca="false">IF($B211="","",IFERROR(IF(INDEX(명단!$B$5:$B$404,MATCH($B211,명단!$A$5:$A$404,0))="","(이름 미입력)",INDEX(명단!$B$5:$B$404,MATCH($B211,명단!$A$5:$A$404,0))),"번호 없음"))</f>
        <v/>
      </c>
    </row>
    <row r="212" customFormat="false" ht="15" hidden="false" customHeight="false" outlineLevel="0" collapsed="false">
      <c r="A212" s="23"/>
      <c r="B212" s="24"/>
      <c r="C212" s="24"/>
      <c r="D212" s="24"/>
      <c r="E212" s="24"/>
      <c r="F212" s="25" t="str">
        <f aca="false">IF($B212="","",IFERROR(IF(INDEX(명단!$B$5:$B$404,MATCH($B212,명단!$A$5:$A$404,0))="","(이름 미입력)",INDEX(명단!$B$5:$B$404,MATCH($B212,명단!$A$5:$A$404,0))),"번호 없음"))</f>
        <v/>
      </c>
    </row>
    <row r="213" customFormat="false" ht="15" hidden="false" customHeight="false" outlineLevel="0" collapsed="false">
      <c r="A213" s="23"/>
      <c r="B213" s="24"/>
      <c r="C213" s="24"/>
      <c r="D213" s="24"/>
      <c r="E213" s="24"/>
      <c r="F213" s="25" t="str">
        <f aca="false">IF($B213="","",IFERROR(IF(INDEX(명단!$B$5:$B$404,MATCH($B213,명단!$A$5:$A$404,0))="","(이름 미입력)",INDEX(명단!$B$5:$B$404,MATCH($B213,명단!$A$5:$A$404,0))),"번호 없음"))</f>
        <v/>
      </c>
    </row>
    <row r="214" customFormat="false" ht="15" hidden="false" customHeight="false" outlineLevel="0" collapsed="false">
      <c r="A214" s="23"/>
      <c r="B214" s="24"/>
      <c r="C214" s="24"/>
      <c r="D214" s="24"/>
      <c r="E214" s="24"/>
      <c r="F214" s="25" t="str">
        <f aca="false">IF($B214="","",IFERROR(IF(INDEX(명단!$B$5:$B$404,MATCH($B214,명단!$A$5:$A$404,0))="","(이름 미입력)",INDEX(명단!$B$5:$B$404,MATCH($B214,명단!$A$5:$A$404,0))),"번호 없음"))</f>
        <v/>
      </c>
    </row>
    <row r="215" customFormat="false" ht="15" hidden="false" customHeight="false" outlineLevel="0" collapsed="false">
      <c r="A215" s="23"/>
      <c r="B215" s="24"/>
      <c r="C215" s="24"/>
      <c r="D215" s="24"/>
      <c r="E215" s="24"/>
      <c r="F215" s="25" t="str">
        <f aca="false">IF($B215="","",IFERROR(IF(INDEX(명단!$B$5:$B$404,MATCH($B215,명단!$A$5:$A$404,0))="","(이름 미입력)",INDEX(명단!$B$5:$B$404,MATCH($B215,명단!$A$5:$A$404,0))),"번호 없음"))</f>
        <v/>
      </c>
    </row>
    <row r="216" customFormat="false" ht="15" hidden="false" customHeight="false" outlineLevel="0" collapsed="false">
      <c r="A216" s="23"/>
      <c r="B216" s="24"/>
      <c r="C216" s="24"/>
      <c r="D216" s="24"/>
      <c r="E216" s="24"/>
      <c r="F216" s="25" t="str">
        <f aca="false">IF($B216="","",IFERROR(IF(INDEX(명단!$B$5:$B$404,MATCH($B216,명단!$A$5:$A$404,0))="","(이름 미입력)",INDEX(명단!$B$5:$B$404,MATCH($B216,명단!$A$5:$A$404,0))),"번호 없음"))</f>
        <v/>
      </c>
    </row>
    <row r="217" customFormat="false" ht="15" hidden="false" customHeight="false" outlineLevel="0" collapsed="false">
      <c r="A217" s="23"/>
      <c r="B217" s="24"/>
      <c r="C217" s="24"/>
      <c r="D217" s="24"/>
      <c r="E217" s="24"/>
      <c r="F217" s="25" t="str">
        <f aca="false">IF($B217="","",IFERROR(IF(INDEX(명단!$B$5:$B$404,MATCH($B217,명단!$A$5:$A$404,0))="","(이름 미입력)",INDEX(명단!$B$5:$B$404,MATCH($B217,명단!$A$5:$A$404,0))),"번호 없음"))</f>
        <v/>
      </c>
    </row>
    <row r="218" customFormat="false" ht="15" hidden="false" customHeight="false" outlineLevel="0" collapsed="false">
      <c r="A218" s="23"/>
      <c r="B218" s="24"/>
      <c r="C218" s="24"/>
      <c r="D218" s="24"/>
      <c r="E218" s="24"/>
      <c r="F218" s="25" t="str">
        <f aca="false">IF($B218="","",IFERROR(IF(INDEX(명단!$B$5:$B$404,MATCH($B218,명단!$A$5:$A$404,0))="","(이름 미입력)",INDEX(명단!$B$5:$B$404,MATCH($B218,명단!$A$5:$A$404,0))),"번호 없음"))</f>
        <v/>
      </c>
    </row>
    <row r="219" customFormat="false" ht="15" hidden="false" customHeight="false" outlineLevel="0" collapsed="false">
      <c r="A219" s="23"/>
      <c r="B219" s="24"/>
      <c r="C219" s="24"/>
      <c r="D219" s="24"/>
      <c r="E219" s="24"/>
      <c r="F219" s="25" t="str">
        <f aca="false">IF($B219="","",IFERROR(IF(INDEX(명단!$B$5:$B$404,MATCH($B219,명단!$A$5:$A$404,0))="","(이름 미입력)",INDEX(명단!$B$5:$B$404,MATCH($B219,명단!$A$5:$A$404,0))),"번호 없음"))</f>
        <v/>
      </c>
    </row>
    <row r="220" customFormat="false" ht="15" hidden="false" customHeight="false" outlineLevel="0" collapsed="false">
      <c r="A220" s="23"/>
      <c r="B220" s="24"/>
      <c r="C220" s="24"/>
      <c r="D220" s="24"/>
      <c r="E220" s="24"/>
      <c r="F220" s="25" t="str">
        <f aca="false">IF($B220="","",IFERROR(IF(INDEX(명단!$B$5:$B$404,MATCH($B220,명단!$A$5:$A$404,0))="","(이름 미입력)",INDEX(명단!$B$5:$B$404,MATCH($B220,명단!$A$5:$A$404,0))),"번호 없음"))</f>
        <v/>
      </c>
    </row>
    <row r="221" customFormat="false" ht="15" hidden="false" customHeight="false" outlineLevel="0" collapsed="false">
      <c r="A221" s="23"/>
      <c r="B221" s="24"/>
      <c r="C221" s="24"/>
      <c r="D221" s="24"/>
      <c r="E221" s="24"/>
      <c r="F221" s="25" t="str">
        <f aca="false">IF($B221="","",IFERROR(IF(INDEX(명단!$B$5:$B$404,MATCH($B221,명단!$A$5:$A$404,0))="","(이름 미입력)",INDEX(명단!$B$5:$B$404,MATCH($B221,명단!$A$5:$A$404,0))),"번호 없음"))</f>
        <v/>
      </c>
    </row>
    <row r="222" customFormat="false" ht="15" hidden="false" customHeight="false" outlineLevel="0" collapsed="false">
      <c r="A222" s="23"/>
      <c r="B222" s="24"/>
      <c r="C222" s="24"/>
      <c r="D222" s="24"/>
      <c r="E222" s="24"/>
      <c r="F222" s="25" t="str">
        <f aca="false">IF($B222="","",IFERROR(IF(INDEX(명단!$B$5:$B$404,MATCH($B222,명단!$A$5:$A$404,0))="","(이름 미입력)",INDEX(명단!$B$5:$B$404,MATCH($B222,명단!$A$5:$A$404,0))),"번호 없음"))</f>
        <v/>
      </c>
    </row>
    <row r="223" customFormat="false" ht="15" hidden="false" customHeight="false" outlineLevel="0" collapsed="false">
      <c r="A223" s="23"/>
      <c r="B223" s="24"/>
      <c r="C223" s="24"/>
      <c r="D223" s="24"/>
      <c r="E223" s="24"/>
      <c r="F223" s="25" t="str">
        <f aca="false">IF($B223="","",IFERROR(IF(INDEX(명단!$B$5:$B$404,MATCH($B223,명단!$A$5:$A$404,0))="","(이름 미입력)",INDEX(명단!$B$5:$B$404,MATCH($B223,명단!$A$5:$A$404,0))),"번호 없음"))</f>
        <v/>
      </c>
    </row>
    <row r="224" customFormat="false" ht="15" hidden="false" customHeight="false" outlineLevel="0" collapsed="false">
      <c r="A224" s="23"/>
      <c r="B224" s="24"/>
      <c r="C224" s="24"/>
      <c r="D224" s="24"/>
      <c r="E224" s="24"/>
      <c r="F224" s="25" t="str">
        <f aca="false">IF($B224="","",IFERROR(IF(INDEX(명단!$B$5:$B$404,MATCH($B224,명단!$A$5:$A$404,0))="","(이름 미입력)",INDEX(명단!$B$5:$B$404,MATCH($B224,명단!$A$5:$A$404,0))),"번호 없음"))</f>
        <v/>
      </c>
    </row>
    <row r="225" customFormat="false" ht="15" hidden="false" customHeight="false" outlineLevel="0" collapsed="false">
      <c r="A225" s="23"/>
      <c r="B225" s="24"/>
      <c r="C225" s="24"/>
      <c r="D225" s="24"/>
      <c r="E225" s="24"/>
      <c r="F225" s="25" t="str">
        <f aca="false">IF($B225="","",IFERROR(IF(INDEX(명단!$B$5:$B$404,MATCH($B225,명단!$A$5:$A$404,0))="","(이름 미입력)",INDEX(명단!$B$5:$B$404,MATCH($B225,명단!$A$5:$A$404,0))),"번호 없음"))</f>
        <v/>
      </c>
    </row>
    <row r="226" customFormat="false" ht="15" hidden="false" customHeight="false" outlineLevel="0" collapsed="false">
      <c r="A226" s="23"/>
      <c r="B226" s="24"/>
      <c r="C226" s="24"/>
      <c r="D226" s="24"/>
      <c r="E226" s="24"/>
      <c r="F226" s="25" t="str">
        <f aca="false">IF($B226="","",IFERROR(IF(INDEX(명단!$B$5:$B$404,MATCH($B226,명단!$A$5:$A$404,0))="","(이름 미입력)",INDEX(명단!$B$5:$B$404,MATCH($B226,명단!$A$5:$A$404,0))),"번호 없음"))</f>
        <v/>
      </c>
    </row>
    <row r="227" customFormat="false" ht="15" hidden="false" customHeight="false" outlineLevel="0" collapsed="false">
      <c r="A227" s="23"/>
      <c r="B227" s="24"/>
      <c r="C227" s="24"/>
      <c r="D227" s="24"/>
      <c r="E227" s="24"/>
      <c r="F227" s="25" t="str">
        <f aca="false">IF($B227="","",IFERROR(IF(INDEX(명단!$B$5:$B$404,MATCH($B227,명단!$A$5:$A$404,0))="","(이름 미입력)",INDEX(명단!$B$5:$B$404,MATCH($B227,명단!$A$5:$A$404,0))),"번호 없음"))</f>
        <v/>
      </c>
    </row>
    <row r="228" customFormat="false" ht="15" hidden="false" customHeight="false" outlineLevel="0" collapsed="false">
      <c r="A228" s="23"/>
      <c r="B228" s="24"/>
      <c r="C228" s="24"/>
      <c r="D228" s="24"/>
      <c r="E228" s="24"/>
      <c r="F228" s="25" t="str">
        <f aca="false">IF($B228="","",IFERROR(IF(INDEX(명단!$B$5:$B$404,MATCH($B228,명단!$A$5:$A$404,0))="","(이름 미입력)",INDEX(명단!$B$5:$B$404,MATCH($B228,명단!$A$5:$A$404,0))),"번호 없음"))</f>
        <v/>
      </c>
    </row>
    <row r="229" customFormat="false" ht="15" hidden="false" customHeight="false" outlineLevel="0" collapsed="false">
      <c r="A229" s="23"/>
      <c r="B229" s="24"/>
      <c r="C229" s="24"/>
      <c r="D229" s="24"/>
      <c r="E229" s="24"/>
      <c r="F229" s="25" t="str">
        <f aca="false">IF($B229="","",IFERROR(IF(INDEX(명단!$B$5:$B$404,MATCH($B229,명단!$A$5:$A$404,0))="","(이름 미입력)",INDEX(명단!$B$5:$B$404,MATCH($B229,명단!$A$5:$A$404,0))),"번호 없음"))</f>
        <v/>
      </c>
    </row>
    <row r="230" customFormat="false" ht="15" hidden="false" customHeight="false" outlineLevel="0" collapsed="false">
      <c r="A230" s="23"/>
      <c r="B230" s="24"/>
      <c r="C230" s="24"/>
      <c r="D230" s="24"/>
      <c r="E230" s="24"/>
      <c r="F230" s="25" t="str">
        <f aca="false">IF($B230="","",IFERROR(IF(INDEX(명단!$B$5:$B$404,MATCH($B230,명단!$A$5:$A$404,0))="","(이름 미입력)",INDEX(명단!$B$5:$B$404,MATCH($B230,명단!$A$5:$A$404,0))),"번호 없음"))</f>
        <v/>
      </c>
    </row>
    <row r="231" customFormat="false" ht="15" hidden="false" customHeight="false" outlineLevel="0" collapsed="false">
      <c r="A231" s="23"/>
      <c r="B231" s="24"/>
      <c r="C231" s="24"/>
      <c r="D231" s="24"/>
      <c r="E231" s="24"/>
      <c r="F231" s="25" t="str">
        <f aca="false">IF($B231="","",IFERROR(IF(INDEX(명단!$B$5:$B$404,MATCH($B231,명단!$A$5:$A$404,0))="","(이름 미입력)",INDEX(명단!$B$5:$B$404,MATCH($B231,명단!$A$5:$A$404,0))),"번호 없음"))</f>
        <v/>
      </c>
    </row>
    <row r="232" customFormat="false" ht="15" hidden="false" customHeight="false" outlineLevel="0" collapsed="false">
      <c r="A232" s="23"/>
      <c r="B232" s="24"/>
      <c r="C232" s="24"/>
      <c r="D232" s="24"/>
      <c r="E232" s="24"/>
      <c r="F232" s="25" t="str">
        <f aca="false">IF($B232="","",IFERROR(IF(INDEX(명단!$B$5:$B$404,MATCH($B232,명단!$A$5:$A$404,0))="","(이름 미입력)",INDEX(명단!$B$5:$B$404,MATCH($B232,명단!$A$5:$A$404,0))),"번호 없음"))</f>
        <v/>
      </c>
    </row>
    <row r="233" customFormat="false" ht="15" hidden="false" customHeight="false" outlineLevel="0" collapsed="false">
      <c r="A233" s="23"/>
      <c r="B233" s="24"/>
      <c r="C233" s="24"/>
      <c r="D233" s="24"/>
      <c r="E233" s="24"/>
      <c r="F233" s="25" t="str">
        <f aca="false">IF($B233="","",IFERROR(IF(INDEX(명단!$B$5:$B$404,MATCH($B233,명단!$A$5:$A$404,0))="","(이름 미입력)",INDEX(명단!$B$5:$B$404,MATCH($B233,명단!$A$5:$A$404,0))),"번호 없음"))</f>
        <v/>
      </c>
    </row>
    <row r="234" customFormat="false" ht="15" hidden="false" customHeight="false" outlineLevel="0" collapsed="false">
      <c r="A234" s="23"/>
      <c r="B234" s="24"/>
      <c r="C234" s="24"/>
      <c r="D234" s="24"/>
      <c r="E234" s="24"/>
      <c r="F234" s="25" t="str">
        <f aca="false">IF($B234="","",IFERROR(IF(INDEX(명단!$B$5:$B$404,MATCH($B234,명단!$A$5:$A$404,0))="","(이름 미입력)",INDEX(명단!$B$5:$B$404,MATCH($B234,명단!$A$5:$A$404,0))),"번호 없음"))</f>
        <v/>
      </c>
    </row>
    <row r="235" customFormat="false" ht="15" hidden="false" customHeight="false" outlineLevel="0" collapsed="false">
      <c r="A235" s="23"/>
      <c r="B235" s="24"/>
      <c r="C235" s="24"/>
      <c r="D235" s="24"/>
      <c r="E235" s="24"/>
      <c r="F235" s="25" t="str">
        <f aca="false">IF($B235="","",IFERROR(IF(INDEX(명단!$B$5:$B$404,MATCH($B235,명단!$A$5:$A$404,0))="","(이름 미입력)",INDEX(명단!$B$5:$B$404,MATCH($B235,명단!$A$5:$A$404,0))),"번호 없음"))</f>
        <v/>
      </c>
    </row>
    <row r="236" customFormat="false" ht="15" hidden="false" customHeight="false" outlineLevel="0" collapsed="false">
      <c r="A236" s="23"/>
      <c r="B236" s="24"/>
      <c r="C236" s="24"/>
      <c r="D236" s="24"/>
      <c r="E236" s="24"/>
      <c r="F236" s="25" t="str">
        <f aca="false">IF($B236="","",IFERROR(IF(INDEX(명단!$B$5:$B$404,MATCH($B236,명단!$A$5:$A$404,0))="","(이름 미입력)",INDEX(명단!$B$5:$B$404,MATCH($B236,명단!$A$5:$A$404,0))),"번호 없음"))</f>
        <v/>
      </c>
    </row>
    <row r="237" customFormat="false" ht="15" hidden="false" customHeight="false" outlineLevel="0" collapsed="false">
      <c r="A237" s="23"/>
      <c r="B237" s="24"/>
      <c r="C237" s="24"/>
      <c r="D237" s="24"/>
      <c r="E237" s="24"/>
      <c r="F237" s="25" t="str">
        <f aca="false">IF($B237="","",IFERROR(IF(INDEX(명단!$B$5:$B$404,MATCH($B237,명단!$A$5:$A$404,0))="","(이름 미입력)",INDEX(명단!$B$5:$B$404,MATCH($B237,명단!$A$5:$A$404,0))),"번호 없음"))</f>
        <v/>
      </c>
    </row>
    <row r="238" customFormat="false" ht="15" hidden="false" customHeight="false" outlineLevel="0" collapsed="false">
      <c r="A238" s="23"/>
      <c r="B238" s="24"/>
      <c r="C238" s="24"/>
      <c r="D238" s="24"/>
      <c r="E238" s="24"/>
      <c r="F238" s="25" t="str">
        <f aca="false">IF($B238="","",IFERROR(IF(INDEX(명단!$B$5:$B$404,MATCH($B238,명단!$A$5:$A$404,0))="","(이름 미입력)",INDEX(명단!$B$5:$B$404,MATCH($B238,명단!$A$5:$A$404,0))),"번호 없음"))</f>
        <v/>
      </c>
    </row>
    <row r="239" customFormat="false" ht="15" hidden="false" customHeight="false" outlineLevel="0" collapsed="false">
      <c r="A239" s="23"/>
      <c r="B239" s="24"/>
      <c r="C239" s="24"/>
      <c r="D239" s="24"/>
      <c r="E239" s="24"/>
      <c r="F239" s="25" t="str">
        <f aca="false">IF($B239="","",IFERROR(IF(INDEX(명단!$B$5:$B$404,MATCH($B239,명단!$A$5:$A$404,0))="","(이름 미입력)",INDEX(명단!$B$5:$B$404,MATCH($B239,명단!$A$5:$A$404,0))),"번호 없음"))</f>
        <v/>
      </c>
    </row>
    <row r="240" customFormat="false" ht="15" hidden="false" customHeight="false" outlineLevel="0" collapsed="false">
      <c r="A240" s="23"/>
      <c r="B240" s="24"/>
      <c r="C240" s="24"/>
      <c r="D240" s="24"/>
      <c r="E240" s="24"/>
      <c r="F240" s="25" t="str">
        <f aca="false">IF($B240="","",IFERROR(IF(INDEX(명단!$B$5:$B$404,MATCH($B240,명단!$A$5:$A$404,0))="","(이름 미입력)",INDEX(명단!$B$5:$B$404,MATCH($B240,명단!$A$5:$A$404,0))),"번호 없음"))</f>
        <v/>
      </c>
    </row>
    <row r="241" customFormat="false" ht="15" hidden="false" customHeight="false" outlineLevel="0" collapsed="false">
      <c r="A241" s="23"/>
      <c r="B241" s="24"/>
      <c r="C241" s="24"/>
      <c r="D241" s="24"/>
      <c r="E241" s="24"/>
      <c r="F241" s="25" t="str">
        <f aca="false">IF($B241="","",IFERROR(IF(INDEX(명단!$B$5:$B$404,MATCH($B241,명단!$A$5:$A$404,0))="","(이름 미입력)",INDEX(명단!$B$5:$B$404,MATCH($B241,명단!$A$5:$A$404,0))),"번호 없음"))</f>
        <v/>
      </c>
    </row>
    <row r="242" customFormat="false" ht="15" hidden="false" customHeight="false" outlineLevel="0" collapsed="false">
      <c r="A242" s="23"/>
      <c r="B242" s="24"/>
      <c r="C242" s="24"/>
      <c r="D242" s="24"/>
      <c r="E242" s="24"/>
      <c r="F242" s="25" t="str">
        <f aca="false">IF($B242="","",IFERROR(IF(INDEX(명단!$B$5:$B$404,MATCH($B242,명단!$A$5:$A$404,0))="","(이름 미입력)",INDEX(명단!$B$5:$B$404,MATCH($B242,명단!$A$5:$A$404,0))),"번호 없음"))</f>
        <v/>
      </c>
    </row>
    <row r="243" customFormat="false" ht="15" hidden="false" customHeight="false" outlineLevel="0" collapsed="false">
      <c r="A243" s="23"/>
      <c r="B243" s="24"/>
      <c r="C243" s="24"/>
      <c r="D243" s="24"/>
      <c r="E243" s="24"/>
      <c r="F243" s="25" t="str">
        <f aca="false">IF($B243="","",IFERROR(IF(INDEX(명단!$B$5:$B$404,MATCH($B243,명단!$A$5:$A$404,0))="","(이름 미입력)",INDEX(명단!$B$5:$B$404,MATCH($B243,명단!$A$5:$A$404,0))),"번호 없음"))</f>
        <v/>
      </c>
    </row>
    <row r="244" customFormat="false" ht="15" hidden="false" customHeight="false" outlineLevel="0" collapsed="false">
      <c r="A244" s="23"/>
      <c r="B244" s="24"/>
      <c r="C244" s="24"/>
      <c r="D244" s="24"/>
      <c r="E244" s="24"/>
      <c r="F244" s="25" t="str">
        <f aca="false">IF($B244="","",IFERROR(IF(INDEX(명단!$B$5:$B$404,MATCH($B244,명단!$A$5:$A$404,0))="","(이름 미입력)",INDEX(명단!$B$5:$B$404,MATCH($B244,명단!$A$5:$A$404,0))),"번호 없음"))</f>
        <v/>
      </c>
    </row>
    <row r="245" customFormat="false" ht="15" hidden="false" customHeight="false" outlineLevel="0" collapsed="false">
      <c r="A245" s="23"/>
      <c r="B245" s="24"/>
      <c r="C245" s="24"/>
      <c r="D245" s="24"/>
      <c r="E245" s="24"/>
      <c r="F245" s="25" t="str">
        <f aca="false">IF($B245="","",IFERROR(IF(INDEX(명단!$B$5:$B$404,MATCH($B245,명단!$A$5:$A$404,0))="","(이름 미입력)",INDEX(명단!$B$5:$B$404,MATCH($B245,명단!$A$5:$A$404,0))),"번호 없음"))</f>
        <v/>
      </c>
    </row>
    <row r="246" customFormat="false" ht="15" hidden="false" customHeight="false" outlineLevel="0" collapsed="false">
      <c r="A246" s="23"/>
      <c r="B246" s="24"/>
      <c r="C246" s="24"/>
      <c r="D246" s="24"/>
      <c r="E246" s="24"/>
      <c r="F246" s="25" t="str">
        <f aca="false">IF($B246="","",IFERROR(IF(INDEX(명단!$B$5:$B$404,MATCH($B246,명단!$A$5:$A$404,0))="","(이름 미입력)",INDEX(명단!$B$5:$B$404,MATCH($B246,명단!$A$5:$A$404,0))),"번호 없음"))</f>
        <v/>
      </c>
    </row>
    <row r="247" customFormat="false" ht="15" hidden="false" customHeight="false" outlineLevel="0" collapsed="false">
      <c r="A247" s="23"/>
      <c r="B247" s="24"/>
      <c r="C247" s="24"/>
      <c r="D247" s="24"/>
      <c r="E247" s="24"/>
      <c r="F247" s="25" t="str">
        <f aca="false">IF($B247="","",IFERROR(IF(INDEX(명단!$B$5:$B$404,MATCH($B247,명단!$A$5:$A$404,0))="","(이름 미입력)",INDEX(명단!$B$5:$B$404,MATCH($B247,명단!$A$5:$A$404,0))),"번호 없음"))</f>
        <v/>
      </c>
    </row>
    <row r="248" customFormat="false" ht="15" hidden="false" customHeight="false" outlineLevel="0" collapsed="false">
      <c r="A248" s="23"/>
      <c r="B248" s="24"/>
      <c r="C248" s="24"/>
      <c r="D248" s="24"/>
      <c r="E248" s="24"/>
      <c r="F248" s="25" t="str">
        <f aca="false">IF($B248="","",IFERROR(IF(INDEX(명단!$B$5:$B$404,MATCH($B248,명단!$A$5:$A$404,0))="","(이름 미입력)",INDEX(명단!$B$5:$B$404,MATCH($B248,명단!$A$5:$A$404,0))),"번호 없음"))</f>
        <v/>
      </c>
    </row>
    <row r="249" customFormat="false" ht="15" hidden="false" customHeight="false" outlineLevel="0" collapsed="false">
      <c r="A249" s="23"/>
      <c r="B249" s="24"/>
      <c r="C249" s="24"/>
      <c r="D249" s="24"/>
      <c r="E249" s="24"/>
      <c r="F249" s="25" t="str">
        <f aca="false">IF($B249="","",IFERROR(IF(INDEX(명단!$B$5:$B$404,MATCH($B249,명단!$A$5:$A$404,0))="","(이름 미입력)",INDEX(명단!$B$5:$B$404,MATCH($B249,명단!$A$5:$A$404,0))),"번호 없음"))</f>
        <v/>
      </c>
    </row>
    <row r="250" customFormat="false" ht="15" hidden="false" customHeight="false" outlineLevel="0" collapsed="false">
      <c r="A250" s="23"/>
      <c r="B250" s="24"/>
      <c r="C250" s="24"/>
      <c r="D250" s="24"/>
      <c r="E250" s="24"/>
      <c r="F250" s="25" t="str">
        <f aca="false">IF($B250="","",IFERROR(IF(INDEX(명단!$B$5:$B$404,MATCH($B250,명단!$A$5:$A$404,0))="","(이름 미입력)",INDEX(명단!$B$5:$B$404,MATCH($B250,명단!$A$5:$A$404,0))),"번호 없음"))</f>
        <v/>
      </c>
    </row>
    <row r="251" customFormat="false" ht="15" hidden="false" customHeight="false" outlineLevel="0" collapsed="false">
      <c r="A251" s="23"/>
      <c r="B251" s="24"/>
      <c r="C251" s="24"/>
      <c r="D251" s="24"/>
      <c r="E251" s="24"/>
      <c r="F251" s="25" t="str">
        <f aca="false">IF($B251="","",IFERROR(IF(INDEX(명단!$B$5:$B$404,MATCH($B251,명단!$A$5:$A$404,0))="","(이름 미입력)",INDEX(명단!$B$5:$B$404,MATCH($B251,명단!$A$5:$A$404,0))),"번호 없음"))</f>
        <v/>
      </c>
    </row>
    <row r="252" customFormat="false" ht="15" hidden="false" customHeight="false" outlineLevel="0" collapsed="false">
      <c r="A252" s="23"/>
      <c r="B252" s="24"/>
      <c r="C252" s="24"/>
      <c r="D252" s="24"/>
      <c r="E252" s="24"/>
      <c r="F252" s="25" t="str">
        <f aca="false">IF($B252="","",IFERROR(IF(INDEX(명단!$B$5:$B$404,MATCH($B252,명단!$A$5:$A$404,0))="","(이름 미입력)",INDEX(명단!$B$5:$B$404,MATCH($B252,명단!$A$5:$A$404,0))),"번호 없음"))</f>
        <v/>
      </c>
    </row>
    <row r="253" customFormat="false" ht="15" hidden="false" customHeight="false" outlineLevel="0" collapsed="false">
      <c r="A253" s="23"/>
      <c r="B253" s="24"/>
      <c r="C253" s="24"/>
      <c r="D253" s="24"/>
      <c r="E253" s="24"/>
      <c r="F253" s="25" t="str">
        <f aca="false">IF($B253="","",IFERROR(IF(INDEX(명단!$B$5:$B$404,MATCH($B253,명단!$A$5:$A$404,0))="","(이름 미입력)",INDEX(명단!$B$5:$B$404,MATCH($B253,명단!$A$5:$A$404,0))),"번호 없음"))</f>
        <v/>
      </c>
    </row>
    <row r="254" customFormat="false" ht="15" hidden="false" customHeight="false" outlineLevel="0" collapsed="false">
      <c r="A254" s="23"/>
      <c r="B254" s="24"/>
      <c r="C254" s="24"/>
      <c r="D254" s="24"/>
      <c r="E254" s="24"/>
      <c r="F254" s="25" t="str">
        <f aca="false">IF($B254="","",IFERROR(IF(INDEX(명단!$B$5:$B$404,MATCH($B254,명단!$A$5:$A$404,0))="","(이름 미입력)",INDEX(명단!$B$5:$B$404,MATCH($B254,명단!$A$5:$A$404,0))),"번호 없음"))</f>
        <v/>
      </c>
    </row>
    <row r="255" customFormat="false" ht="15" hidden="false" customHeight="false" outlineLevel="0" collapsed="false">
      <c r="A255" s="23"/>
      <c r="B255" s="24"/>
      <c r="C255" s="24"/>
      <c r="D255" s="24"/>
      <c r="E255" s="24"/>
      <c r="F255" s="25" t="str">
        <f aca="false">IF($B255="","",IFERROR(IF(INDEX(명단!$B$5:$B$404,MATCH($B255,명단!$A$5:$A$404,0))="","(이름 미입력)",INDEX(명단!$B$5:$B$404,MATCH($B255,명단!$A$5:$A$404,0))),"번호 없음"))</f>
        <v/>
      </c>
    </row>
    <row r="256" customFormat="false" ht="15" hidden="false" customHeight="false" outlineLevel="0" collapsed="false">
      <c r="A256" s="23"/>
      <c r="B256" s="24"/>
      <c r="C256" s="24"/>
      <c r="D256" s="24"/>
      <c r="E256" s="24"/>
      <c r="F256" s="25" t="str">
        <f aca="false">IF($B256="","",IFERROR(IF(INDEX(명단!$B$5:$B$404,MATCH($B256,명단!$A$5:$A$404,0))="","(이름 미입력)",INDEX(명단!$B$5:$B$404,MATCH($B256,명단!$A$5:$A$404,0))),"번호 없음"))</f>
        <v/>
      </c>
    </row>
    <row r="257" customFormat="false" ht="15" hidden="false" customHeight="false" outlineLevel="0" collapsed="false">
      <c r="A257" s="23"/>
      <c r="B257" s="24"/>
      <c r="C257" s="24"/>
      <c r="D257" s="24"/>
      <c r="E257" s="24"/>
      <c r="F257" s="25" t="str">
        <f aca="false">IF($B257="","",IFERROR(IF(INDEX(명단!$B$5:$B$404,MATCH($B257,명단!$A$5:$A$404,0))="","(이름 미입력)",INDEX(명단!$B$5:$B$404,MATCH($B257,명단!$A$5:$A$404,0))),"번호 없음"))</f>
        <v/>
      </c>
    </row>
    <row r="258" customFormat="false" ht="15" hidden="false" customHeight="false" outlineLevel="0" collapsed="false">
      <c r="A258" s="23"/>
      <c r="B258" s="24"/>
      <c r="C258" s="24"/>
      <c r="D258" s="24"/>
      <c r="E258" s="24"/>
      <c r="F258" s="25" t="str">
        <f aca="false">IF($B258="","",IFERROR(IF(INDEX(명단!$B$5:$B$404,MATCH($B258,명단!$A$5:$A$404,0))="","(이름 미입력)",INDEX(명단!$B$5:$B$404,MATCH($B258,명단!$A$5:$A$404,0))),"번호 없음"))</f>
        <v/>
      </c>
    </row>
    <row r="259" customFormat="false" ht="15" hidden="false" customHeight="false" outlineLevel="0" collapsed="false">
      <c r="A259" s="23"/>
      <c r="B259" s="24"/>
      <c r="C259" s="24"/>
      <c r="D259" s="24"/>
      <c r="E259" s="24"/>
      <c r="F259" s="25" t="str">
        <f aca="false">IF($B259="","",IFERROR(IF(INDEX(명단!$B$5:$B$404,MATCH($B259,명단!$A$5:$A$404,0))="","(이름 미입력)",INDEX(명단!$B$5:$B$404,MATCH($B259,명단!$A$5:$A$404,0))),"번호 없음"))</f>
        <v/>
      </c>
    </row>
    <row r="260" customFormat="false" ht="15" hidden="false" customHeight="false" outlineLevel="0" collapsed="false">
      <c r="A260" s="23"/>
      <c r="B260" s="24"/>
      <c r="C260" s="24"/>
      <c r="D260" s="24"/>
      <c r="E260" s="24"/>
      <c r="F260" s="25" t="str">
        <f aca="false">IF($B260="","",IFERROR(IF(INDEX(명단!$B$5:$B$404,MATCH($B260,명단!$A$5:$A$404,0))="","(이름 미입력)",INDEX(명단!$B$5:$B$404,MATCH($B260,명단!$A$5:$A$404,0))),"번호 없음"))</f>
        <v/>
      </c>
    </row>
    <row r="261" customFormat="false" ht="15" hidden="false" customHeight="false" outlineLevel="0" collapsed="false">
      <c r="A261" s="23"/>
      <c r="B261" s="24"/>
      <c r="C261" s="24"/>
      <c r="D261" s="24"/>
      <c r="E261" s="24"/>
      <c r="F261" s="25" t="str">
        <f aca="false">IF($B261="","",IFERROR(IF(INDEX(명단!$B$5:$B$404,MATCH($B261,명단!$A$5:$A$404,0))="","(이름 미입력)",INDEX(명단!$B$5:$B$404,MATCH($B261,명단!$A$5:$A$404,0))),"번호 없음"))</f>
        <v/>
      </c>
    </row>
    <row r="262" customFormat="false" ht="15" hidden="false" customHeight="false" outlineLevel="0" collapsed="false">
      <c r="A262" s="23"/>
      <c r="B262" s="24"/>
      <c r="C262" s="24"/>
      <c r="D262" s="24"/>
      <c r="E262" s="24"/>
      <c r="F262" s="25" t="str">
        <f aca="false">IF($B262="","",IFERROR(IF(INDEX(명단!$B$5:$B$404,MATCH($B262,명단!$A$5:$A$404,0))="","(이름 미입력)",INDEX(명단!$B$5:$B$404,MATCH($B262,명단!$A$5:$A$404,0))),"번호 없음"))</f>
        <v/>
      </c>
    </row>
    <row r="263" customFormat="false" ht="15" hidden="false" customHeight="false" outlineLevel="0" collapsed="false">
      <c r="A263" s="23"/>
      <c r="B263" s="24"/>
      <c r="C263" s="24"/>
      <c r="D263" s="24"/>
      <c r="E263" s="24"/>
      <c r="F263" s="25" t="str">
        <f aca="false">IF($B263="","",IFERROR(IF(INDEX(명단!$B$5:$B$404,MATCH($B263,명단!$A$5:$A$404,0))="","(이름 미입력)",INDEX(명단!$B$5:$B$404,MATCH($B263,명단!$A$5:$A$404,0))),"번호 없음"))</f>
        <v/>
      </c>
    </row>
    <row r="264" customFormat="false" ht="15" hidden="false" customHeight="false" outlineLevel="0" collapsed="false">
      <c r="A264" s="23"/>
      <c r="B264" s="24"/>
      <c r="C264" s="24"/>
      <c r="D264" s="24"/>
      <c r="E264" s="24"/>
      <c r="F264" s="25" t="str">
        <f aca="false">IF($B264="","",IFERROR(IF(INDEX(명단!$B$5:$B$404,MATCH($B264,명단!$A$5:$A$404,0))="","(이름 미입력)",INDEX(명단!$B$5:$B$404,MATCH($B264,명단!$A$5:$A$404,0))),"번호 없음"))</f>
        <v/>
      </c>
    </row>
    <row r="265" customFormat="false" ht="15" hidden="false" customHeight="false" outlineLevel="0" collapsed="false">
      <c r="A265" s="23"/>
      <c r="B265" s="24"/>
      <c r="C265" s="24"/>
      <c r="D265" s="24"/>
      <c r="E265" s="24"/>
      <c r="F265" s="25" t="str">
        <f aca="false">IF($B265="","",IFERROR(IF(INDEX(명단!$B$5:$B$404,MATCH($B265,명단!$A$5:$A$404,0))="","(이름 미입력)",INDEX(명단!$B$5:$B$404,MATCH($B265,명단!$A$5:$A$404,0))),"번호 없음"))</f>
        <v/>
      </c>
    </row>
    <row r="266" customFormat="false" ht="15" hidden="false" customHeight="false" outlineLevel="0" collapsed="false">
      <c r="A266" s="23"/>
      <c r="B266" s="24"/>
      <c r="C266" s="24"/>
      <c r="D266" s="24"/>
      <c r="E266" s="24"/>
      <c r="F266" s="25" t="str">
        <f aca="false">IF($B266="","",IFERROR(IF(INDEX(명단!$B$5:$B$404,MATCH($B266,명단!$A$5:$A$404,0))="","(이름 미입력)",INDEX(명단!$B$5:$B$404,MATCH($B266,명단!$A$5:$A$404,0))),"번호 없음"))</f>
        <v/>
      </c>
    </row>
    <row r="267" customFormat="false" ht="15" hidden="false" customHeight="false" outlineLevel="0" collapsed="false">
      <c r="A267" s="23"/>
      <c r="B267" s="24"/>
      <c r="C267" s="24"/>
      <c r="D267" s="24"/>
      <c r="E267" s="24"/>
      <c r="F267" s="25" t="str">
        <f aca="false">IF($B267="","",IFERROR(IF(INDEX(명단!$B$5:$B$404,MATCH($B267,명단!$A$5:$A$404,0))="","(이름 미입력)",INDEX(명단!$B$5:$B$404,MATCH($B267,명단!$A$5:$A$404,0))),"번호 없음"))</f>
        <v/>
      </c>
    </row>
    <row r="268" customFormat="false" ht="15" hidden="false" customHeight="false" outlineLevel="0" collapsed="false">
      <c r="A268" s="23"/>
      <c r="B268" s="24"/>
      <c r="C268" s="24"/>
      <c r="D268" s="24"/>
      <c r="E268" s="24"/>
      <c r="F268" s="25" t="str">
        <f aca="false">IF($B268="","",IFERROR(IF(INDEX(명단!$B$5:$B$404,MATCH($B268,명단!$A$5:$A$404,0))="","(이름 미입력)",INDEX(명단!$B$5:$B$404,MATCH($B268,명단!$A$5:$A$404,0))),"번호 없음"))</f>
        <v/>
      </c>
    </row>
    <row r="269" customFormat="false" ht="15" hidden="false" customHeight="false" outlineLevel="0" collapsed="false">
      <c r="A269" s="23"/>
      <c r="B269" s="24"/>
      <c r="C269" s="24"/>
      <c r="D269" s="24"/>
      <c r="E269" s="24"/>
      <c r="F269" s="25" t="str">
        <f aca="false">IF($B269="","",IFERROR(IF(INDEX(명단!$B$5:$B$404,MATCH($B269,명단!$A$5:$A$404,0))="","(이름 미입력)",INDEX(명단!$B$5:$B$404,MATCH($B269,명단!$A$5:$A$404,0))),"번호 없음"))</f>
        <v/>
      </c>
    </row>
    <row r="270" customFormat="false" ht="15" hidden="false" customHeight="false" outlineLevel="0" collapsed="false">
      <c r="A270" s="23"/>
      <c r="B270" s="24"/>
      <c r="C270" s="24"/>
      <c r="D270" s="24"/>
      <c r="E270" s="24"/>
      <c r="F270" s="25" t="str">
        <f aca="false">IF($B270="","",IFERROR(IF(INDEX(명단!$B$5:$B$404,MATCH($B270,명단!$A$5:$A$404,0))="","(이름 미입력)",INDEX(명단!$B$5:$B$404,MATCH($B270,명단!$A$5:$A$404,0))),"번호 없음"))</f>
        <v/>
      </c>
    </row>
    <row r="271" customFormat="false" ht="15" hidden="false" customHeight="false" outlineLevel="0" collapsed="false">
      <c r="A271" s="23"/>
      <c r="B271" s="24"/>
      <c r="C271" s="24"/>
      <c r="D271" s="24"/>
      <c r="E271" s="24"/>
      <c r="F271" s="25" t="str">
        <f aca="false">IF($B271="","",IFERROR(IF(INDEX(명단!$B$5:$B$404,MATCH($B271,명단!$A$5:$A$404,0))="","(이름 미입력)",INDEX(명단!$B$5:$B$404,MATCH($B271,명단!$A$5:$A$404,0))),"번호 없음"))</f>
        <v/>
      </c>
    </row>
    <row r="272" customFormat="false" ht="15" hidden="false" customHeight="false" outlineLevel="0" collapsed="false">
      <c r="A272" s="23"/>
      <c r="B272" s="24"/>
      <c r="C272" s="24"/>
      <c r="D272" s="24"/>
      <c r="E272" s="24"/>
      <c r="F272" s="25" t="str">
        <f aca="false">IF($B272="","",IFERROR(IF(INDEX(명단!$B$5:$B$404,MATCH($B272,명단!$A$5:$A$404,0))="","(이름 미입력)",INDEX(명단!$B$5:$B$404,MATCH($B272,명단!$A$5:$A$404,0))),"번호 없음"))</f>
        <v/>
      </c>
    </row>
    <row r="273" customFormat="false" ht="15" hidden="false" customHeight="false" outlineLevel="0" collapsed="false">
      <c r="A273" s="23"/>
      <c r="B273" s="24"/>
      <c r="C273" s="24"/>
      <c r="D273" s="24"/>
      <c r="E273" s="24"/>
      <c r="F273" s="25" t="str">
        <f aca="false">IF($B273="","",IFERROR(IF(INDEX(명단!$B$5:$B$404,MATCH($B273,명단!$A$5:$A$404,0))="","(이름 미입력)",INDEX(명단!$B$5:$B$404,MATCH($B273,명단!$A$5:$A$404,0))),"번호 없음"))</f>
        <v/>
      </c>
    </row>
    <row r="274" customFormat="false" ht="15" hidden="false" customHeight="false" outlineLevel="0" collapsed="false">
      <c r="A274" s="23"/>
      <c r="B274" s="24"/>
      <c r="C274" s="24"/>
      <c r="D274" s="24"/>
      <c r="E274" s="24"/>
      <c r="F274" s="25" t="str">
        <f aca="false">IF($B274="","",IFERROR(IF(INDEX(명단!$B$5:$B$404,MATCH($B274,명단!$A$5:$A$404,0))="","(이름 미입력)",INDEX(명단!$B$5:$B$404,MATCH($B274,명단!$A$5:$A$404,0))),"번호 없음"))</f>
        <v/>
      </c>
    </row>
    <row r="275" customFormat="false" ht="15" hidden="false" customHeight="false" outlineLevel="0" collapsed="false">
      <c r="A275" s="23"/>
      <c r="B275" s="24"/>
      <c r="C275" s="24"/>
      <c r="D275" s="24"/>
      <c r="E275" s="24"/>
      <c r="F275" s="25" t="str">
        <f aca="false">IF($B275="","",IFERROR(IF(INDEX(명단!$B$5:$B$404,MATCH($B275,명단!$A$5:$A$404,0))="","(이름 미입력)",INDEX(명단!$B$5:$B$404,MATCH($B275,명단!$A$5:$A$404,0))),"번호 없음"))</f>
        <v/>
      </c>
    </row>
    <row r="276" customFormat="false" ht="15" hidden="false" customHeight="false" outlineLevel="0" collapsed="false">
      <c r="A276" s="23"/>
      <c r="B276" s="24"/>
      <c r="C276" s="24"/>
      <c r="D276" s="24"/>
      <c r="E276" s="24"/>
      <c r="F276" s="25" t="str">
        <f aca="false">IF($B276="","",IFERROR(IF(INDEX(명단!$B$5:$B$404,MATCH($B276,명단!$A$5:$A$404,0))="","(이름 미입력)",INDEX(명단!$B$5:$B$404,MATCH($B276,명단!$A$5:$A$404,0))),"번호 없음"))</f>
        <v/>
      </c>
    </row>
    <row r="277" customFormat="false" ht="15" hidden="false" customHeight="false" outlineLevel="0" collapsed="false">
      <c r="A277" s="23"/>
      <c r="B277" s="24"/>
      <c r="C277" s="24"/>
      <c r="D277" s="24"/>
      <c r="E277" s="24"/>
      <c r="F277" s="25" t="str">
        <f aca="false">IF($B277="","",IFERROR(IF(INDEX(명단!$B$5:$B$404,MATCH($B277,명단!$A$5:$A$404,0))="","(이름 미입력)",INDEX(명단!$B$5:$B$404,MATCH($B277,명단!$A$5:$A$404,0))),"번호 없음"))</f>
        <v/>
      </c>
    </row>
    <row r="278" customFormat="false" ht="15" hidden="false" customHeight="false" outlineLevel="0" collapsed="false">
      <c r="A278" s="23"/>
      <c r="B278" s="24"/>
      <c r="C278" s="24"/>
      <c r="D278" s="24"/>
      <c r="E278" s="24"/>
      <c r="F278" s="25" t="str">
        <f aca="false">IF($B278="","",IFERROR(IF(INDEX(명단!$B$5:$B$404,MATCH($B278,명단!$A$5:$A$404,0))="","(이름 미입력)",INDEX(명단!$B$5:$B$404,MATCH($B278,명단!$A$5:$A$404,0))),"번호 없음"))</f>
        <v/>
      </c>
    </row>
    <row r="279" customFormat="false" ht="15" hidden="false" customHeight="false" outlineLevel="0" collapsed="false">
      <c r="A279" s="23"/>
      <c r="B279" s="24"/>
      <c r="C279" s="24"/>
      <c r="D279" s="24"/>
      <c r="E279" s="24"/>
      <c r="F279" s="25" t="str">
        <f aca="false">IF($B279="","",IFERROR(IF(INDEX(명단!$B$5:$B$404,MATCH($B279,명단!$A$5:$A$404,0))="","(이름 미입력)",INDEX(명단!$B$5:$B$404,MATCH($B279,명단!$A$5:$A$404,0))),"번호 없음"))</f>
        <v/>
      </c>
    </row>
    <row r="280" customFormat="false" ht="15" hidden="false" customHeight="false" outlineLevel="0" collapsed="false">
      <c r="A280" s="23"/>
      <c r="B280" s="24"/>
      <c r="C280" s="24"/>
      <c r="D280" s="24"/>
      <c r="E280" s="24"/>
      <c r="F280" s="25" t="str">
        <f aca="false">IF($B280="","",IFERROR(IF(INDEX(명단!$B$5:$B$404,MATCH($B280,명단!$A$5:$A$404,0))="","(이름 미입력)",INDEX(명단!$B$5:$B$404,MATCH($B280,명단!$A$5:$A$404,0))),"번호 없음"))</f>
        <v/>
      </c>
    </row>
    <row r="281" customFormat="false" ht="15" hidden="false" customHeight="false" outlineLevel="0" collapsed="false">
      <c r="A281" s="23"/>
      <c r="B281" s="24"/>
      <c r="C281" s="24"/>
      <c r="D281" s="24"/>
      <c r="E281" s="24"/>
      <c r="F281" s="25" t="str">
        <f aca="false">IF($B281="","",IFERROR(IF(INDEX(명단!$B$5:$B$404,MATCH($B281,명단!$A$5:$A$404,0))="","(이름 미입력)",INDEX(명단!$B$5:$B$404,MATCH($B281,명단!$A$5:$A$404,0))),"번호 없음"))</f>
        <v/>
      </c>
    </row>
    <row r="282" customFormat="false" ht="15" hidden="false" customHeight="false" outlineLevel="0" collapsed="false">
      <c r="A282" s="23"/>
      <c r="B282" s="24"/>
      <c r="C282" s="24"/>
      <c r="D282" s="24"/>
      <c r="E282" s="24"/>
      <c r="F282" s="25" t="str">
        <f aca="false">IF($B282="","",IFERROR(IF(INDEX(명단!$B$5:$B$404,MATCH($B282,명단!$A$5:$A$404,0))="","(이름 미입력)",INDEX(명단!$B$5:$B$404,MATCH($B282,명단!$A$5:$A$404,0))),"번호 없음"))</f>
        <v/>
      </c>
    </row>
    <row r="283" customFormat="false" ht="15" hidden="false" customHeight="false" outlineLevel="0" collapsed="false">
      <c r="A283" s="23"/>
      <c r="B283" s="24"/>
      <c r="C283" s="24"/>
      <c r="D283" s="24"/>
      <c r="E283" s="24"/>
      <c r="F283" s="25" t="str">
        <f aca="false">IF($B283="","",IFERROR(IF(INDEX(명단!$B$5:$B$404,MATCH($B283,명단!$A$5:$A$404,0))="","(이름 미입력)",INDEX(명단!$B$5:$B$404,MATCH($B283,명단!$A$5:$A$404,0))),"번호 없음"))</f>
        <v/>
      </c>
    </row>
    <row r="284" customFormat="false" ht="15" hidden="false" customHeight="false" outlineLevel="0" collapsed="false">
      <c r="A284" s="23"/>
      <c r="B284" s="24"/>
      <c r="C284" s="24"/>
      <c r="D284" s="24"/>
      <c r="E284" s="24"/>
      <c r="F284" s="25" t="str">
        <f aca="false">IF($B284="","",IFERROR(IF(INDEX(명단!$B$5:$B$404,MATCH($B284,명단!$A$5:$A$404,0))="","(이름 미입력)",INDEX(명단!$B$5:$B$404,MATCH($B284,명단!$A$5:$A$404,0))),"번호 없음"))</f>
        <v/>
      </c>
    </row>
    <row r="285" customFormat="false" ht="15" hidden="false" customHeight="false" outlineLevel="0" collapsed="false">
      <c r="A285" s="23"/>
      <c r="B285" s="24"/>
      <c r="C285" s="24"/>
      <c r="D285" s="24"/>
      <c r="E285" s="24"/>
      <c r="F285" s="25" t="str">
        <f aca="false">IF($B285="","",IFERROR(IF(INDEX(명단!$B$5:$B$404,MATCH($B285,명단!$A$5:$A$404,0))="","(이름 미입력)",INDEX(명단!$B$5:$B$404,MATCH($B285,명단!$A$5:$A$404,0))),"번호 없음"))</f>
        <v/>
      </c>
    </row>
    <row r="286" customFormat="false" ht="15" hidden="false" customHeight="false" outlineLevel="0" collapsed="false">
      <c r="A286" s="23"/>
      <c r="B286" s="24"/>
      <c r="C286" s="24"/>
      <c r="D286" s="24"/>
      <c r="E286" s="24"/>
      <c r="F286" s="25" t="str">
        <f aca="false">IF($B286="","",IFERROR(IF(INDEX(명단!$B$5:$B$404,MATCH($B286,명단!$A$5:$A$404,0))="","(이름 미입력)",INDEX(명단!$B$5:$B$404,MATCH($B286,명단!$A$5:$A$404,0))),"번호 없음"))</f>
        <v/>
      </c>
    </row>
    <row r="287" customFormat="false" ht="15" hidden="false" customHeight="false" outlineLevel="0" collapsed="false">
      <c r="A287" s="23"/>
      <c r="B287" s="24"/>
      <c r="C287" s="24"/>
      <c r="D287" s="24"/>
      <c r="E287" s="24"/>
      <c r="F287" s="25" t="str">
        <f aca="false">IF($B287="","",IFERROR(IF(INDEX(명단!$B$5:$B$404,MATCH($B287,명단!$A$5:$A$404,0))="","(이름 미입력)",INDEX(명단!$B$5:$B$404,MATCH($B287,명단!$A$5:$A$404,0))),"번호 없음"))</f>
        <v/>
      </c>
    </row>
    <row r="288" customFormat="false" ht="15" hidden="false" customHeight="false" outlineLevel="0" collapsed="false">
      <c r="A288" s="23"/>
      <c r="B288" s="24"/>
      <c r="C288" s="24"/>
      <c r="D288" s="24"/>
      <c r="E288" s="24"/>
      <c r="F288" s="25" t="str">
        <f aca="false">IF($B288="","",IFERROR(IF(INDEX(명단!$B$5:$B$404,MATCH($B288,명단!$A$5:$A$404,0))="","(이름 미입력)",INDEX(명단!$B$5:$B$404,MATCH($B288,명단!$A$5:$A$404,0))),"번호 없음"))</f>
        <v/>
      </c>
    </row>
    <row r="289" customFormat="false" ht="15" hidden="false" customHeight="false" outlineLevel="0" collapsed="false">
      <c r="A289" s="23"/>
      <c r="B289" s="24"/>
      <c r="C289" s="24"/>
      <c r="D289" s="24"/>
      <c r="E289" s="24"/>
      <c r="F289" s="25" t="str">
        <f aca="false">IF($B289="","",IFERROR(IF(INDEX(명단!$B$5:$B$404,MATCH($B289,명단!$A$5:$A$404,0))="","(이름 미입력)",INDEX(명단!$B$5:$B$404,MATCH($B289,명단!$A$5:$A$404,0))),"번호 없음"))</f>
        <v/>
      </c>
    </row>
    <row r="290" customFormat="false" ht="15" hidden="false" customHeight="false" outlineLevel="0" collapsed="false">
      <c r="A290" s="23"/>
      <c r="B290" s="24"/>
      <c r="C290" s="24"/>
      <c r="D290" s="24"/>
      <c r="E290" s="24"/>
      <c r="F290" s="25" t="str">
        <f aca="false">IF($B290="","",IFERROR(IF(INDEX(명단!$B$5:$B$404,MATCH($B290,명단!$A$5:$A$404,0))="","(이름 미입력)",INDEX(명단!$B$5:$B$404,MATCH($B290,명단!$A$5:$A$404,0))),"번호 없음"))</f>
        <v/>
      </c>
    </row>
    <row r="291" customFormat="false" ht="15" hidden="false" customHeight="false" outlineLevel="0" collapsed="false">
      <c r="A291" s="23"/>
      <c r="B291" s="24"/>
      <c r="C291" s="24"/>
      <c r="D291" s="24"/>
      <c r="E291" s="24"/>
      <c r="F291" s="25" t="str">
        <f aca="false">IF($B291="","",IFERROR(IF(INDEX(명단!$B$5:$B$404,MATCH($B291,명단!$A$5:$A$404,0))="","(이름 미입력)",INDEX(명단!$B$5:$B$404,MATCH($B291,명단!$A$5:$A$404,0))),"번호 없음"))</f>
        <v/>
      </c>
    </row>
    <row r="292" customFormat="false" ht="15" hidden="false" customHeight="false" outlineLevel="0" collapsed="false">
      <c r="A292" s="23"/>
      <c r="B292" s="24"/>
      <c r="C292" s="24"/>
      <c r="D292" s="24"/>
      <c r="E292" s="24"/>
      <c r="F292" s="25" t="str">
        <f aca="false">IF($B292="","",IFERROR(IF(INDEX(명단!$B$5:$B$404,MATCH($B292,명단!$A$5:$A$404,0))="","(이름 미입력)",INDEX(명단!$B$5:$B$404,MATCH($B292,명단!$A$5:$A$404,0))),"번호 없음"))</f>
        <v/>
      </c>
    </row>
    <row r="293" customFormat="false" ht="15" hidden="false" customHeight="false" outlineLevel="0" collapsed="false">
      <c r="A293" s="23"/>
      <c r="B293" s="24"/>
      <c r="C293" s="24"/>
      <c r="D293" s="24"/>
      <c r="E293" s="24"/>
      <c r="F293" s="25" t="str">
        <f aca="false">IF($B293="","",IFERROR(IF(INDEX(명단!$B$5:$B$404,MATCH($B293,명단!$A$5:$A$404,0))="","(이름 미입력)",INDEX(명단!$B$5:$B$404,MATCH($B293,명단!$A$5:$A$404,0))),"번호 없음"))</f>
        <v/>
      </c>
    </row>
    <row r="294" customFormat="false" ht="15" hidden="false" customHeight="false" outlineLevel="0" collapsed="false">
      <c r="A294" s="23"/>
      <c r="B294" s="24"/>
      <c r="C294" s="24"/>
      <c r="D294" s="24"/>
      <c r="E294" s="24"/>
      <c r="F294" s="25" t="str">
        <f aca="false">IF($B294="","",IFERROR(IF(INDEX(명단!$B$5:$B$404,MATCH($B294,명단!$A$5:$A$404,0))="","(이름 미입력)",INDEX(명단!$B$5:$B$404,MATCH($B294,명단!$A$5:$A$404,0))),"번호 없음"))</f>
        <v/>
      </c>
    </row>
    <row r="295" customFormat="false" ht="15" hidden="false" customHeight="false" outlineLevel="0" collapsed="false">
      <c r="A295" s="23"/>
      <c r="B295" s="24"/>
      <c r="C295" s="24"/>
      <c r="D295" s="24"/>
      <c r="E295" s="24"/>
      <c r="F295" s="25" t="str">
        <f aca="false">IF($B295="","",IFERROR(IF(INDEX(명단!$B$5:$B$404,MATCH($B295,명단!$A$5:$A$404,0))="","(이름 미입력)",INDEX(명단!$B$5:$B$404,MATCH($B295,명단!$A$5:$A$404,0))),"번호 없음"))</f>
        <v/>
      </c>
    </row>
    <row r="296" customFormat="false" ht="15" hidden="false" customHeight="false" outlineLevel="0" collapsed="false">
      <c r="A296" s="23"/>
      <c r="B296" s="24"/>
      <c r="C296" s="24"/>
      <c r="D296" s="24"/>
      <c r="E296" s="24"/>
      <c r="F296" s="25" t="str">
        <f aca="false">IF($B296="","",IFERROR(IF(INDEX(명단!$B$5:$B$404,MATCH($B296,명단!$A$5:$A$404,0))="","(이름 미입력)",INDEX(명단!$B$5:$B$404,MATCH($B296,명단!$A$5:$A$404,0))),"번호 없음"))</f>
        <v/>
      </c>
    </row>
    <row r="297" customFormat="false" ht="15" hidden="false" customHeight="false" outlineLevel="0" collapsed="false">
      <c r="A297" s="23"/>
      <c r="B297" s="24"/>
      <c r="C297" s="24"/>
      <c r="D297" s="24"/>
      <c r="E297" s="24"/>
      <c r="F297" s="25" t="str">
        <f aca="false">IF($B297="","",IFERROR(IF(INDEX(명단!$B$5:$B$404,MATCH($B297,명단!$A$5:$A$404,0))="","(이름 미입력)",INDEX(명단!$B$5:$B$404,MATCH($B297,명단!$A$5:$A$404,0))),"번호 없음"))</f>
        <v/>
      </c>
    </row>
    <row r="298" customFormat="false" ht="15" hidden="false" customHeight="false" outlineLevel="0" collapsed="false">
      <c r="A298" s="23"/>
      <c r="B298" s="24"/>
      <c r="C298" s="24"/>
      <c r="D298" s="24"/>
      <c r="E298" s="24"/>
      <c r="F298" s="25" t="str">
        <f aca="false">IF($B298="","",IFERROR(IF(INDEX(명단!$B$5:$B$404,MATCH($B298,명단!$A$5:$A$404,0))="","(이름 미입력)",INDEX(명단!$B$5:$B$404,MATCH($B298,명단!$A$5:$A$404,0))),"번호 없음"))</f>
        <v/>
      </c>
    </row>
    <row r="299" customFormat="false" ht="15" hidden="false" customHeight="false" outlineLevel="0" collapsed="false">
      <c r="A299" s="23"/>
      <c r="B299" s="24"/>
      <c r="C299" s="24"/>
      <c r="D299" s="24"/>
      <c r="E299" s="24"/>
      <c r="F299" s="25" t="str">
        <f aca="false">IF($B299="","",IFERROR(IF(INDEX(명단!$B$5:$B$404,MATCH($B299,명단!$A$5:$A$404,0))="","(이름 미입력)",INDEX(명단!$B$5:$B$404,MATCH($B299,명단!$A$5:$A$404,0))),"번호 없음"))</f>
        <v/>
      </c>
    </row>
    <row r="300" customFormat="false" ht="15" hidden="false" customHeight="false" outlineLevel="0" collapsed="false">
      <c r="A300" s="23"/>
      <c r="B300" s="24"/>
      <c r="C300" s="24"/>
      <c r="D300" s="24"/>
      <c r="E300" s="24"/>
      <c r="F300" s="25" t="str">
        <f aca="false">IF($B300="","",IFERROR(IF(INDEX(명단!$B$5:$B$404,MATCH($B300,명단!$A$5:$A$404,0))="","(이름 미입력)",INDEX(명단!$B$5:$B$404,MATCH($B300,명단!$A$5:$A$404,0))),"번호 없음"))</f>
        <v/>
      </c>
    </row>
    <row r="301" customFormat="false" ht="15" hidden="false" customHeight="false" outlineLevel="0" collapsed="false">
      <c r="A301" s="23"/>
      <c r="B301" s="24"/>
      <c r="C301" s="24"/>
      <c r="D301" s="24"/>
      <c r="E301" s="24"/>
      <c r="F301" s="25" t="str">
        <f aca="false">IF($B301="","",IFERROR(IF(INDEX(명단!$B$5:$B$404,MATCH($B301,명단!$A$5:$A$404,0))="","(이름 미입력)",INDEX(명단!$B$5:$B$404,MATCH($B301,명단!$A$5:$A$404,0))),"번호 없음"))</f>
        <v/>
      </c>
    </row>
    <row r="302" customFormat="false" ht="15" hidden="false" customHeight="false" outlineLevel="0" collapsed="false">
      <c r="A302" s="23"/>
      <c r="B302" s="24"/>
      <c r="C302" s="24"/>
      <c r="D302" s="24"/>
      <c r="E302" s="24"/>
      <c r="F302" s="25" t="str">
        <f aca="false">IF($B302="","",IFERROR(IF(INDEX(명단!$B$5:$B$404,MATCH($B302,명단!$A$5:$A$404,0))="","(이름 미입력)",INDEX(명단!$B$5:$B$404,MATCH($B302,명단!$A$5:$A$404,0))),"번호 없음"))</f>
        <v/>
      </c>
    </row>
    <row r="303" customFormat="false" ht="15" hidden="false" customHeight="false" outlineLevel="0" collapsed="false">
      <c r="A303" s="23"/>
      <c r="B303" s="24"/>
      <c r="C303" s="24"/>
      <c r="D303" s="24"/>
      <c r="E303" s="24"/>
      <c r="F303" s="25" t="str">
        <f aca="false">IF($B303="","",IFERROR(IF(INDEX(명단!$B$5:$B$404,MATCH($B303,명단!$A$5:$A$404,0))="","(이름 미입력)",INDEX(명단!$B$5:$B$404,MATCH($B303,명단!$A$5:$A$404,0))),"번호 없음"))</f>
        <v/>
      </c>
    </row>
    <row r="304" customFormat="false" ht="15" hidden="false" customHeight="false" outlineLevel="0" collapsed="false">
      <c r="A304" s="23"/>
      <c r="B304" s="24"/>
      <c r="C304" s="24"/>
      <c r="D304" s="24"/>
      <c r="E304" s="24"/>
      <c r="F304" s="25" t="str">
        <f aca="false">IF($B304="","",IFERROR(IF(INDEX(명단!$B$5:$B$404,MATCH($B304,명단!$A$5:$A$404,0))="","(이름 미입력)",INDEX(명단!$B$5:$B$404,MATCH($B304,명단!$A$5:$A$404,0))),"번호 없음"))</f>
        <v/>
      </c>
    </row>
    <row r="305" customFormat="false" ht="15" hidden="false" customHeight="false" outlineLevel="0" collapsed="false">
      <c r="A305" s="23"/>
      <c r="B305" s="24"/>
      <c r="C305" s="24"/>
      <c r="D305" s="24"/>
      <c r="E305" s="24"/>
      <c r="F305" s="25" t="str">
        <f aca="false">IF($B305="","",IFERROR(IF(INDEX(명단!$B$5:$B$404,MATCH($B305,명단!$A$5:$A$404,0))="","(이름 미입력)",INDEX(명단!$B$5:$B$404,MATCH($B305,명단!$A$5:$A$404,0))),"번호 없음"))</f>
        <v/>
      </c>
    </row>
    <row r="306" customFormat="false" ht="15" hidden="false" customHeight="false" outlineLevel="0" collapsed="false">
      <c r="A306" s="23"/>
      <c r="B306" s="24"/>
      <c r="C306" s="24"/>
      <c r="D306" s="24"/>
      <c r="E306" s="24"/>
      <c r="F306" s="25" t="str">
        <f aca="false">IF($B306="","",IFERROR(IF(INDEX(명단!$B$5:$B$404,MATCH($B306,명단!$A$5:$A$404,0))="","(이름 미입력)",INDEX(명단!$B$5:$B$404,MATCH($B306,명단!$A$5:$A$404,0))),"번호 없음"))</f>
        <v/>
      </c>
    </row>
    <row r="307" customFormat="false" ht="15" hidden="false" customHeight="false" outlineLevel="0" collapsed="false">
      <c r="A307" s="23"/>
      <c r="B307" s="24"/>
      <c r="C307" s="24"/>
      <c r="D307" s="24"/>
      <c r="E307" s="24"/>
      <c r="F307" s="25" t="str">
        <f aca="false">IF($B307="","",IFERROR(IF(INDEX(명단!$B$5:$B$404,MATCH($B307,명단!$A$5:$A$404,0))="","(이름 미입력)",INDEX(명단!$B$5:$B$404,MATCH($B307,명단!$A$5:$A$404,0))),"번호 없음"))</f>
        <v/>
      </c>
    </row>
    <row r="308" customFormat="false" ht="15" hidden="false" customHeight="false" outlineLevel="0" collapsed="false">
      <c r="A308" s="23"/>
      <c r="B308" s="24"/>
      <c r="C308" s="24"/>
      <c r="D308" s="24"/>
      <c r="E308" s="24"/>
      <c r="F308" s="25" t="str">
        <f aca="false">IF($B308="","",IFERROR(IF(INDEX(명단!$B$5:$B$404,MATCH($B308,명단!$A$5:$A$404,0))="","(이름 미입력)",INDEX(명단!$B$5:$B$404,MATCH($B308,명단!$A$5:$A$404,0))),"번호 없음"))</f>
        <v/>
      </c>
    </row>
    <row r="309" customFormat="false" ht="15" hidden="false" customHeight="false" outlineLevel="0" collapsed="false">
      <c r="A309" s="23"/>
      <c r="B309" s="24"/>
      <c r="C309" s="24"/>
      <c r="D309" s="24"/>
      <c r="E309" s="24"/>
      <c r="F309" s="25" t="str">
        <f aca="false">IF($B309="","",IFERROR(IF(INDEX(명단!$B$5:$B$404,MATCH($B309,명단!$A$5:$A$404,0))="","(이름 미입력)",INDEX(명단!$B$5:$B$404,MATCH($B309,명단!$A$5:$A$404,0))),"번호 없음"))</f>
        <v/>
      </c>
    </row>
    <row r="310" customFormat="false" ht="15" hidden="false" customHeight="false" outlineLevel="0" collapsed="false">
      <c r="A310" s="23"/>
      <c r="B310" s="24"/>
      <c r="C310" s="24"/>
      <c r="D310" s="24"/>
      <c r="E310" s="24"/>
      <c r="F310" s="25" t="str">
        <f aca="false">IF($B310="","",IFERROR(IF(INDEX(명단!$B$5:$B$404,MATCH($B310,명단!$A$5:$A$404,0))="","(이름 미입력)",INDEX(명단!$B$5:$B$404,MATCH($B310,명단!$A$5:$A$404,0))),"번호 없음"))</f>
        <v/>
      </c>
    </row>
    <row r="311" customFormat="false" ht="15" hidden="false" customHeight="false" outlineLevel="0" collapsed="false">
      <c r="A311" s="23"/>
      <c r="B311" s="24"/>
      <c r="C311" s="24"/>
      <c r="D311" s="24"/>
      <c r="E311" s="24"/>
      <c r="F311" s="25" t="str">
        <f aca="false">IF($B311="","",IFERROR(IF(INDEX(명단!$B$5:$B$404,MATCH($B311,명단!$A$5:$A$404,0))="","(이름 미입력)",INDEX(명단!$B$5:$B$404,MATCH($B311,명단!$A$5:$A$404,0))),"번호 없음"))</f>
        <v/>
      </c>
    </row>
    <row r="312" customFormat="false" ht="15" hidden="false" customHeight="false" outlineLevel="0" collapsed="false">
      <c r="A312" s="23"/>
      <c r="B312" s="24"/>
      <c r="C312" s="24"/>
      <c r="D312" s="24"/>
      <c r="E312" s="24"/>
      <c r="F312" s="25" t="str">
        <f aca="false">IF($B312="","",IFERROR(IF(INDEX(명단!$B$5:$B$404,MATCH($B312,명단!$A$5:$A$404,0))="","(이름 미입력)",INDEX(명단!$B$5:$B$404,MATCH($B312,명단!$A$5:$A$404,0))),"번호 없음"))</f>
        <v/>
      </c>
    </row>
    <row r="313" customFormat="false" ht="15" hidden="false" customHeight="false" outlineLevel="0" collapsed="false">
      <c r="A313" s="23"/>
      <c r="B313" s="24"/>
      <c r="C313" s="24"/>
      <c r="D313" s="24"/>
      <c r="E313" s="24"/>
      <c r="F313" s="25" t="str">
        <f aca="false">IF($B313="","",IFERROR(IF(INDEX(명단!$B$5:$B$404,MATCH($B313,명단!$A$5:$A$404,0))="","(이름 미입력)",INDEX(명단!$B$5:$B$404,MATCH($B313,명단!$A$5:$A$404,0))),"번호 없음"))</f>
        <v/>
      </c>
    </row>
    <row r="314" customFormat="false" ht="15" hidden="false" customHeight="false" outlineLevel="0" collapsed="false">
      <c r="A314" s="23"/>
      <c r="B314" s="24"/>
      <c r="C314" s="24"/>
      <c r="D314" s="24"/>
      <c r="E314" s="24"/>
      <c r="F314" s="25" t="str">
        <f aca="false">IF($B314="","",IFERROR(IF(INDEX(명단!$B$5:$B$404,MATCH($B314,명단!$A$5:$A$404,0))="","(이름 미입력)",INDEX(명단!$B$5:$B$404,MATCH($B314,명단!$A$5:$A$404,0))),"번호 없음"))</f>
        <v/>
      </c>
    </row>
    <row r="315" customFormat="false" ht="15" hidden="false" customHeight="false" outlineLevel="0" collapsed="false">
      <c r="A315" s="23"/>
      <c r="B315" s="24"/>
      <c r="C315" s="24"/>
      <c r="D315" s="24"/>
      <c r="E315" s="24"/>
      <c r="F315" s="25" t="str">
        <f aca="false">IF($B315="","",IFERROR(IF(INDEX(명단!$B$5:$B$404,MATCH($B315,명단!$A$5:$A$404,0))="","(이름 미입력)",INDEX(명단!$B$5:$B$404,MATCH($B315,명단!$A$5:$A$404,0))),"번호 없음"))</f>
        <v/>
      </c>
    </row>
    <row r="316" customFormat="false" ht="15" hidden="false" customHeight="false" outlineLevel="0" collapsed="false">
      <c r="A316" s="23"/>
      <c r="B316" s="24"/>
      <c r="C316" s="24"/>
      <c r="D316" s="24"/>
      <c r="E316" s="24"/>
      <c r="F316" s="25" t="str">
        <f aca="false">IF($B316="","",IFERROR(IF(INDEX(명단!$B$5:$B$404,MATCH($B316,명단!$A$5:$A$404,0))="","(이름 미입력)",INDEX(명단!$B$5:$B$404,MATCH($B316,명단!$A$5:$A$404,0))),"번호 없음"))</f>
        <v/>
      </c>
    </row>
    <row r="317" customFormat="false" ht="15" hidden="false" customHeight="false" outlineLevel="0" collapsed="false">
      <c r="A317" s="23"/>
      <c r="B317" s="24"/>
      <c r="C317" s="24"/>
      <c r="D317" s="24"/>
      <c r="E317" s="24"/>
      <c r="F317" s="25" t="str">
        <f aca="false">IF($B317="","",IFERROR(IF(INDEX(명단!$B$5:$B$404,MATCH($B317,명단!$A$5:$A$404,0))="","(이름 미입력)",INDEX(명단!$B$5:$B$404,MATCH($B317,명단!$A$5:$A$404,0))),"번호 없음"))</f>
        <v/>
      </c>
    </row>
    <row r="318" customFormat="false" ht="15" hidden="false" customHeight="false" outlineLevel="0" collapsed="false">
      <c r="A318" s="23"/>
      <c r="B318" s="24"/>
      <c r="C318" s="24"/>
      <c r="D318" s="24"/>
      <c r="E318" s="24"/>
      <c r="F318" s="25" t="str">
        <f aca="false">IF($B318="","",IFERROR(IF(INDEX(명단!$B$5:$B$404,MATCH($B318,명단!$A$5:$A$404,0))="","(이름 미입력)",INDEX(명단!$B$5:$B$404,MATCH($B318,명단!$A$5:$A$404,0))),"번호 없음"))</f>
        <v/>
      </c>
    </row>
    <row r="319" customFormat="false" ht="15" hidden="false" customHeight="false" outlineLevel="0" collapsed="false">
      <c r="A319" s="23"/>
      <c r="B319" s="24"/>
      <c r="C319" s="24"/>
      <c r="D319" s="24"/>
      <c r="E319" s="24"/>
      <c r="F319" s="25" t="str">
        <f aca="false">IF($B319="","",IFERROR(IF(INDEX(명단!$B$5:$B$404,MATCH($B319,명단!$A$5:$A$404,0))="","(이름 미입력)",INDEX(명단!$B$5:$B$404,MATCH($B319,명단!$A$5:$A$404,0))),"번호 없음"))</f>
        <v/>
      </c>
    </row>
    <row r="320" customFormat="false" ht="15" hidden="false" customHeight="false" outlineLevel="0" collapsed="false">
      <c r="A320" s="23"/>
      <c r="B320" s="24"/>
      <c r="C320" s="24"/>
      <c r="D320" s="24"/>
      <c r="E320" s="24"/>
      <c r="F320" s="25" t="str">
        <f aca="false">IF($B320="","",IFERROR(IF(INDEX(명단!$B$5:$B$404,MATCH($B320,명단!$A$5:$A$404,0))="","(이름 미입력)",INDEX(명단!$B$5:$B$404,MATCH($B320,명단!$A$5:$A$404,0))),"번호 없음"))</f>
        <v/>
      </c>
    </row>
    <row r="321" customFormat="false" ht="15" hidden="false" customHeight="false" outlineLevel="0" collapsed="false">
      <c r="A321" s="23"/>
      <c r="B321" s="24"/>
      <c r="C321" s="24"/>
      <c r="D321" s="24"/>
      <c r="E321" s="24"/>
      <c r="F321" s="25" t="str">
        <f aca="false">IF($B321="","",IFERROR(IF(INDEX(명단!$B$5:$B$404,MATCH($B321,명단!$A$5:$A$404,0))="","(이름 미입력)",INDEX(명단!$B$5:$B$404,MATCH($B321,명단!$A$5:$A$404,0))),"번호 없음"))</f>
        <v/>
      </c>
    </row>
    <row r="322" customFormat="false" ht="15" hidden="false" customHeight="false" outlineLevel="0" collapsed="false">
      <c r="A322" s="23"/>
      <c r="B322" s="24"/>
      <c r="C322" s="24"/>
      <c r="D322" s="24"/>
      <c r="E322" s="24"/>
      <c r="F322" s="25" t="str">
        <f aca="false">IF($B322="","",IFERROR(IF(INDEX(명단!$B$5:$B$404,MATCH($B322,명단!$A$5:$A$404,0))="","(이름 미입력)",INDEX(명단!$B$5:$B$404,MATCH($B322,명단!$A$5:$A$404,0))),"번호 없음"))</f>
        <v/>
      </c>
    </row>
    <row r="323" customFormat="false" ht="15" hidden="false" customHeight="false" outlineLevel="0" collapsed="false">
      <c r="A323" s="23"/>
      <c r="B323" s="24"/>
      <c r="C323" s="24"/>
      <c r="D323" s="24"/>
      <c r="E323" s="24"/>
      <c r="F323" s="25" t="str">
        <f aca="false">IF($B323="","",IFERROR(IF(INDEX(명단!$B$5:$B$404,MATCH($B323,명단!$A$5:$A$404,0))="","(이름 미입력)",INDEX(명단!$B$5:$B$404,MATCH($B323,명단!$A$5:$A$404,0))),"번호 없음"))</f>
        <v/>
      </c>
    </row>
    <row r="324" customFormat="false" ht="15" hidden="false" customHeight="false" outlineLevel="0" collapsed="false">
      <c r="A324" s="23"/>
      <c r="B324" s="24"/>
      <c r="C324" s="24"/>
      <c r="D324" s="24"/>
      <c r="E324" s="24"/>
      <c r="F324" s="25" t="str">
        <f aca="false">IF($B324="","",IFERROR(IF(INDEX(명단!$B$5:$B$404,MATCH($B324,명단!$A$5:$A$404,0))="","(이름 미입력)",INDEX(명단!$B$5:$B$404,MATCH($B324,명단!$A$5:$A$404,0))),"번호 없음"))</f>
        <v/>
      </c>
    </row>
    <row r="325" customFormat="false" ht="15" hidden="false" customHeight="false" outlineLevel="0" collapsed="false">
      <c r="A325" s="23"/>
      <c r="B325" s="24"/>
      <c r="C325" s="24"/>
      <c r="D325" s="24"/>
      <c r="E325" s="24"/>
      <c r="F325" s="25" t="str">
        <f aca="false">IF($B325="","",IFERROR(IF(INDEX(명단!$B$5:$B$404,MATCH($B325,명단!$A$5:$A$404,0))="","(이름 미입력)",INDEX(명단!$B$5:$B$404,MATCH($B325,명단!$A$5:$A$404,0))),"번호 없음"))</f>
        <v/>
      </c>
    </row>
    <row r="326" customFormat="false" ht="15" hidden="false" customHeight="false" outlineLevel="0" collapsed="false">
      <c r="A326" s="23"/>
      <c r="B326" s="24"/>
      <c r="C326" s="24"/>
      <c r="D326" s="24"/>
      <c r="E326" s="24"/>
      <c r="F326" s="25" t="str">
        <f aca="false">IF($B326="","",IFERROR(IF(INDEX(명단!$B$5:$B$404,MATCH($B326,명단!$A$5:$A$404,0))="","(이름 미입력)",INDEX(명단!$B$5:$B$404,MATCH($B326,명단!$A$5:$A$404,0))),"번호 없음"))</f>
        <v/>
      </c>
    </row>
    <row r="327" customFormat="false" ht="15" hidden="false" customHeight="false" outlineLevel="0" collapsed="false">
      <c r="A327" s="23"/>
      <c r="B327" s="24"/>
      <c r="C327" s="24"/>
      <c r="D327" s="24"/>
      <c r="E327" s="24"/>
      <c r="F327" s="25" t="str">
        <f aca="false">IF($B327="","",IFERROR(IF(INDEX(명단!$B$5:$B$404,MATCH($B327,명단!$A$5:$A$404,0))="","(이름 미입력)",INDEX(명단!$B$5:$B$404,MATCH($B327,명단!$A$5:$A$404,0))),"번호 없음"))</f>
        <v/>
      </c>
    </row>
    <row r="328" customFormat="false" ht="15" hidden="false" customHeight="false" outlineLevel="0" collapsed="false">
      <c r="A328" s="23"/>
      <c r="B328" s="24"/>
      <c r="C328" s="24"/>
      <c r="D328" s="24"/>
      <c r="E328" s="24"/>
      <c r="F328" s="25" t="str">
        <f aca="false">IF($B328="","",IFERROR(IF(INDEX(명단!$B$5:$B$404,MATCH($B328,명단!$A$5:$A$404,0))="","(이름 미입력)",INDEX(명단!$B$5:$B$404,MATCH($B328,명단!$A$5:$A$404,0))),"번호 없음"))</f>
        <v/>
      </c>
    </row>
    <row r="329" customFormat="false" ht="15" hidden="false" customHeight="false" outlineLevel="0" collapsed="false">
      <c r="A329" s="23"/>
      <c r="B329" s="24"/>
      <c r="C329" s="24"/>
      <c r="D329" s="24"/>
      <c r="E329" s="24"/>
      <c r="F329" s="25" t="str">
        <f aca="false">IF($B329="","",IFERROR(IF(INDEX(명단!$B$5:$B$404,MATCH($B329,명단!$A$5:$A$404,0))="","(이름 미입력)",INDEX(명단!$B$5:$B$404,MATCH($B329,명단!$A$5:$A$404,0))),"번호 없음"))</f>
        <v/>
      </c>
    </row>
    <row r="330" customFormat="false" ht="15" hidden="false" customHeight="false" outlineLevel="0" collapsed="false">
      <c r="A330" s="23"/>
      <c r="B330" s="24"/>
      <c r="C330" s="24"/>
      <c r="D330" s="24"/>
      <c r="E330" s="24"/>
      <c r="F330" s="25" t="str">
        <f aca="false">IF($B330="","",IFERROR(IF(INDEX(명단!$B$5:$B$404,MATCH($B330,명단!$A$5:$A$404,0))="","(이름 미입력)",INDEX(명단!$B$5:$B$404,MATCH($B330,명단!$A$5:$A$404,0))),"번호 없음"))</f>
        <v/>
      </c>
    </row>
    <row r="331" customFormat="false" ht="15" hidden="false" customHeight="false" outlineLevel="0" collapsed="false">
      <c r="A331" s="23"/>
      <c r="B331" s="24"/>
      <c r="C331" s="24"/>
      <c r="D331" s="24"/>
      <c r="E331" s="24"/>
      <c r="F331" s="25" t="str">
        <f aca="false">IF($B331="","",IFERROR(IF(INDEX(명단!$B$5:$B$404,MATCH($B331,명단!$A$5:$A$404,0))="","(이름 미입력)",INDEX(명단!$B$5:$B$404,MATCH($B331,명단!$A$5:$A$404,0))),"번호 없음"))</f>
        <v/>
      </c>
    </row>
    <row r="332" customFormat="false" ht="15" hidden="false" customHeight="false" outlineLevel="0" collapsed="false">
      <c r="A332" s="23"/>
      <c r="B332" s="24"/>
      <c r="C332" s="24"/>
      <c r="D332" s="24"/>
      <c r="E332" s="24"/>
      <c r="F332" s="25" t="str">
        <f aca="false">IF($B332="","",IFERROR(IF(INDEX(명단!$B$5:$B$404,MATCH($B332,명단!$A$5:$A$404,0))="","(이름 미입력)",INDEX(명단!$B$5:$B$404,MATCH($B332,명단!$A$5:$A$404,0))),"번호 없음"))</f>
        <v/>
      </c>
    </row>
    <row r="333" customFormat="false" ht="15" hidden="false" customHeight="false" outlineLevel="0" collapsed="false">
      <c r="A333" s="23"/>
      <c r="B333" s="24"/>
      <c r="C333" s="24"/>
      <c r="D333" s="24"/>
      <c r="E333" s="24"/>
      <c r="F333" s="25" t="str">
        <f aca="false">IF($B333="","",IFERROR(IF(INDEX(명단!$B$5:$B$404,MATCH($B333,명단!$A$5:$A$404,0))="","(이름 미입력)",INDEX(명단!$B$5:$B$404,MATCH($B333,명단!$A$5:$A$404,0))),"번호 없음"))</f>
        <v/>
      </c>
    </row>
    <row r="334" customFormat="false" ht="15" hidden="false" customHeight="false" outlineLevel="0" collapsed="false">
      <c r="A334" s="23"/>
      <c r="B334" s="24"/>
      <c r="C334" s="24"/>
      <c r="D334" s="24"/>
      <c r="E334" s="24"/>
      <c r="F334" s="25" t="str">
        <f aca="false">IF($B334="","",IFERROR(IF(INDEX(명단!$B$5:$B$404,MATCH($B334,명단!$A$5:$A$404,0))="","(이름 미입력)",INDEX(명단!$B$5:$B$404,MATCH($B334,명단!$A$5:$A$404,0))),"번호 없음"))</f>
        <v/>
      </c>
    </row>
    <row r="335" customFormat="false" ht="15" hidden="false" customHeight="false" outlineLevel="0" collapsed="false">
      <c r="A335" s="23"/>
      <c r="B335" s="24"/>
      <c r="C335" s="24"/>
      <c r="D335" s="24"/>
      <c r="E335" s="24"/>
      <c r="F335" s="25" t="str">
        <f aca="false">IF($B335="","",IFERROR(IF(INDEX(명단!$B$5:$B$404,MATCH($B335,명단!$A$5:$A$404,0))="","(이름 미입력)",INDEX(명단!$B$5:$B$404,MATCH($B335,명단!$A$5:$A$404,0))),"번호 없음"))</f>
        <v/>
      </c>
    </row>
    <row r="336" customFormat="false" ht="15" hidden="false" customHeight="false" outlineLevel="0" collapsed="false">
      <c r="A336" s="23"/>
      <c r="B336" s="24"/>
      <c r="C336" s="24"/>
      <c r="D336" s="24"/>
      <c r="E336" s="24"/>
      <c r="F336" s="25" t="str">
        <f aca="false">IF($B336="","",IFERROR(IF(INDEX(명단!$B$5:$B$404,MATCH($B336,명단!$A$5:$A$404,0))="","(이름 미입력)",INDEX(명단!$B$5:$B$404,MATCH($B336,명단!$A$5:$A$404,0))),"번호 없음"))</f>
        <v/>
      </c>
    </row>
    <row r="337" customFormat="false" ht="15" hidden="false" customHeight="false" outlineLevel="0" collapsed="false">
      <c r="A337" s="23"/>
      <c r="B337" s="24"/>
      <c r="C337" s="24"/>
      <c r="D337" s="24"/>
      <c r="E337" s="24"/>
      <c r="F337" s="25" t="str">
        <f aca="false">IF($B337="","",IFERROR(IF(INDEX(명단!$B$5:$B$404,MATCH($B337,명단!$A$5:$A$404,0))="","(이름 미입력)",INDEX(명단!$B$5:$B$404,MATCH($B337,명단!$A$5:$A$404,0))),"번호 없음"))</f>
        <v/>
      </c>
    </row>
    <row r="338" customFormat="false" ht="15" hidden="false" customHeight="false" outlineLevel="0" collapsed="false">
      <c r="A338" s="23"/>
      <c r="B338" s="24"/>
      <c r="C338" s="24"/>
      <c r="D338" s="24"/>
      <c r="E338" s="24"/>
      <c r="F338" s="25" t="str">
        <f aca="false">IF($B338="","",IFERROR(IF(INDEX(명단!$B$5:$B$404,MATCH($B338,명단!$A$5:$A$404,0))="","(이름 미입력)",INDEX(명단!$B$5:$B$404,MATCH($B338,명단!$A$5:$A$404,0))),"번호 없음"))</f>
        <v/>
      </c>
    </row>
    <row r="339" customFormat="false" ht="15" hidden="false" customHeight="false" outlineLevel="0" collapsed="false">
      <c r="A339" s="23"/>
      <c r="B339" s="24"/>
      <c r="C339" s="24"/>
      <c r="D339" s="24"/>
      <c r="E339" s="24"/>
      <c r="F339" s="25" t="str">
        <f aca="false">IF($B339="","",IFERROR(IF(INDEX(명단!$B$5:$B$404,MATCH($B339,명단!$A$5:$A$404,0))="","(이름 미입력)",INDEX(명단!$B$5:$B$404,MATCH($B339,명단!$A$5:$A$404,0))),"번호 없음"))</f>
        <v/>
      </c>
    </row>
    <row r="340" customFormat="false" ht="15" hidden="false" customHeight="false" outlineLevel="0" collapsed="false">
      <c r="A340" s="23"/>
      <c r="B340" s="24"/>
      <c r="C340" s="24"/>
      <c r="D340" s="24"/>
      <c r="E340" s="24"/>
      <c r="F340" s="25" t="str">
        <f aca="false">IF($B340="","",IFERROR(IF(INDEX(명단!$B$5:$B$404,MATCH($B340,명단!$A$5:$A$404,0))="","(이름 미입력)",INDEX(명단!$B$5:$B$404,MATCH($B340,명단!$A$5:$A$404,0))),"번호 없음"))</f>
        <v/>
      </c>
    </row>
    <row r="341" customFormat="false" ht="15" hidden="false" customHeight="false" outlineLevel="0" collapsed="false">
      <c r="A341" s="23"/>
      <c r="B341" s="24"/>
      <c r="C341" s="24"/>
      <c r="D341" s="24"/>
      <c r="E341" s="24"/>
      <c r="F341" s="25" t="str">
        <f aca="false">IF($B341="","",IFERROR(IF(INDEX(명단!$B$5:$B$404,MATCH($B341,명단!$A$5:$A$404,0))="","(이름 미입력)",INDEX(명단!$B$5:$B$404,MATCH($B341,명단!$A$5:$A$404,0))),"번호 없음"))</f>
        <v/>
      </c>
    </row>
    <row r="342" customFormat="false" ht="15" hidden="false" customHeight="false" outlineLevel="0" collapsed="false">
      <c r="A342" s="23"/>
      <c r="B342" s="24"/>
      <c r="C342" s="24"/>
      <c r="D342" s="24"/>
      <c r="E342" s="24"/>
      <c r="F342" s="25" t="str">
        <f aca="false">IF($B342="","",IFERROR(IF(INDEX(명단!$B$5:$B$404,MATCH($B342,명단!$A$5:$A$404,0))="","(이름 미입력)",INDEX(명단!$B$5:$B$404,MATCH($B342,명단!$A$5:$A$404,0))),"번호 없음"))</f>
        <v/>
      </c>
    </row>
    <row r="343" customFormat="false" ht="15" hidden="false" customHeight="false" outlineLevel="0" collapsed="false">
      <c r="A343" s="23"/>
      <c r="B343" s="24"/>
      <c r="C343" s="24"/>
      <c r="D343" s="24"/>
      <c r="E343" s="24"/>
      <c r="F343" s="25" t="str">
        <f aca="false">IF($B343="","",IFERROR(IF(INDEX(명단!$B$5:$B$404,MATCH($B343,명단!$A$5:$A$404,0))="","(이름 미입력)",INDEX(명단!$B$5:$B$404,MATCH($B343,명단!$A$5:$A$404,0))),"번호 없음"))</f>
        <v/>
      </c>
    </row>
    <row r="344" customFormat="false" ht="15" hidden="false" customHeight="false" outlineLevel="0" collapsed="false">
      <c r="A344" s="23"/>
      <c r="B344" s="24"/>
      <c r="C344" s="24"/>
      <c r="D344" s="24"/>
      <c r="E344" s="24"/>
      <c r="F344" s="25" t="str">
        <f aca="false">IF($B344="","",IFERROR(IF(INDEX(명단!$B$5:$B$404,MATCH($B344,명단!$A$5:$A$404,0))="","(이름 미입력)",INDEX(명단!$B$5:$B$404,MATCH($B344,명단!$A$5:$A$404,0))),"번호 없음"))</f>
        <v/>
      </c>
    </row>
    <row r="345" customFormat="false" ht="15" hidden="false" customHeight="false" outlineLevel="0" collapsed="false">
      <c r="A345" s="23"/>
      <c r="B345" s="24"/>
      <c r="C345" s="24"/>
      <c r="D345" s="24"/>
      <c r="E345" s="24"/>
      <c r="F345" s="25" t="str">
        <f aca="false">IF($B345="","",IFERROR(IF(INDEX(명단!$B$5:$B$404,MATCH($B345,명단!$A$5:$A$404,0))="","(이름 미입력)",INDEX(명단!$B$5:$B$404,MATCH($B345,명단!$A$5:$A$404,0))),"번호 없음"))</f>
        <v/>
      </c>
    </row>
    <row r="346" customFormat="false" ht="15" hidden="false" customHeight="false" outlineLevel="0" collapsed="false">
      <c r="A346" s="23"/>
      <c r="B346" s="24"/>
      <c r="C346" s="24"/>
      <c r="D346" s="24"/>
      <c r="E346" s="24"/>
      <c r="F346" s="25" t="str">
        <f aca="false">IF($B346="","",IFERROR(IF(INDEX(명단!$B$5:$B$404,MATCH($B346,명단!$A$5:$A$404,0))="","(이름 미입력)",INDEX(명단!$B$5:$B$404,MATCH($B346,명단!$A$5:$A$404,0))),"번호 없음"))</f>
        <v/>
      </c>
    </row>
    <row r="347" customFormat="false" ht="15" hidden="false" customHeight="false" outlineLevel="0" collapsed="false">
      <c r="A347" s="23"/>
      <c r="B347" s="24"/>
      <c r="C347" s="24"/>
      <c r="D347" s="24"/>
      <c r="E347" s="24"/>
      <c r="F347" s="25" t="str">
        <f aca="false">IF($B347="","",IFERROR(IF(INDEX(명단!$B$5:$B$404,MATCH($B347,명단!$A$5:$A$404,0))="","(이름 미입력)",INDEX(명단!$B$5:$B$404,MATCH($B347,명단!$A$5:$A$404,0))),"번호 없음"))</f>
        <v/>
      </c>
    </row>
    <row r="348" customFormat="false" ht="15" hidden="false" customHeight="false" outlineLevel="0" collapsed="false">
      <c r="A348" s="23"/>
      <c r="B348" s="24"/>
      <c r="C348" s="24"/>
      <c r="D348" s="24"/>
      <c r="E348" s="24"/>
      <c r="F348" s="25" t="str">
        <f aca="false">IF($B348="","",IFERROR(IF(INDEX(명단!$B$5:$B$404,MATCH($B348,명단!$A$5:$A$404,0))="","(이름 미입력)",INDEX(명단!$B$5:$B$404,MATCH($B348,명단!$A$5:$A$404,0))),"번호 없음"))</f>
        <v/>
      </c>
    </row>
    <row r="349" customFormat="false" ht="15" hidden="false" customHeight="false" outlineLevel="0" collapsed="false">
      <c r="A349" s="23"/>
      <c r="B349" s="24"/>
      <c r="C349" s="24"/>
      <c r="D349" s="24"/>
      <c r="E349" s="24"/>
      <c r="F349" s="25" t="str">
        <f aca="false">IF($B349="","",IFERROR(IF(INDEX(명단!$B$5:$B$404,MATCH($B349,명단!$A$5:$A$404,0))="","(이름 미입력)",INDEX(명단!$B$5:$B$404,MATCH($B349,명단!$A$5:$A$404,0))),"번호 없음"))</f>
        <v/>
      </c>
    </row>
    <row r="350" customFormat="false" ht="15" hidden="false" customHeight="false" outlineLevel="0" collapsed="false">
      <c r="A350" s="23"/>
      <c r="B350" s="24"/>
      <c r="C350" s="24"/>
      <c r="D350" s="24"/>
      <c r="E350" s="24"/>
      <c r="F350" s="25" t="str">
        <f aca="false">IF($B350="","",IFERROR(IF(INDEX(명단!$B$5:$B$404,MATCH($B350,명단!$A$5:$A$404,0))="","(이름 미입력)",INDEX(명단!$B$5:$B$404,MATCH($B350,명단!$A$5:$A$404,0))),"번호 없음"))</f>
        <v/>
      </c>
    </row>
    <row r="351" customFormat="false" ht="15" hidden="false" customHeight="false" outlineLevel="0" collapsed="false">
      <c r="A351" s="23"/>
      <c r="B351" s="24"/>
      <c r="C351" s="24"/>
      <c r="D351" s="24"/>
      <c r="E351" s="24"/>
      <c r="F351" s="25" t="str">
        <f aca="false">IF($B351="","",IFERROR(IF(INDEX(명단!$B$5:$B$404,MATCH($B351,명단!$A$5:$A$404,0))="","(이름 미입력)",INDEX(명단!$B$5:$B$404,MATCH($B351,명단!$A$5:$A$404,0))),"번호 없음"))</f>
        <v/>
      </c>
    </row>
    <row r="352" customFormat="false" ht="15" hidden="false" customHeight="false" outlineLevel="0" collapsed="false">
      <c r="A352" s="23"/>
      <c r="B352" s="24"/>
      <c r="C352" s="24"/>
      <c r="D352" s="24"/>
      <c r="E352" s="24"/>
      <c r="F352" s="25" t="str">
        <f aca="false">IF($B352="","",IFERROR(IF(INDEX(명단!$B$5:$B$404,MATCH($B352,명단!$A$5:$A$404,0))="","(이름 미입력)",INDEX(명단!$B$5:$B$404,MATCH($B352,명단!$A$5:$A$404,0))),"번호 없음"))</f>
        <v/>
      </c>
    </row>
    <row r="353" customFormat="false" ht="15" hidden="false" customHeight="false" outlineLevel="0" collapsed="false">
      <c r="A353" s="23"/>
      <c r="B353" s="24"/>
      <c r="C353" s="24"/>
      <c r="D353" s="24"/>
      <c r="E353" s="24"/>
      <c r="F353" s="25" t="str">
        <f aca="false">IF($B353="","",IFERROR(IF(INDEX(명단!$B$5:$B$404,MATCH($B353,명단!$A$5:$A$404,0))="","(이름 미입력)",INDEX(명단!$B$5:$B$404,MATCH($B353,명단!$A$5:$A$404,0))),"번호 없음"))</f>
        <v/>
      </c>
    </row>
    <row r="354" customFormat="false" ht="15" hidden="false" customHeight="false" outlineLevel="0" collapsed="false">
      <c r="A354" s="23"/>
      <c r="B354" s="24"/>
      <c r="C354" s="24"/>
      <c r="D354" s="24"/>
      <c r="E354" s="24"/>
      <c r="F354" s="25" t="str">
        <f aca="false">IF($B354="","",IFERROR(IF(INDEX(명단!$B$5:$B$404,MATCH($B354,명단!$A$5:$A$404,0))="","(이름 미입력)",INDEX(명단!$B$5:$B$404,MATCH($B354,명단!$A$5:$A$404,0))),"번호 없음"))</f>
        <v/>
      </c>
    </row>
    <row r="355" customFormat="false" ht="15" hidden="false" customHeight="false" outlineLevel="0" collapsed="false">
      <c r="A355" s="23"/>
      <c r="B355" s="24"/>
      <c r="C355" s="24"/>
      <c r="D355" s="24"/>
      <c r="E355" s="24"/>
      <c r="F355" s="25" t="str">
        <f aca="false">IF($B355="","",IFERROR(IF(INDEX(명단!$B$5:$B$404,MATCH($B355,명단!$A$5:$A$404,0))="","(이름 미입력)",INDEX(명단!$B$5:$B$404,MATCH($B355,명단!$A$5:$A$404,0))),"번호 없음"))</f>
        <v/>
      </c>
    </row>
    <row r="356" customFormat="false" ht="15" hidden="false" customHeight="false" outlineLevel="0" collapsed="false">
      <c r="A356" s="23"/>
      <c r="B356" s="24"/>
      <c r="C356" s="24"/>
      <c r="D356" s="24"/>
      <c r="E356" s="24"/>
      <c r="F356" s="25" t="str">
        <f aca="false">IF($B356="","",IFERROR(IF(INDEX(명단!$B$5:$B$404,MATCH($B356,명단!$A$5:$A$404,0))="","(이름 미입력)",INDEX(명단!$B$5:$B$404,MATCH($B356,명단!$A$5:$A$404,0))),"번호 없음"))</f>
        <v/>
      </c>
    </row>
    <row r="357" customFormat="false" ht="15" hidden="false" customHeight="false" outlineLevel="0" collapsed="false">
      <c r="A357" s="23"/>
      <c r="B357" s="24"/>
      <c r="C357" s="24"/>
      <c r="D357" s="24"/>
      <c r="E357" s="24"/>
      <c r="F357" s="25" t="str">
        <f aca="false">IF($B357="","",IFERROR(IF(INDEX(명단!$B$5:$B$404,MATCH($B357,명단!$A$5:$A$404,0))="","(이름 미입력)",INDEX(명단!$B$5:$B$404,MATCH($B357,명단!$A$5:$A$404,0))),"번호 없음"))</f>
        <v/>
      </c>
    </row>
    <row r="358" customFormat="false" ht="15" hidden="false" customHeight="false" outlineLevel="0" collapsed="false">
      <c r="A358" s="23"/>
      <c r="B358" s="24"/>
      <c r="C358" s="24"/>
      <c r="D358" s="24"/>
      <c r="E358" s="24"/>
      <c r="F358" s="25" t="str">
        <f aca="false">IF($B358="","",IFERROR(IF(INDEX(명단!$B$5:$B$404,MATCH($B358,명단!$A$5:$A$404,0))="","(이름 미입력)",INDEX(명단!$B$5:$B$404,MATCH($B358,명단!$A$5:$A$404,0))),"번호 없음"))</f>
        <v/>
      </c>
    </row>
    <row r="359" customFormat="false" ht="15" hidden="false" customHeight="false" outlineLevel="0" collapsed="false">
      <c r="A359" s="23"/>
      <c r="B359" s="24"/>
      <c r="C359" s="24"/>
      <c r="D359" s="24"/>
      <c r="E359" s="24"/>
      <c r="F359" s="25" t="str">
        <f aca="false">IF($B359="","",IFERROR(IF(INDEX(명단!$B$5:$B$404,MATCH($B359,명단!$A$5:$A$404,0))="","(이름 미입력)",INDEX(명단!$B$5:$B$404,MATCH($B359,명단!$A$5:$A$404,0))),"번호 없음"))</f>
        <v/>
      </c>
    </row>
    <row r="360" customFormat="false" ht="15" hidden="false" customHeight="false" outlineLevel="0" collapsed="false">
      <c r="A360" s="23"/>
      <c r="B360" s="24"/>
      <c r="C360" s="24"/>
      <c r="D360" s="24"/>
      <c r="E360" s="24"/>
      <c r="F360" s="25" t="str">
        <f aca="false">IF($B360="","",IFERROR(IF(INDEX(명단!$B$5:$B$404,MATCH($B360,명단!$A$5:$A$404,0))="","(이름 미입력)",INDEX(명단!$B$5:$B$404,MATCH($B360,명단!$A$5:$A$404,0))),"번호 없음"))</f>
        <v/>
      </c>
    </row>
    <row r="361" customFormat="false" ht="15" hidden="false" customHeight="false" outlineLevel="0" collapsed="false">
      <c r="A361" s="23"/>
      <c r="B361" s="24"/>
      <c r="C361" s="24"/>
      <c r="D361" s="24"/>
      <c r="E361" s="24"/>
      <c r="F361" s="25" t="str">
        <f aca="false">IF($B361="","",IFERROR(IF(INDEX(명단!$B$5:$B$404,MATCH($B361,명단!$A$5:$A$404,0))="","(이름 미입력)",INDEX(명단!$B$5:$B$404,MATCH($B361,명단!$A$5:$A$404,0))),"번호 없음"))</f>
        <v/>
      </c>
    </row>
    <row r="362" customFormat="false" ht="15" hidden="false" customHeight="false" outlineLevel="0" collapsed="false">
      <c r="A362" s="23"/>
      <c r="B362" s="24"/>
      <c r="C362" s="24"/>
      <c r="D362" s="24"/>
      <c r="E362" s="24"/>
      <c r="F362" s="25" t="str">
        <f aca="false">IF($B362="","",IFERROR(IF(INDEX(명단!$B$5:$B$404,MATCH($B362,명단!$A$5:$A$404,0))="","(이름 미입력)",INDEX(명단!$B$5:$B$404,MATCH($B362,명단!$A$5:$A$404,0))),"번호 없음"))</f>
        <v/>
      </c>
    </row>
    <row r="363" customFormat="false" ht="15" hidden="false" customHeight="false" outlineLevel="0" collapsed="false">
      <c r="A363" s="23"/>
      <c r="B363" s="24"/>
      <c r="C363" s="24"/>
      <c r="D363" s="24"/>
      <c r="E363" s="24"/>
      <c r="F363" s="25" t="str">
        <f aca="false">IF($B363="","",IFERROR(IF(INDEX(명단!$B$5:$B$404,MATCH($B363,명단!$A$5:$A$404,0))="","(이름 미입력)",INDEX(명단!$B$5:$B$404,MATCH($B363,명단!$A$5:$A$404,0))),"번호 없음"))</f>
        <v/>
      </c>
    </row>
    <row r="364" customFormat="false" ht="15" hidden="false" customHeight="false" outlineLevel="0" collapsed="false">
      <c r="A364" s="23"/>
      <c r="B364" s="24"/>
      <c r="C364" s="24"/>
      <c r="D364" s="24"/>
      <c r="E364" s="24"/>
      <c r="F364" s="25" t="str">
        <f aca="false">IF($B364="","",IFERROR(IF(INDEX(명단!$B$5:$B$404,MATCH($B364,명단!$A$5:$A$404,0))="","(이름 미입력)",INDEX(명단!$B$5:$B$404,MATCH($B364,명단!$A$5:$A$404,0))),"번호 없음"))</f>
        <v/>
      </c>
    </row>
    <row r="365" customFormat="false" ht="15" hidden="false" customHeight="false" outlineLevel="0" collapsed="false">
      <c r="A365" s="23"/>
      <c r="B365" s="24"/>
      <c r="C365" s="24"/>
      <c r="D365" s="24"/>
      <c r="E365" s="24"/>
      <c r="F365" s="25" t="str">
        <f aca="false">IF($B365="","",IFERROR(IF(INDEX(명단!$B$5:$B$404,MATCH($B365,명단!$A$5:$A$404,0))="","(이름 미입력)",INDEX(명단!$B$5:$B$404,MATCH($B365,명단!$A$5:$A$404,0))),"번호 없음"))</f>
        <v/>
      </c>
    </row>
    <row r="366" customFormat="false" ht="15" hidden="false" customHeight="false" outlineLevel="0" collapsed="false">
      <c r="A366" s="23"/>
      <c r="B366" s="24"/>
      <c r="C366" s="24"/>
      <c r="D366" s="24"/>
      <c r="E366" s="24"/>
      <c r="F366" s="25" t="str">
        <f aca="false">IF($B366="","",IFERROR(IF(INDEX(명단!$B$5:$B$404,MATCH($B366,명단!$A$5:$A$404,0))="","(이름 미입력)",INDEX(명단!$B$5:$B$404,MATCH($B366,명단!$A$5:$A$404,0))),"번호 없음"))</f>
        <v/>
      </c>
    </row>
    <row r="367" customFormat="false" ht="15" hidden="false" customHeight="false" outlineLevel="0" collapsed="false">
      <c r="A367" s="23"/>
      <c r="B367" s="24"/>
      <c r="C367" s="24"/>
      <c r="D367" s="24"/>
      <c r="E367" s="24"/>
      <c r="F367" s="25" t="str">
        <f aca="false">IF($B367="","",IFERROR(IF(INDEX(명단!$B$5:$B$404,MATCH($B367,명단!$A$5:$A$404,0))="","(이름 미입력)",INDEX(명단!$B$5:$B$404,MATCH($B367,명단!$A$5:$A$404,0))),"번호 없음"))</f>
        <v/>
      </c>
    </row>
    <row r="368" customFormat="false" ht="15" hidden="false" customHeight="false" outlineLevel="0" collapsed="false">
      <c r="A368" s="23"/>
      <c r="B368" s="24"/>
      <c r="C368" s="24"/>
      <c r="D368" s="24"/>
      <c r="E368" s="24"/>
      <c r="F368" s="25" t="str">
        <f aca="false">IF($B368="","",IFERROR(IF(INDEX(명단!$B$5:$B$404,MATCH($B368,명단!$A$5:$A$404,0))="","(이름 미입력)",INDEX(명단!$B$5:$B$404,MATCH($B368,명단!$A$5:$A$404,0))),"번호 없음"))</f>
        <v/>
      </c>
    </row>
    <row r="369" customFormat="false" ht="15" hidden="false" customHeight="false" outlineLevel="0" collapsed="false">
      <c r="A369" s="23"/>
      <c r="B369" s="24"/>
      <c r="C369" s="24"/>
      <c r="D369" s="24"/>
      <c r="E369" s="24"/>
      <c r="F369" s="25" t="str">
        <f aca="false">IF($B369="","",IFERROR(IF(INDEX(명단!$B$5:$B$404,MATCH($B369,명단!$A$5:$A$404,0))="","(이름 미입력)",INDEX(명단!$B$5:$B$404,MATCH($B369,명단!$A$5:$A$404,0))),"번호 없음"))</f>
        <v/>
      </c>
    </row>
    <row r="370" customFormat="false" ht="15" hidden="false" customHeight="false" outlineLevel="0" collapsed="false">
      <c r="A370" s="23"/>
      <c r="B370" s="24"/>
      <c r="C370" s="24"/>
      <c r="D370" s="24"/>
      <c r="E370" s="24"/>
      <c r="F370" s="25" t="str">
        <f aca="false">IF($B370="","",IFERROR(IF(INDEX(명단!$B$5:$B$404,MATCH($B370,명단!$A$5:$A$404,0))="","(이름 미입력)",INDEX(명단!$B$5:$B$404,MATCH($B370,명단!$A$5:$A$404,0))),"번호 없음"))</f>
        <v/>
      </c>
    </row>
    <row r="371" customFormat="false" ht="15" hidden="false" customHeight="false" outlineLevel="0" collapsed="false">
      <c r="A371" s="23"/>
      <c r="B371" s="24"/>
      <c r="C371" s="24"/>
      <c r="D371" s="24"/>
      <c r="E371" s="24"/>
      <c r="F371" s="25" t="str">
        <f aca="false">IF($B371="","",IFERROR(IF(INDEX(명단!$B$5:$B$404,MATCH($B371,명단!$A$5:$A$404,0))="","(이름 미입력)",INDEX(명단!$B$5:$B$404,MATCH($B371,명단!$A$5:$A$404,0))),"번호 없음"))</f>
        <v/>
      </c>
    </row>
    <row r="372" customFormat="false" ht="15" hidden="false" customHeight="false" outlineLevel="0" collapsed="false">
      <c r="A372" s="23"/>
      <c r="B372" s="24"/>
      <c r="C372" s="24"/>
      <c r="D372" s="24"/>
      <c r="E372" s="24"/>
      <c r="F372" s="25" t="str">
        <f aca="false">IF($B372="","",IFERROR(IF(INDEX(명단!$B$5:$B$404,MATCH($B372,명단!$A$5:$A$404,0))="","(이름 미입력)",INDEX(명단!$B$5:$B$404,MATCH($B372,명단!$A$5:$A$404,0))),"번호 없음"))</f>
        <v/>
      </c>
    </row>
    <row r="373" customFormat="false" ht="15" hidden="false" customHeight="false" outlineLevel="0" collapsed="false">
      <c r="A373" s="23"/>
      <c r="B373" s="24"/>
      <c r="C373" s="24"/>
      <c r="D373" s="24"/>
      <c r="E373" s="24"/>
      <c r="F373" s="25" t="str">
        <f aca="false">IF($B373="","",IFERROR(IF(INDEX(명단!$B$5:$B$404,MATCH($B373,명단!$A$5:$A$404,0))="","(이름 미입력)",INDEX(명단!$B$5:$B$404,MATCH($B373,명단!$A$5:$A$404,0))),"번호 없음"))</f>
        <v/>
      </c>
    </row>
    <row r="374" customFormat="false" ht="15" hidden="false" customHeight="false" outlineLevel="0" collapsed="false">
      <c r="A374" s="23"/>
      <c r="B374" s="24"/>
      <c r="C374" s="24"/>
      <c r="D374" s="24"/>
      <c r="E374" s="24"/>
      <c r="F374" s="25" t="str">
        <f aca="false">IF($B374="","",IFERROR(IF(INDEX(명단!$B$5:$B$404,MATCH($B374,명단!$A$5:$A$404,0))="","(이름 미입력)",INDEX(명단!$B$5:$B$404,MATCH($B374,명단!$A$5:$A$404,0))),"번호 없음"))</f>
        <v/>
      </c>
    </row>
    <row r="375" customFormat="false" ht="15" hidden="false" customHeight="false" outlineLevel="0" collapsed="false">
      <c r="A375" s="23"/>
      <c r="B375" s="24"/>
      <c r="C375" s="24"/>
      <c r="D375" s="24"/>
      <c r="E375" s="24"/>
      <c r="F375" s="25" t="str">
        <f aca="false">IF($B375="","",IFERROR(IF(INDEX(명단!$B$5:$B$404,MATCH($B375,명단!$A$5:$A$404,0))="","(이름 미입력)",INDEX(명단!$B$5:$B$404,MATCH($B375,명단!$A$5:$A$404,0))),"번호 없음"))</f>
        <v/>
      </c>
    </row>
    <row r="376" customFormat="false" ht="15" hidden="false" customHeight="false" outlineLevel="0" collapsed="false">
      <c r="A376" s="23"/>
      <c r="B376" s="24"/>
      <c r="C376" s="24"/>
      <c r="D376" s="24"/>
      <c r="E376" s="24"/>
      <c r="F376" s="25" t="str">
        <f aca="false">IF($B376="","",IFERROR(IF(INDEX(명단!$B$5:$B$404,MATCH($B376,명단!$A$5:$A$404,0))="","(이름 미입력)",INDEX(명단!$B$5:$B$404,MATCH($B376,명단!$A$5:$A$404,0))),"번호 없음"))</f>
        <v/>
      </c>
    </row>
    <row r="377" customFormat="false" ht="15" hidden="false" customHeight="false" outlineLevel="0" collapsed="false">
      <c r="A377" s="23"/>
      <c r="B377" s="24"/>
      <c r="C377" s="24"/>
      <c r="D377" s="24"/>
      <c r="E377" s="24"/>
      <c r="F377" s="25" t="str">
        <f aca="false">IF($B377="","",IFERROR(IF(INDEX(명단!$B$5:$B$404,MATCH($B377,명단!$A$5:$A$404,0))="","(이름 미입력)",INDEX(명단!$B$5:$B$404,MATCH($B377,명단!$A$5:$A$404,0))),"번호 없음"))</f>
        <v/>
      </c>
    </row>
    <row r="378" customFormat="false" ht="15" hidden="false" customHeight="false" outlineLevel="0" collapsed="false">
      <c r="A378" s="23"/>
      <c r="B378" s="24"/>
      <c r="C378" s="24"/>
      <c r="D378" s="24"/>
      <c r="E378" s="24"/>
      <c r="F378" s="25" t="str">
        <f aca="false">IF($B378="","",IFERROR(IF(INDEX(명단!$B$5:$B$404,MATCH($B378,명단!$A$5:$A$404,0))="","(이름 미입력)",INDEX(명단!$B$5:$B$404,MATCH($B378,명단!$A$5:$A$404,0))),"번호 없음"))</f>
        <v/>
      </c>
    </row>
    <row r="379" customFormat="false" ht="15" hidden="false" customHeight="false" outlineLevel="0" collapsed="false">
      <c r="A379" s="23"/>
      <c r="B379" s="24"/>
      <c r="C379" s="24"/>
      <c r="D379" s="24"/>
      <c r="E379" s="24"/>
      <c r="F379" s="25" t="str">
        <f aca="false">IF($B379="","",IFERROR(IF(INDEX(명단!$B$5:$B$404,MATCH($B379,명단!$A$5:$A$404,0))="","(이름 미입력)",INDEX(명단!$B$5:$B$404,MATCH($B379,명단!$A$5:$A$404,0))),"번호 없음"))</f>
        <v/>
      </c>
    </row>
    <row r="380" customFormat="false" ht="15" hidden="false" customHeight="false" outlineLevel="0" collapsed="false">
      <c r="A380" s="23"/>
      <c r="B380" s="24"/>
      <c r="C380" s="24"/>
      <c r="D380" s="24"/>
      <c r="E380" s="24"/>
      <c r="F380" s="25" t="str">
        <f aca="false">IF($B380="","",IFERROR(IF(INDEX(명단!$B$5:$B$404,MATCH($B380,명단!$A$5:$A$404,0))="","(이름 미입력)",INDEX(명단!$B$5:$B$404,MATCH($B380,명단!$A$5:$A$404,0))),"번호 없음"))</f>
        <v/>
      </c>
    </row>
    <row r="381" customFormat="false" ht="15" hidden="false" customHeight="false" outlineLevel="0" collapsed="false">
      <c r="A381" s="23"/>
      <c r="B381" s="24"/>
      <c r="C381" s="24"/>
      <c r="D381" s="24"/>
      <c r="E381" s="24"/>
      <c r="F381" s="25" t="str">
        <f aca="false">IF($B381="","",IFERROR(IF(INDEX(명단!$B$5:$B$404,MATCH($B381,명단!$A$5:$A$404,0))="","(이름 미입력)",INDEX(명단!$B$5:$B$404,MATCH($B381,명단!$A$5:$A$404,0))),"번호 없음"))</f>
        <v/>
      </c>
    </row>
    <row r="382" customFormat="false" ht="15" hidden="false" customHeight="false" outlineLevel="0" collapsed="false">
      <c r="A382" s="23"/>
      <c r="B382" s="24"/>
      <c r="C382" s="24"/>
      <c r="D382" s="24"/>
      <c r="E382" s="24"/>
      <c r="F382" s="25" t="str">
        <f aca="false">IF($B382="","",IFERROR(IF(INDEX(명단!$B$5:$B$404,MATCH($B382,명단!$A$5:$A$404,0))="","(이름 미입력)",INDEX(명단!$B$5:$B$404,MATCH($B382,명단!$A$5:$A$404,0))),"번호 없음"))</f>
        <v/>
      </c>
    </row>
    <row r="383" customFormat="false" ht="15" hidden="false" customHeight="false" outlineLevel="0" collapsed="false">
      <c r="A383" s="23"/>
      <c r="B383" s="24"/>
      <c r="C383" s="24"/>
      <c r="D383" s="24"/>
      <c r="E383" s="24"/>
      <c r="F383" s="25" t="str">
        <f aca="false">IF($B383="","",IFERROR(IF(INDEX(명단!$B$5:$B$404,MATCH($B383,명단!$A$5:$A$404,0))="","(이름 미입력)",INDEX(명단!$B$5:$B$404,MATCH($B383,명단!$A$5:$A$404,0))),"번호 없음"))</f>
        <v/>
      </c>
    </row>
    <row r="384" customFormat="false" ht="15" hidden="false" customHeight="false" outlineLevel="0" collapsed="false">
      <c r="A384" s="23"/>
      <c r="B384" s="24"/>
      <c r="C384" s="24"/>
      <c r="D384" s="24"/>
      <c r="E384" s="24"/>
      <c r="F384" s="25" t="str">
        <f aca="false">IF($B384="","",IFERROR(IF(INDEX(명단!$B$5:$B$404,MATCH($B384,명단!$A$5:$A$404,0))="","(이름 미입력)",INDEX(명단!$B$5:$B$404,MATCH($B384,명단!$A$5:$A$404,0))),"번호 없음"))</f>
        <v/>
      </c>
    </row>
    <row r="385" customFormat="false" ht="15" hidden="false" customHeight="false" outlineLevel="0" collapsed="false">
      <c r="A385" s="23"/>
      <c r="B385" s="24"/>
      <c r="C385" s="24"/>
      <c r="D385" s="24"/>
      <c r="E385" s="24"/>
      <c r="F385" s="25" t="str">
        <f aca="false">IF($B385="","",IFERROR(IF(INDEX(명단!$B$5:$B$404,MATCH($B385,명단!$A$5:$A$404,0))="","(이름 미입력)",INDEX(명단!$B$5:$B$404,MATCH($B385,명단!$A$5:$A$404,0))),"번호 없음"))</f>
        <v/>
      </c>
    </row>
    <row r="386" customFormat="false" ht="15" hidden="false" customHeight="false" outlineLevel="0" collapsed="false">
      <c r="A386" s="23"/>
      <c r="B386" s="24"/>
      <c r="C386" s="24"/>
      <c r="D386" s="24"/>
      <c r="E386" s="24"/>
      <c r="F386" s="25" t="str">
        <f aca="false">IF($B386="","",IFERROR(IF(INDEX(명단!$B$5:$B$404,MATCH($B386,명단!$A$5:$A$404,0))="","(이름 미입력)",INDEX(명단!$B$5:$B$404,MATCH($B386,명단!$A$5:$A$404,0))),"번호 없음"))</f>
        <v/>
      </c>
    </row>
    <row r="387" customFormat="false" ht="15" hidden="false" customHeight="false" outlineLevel="0" collapsed="false">
      <c r="A387" s="23"/>
      <c r="B387" s="24"/>
      <c r="C387" s="24"/>
      <c r="D387" s="24"/>
      <c r="E387" s="24"/>
      <c r="F387" s="25" t="str">
        <f aca="false">IF($B387="","",IFERROR(IF(INDEX(명단!$B$5:$B$404,MATCH($B387,명단!$A$5:$A$404,0))="","(이름 미입력)",INDEX(명단!$B$5:$B$404,MATCH($B387,명단!$A$5:$A$404,0))),"번호 없음"))</f>
        <v/>
      </c>
    </row>
    <row r="388" customFormat="false" ht="15" hidden="false" customHeight="false" outlineLevel="0" collapsed="false">
      <c r="A388" s="23"/>
      <c r="B388" s="24"/>
      <c r="C388" s="24"/>
      <c r="D388" s="24"/>
      <c r="E388" s="24"/>
      <c r="F388" s="25" t="str">
        <f aca="false">IF($B388="","",IFERROR(IF(INDEX(명단!$B$5:$B$404,MATCH($B388,명단!$A$5:$A$404,0))="","(이름 미입력)",INDEX(명단!$B$5:$B$404,MATCH($B388,명단!$A$5:$A$404,0))),"번호 없음"))</f>
        <v/>
      </c>
    </row>
    <row r="389" customFormat="false" ht="15" hidden="false" customHeight="false" outlineLevel="0" collapsed="false">
      <c r="A389" s="23"/>
      <c r="B389" s="24"/>
      <c r="C389" s="24"/>
      <c r="D389" s="24"/>
      <c r="E389" s="24"/>
      <c r="F389" s="25" t="str">
        <f aca="false">IF($B389="","",IFERROR(IF(INDEX(명단!$B$5:$B$404,MATCH($B389,명단!$A$5:$A$404,0))="","(이름 미입력)",INDEX(명단!$B$5:$B$404,MATCH($B389,명단!$A$5:$A$404,0))),"번호 없음"))</f>
        <v/>
      </c>
    </row>
    <row r="390" customFormat="false" ht="15" hidden="false" customHeight="false" outlineLevel="0" collapsed="false">
      <c r="A390" s="23"/>
      <c r="B390" s="24"/>
      <c r="C390" s="24"/>
      <c r="D390" s="24"/>
      <c r="E390" s="24"/>
      <c r="F390" s="25" t="str">
        <f aca="false">IF($B390="","",IFERROR(IF(INDEX(명단!$B$5:$B$404,MATCH($B390,명단!$A$5:$A$404,0))="","(이름 미입력)",INDEX(명단!$B$5:$B$404,MATCH($B390,명단!$A$5:$A$404,0))),"번호 없음"))</f>
        <v/>
      </c>
    </row>
    <row r="391" customFormat="false" ht="15" hidden="false" customHeight="false" outlineLevel="0" collapsed="false">
      <c r="A391" s="23"/>
      <c r="B391" s="24"/>
      <c r="C391" s="24"/>
      <c r="D391" s="24"/>
      <c r="E391" s="24"/>
      <c r="F391" s="25" t="str">
        <f aca="false">IF($B391="","",IFERROR(IF(INDEX(명단!$B$5:$B$404,MATCH($B391,명단!$A$5:$A$404,0))="","(이름 미입력)",INDEX(명단!$B$5:$B$404,MATCH($B391,명단!$A$5:$A$404,0))),"번호 없음"))</f>
        <v/>
      </c>
    </row>
    <row r="392" customFormat="false" ht="15" hidden="false" customHeight="false" outlineLevel="0" collapsed="false">
      <c r="A392" s="23"/>
      <c r="B392" s="24"/>
      <c r="C392" s="24"/>
      <c r="D392" s="24"/>
      <c r="E392" s="24"/>
      <c r="F392" s="25" t="str">
        <f aca="false">IF($B392="","",IFERROR(IF(INDEX(명단!$B$5:$B$404,MATCH($B392,명단!$A$5:$A$404,0))="","(이름 미입력)",INDEX(명단!$B$5:$B$404,MATCH($B392,명단!$A$5:$A$404,0))),"번호 없음"))</f>
        <v/>
      </c>
    </row>
    <row r="393" customFormat="false" ht="15" hidden="false" customHeight="false" outlineLevel="0" collapsed="false">
      <c r="A393" s="23"/>
      <c r="B393" s="24"/>
      <c r="C393" s="24"/>
      <c r="D393" s="24"/>
      <c r="E393" s="24"/>
      <c r="F393" s="25" t="str">
        <f aca="false">IF($B393="","",IFERROR(IF(INDEX(명단!$B$5:$B$404,MATCH($B393,명단!$A$5:$A$404,0))="","(이름 미입력)",INDEX(명단!$B$5:$B$404,MATCH($B393,명단!$A$5:$A$404,0))),"번호 없음"))</f>
        <v/>
      </c>
    </row>
    <row r="394" customFormat="false" ht="15" hidden="false" customHeight="false" outlineLevel="0" collapsed="false">
      <c r="A394" s="23"/>
      <c r="B394" s="24"/>
      <c r="C394" s="24"/>
      <c r="D394" s="24"/>
      <c r="E394" s="24"/>
      <c r="F394" s="25" t="str">
        <f aca="false">IF($B394="","",IFERROR(IF(INDEX(명단!$B$5:$B$404,MATCH($B394,명단!$A$5:$A$404,0))="","(이름 미입력)",INDEX(명단!$B$5:$B$404,MATCH($B394,명단!$A$5:$A$404,0))),"번호 없음"))</f>
        <v/>
      </c>
    </row>
    <row r="395" customFormat="false" ht="15" hidden="false" customHeight="false" outlineLevel="0" collapsed="false">
      <c r="A395" s="23"/>
      <c r="B395" s="24"/>
      <c r="C395" s="24"/>
      <c r="D395" s="24"/>
      <c r="E395" s="24"/>
      <c r="F395" s="25" t="str">
        <f aca="false">IF($B395="","",IFERROR(IF(INDEX(명단!$B$5:$B$404,MATCH($B395,명단!$A$5:$A$404,0))="","(이름 미입력)",INDEX(명단!$B$5:$B$404,MATCH($B395,명단!$A$5:$A$404,0))),"번호 없음"))</f>
        <v/>
      </c>
    </row>
    <row r="396" customFormat="false" ht="15" hidden="false" customHeight="false" outlineLevel="0" collapsed="false">
      <c r="A396" s="23"/>
      <c r="B396" s="24"/>
      <c r="C396" s="24"/>
      <c r="D396" s="24"/>
      <c r="E396" s="24"/>
      <c r="F396" s="25" t="str">
        <f aca="false">IF($B396="","",IFERROR(IF(INDEX(명단!$B$5:$B$404,MATCH($B396,명단!$A$5:$A$404,0))="","(이름 미입력)",INDEX(명단!$B$5:$B$404,MATCH($B396,명단!$A$5:$A$404,0))),"번호 없음"))</f>
        <v/>
      </c>
    </row>
    <row r="397" customFormat="false" ht="15" hidden="false" customHeight="false" outlineLevel="0" collapsed="false">
      <c r="A397" s="23"/>
      <c r="B397" s="24"/>
      <c r="C397" s="24"/>
      <c r="D397" s="24"/>
      <c r="E397" s="24"/>
      <c r="F397" s="25" t="str">
        <f aca="false">IF($B397="","",IFERROR(IF(INDEX(명단!$B$5:$B$404,MATCH($B397,명단!$A$5:$A$404,0))="","(이름 미입력)",INDEX(명단!$B$5:$B$404,MATCH($B397,명단!$A$5:$A$404,0))),"번호 없음"))</f>
        <v/>
      </c>
    </row>
    <row r="398" customFormat="false" ht="15" hidden="false" customHeight="false" outlineLevel="0" collapsed="false">
      <c r="A398" s="23"/>
      <c r="B398" s="24"/>
      <c r="C398" s="24"/>
      <c r="D398" s="24"/>
      <c r="E398" s="24"/>
      <c r="F398" s="25" t="str">
        <f aca="false">IF($B398="","",IFERROR(IF(INDEX(명단!$B$5:$B$404,MATCH($B398,명단!$A$5:$A$404,0))="","(이름 미입력)",INDEX(명단!$B$5:$B$404,MATCH($B398,명단!$A$5:$A$404,0))),"번호 없음"))</f>
        <v/>
      </c>
    </row>
    <row r="399" customFormat="false" ht="15" hidden="false" customHeight="false" outlineLevel="0" collapsed="false">
      <c r="A399" s="23"/>
      <c r="B399" s="24"/>
      <c r="C399" s="24"/>
      <c r="D399" s="24"/>
      <c r="E399" s="24"/>
      <c r="F399" s="25" t="str">
        <f aca="false">IF($B399="","",IFERROR(IF(INDEX(명단!$B$5:$B$404,MATCH($B399,명단!$A$5:$A$404,0))="","(이름 미입력)",INDEX(명단!$B$5:$B$404,MATCH($B399,명단!$A$5:$A$404,0))),"번호 없음"))</f>
        <v/>
      </c>
    </row>
    <row r="400" customFormat="false" ht="15" hidden="false" customHeight="false" outlineLevel="0" collapsed="false">
      <c r="A400" s="23"/>
      <c r="B400" s="24"/>
      <c r="C400" s="24"/>
      <c r="D400" s="24"/>
      <c r="E400" s="24"/>
      <c r="F400" s="25" t="str">
        <f aca="false">IF($B400="","",IFERROR(IF(INDEX(명단!$B$5:$B$404,MATCH($B400,명단!$A$5:$A$404,0))="","(이름 미입력)",INDEX(명단!$B$5:$B$404,MATCH($B400,명단!$A$5:$A$404,0))),"번호 없음"))</f>
        <v/>
      </c>
    </row>
    <row r="401" customFormat="false" ht="15" hidden="false" customHeight="false" outlineLevel="0" collapsed="false">
      <c r="A401" s="23"/>
      <c r="B401" s="24"/>
      <c r="C401" s="24"/>
      <c r="D401" s="24"/>
      <c r="E401" s="24"/>
      <c r="F401" s="25" t="str">
        <f aca="false">IF($B401="","",IFERROR(IF(INDEX(명단!$B$5:$B$404,MATCH($B401,명단!$A$5:$A$404,0))="","(이름 미입력)",INDEX(명단!$B$5:$B$404,MATCH($B401,명단!$A$5:$A$404,0))),"번호 없음"))</f>
        <v/>
      </c>
    </row>
    <row r="402" customFormat="false" ht="15" hidden="false" customHeight="false" outlineLevel="0" collapsed="false">
      <c r="A402" s="23"/>
      <c r="B402" s="24"/>
      <c r="C402" s="24"/>
      <c r="D402" s="24"/>
      <c r="E402" s="24"/>
      <c r="F402" s="25" t="str">
        <f aca="false">IF($B402="","",IFERROR(IF(INDEX(명단!$B$5:$B$404,MATCH($B402,명단!$A$5:$A$404,0))="","(이름 미입력)",INDEX(명단!$B$5:$B$404,MATCH($B402,명단!$A$5:$A$404,0))),"번호 없음"))</f>
        <v/>
      </c>
    </row>
    <row r="403" customFormat="false" ht="15" hidden="false" customHeight="false" outlineLevel="0" collapsed="false">
      <c r="A403" s="23"/>
      <c r="B403" s="24"/>
      <c r="C403" s="24"/>
      <c r="D403" s="24"/>
      <c r="E403" s="24"/>
      <c r="F403" s="25" t="str">
        <f aca="false">IF($B403="","",IFERROR(IF(INDEX(명단!$B$5:$B$404,MATCH($B403,명단!$A$5:$A$404,0))="","(이름 미입력)",INDEX(명단!$B$5:$B$404,MATCH($B403,명단!$A$5:$A$404,0))),"번호 없음"))</f>
        <v/>
      </c>
    </row>
    <row r="404" customFormat="false" ht="15" hidden="false" customHeight="false" outlineLevel="0" collapsed="false">
      <c r="A404" s="23"/>
      <c r="B404" s="24"/>
      <c r="C404" s="24"/>
      <c r="D404" s="24"/>
      <c r="E404" s="24"/>
      <c r="F404" s="25" t="str">
        <f aca="false">IF($B404="","",IFERROR(IF(INDEX(명단!$B$5:$B$404,MATCH($B404,명단!$A$5:$A$404,0))="","(이름 미입력)",INDEX(명단!$B$5:$B$404,MATCH($B404,명단!$A$5:$A$404,0))),"번호 없음"))</f>
        <v/>
      </c>
    </row>
    <row r="405" customFormat="false" ht="15" hidden="false" customHeight="false" outlineLevel="0" collapsed="false">
      <c r="A405" s="23"/>
      <c r="B405" s="24"/>
      <c r="C405" s="24"/>
      <c r="D405" s="24"/>
      <c r="E405" s="24"/>
      <c r="F405" s="25" t="str">
        <f aca="false">IF($B405="","",IFERROR(IF(INDEX(명단!$B$5:$B$404,MATCH($B405,명단!$A$5:$A$404,0))="","(이름 미입력)",INDEX(명단!$B$5:$B$404,MATCH($B405,명단!$A$5:$A$404,0))),"번호 없음"))</f>
        <v/>
      </c>
    </row>
    <row r="406" customFormat="false" ht="15" hidden="false" customHeight="false" outlineLevel="0" collapsed="false">
      <c r="A406" s="23"/>
      <c r="B406" s="24"/>
      <c r="C406" s="24"/>
      <c r="D406" s="24"/>
      <c r="E406" s="24"/>
      <c r="F406" s="25" t="str">
        <f aca="false">IF($B406="","",IFERROR(IF(INDEX(명단!$B$5:$B$404,MATCH($B406,명단!$A$5:$A$404,0))="","(이름 미입력)",INDEX(명단!$B$5:$B$404,MATCH($B406,명단!$A$5:$A$404,0))),"번호 없음"))</f>
        <v/>
      </c>
    </row>
    <row r="407" customFormat="false" ht="15" hidden="false" customHeight="false" outlineLevel="0" collapsed="false">
      <c r="A407" s="23"/>
      <c r="B407" s="24"/>
      <c r="C407" s="24"/>
      <c r="D407" s="24"/>
      <c r="E407" s="24"/>
      <c r="F407" s="25" t="str">
        <f aca="false">IF($B407="","",IFERROR(IF(INDEX(명단!$B$5:$B$404,MATCH($B407,명단!$A$5:$A$404,0))="","(이름 미입력)",INDEX(명단!$B$5:$B$404,MATCH($B407,명단!$A$5:$A$404,0))),"번호 없음"))</f>
        <v/>
      </c>
    </row>
    <row r="408" customFormat="false" ht="15" hidden="false" customHeight="false" outlineLevel="0" collapsed="false">
      <c r="A408" s="23"/>
      <c r="B408" s="24"/>
      <c r="C408" s="24"/>
      <c r="D408" s="24"/>
      <c r="E408" s="24"/>
      <c r="F408" s="25" t="str">
        <f aca="false">IF($B408="","",IFERROR(IF(INDEX(명단!$B$5:$B$404,MATCH($B408,명단!$A$5:$A$404,0))="","(이름 미입력)",INDEX(명단!$B$5:$B$404,MATCH($B408,명단!$A$5:$A$404,0))),"번호 없음"))</f>
        <v/>
      </c>
    </row>
    <row r="409" customFormat="false" ht="15" hidden="false" customHeight="false" outlineLevel="0" collapsed="false">
      <c r="A409" s="23"/>
      <c r="B409" s="24"/>
      <c r="C409" s="24"/>
      <c r="D409" s="24"/>
      <c r="E409" s="24"/>
      <c r="F409" s="25" t="str">
        <f aca="false">IF($B409="","",IFERROR(IF(INDEX(명단!$B$5:$B$404,MATCH($B409,명단!$A$5:$A$404,0))="","(이름 미입력)",INDEX(명단!$B$5:$B$404,MATCH($B409,명단!$A$5:$A$404,0))),"번호 없음"))</f>
        <v/>
      </c>
    </row>
    <row r="410" customFormat="false" ht="15" hidden="false" customHeight="false" outlineLevel="0" collapsed="false">
      <c r="A410" s="23"/>
      <c r="B410" s="24"/>
      <c r="C410" s="24"/>
      <c r="D410" s="24"/>
      <c r="E410" s="24"/>
      <c r="F410" s="25" t="str">
        <f aca="false">IF($B410="","",IFERROR(IF(INDEX(명단!$B$5:$B$404,MATCH($B410,명단!$A$5:$A$404,0))="","(이름 미입력)",INDEX(명단!$B$5:$B$404,MATCH($B410,명단!$A$5:$A$404,0))),"번호 없음"))</f>
        <v/>
      </c>
    </row>
    <row r="411" customFormat="false" ht="15" hidden="false" customHeight="false" outlineLevel="0" collapsed="false">
      <c r="A411" s="23"/>
      <c r="B411" s="24"/>
      <c r="C411" s="24"/>
      <c r="D411" s="24"/>
      <c r="E411" s="24"/>
      <c r="F411" s="25" t="str">
        <f aca="false">IF($B411="","",IFERROR(IF(INDEX(명단!$B$5:$B$404,MATCH($B411,명단!$A$5:$A$404,0))="","(이름 미입력)",INDEX(명단!$B$5:$B$404,MATCH($B411,명단!$A$5:$A$404,0))),"번호 없음"))</f>
        <v/>
      </c>
    </row>
    <row r="412" customFormat="false" ht="15" hidden="false" customHeight="false" outlineLevel="0" collapsed="false">
      <c r="A412" s="23"/>
      <c r="B412" s="24"/>
      <c r="C412" s="24"/>
      <c r="D412" s="24"/>
      <c r="E412" s="24"/>
      <c r="F412" s="25" t="str">
        <f aca="false">IF($B412="","",IFERROR(IF(INDEX(명단!$B$5:$B$404,MATCH($B412,명단!$A$5:$A$404,0))="","(이름 미입력)",INDEX(명단!$B$5:$B$404,MATCH($B412,명단!$A$5:$A$404,0))),"번호 없음"))</f>
        <v/>
      </c>
    </row>
    <row r="413" customFormat="false" ht="15" hidden="false" customHeight="false" outlineLevel="0" collapsed="false">
      <c r="A413" s="23"/>
      <c r="B413" s="24"/>
      <c r="C413" s="24"/>
      <c r="D413" s="24"/>
      <c r="E413" s="24"/>
      <c r="F413" s="25" t="str">
        <f aca="false">IF($B413="","",IFERROR(IF(INDEX(명단!$B$5:$B$404,MATCH($B413,명단!$A$5:$A$404,0))="","(이름 미입력)",INDEX(명단!$B$5:$B$404,MATCH($B413,명단!$A$5:$A$404,0))),"번호 없음"))</f>
        <v/>
      </c>
    </row>
    <row r="414" customFormat="false" ht="15" hidden="false" customHeight="false" outlineLevel="0" collapsed="false">
      <c r="A414" s="23"/>
      <c r="B414" s="24"/>
      <c r="C414" s="24"/>
      <c r="D414" s="24"/>
      <c r="E414" s="24"/>
      <c r="F414" s="25" t="str">
        <f aca="false">IF($B414="","",IFERROR(IF(INDEX(명단!$B$5:$B$404,MATCH($B414,명단!$A$5:$A$404,0))="","(이름 미입력)",INDEX(명단!$B$5:$B$404,MATCH($B414,명단!$A$5:$A$404,0))),"번호 없음"))</f>
        <v/>
      </c>
    </row>
    <row r="415" customFormat="false" ht="15" hidden="false" customHeight="false" outlineLevel="0" collapsed="false">
      <c r="A415" s="23"/>
      <c r="B415" s="24"/>
      <c r="C415" s="24"/>
      <c r="D415" s="24"/>
      <c r="E415" s="24"/>
      <c r="F415" s="25" t="str">
        <f aca="false">IF($B415="","",IFERROR(IF(INDEX(명단!$B$5:$B$404,MATCH($B415,명단!$A$5:$A$404,0))="","(이름 미입력)",INDEX(명단!$B$5:$B$404,MATCH($B415,명단!$A$5:$A$404,0))),"번호 없음"))</f>
        <v/>
      </c>
    </row>
    <row r="416" customFormat="false" ht="15" hidden="false" customHeight="false" outlineLevel="0" collapsed="false">
      <c r="A416" s="23"/>
      <c r="B416" s="24"/>
      <c r="C416" s="24"/>
      <c r="D416" s="24"/>
      <c r="E416" s="24"/>
      <c r="F416" s="25" t="str">
        <f aca="false">IF($B416="","",IFERROR(IF(INDEX(명단!$B$5:$B$404,MATCH($B416,명단!$A$5:$A$404,0))="","(이름 미입력)",INDEX(명단!$B$5:$B$404,MATCH($B416,명단!$A$5:$A$404,0))),"번호 없음"))</f>
        <v/>
      </c>
    </row>
    <row r="417" customFormat="false" ht="15" hidden="false" customHeight="false" outlineLevel="0" collapsed="false">
      <c r="A417" s="23"/>
      <c r="B417" s="24"/>
      <c r="C417" s="24"/>
      <c r="D417" s="24"/>
      <c r="E417" s="24"/>
      <c r="F417" s="25" t="str">
        <f aca="false">IF($B417="","",IFERROR(IF(INDEX(명단!$B$5:$B$404,MATCH($B417,명단!$A$5:$A$404,0))="","(이름 미입력)",INDEX(명단!$B$5:$B$404,MATCH($B417,명단!$A$5:$A$404,0))),"번호 없음"))</f>
        <v/>
      </c>
    </row>
    <row r="418" customFormat="false" ht="15" hidden="false" customHeight="false" outlineLevel="0" collapsed="false">
      <c r="A418" s="23"/>
      <c r="B418" s="24"/>
      <c r="C418" s="24"/>
      <c r="D418" s="24"/>
      <c r="E418" s="24"/>
      <c r="F418" s="25" t="str">
        <f aca="false">IF($B418="","",IFERROR(IF(INDEX(명단!$B$5:$B$404,MATCH($B418,명단!$A$5:$A$404,0))="","(이름 미입력)",INDEX(명단!$B$5:$B$404,MATCH($B418,명단!$A$5:$A$404,0))),"번호 없음"))</f>
        <v/>
      </c>
    </row>
    <row r="419" customFormat="false" ht="15" hidden="false" customHeight="false" outlineLevel="0" collapsed="false">
      <c r="A419" s="23"/>
      <c r="B419" s="24"/>
      <c r="C419" s="24"/>
      <c r="D419" s="24"/>
      <c r="E419" s="24"/>
      <c r="F419" s="25" t="str">
        <f aca="false">IF($B419="","",IFERROR(IF(INDEX(명단!$B$5:$B$404,MATCH($B419,명단!$A$5:$A$404,0))="","(이름 미입력)",INDEX(명단!$B$5:$B$404,MATCH($B419,명단!$A$5:$A$404,0))),"번호 없음"))</f>
        <v/>
      </c>
    </row>
    <row r="420" customFormat="false" ht="15" hidden="false" customHeight="false" outlineLevel="0" collapsed="false">
      <c r="A420" s="23"/>
      <c r="B420" s="24"/>
      <c r="C420" s="24"/>
      <c r="D420" s="24"/>
      <c r="E420" s="24"/>
      <c r="F420" s="25" t="str">
        <f aca="false">IF($B420="","",IFERROR(IF(INDEX(명단!$B$5:$B$404,MATCH($B420,명단!$A$5:$A$404,0))="","(이름 미입력)",INDEX(명단!$B$5:$B$404,MATCH($B420,명단!$A$5:$A$404,0))),"번호 없음"))</f>
        <v/>
      </c>
    </row>
    <row r="421" customFormat="false" ht="15" hidden="false" customHeight="false" outlineLevel="0" collapsed="false">
      <c r="A421" s="23"/>
      <c r="B421" s="24"/>
      <c r="C421" s="24"/>
      <c r="D421" s="24"/>
      <c r="E421" s="24"/>
      <c r="F421" s="25" t="str">
        <f aca="false">IF($B421="","",IFERROR(IF(INDEX(명단!$B$5:$B$404,MATCH($B421,명단!$A$5:$A$404,0))="","(이름 미입력)",INDEX(명단!$B$5:$B$404,MATCH($B421,명단!$A$5:$A$404,0))),"번호 없음"))</f>
        <v/>
      </c>
    </row>
    <row r="422" customFormat="false" ht="15" hidden="false" customHeight="false" outlineLevel="0" collapsed="false">
      <c r="A422" s="23"/>
      <c r="B422" s="24"/>
      <c r="C422" s="24"/>
      <c r="D422" s="24"/>
      <c r="E422" s="24"/>
      <c r="F422" s="25" t="str">
        <f aca="false">IF($B422="","",IFERROR(IF(INDEX(명단!$B$5:$B$404,MATCH($B422,명단!$A$5:$A$404,0))="","(이름 미입력)",INDEX(명단!$B$5:$B$404,MATCH($B422,명단!$A$5:$A$404,0))),"번호 없음"))</f>
        <v/>
      </c>
    </row>
    <row r="423" customFormat="false" ht="15" hidden="false" customHeight="false" outlineLevel="0" collapsed="false">
      <c r="A423" s="23"/>
      <c r="B423" s="24"/>
      <c r="C423" s="24"/>
      <c r="D423" s="24"/>
      <c r="E423" s="24"/>
      <c r="F423" s="25" t="str">
        <f aca="false">IF($B423="","",IFERROR(IF(INDEX(명단!$B$5:$B$404,MATCH($B423,명단!$A$5:$A$404,0))="","(이름 미입력)",INDEX(명단!$B$5:$B$404,MATCH($B423,명단!$A$5:$A$404,0))),"번호 없음"))</f>
        <v/>
      </c>
    </row>
    <row r="424" customFormat="false" ht="15" hidden="false" customHeight="false" outlineLevel="0" collapsed="false">
      <c r="A424" s="23"/>
      <c r="B424" s="24"/>
      <c r="C424" s="24"/>
      <c r="D424" s="24"/>
      <c r="E424" s="24"/>
      <c r="F424" s="25" t="str">
        <f aca="false">IF($B424="","",IFERROR(IF(INDEX(명단!$B$5:$B$404,MATCH($B424,명단!$A$5:$A$404,0))="","(이름 미입력)",INDEX(명단!$B$5:$B$404,MATCH($B424,명단!$A$5:$A$404,0))),"번호 없음"))</f>
        <v/>
      </c>
    </row>
    <row r="425" customFormat="false" ht="15" hidden="false" customHeight="false" outlineLevel="0" collapsed="false">
      <c r="A425" s="23"/>
      <c r="B425" s="24"/>
      <c r="C425" s="24"/>
      <c r="D425" s="24"/>
      <c r="E425" s="24"/>
      <c r="F425" s="25" t="str">
        <f aca="false">IF($B425="","",IFERROR(IF(INDEX(명단!$B$5:$B$404,MATCH($B425,명단!$A$5:$A$404,0))="","(이름 미입력)",INDEX(명단!$B$5:$B$404,MATCH($B425,명단!$A$5:$A$404,0))),"번호 없음"))</f>
        <v/>
      </c>
    </row>
    <row r="426" customFormat="false" ht="15" hidden="false" customHeight="false" outlineLevel="0" collapsed="false">
      <c r="A426" s="23"/>
      <c r="B426" s="24"/>
      <c r="C426" s="24"/>
      <c r="D426" s="24"/>
      <c r="E426" s="24"/>
      <c r="F426" s="25" t="str">
        <f aca="false">IF($B426="","",IFERROR(IF(INDEX(명단!$B$5:$B$404,MATCH($B426,명단!$A$5:$A$404,0))="","(이름 미입력)",INDEX(명단!$B$5:$B$404,MATCH($B426,명단!$A$5:$A$404,0))),"번호 없음"))</f>
        <v/>
      </c>
    </row>
    <row r="427" customFormat="false" ht="15" hidden="false" customHeight="false" outlineLevel="0" collapsed="false">
      <c r="A427" s="23"/>
      <c r="B427" s="24"/>
      <c r="C427" s="24"/>
      <c r="D427" s="24"/>
      <c r="E427" s="24"/>
      <c r="F427" s="25" t="str">
        <f aca="false">IF($B427="","",IFERROR(IF(INDEX(명단!$B$5:$B$404,MATCH($B427,명단!$A$5:$A$404,0))="","(이름 미입력)",INDEX(명단!$B$5:$B$404,MATCH($B427,명단!$A$5:$A$404,0))),"번호 없음"))</f>
        <v/>
      </c>
    </row>
    <row r="428" customFormat="false" ht="15" hidden="false" customHeight="false" outlineLevel="0" collapsed="false">
      <c r="A428" s="23"/>
      <c r="B428" s="24"/>
      <c r="C428" s="24"/>
      <c r="D428" s="24"/>
      <c r="E428" s="24"/>
      <c r="F428" s="25" t="str">
        <f aca="false">IF($B428="","",IFERROR(IF(INDEX(명단!$B$5:$B$404,MATCH($B428,명단!$A$5:$A$404,0))="","(이름 미입력)",INDEX(명단!$B$5:$B$404,MATCH($B428,명단!$A$5:$A$404,0))),"번호 없음"))</f>
        <v/>
      </c>
    </row>
    <row r="429" customFormat="false" ht="15" hidden="false" customHeight="false" outlineLevel="0" collapsed="false">
      <c r="A429" s="23"/>
      <c r="B429" s="24"/>
      <c r="C429" s="24"/>
      <c r="D429" s="24"/>
      <c r="E429" s="24"/>
      <c r="F429" s="25" t="str">
        <f aca="false">IF($B429="","",IFERROR(IF(INDEX(명단!$B$5:$B$404,MATCH($B429,명단!$A$5:$A$404,0))="","(이름 미입력)",INDEX(명단!$B$5:$B$404,MATCH($B429,명단!$A$5:$A$404,0))),"번호 없음"))</f>
        <v/>
      </c>
    </row>
    <row r="430" customFormat="false" ht="15" hidden="false" customHeight="false" outlineLevel="0" collapsed="false">
      <c r="A430" s="23"/>
      <c r="B430" s="24"/>
      <c r="C430" s="24"/>
      <c r="D430" s="24"/>
      <c r="E430" s="24"/>
      <c r="F430" s="25" t="str">
        <f aca="false">IF($B430="","",IFERROR(IF(INDEX(명단!$B$5:$B$404,MATCH($B430,명단!$A$5:$A$404,0))="","(이름 미입력)",INDEX(명단!$B$5:$B$404,MATCH($B430,명단!$A$5:$A$404,0))),"번호 없음"))</f>
        <v/>
      </c>
    </row>
    <row r="431" customFormat="false" ht="15" hidden="false" customHeight="false" outlineLevel="0" collapsed="false">
      <c r="A431" s="23"/>
      <c r="B431" s="24"/>
      <c r="C431" s="24"/>
      <c r="D431" s="24"/>
      <c r="E431" s="24"/>
      <c r="F431" s="25" t="str">
        <f aca="false">IF($B431="","",IFERROR(IF(INDEX(명단!$B$5:$B$404,MATCH($B431,명단!$A$5:$A$404,0))="","(이름 미입력)",INDEX(명단!$B$5:$B$404,MATCH($B431,명단!$A$5:$A$404,0))),"번호 없음"))</f>
        <v/>
      </c>
    </row>
    <row r="432" customFormat="false" ht="15" hidden="false" customHeight="false" outlineLevel="0" collapsed="false">
      <c r="A432" s="23"/>
      <c r="B432" s="24"/>
      <c r="C432" s="24"/>
      <c r="D432" s="24"/>
      <c r="E432" s="24"/>
      <c r="F432" s="25" t="str">
        <f aca="false">IF($B432="","",IFERROR(IF(INDEX(명단!$B$5:$B$404,MATCH($B432,명단!$A$5:$A$404,0))="","(이름 미입력)",INDEX(명단!$B$5:$B$404,MATCH($B432,명단!$A$5:$A$404,0))),"번호 없음"))</f>
        <v/>
      </c>
    </row>
    <row r="433" customFormat="false" ht="15" hidden="false" customHeight="false" outlineLevel="0" collapsed="false">
      <c r="A433" s="23"/>
      <c r="B433" s="24"/>
      <c r="C433" s="24"/>
      <c r="D433" s="24"/>
      <c r="E433" s="24"/>
      <c r="F433" s="25" t="str">
        <f aca="false">IF($B433="","",IFERROR(IF(INDEX(명단!$B$5:$B$404,MATCH($B433,명단!$A$5:$A$404,0))="","(이름 미입력)",INDEX(명단!$B$5:$B$404,MATCH($B433,명단!$A$5:$A$404,0))),"번호 없음"))</f>
        <v/>
      </c>
    </row>
    <row r="434" customFormat="false" ht="15" hidden="false" customHeight="false" outlineLevel="0" collapsed="false">
      <c r="A434" s="23"/>
      <c r="B434" s="24"/>
      <c r="C434" s="24"/>
      <c r="D434" s="24"/>
      <c r="E434" s="24"/>
      <c r="F434" s="25" t="str">
        <f aca="false">IF($B434="","",IFERROR(IF(INDEX(명단!$B$5:$B$404,MATCH($B434,명단!$A$5:$A$404,0))="","(이름 미입력)",INDEX(명단!$B$5:$B$404,MATCH($B434,명단!$A$5:$A$404,0))),"번호 없음"))</f>
        <v/>
      </c>
    </row>
    <row r="435" customFormat="false" ht="15" hidden="false" customHeight="false" outlineLevel="0" collapsed="false">
      <c r="A435" s="23"/>
      <c r="B435" s="24"/>
      <c r="C435" s="24"/>
      <c r="D435" s="24"/>
      <c r="E435" s="24"/>
      <c r="F435" s="25" t="str">
        <f aca="false">IF($B435="","",IFERROR(IF(INDEX(명단!$B$5:$B$404,MATCH($B435,명단!$A$5:$A$404,0))="","(이름 미입력)",INDEX(명단!$B$5:$B$404,MATCH($B435,명단!$A$5:$A$404,0))),"번호 없음"))</f>
        <v/>
      </c>
    </row>
    <row r="436" customFormat="false" ht="15" hidden="false" customHeight="false" outlineLevel="0" collapsed="false">
      <c r="A436" s="23"/>
      <c r="B436" s="24"/>
      <c r="C436" s="24"/>
      <c r="D436" s="24"/>
      <c r="E436" s="24"/>
      <c r="F436" s="25" t="str">
        <f aca="false">IF($B436="","",IFERROR(IF(INDEX(명단!$B$5:$B$404,MATCH($B436,명단!$A$5:$A$404,0))="","(이름 미입력)",INDEX(명단!$B$5:$B$404,MATCH($B436,명단!$A$5:$A$404,0))),"번호 없음"))</f>
        <v/>
      </c>
    </row>
    <row r="437" customFormat="false" ht="15" hidden="false" customHeight="false" outlineLevel="0" collapsed="false">
      <c r="A437" s="23"/>
      <c r="B437" s="24"/>
      <c r="C437" s="24"/>
      <c r="D437" s="24"/>
      <c r="E437" s="24"/>
      <c r="F437" s="25" t="str">
        <f aca="false">IF($B437="","",IFERROR(IF(INDEX(명단!$B$5:$B$404,MATCH($B437,명단!$A$5:$A$404,0))="","(이름 미입력)",INDEX(명단!$B$5:$B$404,MATCH($B437,명단!$A$5:$A$404,0))),"번호 없음"))</f>
        <v/>
      </c>
    </row>
    <row r="438" customFormat="false" ht="15" hidden="false" customHeight="false" outlineLevel="0" collapsed="false">
      <c r="A438" s="23"/>
      <c r="B438" s="24"/>
      <c r="C438" s="24"/>
      <c r="D438" s="24"/>
      <c r="E438" s="24"/>
      <c r="F438" s="25" t="str">
        <f aca="false">IF($B438="","",IFERROR(IF(INDEX(명단!$B$5:$B$404,MATCH($B438,명단!$A$5:$A$404,0))="","(이름 미입력)",INDEX(명단!$B$5:$B$404,MATCH($B438,명단!$A$5:$A$404,0))),"번호 없음"))</f>
        <v/>
      </c>
    </row>
    <row r="439" customFormat="false" ht="15" hidden="false" customHeight="false" outlineLevel="0" collapsed="false">
      <c r="A439" s="23"/>
      <c r="B439" s="24"/>
      <c r="C439" s="24"/>
      <c r="D439" s="24"/>
      <c r="E439" s="24"/>
      <c r="F439" s="25" t="str">
        <f aca="false">IF($B439="","",IFERROR(IF(INDEX(명단!$B$5:$B$404,MATCH($B439,명단!$A$5:$A$404,0))="","(이름 미입력)",INDEX(명단!$B$5:$B$404,MATCH($B439,명단!$A$5:$A$404,0))),"번호 없음"))</f>
        <v/>
      </c>
    </row>
    <row r="440" customFormat="false" ht="15" hidden="false" customHeight="false" outlineLevel="0" collapsed="false">
      <c r="A440" s="23"/>
      <c r="B440" s="24"/>
      <c r="C440" s="24"/>
      <c r="D440" s="24"/>
      <c r="E440" s="24"/>
      <c r="F440" s="25" t="str">
        <f aca="false">IF($B440="","",IFERROR(IF(INDEX(명단!$B$5:$B$404,MATCH($B440,명단!$A$5:$A$404,0))="","(이름 미입력)",INDEX(명단!$B$5:$B$404,MATCH($B440,명단!$A$5:$A$404,0))),"번호 없음"))</f>
        <v/>
      </c>
    </row>
    <row r="441" customFormat="false" ht="15" hidden="false" customHeight="false" outlineLevel="0" collapsed="false">
      <c r="A441" s="23"/>
      <c r="B441" s="24"/>
      <c r="C441" s="24"/>
      <c r="D441" s="24"/>
      <c r="E441" s="24"/>
      <c r="F441" s="25" t="str">
        <f aca="false">IF($B441="","",IFERROR(IF(INDEX(명단!$B$5:$B$404,MATCH($B441,명단!$A$5:$A$404,0))="","(이름 미입력)",INDEX(명단!$B$5:$B$404,MATCH($B441,명단!$A$5:$A$404,0))),"번호 없음"))</f>
        <v/>
      </c>
    </row>
    <row r="442" customFormat="false" ht="15" hidden="false" customHeight="false" outlineLevel="0" collapsed="false">
      <c r="A442" s="23"/>
      <c r="B442" s="24"/>
      <c r="C442" s="24"/>
      <c r="D442" s="24"/>
      <c r="E442" s="24"/>
      <c r="F442" s="25" t="str">
        <f aca="false">IF($B442="","",IFERROR(IF(INDEX(명단!$B$5:$B$404,MATCH($B442,명단!$A$5:$A$404,0))="","(이름 미입력)",INDEX(명단!$B$5:$B$404,MATCH($B442,명단!$A$5:$A$404,0))),"번호 없음"))</f>
        <v/>
      </c>
    </row>
    <row r="443" customFormat="false" ht="15" hidden="false" customHeight="false" outlineLevel="0" collapsed="false">
      <c r="A443" s="23"/>
      <c r="B443" s="24"/>
      <c r="C443" s="24"/>
      <c r="D443" s="24"/>
      <c r="E443" s="24"/>
      <c r="F443" s="25" t="str">
        <f aca="false">IF($B443="","",IFERROR(IF(INDEX(명단!$B$5:$B$404,MATCH($B443,명단!$A$5:$A$404,0))="","(이름 미입력)",INDEX(명단!$B$5:$B$404,MATCH($B443,명단!$A$5:$A$404,0))),"번호 없음"))</f>
        <v/>
      </c>
    </row>
    <row r="444" customFormat="false" ht="15" hidden="false" customHeight="false" outlineLevel="0" collapsed="false">
      <c r="A444" s="23"/>
      <c r="B444" s="24"/>
      <c r="C444" s="24"/>
      <c r="D444" s="24"/>
      <c r="E444" s="24"/>
      <c r="F444" s="25" t="str">
        <f aca="false">IF($B444="","",IFERROR(IF(INDEX(명단!$B$5:$B$404,MATCH($B444,명단!$A$5:$A$404,0))="","(이름 미입력)",INDEX(명단!$B$5:$B$404,MATCH($B444,명단!$A$5:$A$404,0))),"번호 없음"))</f>
        <v/>
      </c>
    </row>
    <row r="445" customFormat="false" ht="15" hidden="false" customHeight="false" outlineLevel="0" collapsed="false">
      <c r="A445" s="23"/>
      <c r="B445" s="24"/>
      <c r="C445" s="24"/>
      <c r="D445" s="24"/>
      <c r="E445" s="24"/>
      <c r="F445" s="25" t="str">
        <f aca="false">IF($B445="","",IFERROR(IF(INDEX(명단!$B$5:$B$404,MATCH($B445,명단!$A$5:$A$404,0))="","(이름 미입력)",INDEX(명단!$B$5:$B$404,MATCH($B445,명단!$A$5:$A$404,0))),"번호 없음"))</f>
        <v/>
      </c>
    </row>
    <row r="446" customFormat="false" ht="15" hidden="false" customHeight="false" outlineLevel="0" collapsed="false">
      <c r="A446" s="23"/>
      <c r="B446" s="24"/>
      <c r="C446" s="24"/>
      <c r="D446" s="24"/>
      <c r="E446" s="24"/>
      <c r="F446" s="25" t="str">
        <f aca="false">IF($B446="","",IFERROR(IF(INDEX(명단!$B$5:$B$404,MATCH($B446,명단!$A$5:$A$404,0))="","(이름 미입력)",INDEX(명단!$B$5:$B$404,MATCH($B446,명단!$A$5:$A$404,0))),"번호 없음"))</f>
        <v/>
      </c>
    </row>
    <row r="447" customFormat="false" ht="15" hidden="false" customHeight="false" outlineLevel="0" collapsed="false">
      <c r="A447" s="23"/>
      <c r="B447" s="24"/>
      <c r="C447" s="24"/>
      <c r="D447" s="24"/>
      <c r="E447" s="24"/>
      <c r="F447" s="25" t="str">
        <f aca="false">IF($B447="","",IFERROR(IF(INDEX(명단!$B$5:$B$404,MATCH($B447,명단!$A$5:$A$404,0))="","(이름 미입력)",INDEX(명단!$B$5:$B$404,MATCH($B447,명단!$A$5:$A$404,0))),"번호 없음"))</f>
        <v/>
      </c>
    </row>
    <row r="448" customFormat="false" ht="15" hidden="false" customHeight="false" outlineLevel="0" collapsed="false">
      <c r="A448" s="23"/>
      <c r="B448" s="24"/>
      <c r="C448" s="24"/>
      <c r="D448" s="24"/>
      <c r="E448" s="24"/>
      <c r="F448" s="25" t="str">
        <f aca="false">IF($B448="","",IFERROR(IF(INDEX(명단!$B$5:$B$404,MATCH($B448,명단!$A$5:$A$404,0))="","(이름 미입력)",INDEX(명단!$B$5:$B$404,MATCH($B448,명단!$A$5:$A$404,0))),"번호 없음"))</f>
        <v/>
      </c>
    </row>
    <row r="449" customFormat="false" ht="15" hidden="false" customHeight="false" outlineLevel="0" collapsed="false">
      <c r="A449" s="23"/>
      <c r="B449" s="24"/>
      <c r="C449" s="24"/>
      <c r="D449" s="24"/>
      <c r="E449" s="24"/>
      <c r="F449" s="25" t="str">
        <f aca="false">IF($B449="","",IFERROR(IF(INDEX(명단!$B$5:$B$404,MATCH($B449,명단!$A$5:$A$404,0))="","(이름 미입력)",INDEX(명단!$B$5:$B$404,MATCH($B449,명단!$A$5:$A$404,0))),"번호 없음"))</f>
        <v/>
      </c>
    </row>
    <row r="450" customFormat="false" ht="15" hidden="false" customHeight="false" outlineLevel="0" collapsed="false">
      <c r="A450" s="23"/>
      <c r="B450" s="24"/>
      <c r="C450" s="24"/>
      <c r="D450" s="24"/>
      <c r="E450" s="24"/>
      <c r="F450" s="25" t="str">
        <f aca="false">IF($B450="","",IFERROR(IF(INDEX(명단!$B$5:$B$404,MATCH($B450,명단!$A$5:$A$404,0))="","(이름 미입력)",INDEX(명단!$B$5:$B$404,MATCH($B450,명단!$A$5:$A$404,0))),"번호 없음"))</f>
        <v/>
      </c>
    </row>
    <row r="451" customFormat="false" ht="15" hidden="false" customHeight="false" outlineLevel="0" collapsed="false">
      <c r="A451" s="23"/>
      <c r="B451" s="24"/>
      <c r="C451" s="24"/>
      <c r="D451" s="24"/>
      <c r="E451" s="24"/>
      <c r="F451" s="25" t="str">
        <f aca="false">IF($B451="","",IFERROR(IF(INDEX(명단!$B$5:$B$404,MATCH($B451,명단!$A$5:$A$404,0))="","(이름 미입력)",INDEX(명단!$B$5:$B$404,MATCH($B451,명단!$A$5:$A$404,0))),"번호 없음"))</f>
        <v/>
      </c>
    </row>
    <row r="452" customFormat="false" ht="15" hidden="false" customHeight="false" outlineLevel="0" collapsed="false">
      <c r="A452" s="23"/>
      <c r="B452" s="24"/>
      <c r="C452" s="24"/>
      <c r="D452" s="24"/>
      <c r="E452" s="24"/>
      <c r="F452" s="25" t="str">
        <f aca="false">IF($B452="","",IFERROR(IF(INDEX(명단!$B$5:$B$404,MATCH($B452,명단!$A$5:$A$404,0))="","(이름 미입력)",INDEX(명단!$B$5:$B$404,MATCH($B452,명단!$A$5:$A$404,0))),"번호 없음"))</f>
        <v/>
      </c>
    </row>
    <row r="453" customFormat="false" ht="15" hidden="false" customHeight="false" outlineLevel="0" collapsed="false">
      <c r="A453" s="23"/>
      <c r="B453" s="24"/>
      <c r="C453" s="24"/>
      <c r="D453" s="24"/>
      <c r="E453" s="24"/>
      <c r="F453" s="25" t="str">
        <f aca="false">IF($B453="","",IFERROR(IF(INDEX(명단!$B$5:$B$404,MATCH($B453,명단!$A$5:$A$404,0))="","(이름 미입력)",INDEX(명단!$B$5:$B$404,MATCH($B453,명단!$A$5:$A$404,0))),"번호 없음"))</f>
        <v/>
      </c>
    </row>
    <row r="454" customFormat="false" ht="15" hidden="false" customHeight="false" outlineLevel="0" collapsed="false">
      <c r="A454" s="23"/>
      <c r="B454" s="24"/>
      <c r="C454" s="24"/>
      <c r="D454" s="24"/>
      <c r="E454" s="24"/>
      <c r="F454" s="25" t="str">
        <f aca="false">IF($B454="","",IFERROR(IF(INDEX(명단!$B$5:$B$404,MATCH($B454,명단!$A$5:$A$404,0))="","(이름 미입력)",INDEX(명단!$B$5:$B$404,MATCH($B454,명단!$A$5:$A$404,0))),"번호 없음"))</f>
        <v/>
      </c>
    </row>
    <row r="455" customFormat="false" ht="15" hidden="false" customHeight="false" outlineLevel="0" collapsed="false">
      <c r="A455" s="23"/>
      <c r="B455" s="24"/>
      <c r="C455" s="24"/>
      <c r="D455" s="24"/>
      <c r="E455" s="24"/>
      <c r="F455" s="25" t="str">
        <f aca="false">IF($B455="","",IFERROR(IF(INDEX(명단!$B$5:$B$404,MATCH($B455,명단!$A$5:$A$404,0))="","(이름 미입력)",INDEX(명단!$B$5:$B$404,MATCH($B455,명단!$A$5:$A$404,0))),"번호 없음"))</f>
        <v/>
      </c>
    </row>
    <row r="456" customFormat="false" ht="15" hidden="false" customHeight="false" outlineLevel="0" collapsed="false">
      <c r="A456" s="23"/>
      <c r="B456" s="24"/>
      <c r="C456" s="24"/>
      <c r="D456" s="24"/>
      <c r="E456" s="24"/>
      <c r="F456" s="25" t="str">
        <f aca="false">IF($B456="","",IFERROR(IF(INDEX(명단!$B$5:$B$404,MATCH($B456,명단!$A$5:$A$404,0))="","(이름 미입력)",INDEX(명단!$B$5:$B$404,MATCH($B456,명단!$A$5:$A$404,0))),"번호 없음"))</f>
        <v/>
      </c>
    </row>
    <row r="457" customFormat="false" ht="15" hidden="false" customHeight="false" outlineLevel="0" collapsed="false">
      <c r="A457" s="23"/>
      <c r="B457" s="24"/>
      <c r="C457" s="24"/>
      <c r="D457" s="24"/>
      <c r="E457" s="24"/>
      <c r="F457" s="25" t="str">
        <f aca="false">IF($B457="","",IFERROR(IF(INDEX(명단!$B$5:$B$404,MATCH($B457,명단!$A$5:$A$404,0))="","(이름 미입력)",INDEX(명단!$B$5:$B$404,MATCH($B457,명단!$A$5:$A$404,0))),"번호 없음"))</f>
        <v/>
      </c>
    </row>
    <row r="458" customFormat="false" ht="15" hidden="false" customHeight="false" outlineLevel="0" collapsed="false">
      <c r="A458" s="23"/>
      <c r="B458" s="24"/>
      <c r="C458" s="24"/>
      <c r="D458" s="24"/>
      <c r="E458" s="24"/>
      <c r="F458" s="25" t="str">
        <f aca="false">IF($B458="","",IFERROR(IF(INDEX(명단!$B$5:$B$404,MATCH($B458,명단!$A$5:$A$404,0))="","(이름 미입력)",INDEX(명단!$B$5:$B$404,MATCH($B458,명단!$A$5:$A$404,0))),"번호 없음"))</f>
        <v/>
      </c>
    </row>
    <row r="459" customFormat="false" ht="15" hidden="false" customHeight="false" outlineLevel="0" collapsed="false">
      <c r="A459" s="23"/>
      <c r="B459" s="24"/>
      <c r="C459" s="24"/>
      <c r="D459" s="24"/>
      <c r="E459" s="24"/>
      <c r="F459" s="25" t="str">
        <f aca="false">IF($B459="","",IFERROR(IF(INDEX(명단!$B$5:$B$404,MATCH($B459,명단!$A$5:$A$404,0))="","(이름 미입력)",INDEX(명단!$B$5:$B$404,MATCH($B459,명단!$A$5:$A$404,0))),"번호 없음"))</f>
        <v/>
      </c>
    </row>
    <row r="460" customFormat="false" ht="15" hidden="false" customHeight="false" outlineLevel="0" collapsed="false">
      <c r="A460" s="23"/>
      <c r="B460" s="24"/>
      <c r="C460" s="24"/>
      <c r="D460" s="24"/>
      <c r="E460" s="24"/>
      <c r="F460" s="25" t="str">
        <f aca="false">IF($B460="","",IFERROR(IF(INDEX(명단!$B$5:$B$404,MATCH($B460,명단!$A$5:$A$404,0))="","(이름 미입력)",INDEX(명단!$B$5:$B$404,MATCH($B460,명단!$A$5:$A$404,0))),"번호 없음"))</f>
        <v/>
      </c>
    </row>
    <row r="461" customFormat="false" ht="15" hidden="false" customHeight="false" outlineLevel="0" collapsed="false">
      <c r="A461" s="23"/>
      <c r="B461" s="24"/>
      <c r="C461" s="24"/>
      <c r="D461" s="24"/>
      <c r="E461" s="24"/>
      <c r="F461" s="25" t="str">
        <f aca="false">IF($B461="","",IFERROR(IF(INDEX(명단!$B$5:$B$404,MATCH($B461,명단!$A$5:$A$404,0))="","(이름 미입력)",INDEX(명단!$B$5:$B$404,MATCH($B461,명단!$A$5:$A$404,0))),"번호 없음"))</f>
        <v/>
      </c>
    </row>
    <row r="462" customFormat="false" ht="15" hidden="false" customHeight="false" outlineLevel="0" collapsed="false">
      <c r="A462" s="23"/>
      <c r="B462" s="24"/>
      <c r="C462" s="24"/>
      <c r="D462" s="24"/>
      <c r="E462" s="24"/>
      <c r="F462" s="25" t="str">
        <f aca="false">IF($B462="","",IFERROR(IF(INDEX(명단!$B$5:$B$404,MATCH($B462,명단!$A$5:$A$404,0))="","(이름 미입력)",INDEX(명단!$B$5:$B$404,MATCH($B462,명단!$A$5:$A$404,0))),"번호 없음"))</f>
        <v/>
      </c>
    </row>
    <row r="463" customFormat="false" ht="15" hidden="false" customHeight="false" outlineLevel="0" collapsed="false">
      <c r="A463" s="23"/>
      <c r="B463" s="24"/>
      <c r="C463" s="24"/>
      <c r="D463" s="24"/>
      <c r="E463" s="24"/>
      <c r="F463" s="25" t="str">
        <f aca="false">IF($B463="","",IFERROR(IF(INDEX(명단!$B$5:$B$404,MATCH($B463,명단!$A$5:$A$404,0))="","(이름 미입력)",INDEX(명단!$B$5:$B$404,MATCH($B463,명단!$A$5:$A$404,0))),"번호 없음"))</f>
        <v/>
      </c>
    </row>
    <row r="464" customFormat="false" ht="15" hidden="false" customHeight="false" outlineLevel="0" collapsed="false">
      <c r="A464" s="23"/>
      <c r="B464" s="24"/>
      <c r="C464" s="24"/>
      <c r="D464" s="24"/>
      <c r="E464" s="24"/>
      <c r="F464" s="25" t="str">
        <f aca="false">IF($B464="","",IFERROR(IF(INDEX(명단!$B$5:$B$404,MATCH($B464,명단!$A$5:$A$404,0))="","(이름 미입력)",INDEX(명단!$B$5:$B$404,MATCH($B464,명단!$A$5:$A$404,0))),"번호 없음"))</f>
        <v/>
      </c>
    </row>
    <row r="465" customFormat="false" ht="15" hidden="false" customHeight="false" outlineLevel="0" collapsed="false">
      <c r="A465" s="23"/>
      <c r="B465" s="24"/>
      <c r="C465" s="24"/>
      <c r="D465" s="24"/>
      <c r="E465" s="24"/>
      <c r="F465" s="25" t="str">
        <f aca="false">IF($B465="","",IFERROR(IF(INDEX(명단!$B$5:$B$404,MATCH($B465,명단!$A$5:$A$404,0))="","(이름 미입력)",INDEX(명단!$B$5:$B$404,MATCH($B465,명단!$A$5:$A$404,0))),"번호 없음"))</f>
        <v/>
      </c>
    </row>
    <row r="466" customFormat="false" ht="15" hidden="false" customHeight="false" outlineLevel="0" collapsed="false">
      <c r="A466" s="23"/>
      <c r="B466" s="24"/>
      <c r="C466" s="24"/>
      <c r="D466" s="24"/>
      <c r="E466" s="24"/>
      <c r="F466" s="25" t="str">
        <f aca="false">IF($B466="","",IFERROR(IF(INDEX(명단!$B$5:$B$404,MATCH($B466,명단!$A$5:$A$404,0))="","(이름 미입력)",INDEX(명단!$B$5:$B$404,MATCH($B466,명단!$A$5:$A$404,0))),"번호 없음"))</f>
        <v/>
      </c>
    </row>
    <row r="467" customFormat="false" ht="15" hidden="false" customHeight="false" outlineLevel="0" collapsed="false">
      <c r="A467" s="23"/>
      <c r="B467" s="24"/>
      <c r="C467" s="24"/>
      <c r="D467" s="24"/>
      <c r="E467" s="24"/>
      <c r="F467" s="25" t="str">
        <f aca="false">IF($B467="","",IFERROR(IF(INDEX(명단!$B$5:$B$404,MATCH($B467,명단!$A$5:$A$404,0))="","(이름 미입력)",INDEX(명단!$B$5:$B$404,MATCH($B467,명단!$A$5:$A$404,0))),"번호 없음"))</f>
        <v/>
      </c>
    </row>
    <row r="468" customFormat="false" ht="15" hidden="false" customHeight="false" outlineLevel="0" collapsed="false">
      <c r="A468" s="23"/>
      <c r="B468" s="24"/>
      <c r="C468" s="24"/>
      <c r="D468" s="24"/>
      <c r="E468" s="24"/>
      <c r="F468" s="25" t="str">
        <f aca="false">IF($B468="","",IFERROR(IF(INDEX(명단!$B$5:$B$404,MATCH($B468,명단!$A$5:$A$404,0))="","(이름 미입력)",INDEX(명단!$B$5:$B$404,MATCH($B468,명단!$A$5:$A$404,0))),"번호 없음"))</f>
        <v/>
      </c>
    </row>
    <row r="469" customFormat="false" ht="15" hidden="false" customHeight="false" outlineLevel="0" collapsed="false">
      <c r="A469" s="23"/>
      <c r="B469" s="24"/>
      <c r="C469" s="24"/>
      <c r="D469" s="24"/>
      <c r="E469" s="24"/>
      <c r="F469" s="25" t="str">
        <f aca="false">IF($B469="","",IFERROR(IF(INDEX(명단!$B$5:$B$404,MATCH($B469,명단!$A$5:$A$404,0))="","(이름 미입력)",INDEX(명단!$B$5:$B$404,MATCH($B469,명단!$A$5:$A$404,0))),"번호 없음"))</f>
        <v/>
      </c>
    </row>
    <row r="470" customFormat="false" ht="15" hidden="false" customHeight="false" outlineLevel="0" collapsed="false">
      <c r="A470" s="23"/>
      <c r="B470" s="24"/>
      <c r="C470" s="24"/>
      <c r="D470" s="24"/>
      <c r="E470" s="24"/>
      <c r="F470" s="25" t="str">
        <f aca="false">IF($B470="","",IFERROR(IF(INDEX(명단!$B$5:$B$404,MATCH($B470,명단!$A$5:$A$404,0))="","(이름 미입력)",INDEX(명단!$B$5:$B$404,MATCH($B470,명단!$A$5:$A$404,0))),"번호 없음"))</f>
        <v/>
      </c>
    </row>
    <row r="471" customFormat="false" ht="15" hidden="false" customHeight="false" outlineLevel="0" collapsed="false">
      <c r="A471" s="23"/>
      <c r="B471" s="24"/>
      <c r="C471" s="24"/>
      <c r="D471" s="24"/>
      <c r="E471" s="24"/>
      <c r="F471" s="25" t="str">
        <f aca="false">IF($B471="","",IFERROR(IF(INDEX(명단!$B$5:$B$404,MATCH($B471,명단!$A$5:$A$404,0))="","(이름 미입력)",INDEX(명단!$B$5:$B$404,MATCH($B471,명단!$A$5:$A$404,0))),"번호 없음"))</f>
        <v/>
      </c>
    </row>
    <row r="472" customFormat="false" ht="15" hidden="false" customHeight="false" outlineLevel="0" collapsed="false">
      <c r="A472" s="23"/>
      <c r="B472" s="24"/>
      <c r="C472" s="24"/>
      <c r="D472" s="24"/>
      <c r="E472" s="24"/>
      <c r="F472" s="25" t="str">
        <f aca="false">IF($B472="","",IFERROR(IF(INDEX(명단!$B$5:$B$404,MATCH($B472,명단!$A$5:$A$404,0))="","(이름 미입력)",INDEX(명단!$B$5:$B$404,MATCH($B472,명단!$A$5:$A$404,0))),"번호 없음"))</f>
        <v/>
      </c>
    </row>
    <row r="473" customFormat="false" ht="15" hidden="false" customHeight="false" outlineLevel="0" collapsed="false">
      <c r="A473" s="23"/>
      <c r="B473" s="24"/>
      <c r="C473" s="24"/>
      <c r="D473" s="24"/>
      <c r="E473" s="24"/>
      <c r="F473" s="25" t="str">
        <f aca="false">IF($B473="","",IFERROR(IF(INDEX(명단!$B$5:$B$404,MATCH($B473,명단!$A$5:$A$404,0))="","(이름 미입력)",INDEX(명단!$B$5:$B$404,MATCH($B473,명단!$A$5:$A$404,0))),"번호 없음"))</f>
        <v/>
      </c>
    </row>
    <row r="474" customFormat="false" ht="15" hidden="false" customHeight="false" outlineLevel="0" collapsed="false">
      <c r="A474" s="23"/>
      <c r="B474" s="24"/>
      <c r="C474" s="24"/>
      <c r="D474" s="24"/>
      <c r="E474" s="24"/>
      <c r="F474" s="25" t="str">
        <f aca="false">IF($B474="","",IFERROR(IF(INDEX(명단!$B$5:$B$404,MATCH($B474,명단!$A$5:$A$404,0))="","(이름 미입력)",INDEX(명단!$B$5:$B$404,MATCH($B474,명단!$A$5:$A$404,0))),"번호 없음"))</f>
        <v/>
      </c>
    </row>
    <row r="475" customFormat="false" ht="15" hidden="false" customHeight="false" outlineLevel="0" collapsed="false">
      <c r="A475" s="23"/>
      <c r="B475" s="24"/>
      <c r="C475" s="24"/>
      <c r="D475" s="24"/>
      <c r="E475" s="24"/>
      <c r="F475" s="25" t="str">
        <f aca="false">IF($B475="","",IFERROR(IF(INDEX(명단!$B$5:$B$404,MATCH($B475,명단!$A$5:$A$404,0))="","(이름 미입력)",INDEX(명단!$B$5:$B$404,MATCH($B475,명단!$A$5:$A$404,0))),"번호 없음"))</f>
        <v/>
      </c>
    </row>
    <row r="476" customFormat="false" ht="15" hidden="false" customHeight="false" outlineLevel="0" collapsed="false">
      <c r="A476" s="23"/>
      <c r="B476" s="24"/>
      <c r="C476" s="24"/>
      <c r="D476" s="24"/>
      <c r="E476" s="24"/>
      <c r="F476" s="25" t="str">
        <f aca="false">IF($B476="","",IFERROR(IF(INDEX(명단!$B$5:$B$404,MATCH($B476,명단!$A$5:$A$404,0))="","(이름 미입력)",INDEX(명단!$B$5:$B$404,MATCH($B476,명단!$A$5:$A$404,0))),"번호 없음"))</f>
        <v/>
      </c>
    </row>
    <row r="477" customFormat="false" ht="15" hidden="false" customHeight="false" outlineLevel="0" collapsed="false">
      <c r="A477" s="23"/>
      <c r="B477" s="24"/>
      <c r="C477" s="24"/>
      <c r="D477" s="24"/>
      <c r="E477" s="24"/>
      <c r="F477" s="25" t="str">
        <f aca="false">IF($B477="","",IFERROR(IF(INDEX(명단!$B$5:$B$404,MATCH($B477,명단!$A$5:$A$404,0))="","(이름 미입력)",INDEX(명단!$B$5:$B$404,MATCH($B477,명단!$A$5:$A$404,0))),"번호 없음"))</f>
        <v/>
      </c>
    </row>
    <row r="478" customFormat="false" ht="15" hidden="false" customHeight="false" outlineLevel="0" collapsed="false">
      <c r="A478" s="23"/>
      <c r="B478" s="24"/>
      <c r="C478" s="24"/>
      <c r="D478" s="24"/>
      <c r="E478" s="24"/>
      <c r="F478" s="25" t="str">
        <f aca="false">IF($B478="","",IFERROR(IF(INDEX(명단!$B$5:$B$404,MATCH($B478,명단!$A$5:$A$404,0))="","(이름 미입력)",INDEX(명단!$B$5:$B$404,MATCH($B478,명단!$A$5:$A$404,0))),"번호 없음"))</f>
        <v/>
      </c>
    </row>
    <row r="479" customFormat="false" ht="15" hidden="false" customHeight="false" outlineLevel="0" collapsed="false">
      <c r="A479" s="23"/>
      <c r="B479" s="24"/>
      <c r="C479" s="24"/>
      <c r="D479" s="24"/>
      <c r="E479" s="24"/>
      <c r="F479" s="25" t="str">
        <f aca="false">IF($B479="","",IFERROR(IF(INDEX(명단!$B$5:$B$404,MATCH($B479,명단!$A$5:$A$404,0))="","(이름 미입력)",INDEX(명단!$B$5:$B$404,MATCH($B479,명단!$A$5:$A$404,0))),"번호 없음"))</f>
        <v/>
      </c>
    </row>
    <row r="480" customFormat="false" ht="15" hidden="false" customHeight="false" outlineLevel="0" collapsed="false">
      <c r="A480" s="23"/>
      <c r="B480" s="24"/>
      <c r="C480" s="24"/>
      <c r="D480" s="24"/>
      <c r="E480" s="24"/>
      <c r="F480" s="25" t="str">
        <f aca="false">IF($B480="","",IFERROR(IF(INDEX(명단!$B$5:$B$404,MATCH($B480,명단!$A$5:$A$404,0))="","(이름 미입력)",INDEX(명단!$B$5:$B$404,MATCH($B480,명단!$A$5:$A$404,0))),"번호 없음"))</f>
        <v/>
      </c>
    </row>
    <row r="481" customFormat="false" ht="15" hidden="false" customHeight="false" outlineLevel="0" collapsed="false">
      <c r="A481" s="23"/>
      <c r="B481" s="24"/>
      <c r="C481" s="24"/>
      <c r="D481" s="24"/>
      <c r="E481" s="24"/>
      <c r="F481" s="25" t="str">
        <f aca="false">IF($B481="","",IFERROR(IF(INDEX(명단!$B$5:$B$404,MATCH($B481,명단!$A$5:$A$404,0))="","(이름 미입력)",INDEX(명단!$B$5:$B$404,MATCH($B481,명단!$A$5:$A$404,0))),"번호 없음"))</f>
        <v/>
      </c>
    </row>
    <row r="482" customFormat="false" ht="15" hidden="false" customHeight="false" outlineLevel="0" collapsed="false">
      <c r="A482" s="23"/>
      <c r="B482" s="24"/>
      <c r="C482" s="24"/>
      <c r="D482" s="24"/>
      <c r="E482" s="24"/>
      <c r="F482" s="25" t="str">
        <f aca="false">IF($B482="","",IFERROR(IF(INDEX(명단!$B$5:$B$404,MATCH($B482,명단!$A$5:$A$404,0))="","(이름 미입력)",INDEX(명단!$B$5:$B$404,MATCH($B482,명단!$A$5:$A$404,0))),"번호 없음"))</f>
        <v/>
      </c>
    </row>
    <row r="483" customFormat="false" ht="15" hidden="false" customHeight="false" outlineLevel="0" collapsed="false">
      <c r="A483" s="23"/>
      <c r="B483" s="24"/>
      <c r="C483" s="24"/>
      <c r="D483" s="24"/>
      <c r="E483" s="24"/>
      <c r="F483" s="25" t="str">
        <f aca="false">IF($B483="","",IFERROR(IF(INDEX(명단!$B$5:$B$404,MATCH($B483,명단!$A$5:$A$404,0))="","(이름 미입력)",INDEX(명단!$B$5:$B$404,MATCH($B483,명단!$A$5:$A$404,0))),"번호 없음"))</f>
        <v/>
      </c>
    </row>
    <row r="484" customFormat="false" ht="15" hidden="false" customHeight="false" outlineLevel="0" collapsed="false">
      <c r="A484" s="23"/>
      <c r="B484" s="24"/>
      <c r="C484" s="24"/>
      <c r="D484" s="24"/>
      <c r="E484" s="24"/>
      <c r="F484" s="25" t="str">
        <f aca="false">IF($B484="","",IFERROR(IF(INDEX(명단!$B$5:$B$404,MATCH($B484,명단!$A$5:$A$404,0))="","(이름 미입력)",INDEX(명단!$B$5:$B$404,MATCH($B484,명단!$A$5:$A$404,0))),"번호 없음"))</f>
        <v/>
      </c>
    </row>
    <row r="485" customFormat="false" ht="15" hidden="false" customHeight="false" outlineLevel="0" collapsed="false">
      <c r="A485" s="23"/>
      <c r="B485" s="24"/>
      <c r="C485" s="24"/>
      <c r="D485" s="24"/>
      <c r="E485" s="24"/>
      <c r="F485" s="25" t="str">
        <f aca="false">IF($B485="","",IFERROR(IF(INDEX(명단!$B$5:$B$404,MATCH($B485,명단!$A$5:$A$404,0))="","(이름 미입력)",INDEX(명단!$B$5:$B$404,MATCH($B485,명단!$A$5:$A$404,0))),"번호 없음"))</f>
        <v/>
      </c>
    </row>
    <row r="486" customFormat="false" ht="15" hidden="false" customHeight="false" outlineLevel="0" collapsed="false">
      <c r="A486" s="23"/>
      <c r="B486" s="24"/>
      <c r="C486" s="24"/>
      <c r="D486" s="24"/>
      <c r="E486" s="24"/>
      <c r="F486" s="25" t="str">
        <f aca="false">IF($B486="","",IFERROR(IF(INDEX(명단!$B$5:$B$404,MATCH($B486,명단!$A$5:$A$404,0))="","(이름 미입력)",INDEX(명단!$B$5:$B$404,MATCH($B486,명단!$A$5:$A$404,0))),"번호 없음"))</f>
        <v/>
      </c>
    </row>
    <row r="487" customFormat="false" ht="15" hidden="false" customHeight="false" outlineLevel="0" collapsed="false">
      <c r="A487" s="23"/>
      <c r="B487" s="24"/>
      <c r="C487" s="24"/>
      <c r="D487" s="24"/>
      <c r="E487" s="24"/>
      <c r="F487" s="25" t="str">
        <f aca="false">IF($B487="","",IFERROR(IF(INDEX(명단!$B$5:$B$404,MATCH($B487,명단!$A$5:$A$404,0))="","(이름 미입력)",INDEX(명단!$B$5:$B$404,MATCH($B487,명단!$A$5:$A$404,0))),"번호 없음"))</f>
        <v/>
      </c>
    </row>
    <row r="488" customFormat="false" ht="15" hidden="false" customHeight="false" outlineLevel="0" collapsed="false">
      <c r="A488" s="23"/>
      <c r="B488" s="24"/>
      <c r="C488" s="24"/>
      <c r="D488" s="24"/>
      <c r="E488" s="24"/>
      <c r="F488" s="25" t="str">
        <f aca="false">IF($B488="","",IFERROR(IF(INDEX(명단!$B$5:$B$404,MATCH($B488,명단!$A$5:$A$404,0))="","(이름 미입력)",INDEX(명단!$B$5:$B$404,MATCH($B488,명단!$A$5:$A$404,0))),"번호 없음"))</f>
        <v/>
      </c>
    </row>
    <row r="489" customFormat="false" ht="15" hidden="false" customHeight="false" outlineLevel="0" collapsed="false">
      <c r="A489" s="23"/>
      <c r="B489" s="24"/>
      <c r="C489" s="24"/>
      <c r="D489" s="24"/>
      <c r="E489" s="24"/>
      <c r="F489" s="25" t="str">
        <f aca="false">IF($B489="","",IFERROR(IF(INDEX(명단!$B$5:$B$404,MATCH($B489,명단!$A$5:$A$404,0))="","(이름 미입력)",INDEX(명단!$B$5:$B$404,MATCH($B489,명단!$A$5:$A$404,0))),"번호 없음"))</f>
        <v/>
      </c>
    </row>
    <row r="490" customFormat="false" ht="15" hidden="false" customHeight="false" outlineLevel="0" collapsed="false">
      <c r="A490" s="23"/>
      <c r="B490" s="24"/>
      <c r="C490" s="24"/>
      <c r="D490" s="24"/>
      <c r="E490" s="24"/>
      <c r="F490" s="25" t="str">
        <f aca="false">IF($B490="","",IFERROR(IF(INDEX(명단!$B$5:$B$404,MATCH($B490,명단!$A$5:$A$404,0))="","(이름 미입력)",INDEX(명단!$B$5:$B$404,MATCH($B490,명단!$A$5:$A$404,0))),"번호 없음"))</f>
        <v/>
      </c>
    </row>
    <row r="491" customFormat="false" ht="15" hidden="false" customHeight="false" outlineLevel="0" collapsed="false">
      <c r="A491" s="23"/>
      <c r="B491" s="24"/>
      <c r="C491" s="24"/>
      <c r="D491" s="24"/>
      <c r="E491" s="24"/>
      <c r="F491" s="25" t="str">
        <f aca="false">IF($B491="","",IFERROR(IF(INDEX(명단!$B$5:$B$404,MATCH($B491,명단!$A$5:$A$404,0))="","(이름 미입력)",INDEX(명단!$B$5:$B$404,MATCH($B491,명단!$A$5:$A$404,0))),"번호 없음"))</f>
        <v/>
      </c>
    </row>
    <row r="492" customFormat="false" ht="15" hidden="false" customHeight="false" outlineLevel="0" collapsed="false">
      <c r="A492" s="23"/>
      <c r="B492" s="24"/>
      <c r="C492" s="24"/>
      <c r="D492" s="24"/>
      <c r="E492" s="24"/>
      <c r="F492" s="25" t="str">
        <f aca="false">IF($B492="","",IFERROR(IF(INDEX(명단!$B$5:$B$404,MATCH($B492,명단!$A$5:$A$404,0))="","(이름 미입력)",INDEX(명단!$B$5:$B$404,MATCH($B492,명단!$A$5:$A$404,0))),"번호 없음"))</f>
        <v/>
      </c>
    </row>
    <row r="493" customFormat="false" ht="15" hidden="false" customHeight="false" outlineLevel="0" collapsed="false">
      <c r="A493" s="23"/>
      <c r="B493" s="24"/>
      <c r="C493" s="24"/>
      <c r="D493" s="24"/>
      <c r="E493" s="24"/>
      <c r="F493" s="25" t="str">
        <f aca="false">IF($B493="","",IFERROR(IF(INDEX(명단!$B$5:$B$404,MATCH($B493,명단!$A$5:$A$404,0))="","(이름 미입력)",INDEX(명단!$B$5:$B$404,MATCH($B493,명단!$A$5:$A$404,0))),"번호 없음"))</f>
        <v/>
      </c>
    </row>
    <row r="494" customFormat="false" ht="15" hidden="false" customHeight="false" outlineLevel="0" collapsed="false">
      <c r="A494" s="23"/>
      <c r="B494" s="24"/>
      <c r="C494" s="24"/>
      <c r="D494" s="24"/>
      <c r="E494" s="24"/>
      <c r="F494" s="25" t="str">
        <f aca="false">IF($B494="","",IFERROR(IF(INDEX(명단!$B$5:$B$404,MATCH($B494,명단!$A$5:$A$404,0))="","(이름 미입력)",INDEX(명단!$B$5:$B$404,MATCH($B494,명단!$A$5:$A$404,0))),"번호 없음"))</f>
        <v/>
      </c>
    </row>
    <row r="495" customFormat="false" ht="15" hidden="false" customHeight="false" outlineLevel="0" collapsed="false">
      <c r="A495" s="23"/>
      <c r="B495" s="24"/>
      <c r="C495" s="24"/>
      <c r="D495" s="24"/>
      <c r="E495" s="24"/>
      <c r="F495" s="25" t="str">
        <f aca="false">IF($B495="","",IFERROR(IF(INDEX(명단!$B$5:$B$404,MATCH($B495,명단!$A$5:$A$404,0))="","(이름 미입력)",INDEX(명단!$B$5:$B$404,MATCH($B495,명단!$A$5:$A$404,0))),"번호 없음"))</f>
        <v/>
      </c>
    </row>
    <row r="496" customFormat="false" ht="15" hidden="false" customHeight="false" outlineLevel="0" collapsed="false">
      <c r="A496" s="23"/>
      <c r="B496" s="24"/>
      <c r="C496" s="24"/>
      <c r="D496" s="24"/>
      <c r="E496" s="24"/>
      <c r="F496" s="25" t="str">
        <f aca="false">IF($B496="","",IFERROR(IF(INDEX(명단!$B$5:$B$404,MATCH($B496,명단!$A$5:$A$404,0))="","(이름 미입력)",INDEX(명단!$B$5:$B$404,MATCH($B496,명단!$A$5:$A$404,0))),"번호 없음"))</f>
        <v/>
      </c>
    </row>
    <row r="497" customFormat="false" ht="15" hidden="false" customHeight="false" outlineLevel="0" collapsed="false">
      <c r="A497" s="23"/>
      <c r="B497" s="24"/>
      <c r="C497" s="24"/>
      <c r="D497" s="24"/>
      <c r="E497" s="24"/>
      <c r="F497" s="25" t="str">
        <f aca="false">IF($B497="","",IFERROR(IF(INDEX(명단!$B$5:$B$404,MATCH($B497,명단!$A$5:$A$404,0))="","(이름 미입력)",INDEX(명단!$B$5:$B$404,MATCH($B497,명단!$A$5:$A$404,0))),"번호 없음"))</f>
        <v/>
      </c>
    </row>
    <row r="498" customFormat="false" ht="15" hidden="false" customHeight="false" outlineLevel="0" collapsed="false">
      <c r="A498" s="23"/>
      <c r="B498" s="24"/>
      <c r="C498" s="24"/>
      <c r="D498" s="24"/>
      <c r="E498" s="24"/>
      <c r="F498" s="25" t="str">
        <f aca="false">IF($B498="","",IFERROR(IF(INDEX(명단!$B$5:$B$404,MATCH($B498,명단!$A$5:$A$404,0))="","(이름 미입력)",INDEX(명단!$B$5:$B$404,MATCH($B498,명단!$A$5:$A$404,0))),"번호 없음"))</f>
        <v/>
      </c>
    </row>
    <row r="499" customFormat="false" ht="15" hidden="false" customHeight="false" outlineLevel="0" collapsed="false">
      <c r="A499" s="23"/>
      <c r="B499" s="24"/>
      <c r="C499" s="24"/>
      <c r="D499" s="24"/>
      <c r="E499" s="24"/>
      <c r="F499" s="25" t="str">
        <f aca="false">IF($B499="","",IFERROR(IF(INDEX(명단!$B$5:$B$404,MATCH($B499,명단!$A$5:$A$404,0))="","(이름 미입력)",INDEX(명단!$B$5:$B$404,MATCH($B499,명단!$A$5:$A$404,0))),"번호 없음"))</f>
        <v/>
      </c>
    </row>
    <row r="500" customFormat="false" ht="15" hidden="false" customHeight="false" outlineLevel="0" collapsed="false">
      <c r="A500" s="23"/>
      <c r="B500" s="24"/>
      <c r="C500" s="24"/>
      <c r="D500" s="24"/>
      <c r="E500" s="24"/>
      <c r="F500" s="25" t="str">
        <f aca="false">IF($B500="","",IFERROR(IF(INDEX(명단!$B$5:$B$404,MATCH($B500,명단!$A$5:$A$404,0))="","(이름 미입력)",INDEX(명단!$B$5:$B$404,MATCH($B500,명단!$A$5:$A$404,0))),"번호 없음"))</f>
        <v/>
      </c>
    </row>
    <row r="501" customFormat="false" ht="15" hidden="false" customHeight="false" outlineLevel="0" collapsed="false">
      <c r="A501" s="23"/>
      <c r="B501" s="24"/>
      <c r="C501" s="24"/>
      <c r="D501" s="24"/>
      <c r="E501" s="24"/>
      <c r="F501" s="25" t="str">
        <f aca="false">IF($B501="","",IFERROR(IF(INDEX(명단!$B$5:$B$404,MATCH($B501,명단!$A$5:$A$404,0))="","(이름 미입력)",INDEX(명단!$B$5:$B$404,MATCH($B501,명단!$A$5:$A$404,0))),"번호 없음"))</f>
        <v/>
      </c>
    </row>
    <row r="502" customFormat="false" ht="15" hidden="false" customHeight="false" outlineLevel="0" collapsed="false">
      <c r="A502" s="23"/>
      <c r="B502" s="24"/>
      <c r="C502" s="24"/>
      <c r="D502" s="24"/>
      <c r="E502" s="24"/>
      <c r="F502" s="25" t="str">
        <f aca="false">IF($B502="","",IFERROR(IF(INDEX(명단!$B$5:$B$404,MATCH($B502,명단!$A$5:$A$404,0))="","(이름 미입력)",INDEX(명단!$B$5:$B$404,MATCH($B502,명단!$A$5:$A$404,0))),"번호 없음"))</f>
        <v/>
      </c>
    </row>
    <row r="503" customFormat="false" ht="15" hidden="false" customHeight="false" outlineLevel="0" collapsed="false">
      <c r="A503" s="23"/>
      <c r="B503" s="24"/>
      <c r="C503" s="24"/>
      <c r="D503" s="24"/>
      <c r="E503" s="24"/>
      <c r="F503" s="25" t="str">
        <f aca="false">IF($B503="","",IFERROR(IF(INDEX(명단!$B$5:$B$404,MATCH($B503,명단!$A$5:$A$404,0))="","(이름 미입력)",INDEX(명단!$B$5:$B$404,MATCH($B503,명단!$A$5:$A$404,0))),"번호 없음"))</f>
        <v/>
      </c>
    </row>
    <row r="504" customFormat="false" ht="15" hidden="false" customHeight="false" outlineLevel="0" collapsed="false">
      <c r="A504" s="23"/>
      <c r="B504" s="24"/>
      <c r="C504" s="24"/>
      <c r="D504" s="24"/>
      <c r="E504" s="24"/>
      <c r="F504" s="25" t="str">
        <f aca="false">IF($B504="","",IFERROR(IF(INDEX(명단!$B$5:$B$404,MATCH($B504,명단!$A$5:$A$404,0))="","(이름 미입력)",INDEX(명단!$B$5:$B$404,MATCH($B504,명단!$A$5:$A$404,0))),"번호 없음"))</f>
        <v/>
      </c>
    </row>
    <row r="505" customFormat="false" ht="15" hidden="false" customHeight="false" outlineLevel="0" collapsed="false">
      <c r="A505" s="23"/>
      <c r="B505" s="24"/>
      <c r="C505" s="24"/>
      <c r="D505" s="24"/>
      <c r="E505" s="24"/>
      <c r="F505" s="25" t="str">
        <f aca="false">IF($B505="","",IFERROR(IF(INDEX(명단!$B$5:$B$404,MATCH($B505,명단!$A$5:$A$404,0))="","(이름 미입력)",INDEX(명단!$B$5:$B$404,MATCH($B505,명단!$A$5:$A$404,0))),"번호 없음"))</f>
        <v/>
      </c>
    </row>
    <row r="506" customFormat="false" ht="15" hidden="false" customHeight="false" outlineLevel="0" collapsed="false">
      <c r="A506" s="23"/>
      <c r="B506" s="24"/>
      <c r="C506" s="24"/>
      <c r="D506" s="24"/>
      <c r="E506" s="24"/>
      <c r="F506" s="25" t="str">
        <f aca="false">IF($B506="","",IFERROR(IF(INDEX(명단!$B$5:$B$404,MATCH($B506,명단!$A$5:$A$404,0))="","(이름 미입력)",INDEX(명단!$B$5:$B$404,MATCH($B506,명단!$A$5:$A$404,0))),"번호 없음"))</f>
        <v/>
      </c>
    </row>
    <row r="507" customFormat="false" ht="15" hidden="false" customHeight="false" outlineLevel="0" collapsed="false">
      <c r="A507" s="23"/>
      <c r="B507" s="24"/>
      <c r="C507" s="24"/>
      <c r="D507" s="24"/>
      <c r="E507" s="24"/>
      <c r="F507" s="25" t="str">
        <f aca="false">IF($B507="","",IFERROR(IF(INDEX(명단!$B$5:$B$404,MATCH($B507,명단!$A$5:$A$404,0))="","(이름 미입력)",INDEX(명단!$B$5:$B$404,MATCH($B507,명단!$A$5:$A$404,0))),"번호 없음"))</f>
        <v/>
      </c>
    </row>
    <row r="508" customFormat="false" ht="15" hidden="false" customHeight="false" outlineLevel="0" collapsed="false">
      <c r="A508" s="23"/>
      <c r="B508" s="24"/>
      <c r="C508" s="24"/>
      <c r="D508" s="24"/>
      <c r="E508" s="24"/>
      <c r="F508" s="25" t="str">
        <f aca="false">IF($B508="","",IFERROR(IF(INDEX(명단!$B$5:$B$404,MATCH($B508,명단!$A$5:$A$404,0))="","(이름 미입력)",INDEX(명단!$B$5:$B$404,MATCH($B508,명단!$A$5:$A$404,0))),"번호 없음"))</f>
        <v/>
      </c>
    </row>
    <row r="509" customFormat="false" ht="15" hidden="false" customHeight="false" outlineLevel="0" collapsed="false">
      <c r="A509" s="23"/>
      <c r="B509" s="24"/>
      <c r="C509" s="24"/>
      <c r="D509" s="24"/>
      <c r="E509" s="24"/>
      <c r="F509" s="25" t="str">
        <f aca="false">IF($B509="","",IFERROR(IF(INDEX(명단!$B$5:$B$404,MATCH($B509,명단!$A$5:$A$404,0))="","(이름 미입력)",INDEX(명단!$B$5:$B$404,MATCH($B509,명단!$A$5:$A$404,0))),"번호 없음"))</f>
        <v/>
      </c>
    </row>
    <row r="510" customFormat="false" ht="15" hidden="false" customHeight="false" outlineLevel="0" collapsed="false">
      <c r="A510" s="23"/>
      <c r="B510" s="24"/>
      <c r="C510" s="24"/>
      <c r="D510" s="24"/>
      <c r="E510" s="24"/>
      <c r="F510" s="25" t="str">
        <f aca="false">IF($B510="","",IFERROR(IF(INDEX(명단!$B$5:$B$404,MATCH($B510,명단!$A$5:$A$404,0))="","(이름 미입력)",INDEX(명단!$B$5:$B$404,MATCH($B510,명단!$A$5:$A$404,0))),"번호 없음"))</f>
        <v/>
      </c>
    </row>
    <row r="511" customFormat="false" ht="15" hidden="false" customHeight="false" outlineLevel="0" collapsed="false">
      <c r="A511" s="23"/>
      <c r="B511" s="24"/>
      <c r="C511" s="24"/>
      <c r="D511" s="24"/>
      <c r="E511" s="24"/>
      <c r="F511" s="25" t="str">
        <f aca="false">IF($B511="","",IFERROR(IF(INDEX(명단!$B$5:$B$404,MATCH($B511,명단!$A$5:$A$404,0))="","(이름 미입력)",INDEX(명단!$B$5:$B$404,MATCH($B511,명단!$A$5:$A$404,0))),"번호 없음"))</f>
        <v/>
      </c>
    </row>
    <row r="512" customFormat="false" ht="15" hidden="false" customHeight="false" outlineLevel="0" collapsed="false">
      <c r="A512" s="23"/>
      <c r="B512" s="24"/>
      <c r="C512" s="24"/>
      <c r="D512" s="24"/>
      <c r="E512" s="24"/>
      <c r="F512" s="25" t="str">
        <f aca="false">IF($B512="","",IFERROR(IF(INDEX(명단!$B$5:$B$404,MATCH($B512,명단!$A$5:$A$404,0))="","(이름 미입력)",INDEX(명단!$B$5:$B$404,MATCH($B512,명단!$A$5:$A$404,0))),"번호 없음"))</f>
        <v/>
      </c>
    </row>
    <row r="513" customFormat="false" ht="15" hidden="false" customHeight="false" outlineLevel="0" collapsed="false">
      <c r="A513" s="23"/>
      <c r="B513" s="24"/>
      <c r="C513" s="24"/>
      <c r="D513" s="24"/>
      <c r="E513" s="24"/>
      <c r="F513" s="25" t="str">
        <f aca="false">IF($B513="","",IFERROR(IF(INDEX(명단!$B$5:$B$404,MATCH($B513,명단!$A$5:$A$404,0))="","(이름 미입력)",INDEX(명단!$B$5:$B$404,MATCH($B513,명단!$A$5:$A$404,0))),"번호 없음"))</f>
        <v/>
      </c>
    </row>
    <row r="514" customFormat="false" ht="15" hidden="false" customHeight="false" outlineLevel="0" collapsed="false">
      <c r="A514" s="23"/>
      <c r="B514" s="24"/>
      <c r="C514" s="24"/>
      <c r="D514" s="24"/>
      <c r="E514" s="24"/>
      <c r="F514" s="25" t="str">
        <f aca="false">IF($B514="","",IFERROR(IF(INDEX(명단!$B$5:$B$404,MATCH($B514,명단!$A$5:$A$404,0))="","(이름 미입력)",INDEX(명단!$B$5:$B$404,MATCH($B514,명단!$A$5:$A$404,0))),"번호 없음"))</f>
        <v/>
      </c>
    </row>
    <row r="515" customFormat="false" ht="15" hidden="false" customHeight="false" outlineLevel="0" collapsed="false">
      <c r="A515" s="23"/>
      <c r="B515" s="24"/>
      <c r="C515" s="24"/>
      <c r="D515" s="24"/>
      <c r="E515" s="24"/>
      <c r="F515" s="25" t="str">
        <f aca="false">IF($B515="","",IFERROR(IF(INDEX(명단!$B$5:$B$404,MATCH($B515,명단!$A$5:$A$404,0))="","(이름 미입력)",INDEX(명단!$B$5:$B$404,MATCH($B515,명단!$A$5:$A$404,0))),"번호 없음"))</f>
        <v/>
      </c>
    </row>
    <row r="516" customFormat="false" ht="15" hidden="false" customHeight="false" outlineLevel="0" collapsed="false">
      <c r="A516" s="23"/>
      <c r="B516" s="24"/>
      <c r="C516" s="24"/>
      <c r="D516" s="24"/>
      <c r="E516" s="24"/>
      <c r="F516" s="25" t="str">
        <f aca="false">IF($B516="","",IFERROR(IF(INDEX(명단!$B$5:$B$404,MATCH($B516,명단!$A$5:$A$404,0))="","(이름 미입력)",INDEX(명단!$B$5:$B$404,MATCH($B516,명단!$A$5:$A$404,0))),"번호 없음"))</f>
        <v/>
      </c>
    </row>
    <row r="517" customFormat="false" ht="15" hidden="false" customHeight="false" outlineLevel="0" collapsed="false">
      <c r="A517" s="23"/>
      <c r="B517" s="24"/>
      <c r="C517" s="24"/>
      <c r="D517" s="24"/>
      <c r="E517" s="24"/>
      <c r="F517" s="25" t="str">
        <f aca="false">IF($B517="","",IFERROR(IF(INDEX(명단!$B$5:$B$404,MATCH($B517,명단!$A$5:$A$404,0))="","(이름 미입력)",INDEX(명단!$B$5:$B$404,MATCH($B517,명단!$A$5:$A$404,0))),"번호 없음"))</f>
        <v/>
      </c>
    </row>
    <row r="518" customFormat="false" ht="15" hidden="false" customHeight="false" outlineLevel="0" collapsed="false">
      <c r="A518" s="23"/>
      <c r="B518" s="24"/>
      <c r="C518" s="24"/>
      <c r="D518" s="24"/>
      <c r="E518" s="24"/>
      <c r="F518" s="25" t="str">
        <f aca="false">IF($B518="","",IFERROR(IF(INDEX(명단!$B$5:$B$404,MATCH($B518,명단!$A$5:$A$404,0))="","(이름 미입력)",INDEX(명단!$B$5:$B$404,MATCH($B518,명단!$A$5:$A$404,0))),"번호 없음"))</f>
        <v/>
      </c>
    </row>
    <row r="519" customFormat="false" ht="15" hidden="false" customHeight="false" outlineLevel="0" collapsed="false">
      <c r="A519" s="23"/>
      <c r="B519" s="24"/>
      <c r="C519" s="24"/>
      <c r="D519" s="24"/>
      <c r="E519" s="24"/>
      <c r="F519" s="25" t="str">
        <f aca="false">IF($B519="","",IFERROR(IF(INDEX(명단!$B$5:$B$404,MATCH($B519,명단!$A$5:$A$404,0))="","(이름 미입력)",INDEX(명단!$B$5:$B$404,MATCH($B519,명단!$A$5:$A$404,0))),"번호 없음"))</f>
        <v/>
      </c>
    </row>
    <row r="520" customFormat="false" ht="15" hidden="false" customHeight="false" outlineLevel="0" collapsed="false">
      <c r="A520" s="23"/>
      <c r="B520" s="24"/>
      <c r="C520" s="24"/>
      <c r="D520" s="24"/>
      <c r="E520" s="24"/>
      <c r="F520" s="25" t="str">
        <f aca="false">IF($B520="","",IFERROR(IF(INDEX(명단!$B$5:$B$404,MATCH($B520,명단!$A$5:$A$404,0))="","(이름 미입력)",INDEX(명단!$B$5:$B$404,MATCH($B520,명단!$A$5:$A$404,0))),"번호 없음"))</f>
        <v/>
      </c>
    </row>
    <row r="521" customFormat="false" ht="15" hidden="false" customHeight="false" outlineLevel="0" collapsed="false">
      <c r="A521" s="23"/>
      <c r="B521" s="24"/>
      <c r="C521" s="24"/>
      <c r="D521" s="24"/>
      <c r="E521" s="24"/>
      <c r="F521" s="25" t="str">
        <f aca="false">IF($B521="","",IFERROR(IF(INDEX(명단!$B$5:$B$404,MATCH($B521,명단!$A$5:$A$404,0))="","(이름 미입력)",INDEX(명단!$B$5:$B$404,MATCH($B521,명단!$A$5:$A$404,0))),"번호 없음"))</f>
        <v/>
      </c>
    </row>
    <row r="522" customFormat="false" ht="15" hidden="false" customHeight="false" outlineLevel="0" collapsed="false">
      <c r="A522" s="23"/>
      <c r="B522" s="24"/>
      <c r="C522" s="24"/>
      <c r="D522" s="24"/>
      <c r="E522" s="24"/>
      <c r="F522" s="25" t="str">
        <f aca="false">IF($B522="","",IFERROR(IF(INDEX(명단!$B$5:$B$404,MATCH($B522,명단!$A$5:$A$404,0))="","(이름 미입력)",INDEX(명단!$B$5:$B$404,MATCH($B522,명단!$A$5:$A$404,0))),"번호 없음"))</f>
        <v/>
      </c>
    </row>
    <row r="523" customFormat="false" ht="15" hidden="false" customHeight="false" outlineLevel="0" collapsed="false">
      <c r="A523" s="23"/>
      <c r="B523" s="24"/>
      <c r="C523" s="24"/>
      <c r="D523" s="24"/>
      <c r="E523" s="24"/>
      <c r="F523" s="25" t="str">
        <f aca="false">IF($B523="","",IFERROR(IF(INDEX(명단!$B$5:$B$404,MATCH($B523,명단!$A$5:$A$404,0))="","(이름 미입력)",INDEX(명단!$B$5:$B$404,MATCH($B523,명단!$A$5:$A$404,0))),"번호 없음"))</f>
        <v/>
      </c>
    </row>
    <row r="524" customFormat="false" ht="15" hidden="false" customHeight="false" outlineLevel="0" collapsed="false">
      <c r="A524" s="23"/>
      <c r="B524" s="24"/>
      <c r="C524" s="24"/>
      <c r="D524" s="24"/>
      <c r="E524" s="24"/>
      <c r="F524" s="25" t="str">
        <f aca="false">IF($B524="","",IFERROR(IF(INDEX(명단!$B$5:$B$404,MATCH($B524,명단!$A$5:$A$404,0))="","(이름 미입력)",INDEX(명단!$B$5:$B$404,MATCH($B524,명단!$A$5:$A$404,0))),"번호 없음"))</f>
        <v/>
      </c>
    </row>
    <row r="525" customFormat="false" ht="15" hidden="false" customHeight="false" outlineLevel="0" collapsed="false">
      <c r="A525" s="23"/>
      <c r="B525" s="24"/>
      <c r="C525" s="24"/>
      <c r="D525" s="24"/>
      <c r="E525" s="24"/>
      <c r="F525" s="25" t="str">
        <f aca="false">IF($B525="","",IFERROR(IF(INDEX(명단!$B$5:$B$404,MATCH($B525,명단!$A$5:$A$404,0))="","(이름 미입력)",INDEX(명단!$B$5:$B$404,MATCH($B525,명단!$A$5:$A$404,0))),"번호 없음"))</f>
        <v/>
      </c>
    </row>
    <row r="526" customFormat="false" ht="15" hidden="false" customHeight="false" outlineLevel="0" collapsed="false">
      <c r="A526" s="23"/>
      <c r="B526" s="24"/>
      <c r="C526" s="24"/>
      <c r="D526" s="24"/>
      <c r="E526" s="24"/>
      <c r="F526" s="25" t="str">
        <f aca="false">IF($B526="","",IFERROR(IF(INDEX(명단!$B$5:$B$404,MATCH($B526,명단!$A$5:$A$404,0))="","(이름 미입력)",INDEX(명단!$B$5:$B$404,MATCH($B526,명단!$A$5:$A$404,0))),"번호 없음"))</f>
        <v/>
      </c>
    </row>
    <row r="527" customFormat="false" ht="15" hidden="false" customHeight="false" outlineLevel="0" collapsed="false">
      <c r="A527" s="23"/>
      <c r="B527" s="24"/>
      <c r="C527" s="24"/>
      <c r="D527" s="24"/>
      <c r="E527" s="24"/>
      <c r="F527" s="25" t="str">
        <f aca="false">IF($B527="","",IFERROR(IF(INDEX(명단!$B$5:$B$404,MATCH($B527,명단!$A$5:$A$404,0))="","(이름 미입력)",INDEX(명단!$B$5:$B$404,MATCH($B527,명단!$A$5:$A$404,0))),"번호 없음"))</f>
        <v/>
      </c>
    </row>
    <row r="528" customFormat="false" ht="15" hidden="false" customHeight="false" outlineLevel="0" collapsed="false">
      <c r="A528" s="23"/>
      <c r="B528" s="24"/>
      <c r="C528" s="24"/>
      <c r="D528" s="24"/>
      <c r="E528" s="24"/>
      <c r="F528" s="25" t="str">
        <f aca="false">IF($B528="","",IFERROR(IF(INDEX(명단!$B$5:$B$404,MATCH($B528,명단!$A$5:$A$404,0))="","(이름 미입력)",INDEX(명단!$B$5:$B$404,MATCH($B528,명단!$A$5:$A$404,0))),"번호 없음"))</f>
        <v/>
      </c>
    </row>
    <row r="529" customFormat="false" ht="15" hidden="false" customHeight="false" outlineLevel="0" collapsed="false">
      <c r="A529" s="23"/>
      <c r="B529" s="24"/>
      <c r="C529" s="24"/>
      <c r="D529" s="24"/>
      <c r="E529" s="24"/>
      <c r="F529" s="25" t="str">
        <f aca="false">IF($B529="","",IFERROR(IF(INDEX(명단!$B$5:$B$404,MATCH($B529,명단!$A$5:$A$404,0))="","(이름 미입력)",INDEX(명단!$B$5:$B$404,MATCH($B529,명단!$A$5:$A$404,0))),"번호 없음"))</f>
        <v/>
      </c>
    </row>
    <row r="530" customFormat="false" ht="15" hidden="false" customHeight="false" outlineLevel="0" collapsed="false">
      <c r="A530" s="23"/>
      <c r="B530" s="24"/>
      <c r="C530" s="24"/>
      <c r="D530" s="24"/>
      <c r="E530" s="24"/>
      <c r="F530" s="25" t="str">
        <f aca="false">IF($B530="","",IFERROR(IF(INDEX(명단!$B$5:$B$404,MATCH($B530,명단!$A$5:$A$404,0))="","(이름 미입력)",INDEX(명단!$B$5:$B$404,MATCH($B530,명단!$A$5:$A$404,0))),"번호 없음"))</f>
        <v/>
      </c>
    </row>
    <row r="531" customFormat="false" ht="15" hidden="false" customHeight="false" outlineLevel="0" collapsed="false">
      <c r="A531" s="23"/>
      <c r="B531" s="24"/>
      <c r="C531" s="24"/>
      <c r="D531" s="24"/>
      <c r="E531" s="24"/>
      <c r="F531" s="25" t="str">
        <f aca="false">IF($B531="","",IFERROR(IF(INDEX(명단!$B$5:$B$404,MATCH($B531,명단!$A$5:$A$404,0))="","(이름 미입력)",INDEX(명단!$B$5:$B$404,MATCH($B531,명단!$A$5:$A$404,0))),"번호 없음"))</f>
        <v/>
      </c>
    </row>
    <row r="532" customFormat="false" ht="15" hidden="false" customHeight="false" outlineLevel="0" collapsed="false">
      <c r="A532" s="23"/>
      <c r="B532" s="24"/>
      <c r="C532" s="24"/>
      <c r="D532" s="24"/>
      <c r="E532" s="24"/>
      <c r="F532" s="25" t="str">
        <f aca="false">IF($B532="","",IFERROR(IF(INDEX(명단!$B$5:$B$404,MATCH($B532,명단!$A$5:$A$404,0))="","(이름 미입력)",INDEX(명단!$B$5:$B$404,MATCH($B532,명단!$A$5:$A$404,0))),"번호 없음"))</f>
        <v/>
      </c>
    </row>
    <row r="533" customFormat="false" ht="15" hidden="false" customHeight="false" outlineLevel="0" collapsed="false">
      <c r="A533" s="23"/>
      <c r="B533" s="24"/>
      <c r="C533" s="24"/>
      <c r="D533" s="24"/>
      <c r="E533" s="24"/>
      <c r="F533" s="25" t="str">
        <f aca="false">IF($B533="","",IFERROR(IF(INDEX(명단!$B$5:$B$404,MATCH($B533,명단!$A$5:$A$404,0))="","(이름 미입력)",INDEX(명단!$B$5:$B$404,MATCH($B533,명단!$A$5:$A$404,0))),"번호 없음"))</f>
        <v/>
      </c>
    </row>
    <row r="534" customFormat="false" ht="15" hidden="false" customHeight="false" outlineLevel="0" collapsed="false">
      <c r="A534" s="23"/>
      <c r="B534" s="24"/>
      <c r="C534" s="24"/>
      <c r="D534" s="24"/>
      <c r="E534" s="24"/>
      <c r="F534" s="25" t="str">
        <f aca="false">IF($B534="","",IFERROR(IF(INDEX(명단!$B$5:$B$404,MATCH($B534,명단!$A$5:$A$404,0))="","(이름 미입력)",INDEX(명단!$B$5:$B$404,MATCH($B534,명단!$A$5:$A$404,0))),"번호 없음"))</f>
        <v/>
      </c>
    </row>
    <row r="535" customFormat="false" ht="15" hidden="false" customHeight="false" outlineLevel="0" collapsed="false">
      <c r="A535" s="23"/>
      <c r="B535" s="24"/>
      <c r="C535" s="24"/>
      <c r="D535" s="24"/>
      <c r="E535" s="24"/>
      <c r="F535" s="25" t="str">
        <f aca="false">IF($B535="","",IFERROR(IF(INDEX(명단!$B$5:$B$404,MATCH($B535,명단!$A$5:$A$404,0))="","(이름 미입력)",INDEX(명단!$B$5:$B$404,MATCH($B535,명단!$A$5:$A$404,0))),"번호 없음"))</f>
        <v/>
      </c>
    </row>
    <row r="536" customFormat="false" ht="15" hidden="false" customHeight="false" outlineLevel="0" collapsed="false">
      <c r="A536" s="23"/>
      <c r="B536" s="24"/>
      <c r="C536" s="24"/>
      <c r="D536" s="24"/>
      <c r="E536" s="24"/>
      <c r="F536" s="25" t="str">
        <f aca="false">IF($B536="","",IFERROR(IF(INDEX(명단!$B$5:$B$404,MATCH($B536,명단!$A$5:$A$404,0))="","(이름 미입력)",INDEX(명단!$B$5:$B$404,MATCH($B536,명단!$A$5:$A$404,0))),"번호 없음"))</f>
        <v/>
      </c>
    </row>
    <row r="537" customFormat="false" ht="15" hidden="false" customHeight="false" outlineLevel="0" collapsed="false">
      <c r="A537" s="23"/>
      <c r="B537" s="24"/>
      <c r="C537" s="24"/>
      <c r="D537" s="24"/>
      <c r="E537" s="24"/>
      <c r="F537" s="25" t="str">
        <f aca="false">IF($B537="","",IFERROR(IF(INDEX(명단!$B$5:$B$404,MATCH($B537,명단!$A$5:$A$404,0))="","(이름 미입력)",INDEX(명단!$B$5:$B$404,MATCH($B537,명단!$A$5:$A$404,0))),"번호 없음"))</f>
        <v/>
      </c>
    </row>
    <row r="538" customFormat="false" ht="15" hidden="false" customHeight="false" outlineLevel="0" collapsed="false">
      <c r="A538" s="23"/>
      <c r="B538" s="24"/>
      <c r="C538" s="24"/>
      <c r="D538" s="24"/>
      <c r="E538" s="24"/>
      <c r="F538" s="25" t="str">
        <f aca="false">IF($B538="","",IFERROR(IF(INDEX(명단!$B$5:$B$404,MATCH($B538,명단!$A$5:$A$404,0))="","(이름 미입력)",INDEX(명단!$B$5:$B$404,MATCH($B538,명단!$A$5:$A$404,0))),"번호 없음"))</f>
        <v/>
      </c>
    </row>
    <row r="539" customFormat="false" ht="15" hidden="false" customHeight="false" outlineLevel="0" collapsed="false">
      <c r="A539" s="23"/>
      <c r="B539" s="24"/>
      <c r="C539" s="24"/>
      <c r="D539" s="24"/>
      <c r="E539" s="24"/>
      <c r="F539" s="25" t="str">
        <f aca="false">IF($B539="","",IFERROR(IF(INDEX(명단!$B$5:$B$404,MATCH($B539,명단!$A$5:$A$404,0))="","(이름 미입력)",INDEX(명단!$B$5:$B$404,MATCH($B539,명단!$A$5:$A$404,0))),"번호 없음"))</f>
        <v/>
      </c>
    </row>
    <row r="540" customFormat="false" ht="15" hidden="false" customHeight="false" outlineLevel="0" collapsed="false">
      <c r="A540" s="23"/>
      <c r="B540" s="24"/>
      <c r="C540" s="24"/>
      <c r="D540" s="24"/>
      <c r="E540" s="24"/>
      <c r="F540" s="25" t="str">
        <f aca="false">IF($B540="","",IFERROR(IF(INDEX(명단!$B$5:$B$404,MATCH($B540,명단!$A$5:$A$404,0))="","(이름 미입력)",INDEX(명단!$B$5:$B$404,MATCH($B540,명단!$A$5:$A$404,0))),"번호 없음"))</f>
        <v/>
      </c>
    </row>
    <row r="541" customFormat="false" ht="15" hidden="false" customHeight="false" outlineLevel="0" collapsed="false">
      <c r="A541" s="23"/>
      <c r="B541" s="24"/>
      <c r="C541" s="24"/>
      <c r="D541" s="24"/>
      <c r="E541" s="24"/>
      <c r="F541" s="25" t="str">
        <f aca="false">IF($B541="","",IFERROR(IF(INDEX(명단!$B$5:$B$404,MATCH($B541,명단!$A$5:$A$404,0))="","(이름 미입력)",INDEX(명단!$B$5:$B$404,MATCH($B541,명단!$A$5:$A$404,0))),"번호 없음"))</f>
        <v/>
      </c>
    </row>
    <row r="542" customFormat="false" ht="15" hidden="false" customHeight="false" outlineLevel="0" collapsed="false">
      <c r="A542" s="23"/>
      <c r="B542" s="24"/>
      <c r="C542" s="24"/>
      <c r="D542" s="24"/>
      <c r="E542" s="24"/>
      <c r="F542" s="25" t="str">
        <f aca="false">IF($B542="","",IFERROR(IF(INDEX(명단!$B$5:$B$404,MATCH($B542,명단!$A$5:$A$404,0))="","(이름 미입력)",INDEX(명단!$B$5:$B$404,MATCH($B542,명단!$A$5:$A$404,0))),"번호 없음"))</f>
        <v/>
      </c>
    </row>
    <row r="543" customFormat="false" ht="15" hidden="false" customHeight="false" outlineLevel="0" collapsed="false">
      <c r="A543" s="23"/>
      <c r="B543" s="24"/>
      <c r="C543" s="24"/>
      <c r="D543" s="24"/>
      <c r="E543" s="24"/>
      <c r="F543" s="25" t="str">
        <f aca="false">IF($B543="","",IFERROR(IF(INDEX(명단!$B$5:$B$404,MATCH($B543,명단!$A$5:$A$404,0))="","(이름 미입력)",INDEX(명단!$B$5:$B$404,MATCH($B543,명단!$A$5:$A$404,0))),"번호 없음"))</f>
        <v/>
      </c>
    </row>
    <row r="544" customFormat="false" ht="15" hidden="false" customHeight="false" outlineLevel="0" collapsed="false">
      <c r="A544" s="23"/>
      <c r="B544" s="24"/>
      <c r="C544" s="24"/>
      <c r="D544" s="24"/>
      <c r="E544" s="24"/>
      <c r="F544" s="25" t="str">
        <f aca="false">IF($B544="","",IFERROR(IF(INDEX(명단!$B$5:$B$404,MATCH($B544,명단!$A$5:$A$404,0))="","(이름 미입력)",INDEX(명단!$B$5:$B$404,MATCH($B544,명단!$A$5:$A$404,0))),"번호 없음"))</f>
        <v/>
      </c>
    </row>
    <row r="545" customFormat="false" ht="15" hidden="false" customHeight="false" outlineLevel="0" collapsed="false">
      <c r="A545" s="23"/>
      <c r="B545" s="24"/>
      <c r="C545" s="24"/>
      <c r="D545" s="24"/>
      <c r="E545" s="24"/>
      <c r="F545" s="25" t="str">
        <f aca="false">IF($B545="","",IFERROR(IF(INDEX(명단!$B$5:$B$404,MATCH($B545,명단!$A$5:$A$404,0))="","(이름 미입력)",INDEX(명단!$B$5:$B$404,MATCH($B545,명단!$A$5:$A$404,0))),"번호 없음"))</f>
        <v/>
      </c>
    </row>
    <row r="546" customFormat="false" ht="15" hidden="false" customHeight="false" outlineLevel="0" collapsed="false">
      <c r="A546" s="23"/>
      <c r="B546" s="24"/>
      <c r="C546" s="24"/>
      <c r="D546" s="24"/>
      <c r="E546" s="24"/>
      <c r="F546" s="25" t="str">
        <f aca="false">IF($B546="","",IFERROR(IF(INDEX(명단!$B$5:$B$404,MATCH($B546,명단!$A$5:$A$404,0))="","(이름 미입력)",INDEX(명단!$B$5:$B$404,MATCH($B546,명단!$A$5:$A$404,0))),"번호 없음"))</f>
        <v/>
      </c>
    </row>
    <row r="547" customFormat="false" ht="15" hidden="false" customHeight="false" outlineLevel="0" collapsed="false">
      <c r="A547" s="23"/>
      <c r="B547" s="24"/>
      <c r="C547" s="24"/>
      <c r="D547" s="24"/>
      <c r="E547" s="24"/>
      <c r="F547" s="25" t="str">
        <f aca="false">IF($B547="","",IFERROR(IF(INDEX(명단!$B$5:$B$404,MATCH($B547,명단!$A$5:$A$404,0))="","(이름 미입력)",INDEX(명단!$B$5:$B$404,MATCH($B547,명단!$A$5:$A$404,0))),"번호 없음"))</f>
        <v/>
      </c>
    </row>
    <row r="548" customFormat="false" ht="15" hidden="false" customHeight="false" outlineLevel="0" collapsed="false">
      <c r="A548" s="23"/>
      <c r="B548" s="24"/>
      <c r="C548" s="24"/>
      <c r="D548" s="24"/>
      <c r="E548" s="24"/>
      <c r="F548" s="25" t="str">
        <f aca="false">IF($B548="","",IFERROR(IF(INDEX(명단!$B$5:$B$404,MATCH($B548,명단!$A$5:$A$404,0))="","(이름 미입력)",INDEX(명단!$B$5:$B$404,MATCH($B548,명단!$A$5:$A$404,0))),"번호 없음"))</f>
        <v/>
      </c>
    </row>
    <row r="549" customFormat="false" ht="15" hidden="false" customHeight="false" outlineLevel="0" collapsed="false">
      <c r="A549" s="23"/>
      <c r="B549" s="24"/>
      <c r="C549" s="24"/>
      <c r="D549" s="24"/>
      <c r="E549" s="24"/>
      <c r="F549" s="25" t="str">
        <f aca="false">IF($B549="","",IFERROR(IF(INDEX(명단!$B$5:$B$404,MATCH($B549,명단!$A$5:$A$404,0))="","(이름 미입력)",INDEX(명단!$B$5:$B$404,MATCH($B549,명단!$A$5:$A$404,0))),"번호 없음"))</f>
        <v/>
      </c>
    </row>
    <row r="550" customFormat="false" ht="15" hidden="false" customHeight="false" outlineLevel="0" collapsed="false">
      <c r="A550" s="23"/>
      <c r="B550" s="24"/>
      <c r="C550" s="24"/>
      <c r="D550" s="24"/>
      <c r="E550" s="24"/>
      <c r="F550" s="25" t="str">
        <f aca="false">IF($B550="","",IFERROR(IF(INDEX(명단!$B$5:$B$404,MATCH($B550,명단!$A$5:$A$404,0))="","(이름 미입력)",INDEX(명단!$B$5:$B$404,MATCH($B550,명단!$A$5:$A$404,0))),"번호 없음"))</f>
        <v/>
      </c>
    </row>
    <row r="551" customFormat="false" ht="15" hidden="false" customHeight="false" outlineLevel="0" collapsed="false">
      <c r="A551" s="23"/>
      <c r="B551" s="24"/>
      <c r="C551" s="24"/>
      <c r="D551" s="24"/>
      <c r="E551" s="24"/>
      <c r="F551" s="25" t="str">
        <f aca="false">IF($B551="","",IFERROR(IF(INDEX(명단!$B$5:$B$404,MATCH($B551,명단!$A$5:$A$404,0))="","(이름 미입력)",INDEX(명단!$B$5:$B$404,MATCH($B551,명단!$A$5:$A$404,0))),"번호 없음"))</f>
        <v/>
      </c>
    </row>
    <row r="552" customFormat="false" ht="15" hidden="false" customHeight="false" outlineLevel="0" collapsed="false">
      <c r="A552" s="23"/>
      <c r="B552" s="24"/>
      <c r="C552" s="24"/>
      <c r="D552" s="24"/>
      <c r="E552" s="24"/>
      <c r="F552" s="25" t="str">
        <f aca="false">IF($B552="","",IFERROR(IF(INDEX(명단!$B$5:$B$404,MATCH($B552,명단!$A$5:$A$404,0))="","(이름 미입력)",INDEX(명단!$B$5:$B$404,MATCH($B552,명단!$A$5:$A$404,0))),"번호 없음"))</f>
        <v/>
      </c>
    </row>
    <row r="553" customFormat="false" ht="15" hidden="false" customHeight="false" outlineLevel="0" collapsed="false">
      <c r="A553" s="23"/>
      <c r="B553" s="24"/>
      <c r="C553" s="24"/>
      <c r="D553" s="24"/>
      <c r="E553" s="24"/>
      <c r="F553" s="25" t="str">
        <f aca="false">IF($B553="","",IFERROR(IF(INDEX(명단!$B$5:$B$404,MATCH($B553,명단!$A$5:$A$404,0))="","(이름 미입력)",INDEX(명단!$B$5:$B$404,MATCH($B553,명단!$A$5:$A$404,0))),"번호 없음"))</f>
        <v/>
      </c>
    </row>
    <row r="554" customFormat="false" ht="15" hidden="false" customHeight="false" outlineLevel="0" collapsed="false">
      <c r="A554" s="23"/>
      <c r="B554" s="24"/>
      <c r="C554" s="24"/>
      <c r="D554" s="24"/>
      <c r="E554" s="24"/>
      <c r="F554" s="25" t="str">
        <f aca="false">IF($B554="","",IFERROR(IF(INDEX(명단!$B$5:$B$404,MATCH($B554,명단!$A$5:$A$404,0))="","(이름 미입력)",INDEX(명단!$B$5:$B$404,MATCH($B554,명단!$A$5:$A$404,0))),"번호 없음"))</f>
        <v/>
      </c>
    </row>
    <row r="555" customFormat="false" ht="15" hidden="false" customHeight="false" outlineLevel="0" collapsed="false">
      <c r="A555" s="23"/>
      <c r="B555" s="24"/>
      <c r="C555" s="24"/>
      <c r="D555" s="24"/>
      <c r="E555" s="24"/>
      <c r="F555" s="25" t="str">
        <f aca="false">IF($B555="","",IFERROR(IF(INDEX(명단!$B$5:$B$404,MATCH($B555,명단!$A$5:$A$404,0))="","(이름 미입력)",INDEX(명단!$B$5:$B$404,MATCH($B555,명단!$A$5:$A$404,0))),"번호 없음"))</f>
        <v/>
      </c>
    </row>
    <row r="556" customFormat="false" ht="15" hidden="false" customHeight="false" outlineLevel="0" collapsed="false">
      <c r="A556" s="23"/>
      <c r="B556" s="24"/>
      <c r="C556" s="24"/>
      <c r="D556" s="24"/>
      <c r="E556" s="24"/>
      <c r="F556" s="25" t="str">
        <f aca="false">IF($B556="","",IFERROR(IF(INDEX(명단!$B$5:$B$404,MATCH($B556,명단!$A$5:$A$404,0))="","(이름 미입력)",INDEX(명단!$B$5:$B$404,MATCH($B556,명단!$A$5:$A$404,0))),"번호 없음"))</f>
        <v/>
      </c>
    </row>
    <row r="557" customFormat="false" ht="15" hidden="false" customHeight="false" outlineLevel="0" collapsed="false">
      <c r="A557" s="23"/>
      <c r="B557" s="24"/>
      <c r="C557" s="24"/>
      <c r="D557" s="24"/>
      <c r="E557" s="24"/>
      <c r="F557" s="25" t="str">
        <f aca="false">IF($B557="","",IFERROR(IF(INDEX(명단!$B$5:$B$404,MATCH($B557,명단!$A$5:$A$404,0))="","(이름 미입력)",INDEX(명단!$B$5:$B$404,MATCH($B557,명단!$A$5:$A$404,0))),"번호 없음"))</f>
        <v/>
      </c>
    </row>
    <row r="558" customFormat="false" ht="15" hidden="false" customHeight="false" outlineLevel="0" collapsed="false">
      <c r="A558" s="23"/>
      <c r="B558" s="24"/>
      <c r="C558" s="24"/>
      <c r="D558" s="24"/>
      <c r="E558" s="24"/>
      <c r="F558" s="25" t="str">
        <f aca="false">IF($B558="","",IFERROR(IF(INDEX(명단!$B$5:$B$404,MATCH($B558,명단!$A$5:$A$404,0))="","(이름 미입력)",INDEX(명단!$B$5:$B$404,MATCH($B558,명단!$A$5:$A$404,0))),"번호 없음"))</f>
        <v/>
      </c>
    </row>
    <row r="559" customFormat="false" ht="15" hidden="false" customHeight="false" outlineLevel="0" collapsed="false">
      <c r="A559" s="23"/>
      <c r="B559" s="24"/>
      <c r="C559" s="24"/>
      <c r="D559" s="24"/>
      <c r="E559" s="24"/>
      <c r="F559" s="25" t="str">
        <f aca="false">IF($B559="","",IFERROR(IF(INDEX(명단!$B$5:$B$404,MATCH($B559,명단!$A$5:$A$404,0))="","(이름 미입력)",INDEX(명단!$B$5:$B$404,MATCH($B559,명단!$A$5:$A$404,0))),"번호 없음"))</f>
        <v/>
      </c>
    </row>
    <row r="560" customFormat="false" ht="15" hidden="false" customHeight="false" outlineLevel="0" collapsed="false">
      <c r="A560" s="23"/>
      <c r="B560" s="24"/>
      <c r="C560" s="24"/>
      <c r="D560" s="24"/>
      <c r="E560" s="24"/>
      <c r="F560" s="25" t="str">
        <f aca="false">IF($B560="","",IFERROR(IF(INDEX(명단!$B$5:$B$404,MATCH($B560,명단!$A$5:$A$404,0))="","(이름 미입력)",INDEX(명단!$B$5:$B$404,MATCH($B560,명단!$A$5:$A$404,0))),"번호 없음"))</f>
        <v/>
      </c>
    </row>
    <row r="561" customFormat="false" ht="15" hidden="false" customHeight="false" outlineLevel="0" collapsed="false">
      <c r="A561" s="23"/>
      <c r="B561" s="24"/>
      <c r="C561" s="24"/>
      <c r="D561" s="24"/>
      <c r="E561" s="24"/>
      <c r="F561" s="25" t="str">
        <f aca="false">IF($B561="","",IFERROR(IF(INDEX(명단!$B$5:$B$404,MATCH($B561,명단!$A$5:$A$404,0))="","(이름 미입력)",INDEX(명단!$B$5:$B$404,MATCH($B561,명단!$A$5:$A$404,0))),"번호 없음"))</f>
        <v/>
      </c>
    </row>
    <row r="562" customFormat="false" ht="15" hidden="false" customHeight="false" outlineLevel="0" collapsed="false">
      <c r="A562" s="23"/>
      <c r="B562" s="24"/>
      <c r="C562" s="24"/>
      <c r="D562" s="24"/>
      <c r="E562" s="24"/>
      <c r="F562" s="25" t="str">
        <f aca="false">IF($B562="","",IFERROR(IF(INDEX(명단!$B$5:$B$404,MATCH($B562,명단!$A$5:$A$404,0))="","(이름 미입력)",INDEX(명단!$B$5:$B$404,MATCH($B562,명단!$A$5:$A$404,0))),"번호 없음"))</f>
        <v/>
      </c>
    </row>
    <row r="563" customFormat="false" ht="15" hidden="false" customHeight="false" outlineLevel="0" collapsed="false">
      <c r="A563" s="23"/>
      <c r="B563" s="24"/>
      <c r="C563" s="24"/>
      <c r="D563" s="24"/>
      <c r="E563" s="24"/>
      <c r="F563" s="25" t="str">
        <f aca="false">IF($B563="","",IFERROR(IF(INDEX(명단!$B$5:$B$404,MATCH($B563,명단!$A$5:$A$404,0))="","(이름 미입력)",INDEX(명단!$B$5:$B$404,MATCH($B563,명단!$A$5:$A$404,0))),"번호 없음"))</f>
        <v/>
      </c>
    </row>
    <row r="564" customFormat="false" ht="15" hidden="false" customHeight="false" outlineLevel="0" collapsed="false">
      <c r="A564" s="23"/>
      <c r="B564" s="24"/>
      <c r="C564" s="24"/>
      <c r="D564" s="24"/>
      <c r="E564" s="24"/>
      <c r="F564" s="25" t="str">
        <f aca="false">IF($B564="","",IFERROR(IF(INDEX(명단!$B$5:$B$404,MATCH($B564,명단!$A$5:$A$404,0))="","(이름 미입력)",INDEX(명단!$B$5:$B$404,MATCH($B564,명단!$A$5:$A$404,0))),"번호 없음"))</f>
        <v/>
      </c>
    </row>
    <row r="565" customFormat="false" ht="15" hidden="false" customHeight="false" outlineLevel="0" collapsed="false">
      <c r="A565" s="23"/>
      <c r="B565" s="24"/>
      <c r="C565" s="24"/>
      <c r="D565" s="24"/>
      <c r="E565" s="24"/>
      <c r="F565" s="25" t="str">
        <f aca="false">IF($B565="","",IFERROR(IF(INDEX(명단!$B$5:$B$404,MATCH($B565,명단!$A$5:$A$404,0))="","(이름 미입력)",INDEX(명단!$B$5:$B$404,MATCH($B565,명단!$A$5:$A$404,0))),"번호 없음"))</f>
        <v/>
      </c>
    </row>
    <row r="566" customFormat="false" ht="15" hidden="false" customHeight="false" outlineLevel="0" collapsed="false">
      <c r="A566" s="23"/>
      <c r="B566" s="24"/>
      <c r="C566" s="24"/>
      <c r="D566" s="24"/>
      <c r="E566" s="24"/>
      <c r="F566" s="25" t="str">
        <f aca="false">IF($B566="","",IFERROR(IF(INDEX(명단!$B$5:$B$404,MATCH($B566,명단!$A$5:$A$404,0))="","(이름 미입력)",INDEX(명단!$B$5:$B$404,MATCH($B566,명단!$A$5:$A$404,0))),"번호 없음"))</f>
        <v/>
      </c>
    </row>
    <row r="567" customFormat="false" ht="15" hidden="false" customHeight="false" outlineLevel="0" collapsed="false">
      <c r="A567" s="23"/>
      <c r="B567" s="24"/>
      <c r="C567" s="24"/>
      <c r="D567" s="24"/>
      <c r="E567" s="24"/>
      <c r="F567" s="25" t="str">
        <f aca="false">IF($B567="","",IFERROR(IF(INDEX(명단!$B$5:$B$404,MATCH($B567,명단!$A$5:$A$404,0))="","(이름 미입력)",INDEX(명단!$B$5:$B$404,MATCH($B567,명단!$A$5:$A$404,0))),"번호 없음"))</f>
        <v/>
      </c>
    </row>
    <row r="568" customFormat="false" ht="15" hidden="false" customHeight="false" outlineLevel="0" collapsed="false">
      <c r="A568" s="23"/>
      <c r="B568" s="24"/>
      <c r="C568" s="24"/>
      <c r="D568" s="24"/>
      <c r="E568" s="24"/>
      <c r="F568" s="25" t="str">
        <f aca="false">IF($B568="","",IFERROR(IF(INDEX(명단!$B$5:$B$404,MATCH($B568,명단!$A$5:$A$404,0))="","(이름 미입력)",INDEX(명단!$B$5:$B$404,MATCH($B568,명단!$A$5:$A$404,0))),"번호 없음"))</f>
        <v/>
      </c>
    </row>
    <row r="569" customFormat="false" ht="15" hidden="false" customHeight="false" outlineLevel="0" collapsed="false">
      <c r="A569" s="23"/>
      <c r="B569" s="24"/>
      <c r="C569" s="24"/>
      <c r="D569" s="24"/>
      <c r="E569" s="24"/>
      <c r="F569" s="25" t="str">
        <f aca="false">IF($B569="","",IFERROR(IF(INDEX(명단!$B$5:$B$404,MATCH($B569,명단!$A$5:$A$404,0))="","(이름 미입력)",INDEX(명단!$B$5:$B$404,MATCH($B569,명단!$A$5:$A$404,0))),"번호 없음"))</f>
        <v/>
      </c>
    </row>
    <row r="570" customFormat="false" ht="15" hidden="false" customHeight="false" outlineLevel="0" collapsed="false">
      <c r="A570" s="23"/>
      <c r="B570" s="24"/>
      <c r="C570" s="24"/>
      <c r="D570" s="24"/>
      <c r="E570" s="24"/>
      <c r="F570" s="25" t="str">
        <f aca="false">IF($B570="","",IFERROR(IF(INDEX(명단!$B$5:$B$404,MATCH($B570,명단!$A$5:$A$404,0))="","(이름 미입력)",INDEX(명단!$B$5:$B$404,MATCH($B570,명단!$A$5:$A$404,0))),"번호 없음"))</f>
        <v/>
      </c>
    </row>
    <row r="571" customFormat="false" ht="15" hidden="false" customHeight="false" outlineLevel="0" collapsed="false">
      <c r="A571" s="23"/>
      <c r="B571" s="24"/>
      <c r="C571" s="24"/>
      <c r="D571" s="24"/>
      <c r="E571" s="24"/>
      <c r="F571" s="25" t="str">
        <f aca="false">IF($B571="","",IFERROR(IF(INDEX(명단!$B$5:$B$404,MATCH($B571,명단!$A$5:$A$404,0))="","(이름 미입력)",INDEX(명단!$B$5:$B$404,MATCH($B571,명단!$A$5:$A$404,0))),"번호 없음"))</f>
        <v/>
      </c>
    </row>
    <row r="572" customFormat="false" ht="15" hidden="false" customHeight="false" outlineLevel="0" collapsed="false">
      <c r="A572" s="23"/>
      <c r="B572" s="24"/>
      <c r="C572" s="24"/>
      <c r="D572" s="24"/>
      <c r="E572" s="24"/>
      <c r="F572" s="25" t="str">
        <f aca="false">IF($B572="","",IFERROR(IF(INDEX(명단!$B$5:$B$404,MATCH($B572,명단!$A$5:$A$404,0))="","(이름 미입력)",INDEX(명단!$B$5:$B$404,MATCH($B572,명단!$A$5:$A$404,0))),"번호 없음"))</f>
        <v/>
      </c>
    </row>
    <row r="573" customFormat="false" ht="15" hidden="false" customHeight="false" outlineLevel="0" collapsed="false">
      <c r="A573" s="23"/>
      <c r="B573" s="24"/>
      <c r="C573" s="24"/>
      <c r="D573" s="24"/>
      <c r="E573" s="24"/>
      <c r="F573" s="25" t="str">
        <f aca="false">IF($B573="","",IFERROR(IF(INDEX(명단!$B$5:$B$404,MATCH($B573,명단!$A$5:$A$404,0))="","(이름 미입력)",INDEX(명단!$B$5:$B$404,MATCH($B573,명단!$A$5:$A$404,0))),"번호 없음"))</f>
        <v/>
      </c>
    </row>
    <row r="574" customFormat="false" ht="15" hidden="false" customHeight="false" outlineLevel="0" collapsed="false">
      <c r="A574" s="23"/>
      <c r="B574" s="24"/>
      <c r="C574" s="24"/>
      <c r="D574" s="24"/>
      <c r="E574" s="24"/>
      <c r="F574" s="25" t="str">
        <f aca="false">IF($B574="","",IFERROR(IF(INDEX(명단!$B$5:$B$404,MATCH($B574,명단!$A$5:$A$404,0))="","(이름 미입력)",INDEX(명단!$B$5:$B$404,MATCH($B574,명단!$A$5:$A$404,0))),"번호 없음"))</f>
        <v/>
      </c>
    </row>
    <row r="575" customFormat="false" ht="15" hidden="false" customHeight="false" outlineLevel="0" collapsed="false">
      <c r="A575" s="23"/>
      <c r="B575" s="24"/>
      <c r="C575" s="24"/>
      <c r="D575" s="24"/>
      <c r="E575" s="24"/>
      <c r="F575" s="25" t="str">
        <f aca="false">IF($B575="","",IFERROR(IF(INDEX(명단!$B$5:$B$404,MATCH($B575,명단!$A$5:$A$404,0))="","(이름 미입력)",INDEX(명단!$B$5:$B$404,MATCH($B575,명단!$A$5:$A$404,0))),"번호 없음"))</f>
        <v/>
      </c>
    </row>
    <row r="576" customFormat="false" ht="15" hidden="false" customHeight="false" outlineLevel="0" collapsed="false">
      <c r="A576" s="23"/>
      <c r="B576" s="24"/>
      <c r="C576" s="24"/>
      <c r="D576" s="24"/>
      <c r="E576" s="24"/>
      <c r="F576" s="25" t="str">
        <f aca="false">IF($B576="","",IFERROR(IF(INDEX(명단!$B$5:$B$404,MATCH($B576,명단!$A$5:$A$404,0))="","(이름 미입력)",INDEX(명단!$B$5:$B$404,MATCH($B576,명단!$A$5:$A$404,0))),"번호 없음"))</f>
        <v/>
      </c>
    </row>
    <row r="577" customFormat="false" ht="15" hidden="false" customHeight="false" outlineLevel="0" collapsed="false">
      <c r="A577" s="23"/>
      <c r="B577" s="24"/>
      <c r="C577" s="24"/>
      <c r="D577" s="24"/>
      <c r="E577" s="24"/>
      <c r="F577" s="25" t="str">
        <f aca="false">IF($B577="","",IFERROR(IF(INDEX(명단!$B$5:$B$404,MATCH($B577,명단!$A$5:$A$404,0))="","(이름 미입력)",INDEX(명단!$B$5:$B$404,MATCH($B577,명단!$A$5:$A$404,0))),"번호 없음"))</f>
        <v/>
      </c>
    </row>
    <row r="578" customFormat="false" ht="15" hidden="false" customHeight="false" outlineLevel="0" collapsed="false">
      <c r="A578" s="23"/>
      <c r="B578" s="24"/>
      <c r="C578" s="24"/>
      <c r="D578" s="24"/>
      <c r="E578" s="24"/>
      <c r="F578" s="25" t="str">
        <f aca="false">IF($B578="","",IFERROR(IF(INDEX(명단!$B$5:$B$404,MATCH($B578,명단!$A$5:$A$404,0))="","(이름 미입력)",INDEX(명단!$B$5:$B$404,MATCH($B578,명단!$A$5:$A$404,0))),"번호 없음"))</f>
        <v/>
      </c>
    </row>
    <row r="579" customFormat="false" ht="15" hidden="false" customHeight="false" outlineLevel="0" collapsed="false">
      <c r="A579" s="23"/>
      <c r="B579" s="24"/>
      <c r="C579" s="24"/>
      <c r="D579" s="24"/>
      <c r="E579" s="24"/>
      <c r="F579" s="25" t="str">
        <f aca="false">IF($B579="","",IFERROR(IF(INDEX(명단!$B$5:$B$404,MATCH($B579,명단!$A$5:$A$404,0))="","(이름 미입력)",INDEX(명단!$B$5:$B$404,MATCH($B579,명단!$A$5:$A$404,0))),"번호 없음"))</f>
        <v/>
      </c>
    </row>
    <row r="580" customFormat="false" ht="15" hidden="false" customHeight="false" outlineLevel="0" collapsed="false">
      <c r="A580" s="23"/>
      <c r="B580" s="24"/>
      <c r="C580" s="24"/>
      <c r="D580" s="24"/>
      <c r="E580" s="24"/>
      <c r="F580" s="25" t="str">
        <f aca="false">IF($B580="","",IFERROR(IF(INDEX(명단!$B$5:$B$404,MATCH($B580,명단!$A$5:$A$404,0))="","(이름 미입력)",INDEX(명단!$B$5:$B$404,MATCH($B580,명단!$A$5:$A$404,0))),"번호 없음"))</f>
        <v/>
      </c>
    </row>
    <row r="581" customFormat="false" ht="15" hidden="false" customHeight="false" outlineLevel="0" collapsed="false">
      <c r="A581" s="23"/>
      <c r="B581" s="24"/>
      <c r="C581" s="24"/>
      <c r="D581" s="24"/>
      <c r="E581" s="24"/>
      <c r="F581" s="25" t="str">
        <f aca="false">IF($B581="","",IFERROR(IF(INDEX(명단!$B$5:$B$404,MATCH($B581,명단!$A$5:$A$404,0))="","(이름 미입력)",INDEX(명단!$B$5:$B$404,MATCH($B581,명단!$A$5:$A$404,0))),"번호 없음"))</f>
        <v/>
      </c>
    </row>
    <row r="582" customFormat="false" ht="15" hidden="false" customHeight="false" outlineLevel="0" collapsed="false">
      <c r="A582" s="23"/>
      <c r="B582" s="24"/>
      <c r="C582" s="24"/>
      <c r="D582" s="24"/>
      <c r="E582" s="24"/>
      <c r="F582" s="25" t="str">
        <f aca="false">IF($B582="","",IFERROR(IF(INDEX(명단!$B$5:$B$404,MATCH($B582,명단!$A$5:$A$404,0))="","(이름 미입력)",INDEX(명단!$B$5:$B$404,MATCH($B582,명단!$A$5:$A$404,0))),"번호 없음"))</f>
        <v/>
      </c>
    </row>
    <row r="583" customFormat="false" ht="15" hidden="false" customHeight="false" outlineLevel="0" collapsed="false">
      <c r="A583" s="23"/>
      <c r="B583" s="24"/>
      <c r="C583" s="24"/>
      <c r="D583" s="24"/>
      <c r="E583" s="24"/>
      <c r="F583" s="25" t="str">
        <f aca="false">IF($B583="","",IFERROR(IF(INDEX(명단!$B$5:$B$404,MATCH($B583,명단!$A$5:$A$404,0))="","(이름 미입력)",INDEX(명단!$B$5:$B$404,MATCH($B583,명단!$A$5:$A$404,0))),"번호 없음"))</f>
        <v/>
      </c>
    </row>
    <row r="584" customFormat="false" ht="15" hidden="false" customHeight="false" outlineLevel="0" collapsed="false">
      <c r="A584" s="23"/>
      <c r="B584" s="24"/>
      <c r="C584" s="24"/>
      <c r="D584" s="24"/>
      <c r="E584" s="24"/>
      <c r="F584" s="25" t="str">
        <f aca="false">IF($B584="","",IFERROR(IF(INDEX(명단!$B$5:$B$404,MATCH($B584,명단!$A$5:$A$404,0))="","(이름 미입력)",INDEX(명단!$B$5:$B$404,MATCH($B584,명단!$A$5:$A$404,0))),"번호 없음"))</f>
        <v/>
      </c>
    </row>
    <row r="585" customFormat="false" ht="15" hidden="false" customHeight="false" outlineLevel="0" collapsed="false">
      <c r="A585" s="23"/>
      <c r="B585" s="24"/>
      <c r="C585" s="24"/>
      <c r="D585" s="24"/>
      <c r="E585" s="24"/>
      <c r="F585" s="25" t="str">
        <f aca="false">IF($B585="","",IFERROR(IF(INDEX(명단!$B$5:$B$404,MATCH($B585,명단!$A$5:$A$404,0))="","(이름 미입력)",INDEX(명단!$B$5:$B$404,MATCH($B585,명단!$A$5:$A$404,0))),"번호 없음"))</f>
        <v/>
      </c>
    </row>
    <row r="586" customFormat="false" ht="15" hidden="false" customHeight="false" outlineLevel="0" collapsed="false">
      <c r="A586" s="23"/>
      <c r="B586" s="24"/>
      <c r="C586" s="24"/>
      <c r="D586" s="24"/>
      <c r="E586" s="24"/>
      <c r="F586" s="25" t="str">
        <f aca="false">IF($B586="","",IFERROR(IF(INDEX(명단!$B$5:$B$404,MATCH($B586,명단!$A$5:$A$404,0))="","(이름 미입력)",INDEX(명단!$B$5:$B$404,MATCH($B586,명단!$A$5:$A$404,0))),"번호 없음"))</f>
        <v/>
      </c>
    </row>
    <row r="587" customFormat="false" ht="15" hidden="false" customHeight="false" outlineLevel="0" collapsed="false">
      <c r="A587" s="23"/>
      <c r="B587" s="24"/>
      <c r="C587" s="24"/>
      <c r="D587" s="24"/>
      <c r="E587" s="24"/>
      <c r="F587" s="25" t="str">
        <f aca="false">IF($B587="","",IFERROR(IF(INDEX(명단!$B$5:$B$404,MATCH($B587,명단!$A$5:$A$404,0))="","(이름 미입력)",INDEX(명단!$B$5:$B$404,MATCH($B587,명단!$A$5:$A$404,0))),"번호 없음"))</f>
        <v/>
      </c>
    </row>
    <row r="588" customFormat="false" ht="15" hidden="false" customHeight="false" outlineLevel="0" collapsed="false">
      <c r="A588" s="23"/>
      <c r="B588" s="24"/>
      <c r="C588" s="24"/>
      <c r="D588" s="24"/>
      <c r="E588" s="24"/>
      <c r="F588" s="25" t="str">
        <f aca="false">IF($B588="","",IFERROR(IF(INDEX(명단!$B$5:$B$404,MATCH($B588,명단!$A$5:$A$404,0))="","(이름 미입력)",INDEX(명단!$B$5:$B$404,MATCH($B588,명단!$A$5:$A$404,0))),"번호 없음"))</f>
        <v/>
      </c>
    </row>
    <row r="589" customFormat="false" ht="15" hidden="false" customHeight="false" outlineLevel="0" collapsed="false">
      <c r="A589" s="23"/>
      <c r="B589" s="24"/>
      <c r="C589" s="24"/>
      <c r="D589" s="24"/>
      <c r="E589" s="24"/>
      <c r="F589" s="25" t="str">
        <f aca="false">IF($B589="","",IFERROR(IF(INDEX(명단!$B$5:$B$404,MATCH($B589,명단!$A$5:$A$404,0))="","(이름 미입력)",INDEX(명단!$B$5:$B$404,MATCH($B589,명단!$A$5:$A$404,0))),"번호 없음"))</f>
        <v/>
      </c>
    </row>
    <row r="590" customFormat="false" ht="15" hidden="false" customHeight="false" outlineLevel="0" collapsed="false">
      <c r="A590" s="23"/>
      <c r="B590" s="24"/>
      <c r="C590" s="24"/>
      <c r="D590" s="24"/>
      <c r="E590" s="24"/>
      <c r="F590" s="25" t="str">
        <f aca="false">IF($B590="","",IFERROR(IF(INDEX(명단!$B$5:$B$404,MATCH($B590,명단!$A$5:$A$404,0))="","(이름 미입력)",INDEX(명단!$B$5:$B$404,MATCH($B590,명단!$A$5:$A$404,0))),"번호 없음"))</f>
        <v/>
      </c>
    </row>
    <row r="591" customFormat="false" ht="15" hidden="false" customHeight="false" outlineLevel="0" collapsed="false">
      <c r="A591" s="23"/>
      <c r="B591" s="24"/>
      <c r="C591" s="24"/>
      <c r="D591" s="24"/>
      <c r="E591" s="24"/>
      <c r="F591" s="25" t="str">
        <f aca="false">IF($B591="","",IFERROR(IF(INDEX(명단!$B$5:$B$404,MATCH($B591,명단!$A$5:$A$404,0))="","(이름 미입력)",INDEX(명단!$B$5:$B$404,MATCH($B591,명단!$A$5:$A$404,0))),"번호 없음"))</f>
        <v/>
      </c>
    </row>
    <row r="592" customFormat="false" ht="15" hidden="false" customHeight="false" outlineLevel="0" collapsed="false">
      <c r="A592" s="23"/>
      <c r="B592" s="24"/>
      <c r="C592" s="24"/>
      <c r="D592" s="24"/>
      <c r="E592" s="24"/>
      <c r="F592" s="25" t="str">
        <f aca="false">IF($B592="","",IFERROR(IF(INDEX(명단!$B$5:$B$404,MATCH($B592,명단!$A$5:$A$404,0))="","(이름 미입력)",INDEX(명단!$B$5:$B$404,MATCH($B592,명단!$A$5:$A$404,0))),"번호 없음"))</f>
        <v/>
      </c>
    </row>
    <row r="593" customFormat="false" ht="15" hidden="false" customHeight="false" outlineLevel="0" collapsed="false">
      <c r="A593" s="23"/>
      <c r="B593" s="24"/>
      <c r="C593" s="24"/>
      <c r="D593" s="24"/>
      <c r="E593" s="24"/>
      <c r="F593" s="25" t="str">
        <f aca="false">IF($B593="","",IFERROR(IF(INDEX(명단!$B$5:$B$404,MATCH($B593,명단!$A$5:$A$404,0))="","(이름 미입력)",INDEX(명단!$B$5:$B$404,MATCH($B593,명단!$A$5:$A$404,0))),"번호 없음"))</f>
        <v/>
      </c>
    </row>
    <row r="594" customFormat="false" ht="15" hidden="false" customHeight="false" outlineLevel="0" collapsed="false">
      <c r="A594" s="23"/>
      <c r="B594" s="24"/>
      <c r="C594" s="24"/>
      <c r="D594" s="24"/>
      <c r="E594" s="24"/>
      <c r="F594" s="25" t="str">
        <f aca="false">IF($B594="","",IFERROR(IF(INDEX(명단!$B$5:$B$404,MATCH($B594,명단!$A$5:$A$404,0))="","(이름 미입력)",INDEX(명단!$B$5:$B$404,MATCH($B594,명단!$A$5:$A$404,0))),"번호 없음"))</f>
        <v/>
      </c>
    </row>
    <row r="595" customFormat="false" ht="15" hidden="false" customHeight="false" outlineLevel="0" collapsed="false">
      <c r="A595" s="23"/>
      <c r="B595" s="24"/>
      <c r="C595" s="24"/>
      <c r="D595" s="24"/>
      <c r="E595" s="24"/>
      <c r="F595" s="25" t="str">
        <f aca="false">IF($B595="","",IFERROR(IF(INDEX(명단!$B$5:$B$404,MATCH($B595,명단!$A$5:$A$404,0))="","(이름 미입력)",INDEX(명단!$B$5:$B$404,MATCH($B595,명단!$A$5:$A$404,0))),"번호 없음"))</f>
        <v/>
      </c>
    </row>
    <row r="596" customFormat="false" ht="15" hidden="false" customHeight="false" outlineLevel="0" collapsed="false">
      <c r="A596" s="23"/>
      <c r="B596" s="24"/>
      <c r="C596" s="24"/>
      <c r="D596" s="24"/>
      <c r="E596" s="24"/>
      <c r="F596" s="25" t="str">
        <f aca="false">IF($B596="","",IFERROR(IF(INDEX(명단!$B$5:$B$404,MATCH($B596,명단!$A$5:$A$404,0))="","(이름 미입력)",INDEX(명단!$B$5:$B$404,MATCH($B596,명단!$A$5:$A$404,0))),"번호 없음"))</f>
        <v/>
      </c>
    </row>
    <row r="597" customFormat="false" ht="15" hidden="false" customHeight="false" outlineLevel="0" collapsed="false">
      <c r="A597" s="23"/>
      <c r="B597" s="24"/>
      <c r="C597" s="24"/>
      <c r="D597" s="24"/>
      <c r="E597" s="24"/>
      <c r="F597" s="25" t="str">
        <f aca="false">IF($B597="","",IFERROR(IF(INDEX(명단!$B$5:$B$404,MATCH($B597,명단!$A$5:$A$404,0))="","(이름 미입력)",INDEX(명단!$B$5:$B$404,MATCH($B597,명단!$A$5:$A$404,0))),"번호 없음"))</f>
        <v/>
      </c>
    </row>
    <row r="598" customFormat="false" ht="15" hidden="false" customHeight="false" outlineLevel="0" collapsed="false">
      <c r="A598" s="23"/>
      <c r="B598" s="24"/>
      <c r="C598" s="24"/>
      <c r="D598" s="24"/>
      <c r="E598" s="24"/>
      <c r="F598" s="25" t="str">
        <f aca="false">IF($B598="","",IFERROR(IF(INDEX(명단!$B$5:$B$404,MATCH($B598,명단!$A$5:$A$404,0))="","(이름 미입력)",INDEX(명단!$B$5:$B$404,MATCH($B598,명단!$A$5:$A$404,0))),"번호 없음"))</f>
        <v/>
      </c>
    </row>
    <row r="599" customFormat="false" ht="15" hidden="false" customHeight="false" outlineLevel="0" collapsed="false">
      <c r="A599" s="23"/>
      <c r="B599" s="24"/>
      <c r="C599" s="24"/>
      <c r="D599" s="24"/>
      <c r="E599" s="24"/>
      <c r="F599" s="25" t="str">
        <f aca="false">IF($B599="","",IFERROR(IF(INDEX(명단!$B$5:$B$404,MATCH($B599,명단!$A$5:$A$404,0))="","(이름 미입력)",INDEX(명단!$B$5:$B$404,MATCH($B599,명단!$A$5:$A$404,0))),"번호 없음"))</f>
        <v/>
      </c>
    </row>
    <row r="600" customFormat="false" ht="15" hidden="false" customHeight="false" outlineLevel="0" collapsed="false">
      <c r="A600" s="23"/>
      <c r="B600" s="24"/>
      <c r="C600" s="24"/>
      <c r="D600" s="24"/>
      <c r="E600" s="24"/>
      <c r="F600" s="25" t="str">
        <f aca="false">IF($B600="","",IFERROR(IF(INDEX(명단!$B$5:$B$404,MATCH($B600,명단!$A$5:$A$404,0))="","(이름 미입력)",INDEX(명단!$B$5:$B$404,MATCH($B600,명단!$A$5:$A$404,0))),"번호 없음"))</f>
        <v/>
      </c>
    </row>
    <row r="601" customFormat="false" ht="15" hidden="false" customHeight="false" outlineLevel="0" collapsed="false">
      <c r="A601" s="23"/>
      <c r="B601" s="24"/>
      <c r="C601" s="24"/>
      <c r="D601" s="24"/>
      <c r="E601" s="24"/>
      <c r="F601" s="25" t="str">
        <f aca="false">IF($B601="","",IFERROR(IF(INDEX(명단!$B$5:$B$404,MATCH($B601,명단!$A$5:$A$404,0))="","(이름 미입력)",INDEX(명단!$B$5:$B$404,MATCH($B601,명단!$A$5:$A$404,0))),"번호 없음"))</f>
        <v/>
      </c>
    </row>
    <row r="602" customFormat="false" ht="15" hidden="false" customHeight="false" outlineLevel="0" collapsed="false">
      <c r="A602" s="23"/>
      <c r="B602" s="24"/>
      <c r="C602" s="24"/>
      <c r="D602" s="24"/>
      <c r="E602" s="24"/>
      <c r="F602" s="25" t="str">
        <f aca="false">IF($B602="","",IFERROR(IF(INDEX(명단!$B$5:$B$404,MATCH($B602,명단!$A$5:$A$404,0))="","(이름 미입력)",INDEX(명단!$B$5:$B$404,MATCH($B602,명단!$A$5:$A$404,0))),"번호 없음"))</f>
        <v/>
      </c>
    </row>
    <row r="603" customFormat="false" ht="15" hidden="false" customHeight="false" outlineLevel="0" collapsed="false">
      <c r="A603" s="23"/>
      <c r="B603" s="24"/>
      <c r="C603" s="24"/>
      <c r="D603" s="24"/>
      <c r="E603" s="24"/>
      <c r="F603" s="25" t="str">
        <f aca="false">IF($B603="","",IFERROR(IF(INDEX(명단!$B$5:$B$404,MATCH($B603,명단!$A$5:$A$404,0))="","(이름 미입력)",INDEX(명단!$B$5:$B$404,MATCH($B603,명단!$A$5:$A$404,0))),"번호 없음"))</f>
        <v/>
      </c>
    </row>
    <row r="604" customFormat="false" ht="15" hidden="false" customHeight="false" outlineLevel="0" collapsed="false">
      <c r="A604" s="23"/>
      <c r="B604" s="24"/>
      <c r="C604" s="24"/>
      <c r="D604" s="24"/>
      <c r="E604" s="24"/>
      <c r="F604" s="25" t="str">
        <f aca="false">IF($B604="","",IFERROR(IF(INDEX(명단!$B$5:$B$404,MATCH($B604,명단!$A$5:$A$404,0))="","(이름 미입력)",INDEX(명단!$B$5:$B$404,MATCH($B604,명단!$A$5:$A$404,0))),"번호 없음"))</f>
        <v/>
      </c>
    </row>
    <row r="605" customFormat="false" ht="15" hidden="false" customHeight="false" outlineLevel="0" collapsed="false">
      <c r="A605" s="23"/>
      <c r="B605" s="24"/>
      <c r="C605" s="24"/>
      <c r="D605" s="24"/>
      <c r="E605" s="24"/>
      <c r="F605" s="25" t="str">
        <f aca="false">IF($B605="","",IFERROR(IF(INDEX(명단!$B$5:$B$404,MATCH($B605,명단!$A$5:$A$404,0))="","(이름 미입력)",INDEX(명단!$B$5:$B$404,MATCH($B605,명단!$A$5:$A$404,0))),"번호 없음"))</f>
        <v/>
      </c>
    </row>
    <row r="606" customFormat="false" ht="15" hidden="false" customHeight="false" outlineLevel="0" collapsed="false">
      <c r="A606" s="23"/>
      <c r="B606" s="24"/>
      <c r="C606" s="24"/>
      <c r="D606" s="24"/>
      <c r="E606" s="24"/>
      <c r="F606" s="25" t="str">
        <f aca="false">IF($B606="","",IFERROR(IF(INDEX(명단!$B$5:$B$404,MATCH($B606,명단!$A$5:$A$404,0))="","(이름 미입력)",INDEX(명단!$B$5:$B$404,MATCH($B606,명단!$A$5:$A$404,0))),"번호 없음"))</f>
        <v/>
      </c>
    </row>
    <row r="607" customFormat="false" ht="15" hidden="false" customHeight="false" outlineLevel="0" collapsed="false">
      <c r="A607" s="23"/>
      <c r="B607" s="24"/>
      <c r="C607" s="24"/>
      <c r="D607" s="24"/>
      <c r="E607" s="24"/>
      <c r="F607" s="25" t="str">
        <f aca="false">IF($B607="","",IFERROR(IF(INDEX(명단!$B$5:$B$404,MATCH($B607,명단!$A$5:$A$404,0))="","(이름 미입력)",INDEX(명단!$B$5:$B$404,MATCH($B607,명단!$A$5:$A$404,0))),"번호 없음"))</f>
        <v/>
      </c>
    </row>
    <row r="608" customFormat="false" ht="15" hidden="false" customHeight="false" outlineLevel="0" collapsed="false">
      <c r="A608" s="23"/>
      <c r="B608" s="24"/>
      <c r="C608" s="24"/>
      <c r="D608" s="24"/>
      <c r="E608" s="24"/>
      <c r="F608" s="25" t="str">
        <f aca="false">IF($B608="","",IFERROR(IF(INDEX(명단!$B$5:$B$404,MATCH($B608,명단!$A$5:$A$404,0))="","(이름 미입력)",INDEX(명단!$B$5:$B$404,MATCH($B608,명단!$A$5:$A$404,0))),"번호 없음"))</f>
        <v/>
      </c>
    </row>
    <row r="609" customFormat="false" ht="15" hidden="false" customHeight="false" outlineLevel="0" collapsed="false">
      <c r="A609" s="23"/>
      <c r="B609" s="24"/>
      <c r="C609" s="24"/>
      <c r="D609" s="24"/>
      <c r="E609" s="24"/>
      <c r="F609" s="25" t="str">
        <f aca="false">IF($B609="","",IFERROR(IF(INDEX(명단!$B$5:$B$404,MATCH($B609,명단!$A$5:$A$404,0))="","(이름 미입력)",INDEX(명단!$B$5:$B$404,MATCH($B609,명단!$A$5:$A$404,0))),"번호 없음"))</f>
        <v/>
      </c>
    </row>
    <row r="610" customFormat="false" ht="15" hidden="false" customHeight="false" outlineLevel="0" collapsed="false">
      <c r="A610" s="23"/>
      <c r="B610" s="24"/>
      <c r="C610" s="24"/>
      <c r="D610" s="24"/>
      <c r="E610" s="24"/>
      <c r="F610" s="25" t="str">
        <f aca="false">IF($B610="","",IFERROR(IF(INDEX(명단!$B$5:$B$404,MATCH($B610,명단!$A$5:$A$404,0))="","(이름 미입력)",INDEX(명단!$B$5:$B$404,MATCH($B610,명단!$A$5:$A$404,0))),"번호 없음"))</f>
        <v/>
      </c>
    </row>
    <row r="611" customFormat="false" ht="15" hidden="false" customHeight="false" outlineLevel="0" collapsed="false">
      <c r="A611" s="23"/>
      <c r="B611" s="24"/>
      <c r="C611" s="24"/>
      <c r="D611" s="24"/>
      <c r="E611" s="24"/>
      <c r="F611" s="25" t="str">
        <f aca="false">IF($B611="","",IFERROR(IF(INDEX(명단!$B$5:$B$404,MATCH($B611,명단!$A$5:$A$404,0))="","(이름 미입력)",INDEX(명단!$B$5:$B$404,MATCH($B611,명단!$A$5:$A$404,0))),"번호 없음"))</f>
        <v/>
      </c>
    </row>
    <row r="612" customFormat="false" ht="15" hidden="false" customHeight="false" outlineLevel="0" collapsed="false">
      <c r="A612" s="23"/>
      <c r="B612" s="24"/>
      <c r="C612" s="24"/>
      <c r="D612" s="24"/>
      <c r="E612" s="24"/>
      <c r="F612" s="25" t="str">
        <f aca="false">IF($B612="","",IFERROR(IF(INDEX(명단!$B$5:$B$404,MATCH($B612,명단!$A$5:$A$404,0))="","(이름 미입력)",INDEX(명단!$B$5:$B$404,MATCH($B612,명단!$A$5:$A$404,0))),"번호 없음"))</f>
        <v/>
      </c>
    </row>
    <row r="613" customFormat="false" ht="15" hidden="false" customHeight="false" outlineLevel="0" collapsed="false">
      <c r="A613" s="23"/>
      <c r="B613" s="24"/>
      <c r="C613" s="24"/>
      <c r="D613" s="24"/>
      <c r="E613" s="24"/>
      <c r="F613" s="25" t="str">
        <f aca="false">IF($B613="","",IFERROR(IF(INDEX(명단!$B$5:$B$404,MATCH($B613,명단!$A$5:$A$404,0))="","(이름 미입력)",INDEX(명단!$B$5:$B$404,MATCH($B613,명단!$A$5:$A$404,0))),"번호 없음"))</f>
        <v/>
      </c>
    </row>
    <row r="614" customFormat="false" ht="15" hidden="false" customHeight="false" outlineLevel="0" collapsed="false">
      <c r="A614" s="23"/>
      <c r="B614" s="24"/>
      <c r="C614" s="24"/>
      <c r="D614" s="24"/>
      <c r="E614" s="24"/>
      <c r="F614" s="25" t="str">
        <f aca="false">IF($B614="","",IFERROR(IF(INDEX(명단!$B$5:$B$404,MATCH($B614,명단!$A$5:$A$404,0))="","(이름 미입력)",INDEX(명단!$B$5:$B$404,MATCH($B614,명단!$A$5:$A$404,0))),"번호 없음"))</f>
        <v/>
      </c>
    </row>
    <row r="615" customFormat="false" ht="15" hidden="false" customHeight="false" outlineLevel="0" collapsed="false">
      <c r="A615" s="23"/>
      <c r="B615" s="24"/>
      <c r="C615" s="24"/>
      <c r="D615" s="24"/>
      <c r="E615" s="24"/>
      <c r="F615" s="25" t="str">
        <f aca="false">IF($B615="","",IFERROR(IF(INDEX(명단!$B$5:$B$404,MATCH($B615,명단!$A$5:$A$404,0))="","(이름 미입력)",INDEX(명단!$B$5:$B$404,MATCH($B615,명단!$A$5:$A$404,0))),"번호 없음"))</f>
        <v/>
      </c>
    </row>
    <row r="616" customFormat="false" ht="15" hidden="false" customHeight="false" outlineLevel="0" collapsed="false">
      <c r="A616" s="23"/>
      <c r="B616" s="24"/>
      <c r="C616" s="24"/>
      <c r="D616" s="24"/>
      <c r="E616" s="24"/>
      <c r="F616" s="25" t="str">
        <f aca="false">IF($B616="","",IFERROR(IF(INDEX(명단!$B$5:$B$404,MATCH($B616,명단!$A$5:$A$404,0))="","(이름 미입력)",INDEX(명단!$B$5:$B$404,MATCH($B616,명단!$A$5:$A$404,0))),"번호 없음"))</f>
        <v/>
      </c>
    </row>
    <row r="617" customFormat="false" ht="15" hidden="false" customHeight="false" outlineLevel="0" collapsed="false">
      <c r="A617" s="23"/>
      <c r="B617" s="24"/>
      <c r="C617" s="24"/>
      <c r="D617" s="24"/>
      <c r="E617" s="24"/>
      <c r="F617" s="25" t="str">
        <f aca="false">IF($B617="","",IFERROR(IF(INDEX(명단!$B$5:$B$404,MATCH($B617,명단!$A$5:$A$404,0))="","(이름 미입력)",INDEX(명단!$B$5:$B$404,MATCH($B617,명단!$A$5:$A$404,0))),"번호 없음"))</f>
        <v/>
      </c>
    </row>
    <row r="618" customFormat="false" ht="15" hidden="false" customHeight="false" outlineLevel="0" collapsed="false">
      <c r="A618" s="23"/>
      <c r="B618" s="24"/>
      <c r="C618" s="24"/>
      <c r="D618" s="24"/>
      <c r="E618" s="24"/>
      <c r="F618" s="25" t="str">
        <f aca="false">IF($B618="","",IFERROR(IF(INDEX(명단!$B$5:$B$404,MATCH($B618,명단!$A$5:$A$404,0))="","(이름 미입력)",INDEX(명단!$B$5:$B$404,MATCH($B618,명단!$A$5:$A$404,0))),"번호 없음"))</f>
        <v/>
      </c>
    </row>
    <row r="619" customFormat="false" ht="15" hidden="false" customHeight="false" outlineLevel="0" collapsed="false">
      <c r="A619" s="23"/>
      <c r="B619" s="24"/>
      <c r="C619" s="24"/>
      <c r="D619" s="24"/>
      <c r="E619" s="24"/>
      <c r="F619" s="25" t="str">
        <f aca="false">IF($B619="","",IFERROR(IF(INDEX(명단!$B$5:$B$404,MATCH($B619,명단!$A$5:$A$404,0))="","(이름 미입력)",INDEX(명단!$B$5:$B$404,MATCH($B619,명단!$A$5:$A$404,0))),"번호 없음"))</f>
        <v/>
      </c>
    </row>
    <row r="620" customFormat="false" ht="15" hidden="false" customHeight="false" outlineLevel="0" collapsed="false">
      <c r="A620" s="23"/>
      <c r="B620" s="24"/>
      <c r="C620" s="24"/>
      <c r="D620" s="24"/>
      <c r="E620" s="24"/>
      <c r="F620" s="25" t="str">
        <f aca="false">IF($B620="","",IFERROR(IF(INDEX(명단!$B$5:$B$404,MATCH($B620,명단!$A$5:$A$404,0))="","(이름 미입력)",INDEX(명단!$B$5:$B$404,MATCH($B620,명단!$A$5:$A$404,0))),"번호 없음"))</f>
        <v/>
      </c>
    </row>
    <row r="621" customFormat="false" ht="15" hidden="false" customHeight="false" outlineLevel="0" collapsed="false">
      <c r="A621" s="23"/>
      <c r="B621" s="24"/>
      <c r="C621" s="24"/>
      <c r="D621" s="24"/>
      <c r="E621" s="24"/>
      <c r="F621" s="25" t="str">
        <f aca="false">IF($B621="","",IFERROR(IF(INDEX(명단!$B$5:$B$404,MATCH($B621,명단!$A$5:$A$404,0))="","(이름 미입력)",INDEX(명단!$B$5:$B$404,MATCH($B621,명단!$A$5:$A$404,0))),"번호 없음"))</f>
        <v/>
      </c>
    </row>
    <row r="622" customFormat="false" ht="15" hidden="false" customHeight="false" outlineLevel="0" collapsed="false">
      <c r="A622" s="23"/>
      <c r="B622" s="24"/>
      <c r="C622" s="24"/>
      <c r="D622" s="24"/>
      <c r="E622" s="24"/>
      <c r="F622" s="25" t="str">
        <f aca="false">IF($B622="","",IFERROR(IF(INDEX(명단!$B$5:$B$404,MATCH($B622,명단!$A$5:$A$404,0))="","(이름 미입력)",INDEX(명단!$B$5:$B$404,MATCH($B622,명단!$A$5:$A$404,0))),"번호 없음"))</f>
        <v/>
      </c>
    </row>
    <row r="623" customFormat="false" ht="15" hidden="false" customHeight="false" outlineLevel="0" collapsed="false">
      <c r="A623" s="23"/>
      <c r="B623" s="24"/>
      <c r="C623" s="24"/>
      <c r="D623" s="24"/>
      <c r="E623" s="24"/>
      <c r="F623" s="25" t="str">
        <f aca="false">IF($B623="","",IFERROR(IF(INDEX(명단!$B$5:$B$404,MATCH($B623,명단!$A$5:$A$404,0))="","(이름 미입력)",INDEX(명단!$B$5:$B$404,MATCH($B623,명단!$A$5:$A$404,0))),"번호 없음"))</f>
        <v/>
      </c>
    </row>
    <row r="624" customFormat="false" ht="15" hidden="false" customHeight="false" outlineLevel="0" collapsed="false">
      <c r="A624" s="23"/>
      <c r="B624" s="24"/>
      <c r="C624" s="24"/>
      <c r="D624" s="24"/>
      <c r="E624" s="24"/>
      <c r="F624" s="25" t="str">
        <f aca="false">IF($B624="","",IFERROR(IF(INDEX(명단!$B$5:$B$404,MATCH($B624,명단!$A$5:$A$404,0))="","(이름 미입력)",INDEX(명단!$B$5:$B$404,MATCH($B624,명단!$A$5:$A$404,0))),"번호 없음"))</f>
        <v/>
      </c>
    </row>
    <row r="625" customFormat="false" ht="15" hidden="false" customHeight="false" outlineLevel="0" collapsed="false">
      <c r="A625" s="23"/>
      <c r="B625" s="24"/>
      <c r="C625" s="24"/>
      <c r="D625" s="24"/>
      <c r="E625" s="24"/>
      <c r="F625" s="25" t="str">
        <f aca="false">IF($B625="","",IFERROR(IF(INDEX(명단!$B$5:$B$404,MATCH($B625,명단!$A$5:$A$404,0))="","(이름 미입력)",INDEX(명단!$B$5:$B$404,MATCH($B625,명단!$A$5:$A$404,0))),"번호 없음"))</f>
        <v/>
      </c>
    </row>
    <row r="626" customFormat="false" ht="15" hidden="false" customHeight="false" outlineLevel="0" collapsed="false">
      <c r="A626" s="23"/>
      <c r="B626" s="24"/>
      <c r="C626" s="24"/>
      <c r="D626" s="24"/>
      <c r="E626" s="24"/>
      <c r="F626" s="25" t="str">
        <f aca="false">IF($B626="","",IFERROR(IF(INDEX(명단!$B$5:$B$404,MATCH($B626,명단!$A$5:$A$404,0))="","(이름 미입력)",INDEX(명단!$B$5:$B$404,MATCH($B626,명단!$A$5:$A$404,0))),"번호 없음"))</f>
        <v/>
      </c>
    </row>
    <row r="627" customFormat="false" ht="15" hidden="false" customHeight="false" outlineLevel="0" collapsed="false">
      <c r="A627" s="23"/>
      <c r="B627" s="24"/>
      <c r="C627" s="24"/>
      <c r="D627" s="24"/>
      <c r="E627" s="24"/>
      <c r="F627" s="25" t="str">
        <f aca="false">IF($B627="","",IFERROR(IF(INDEX(명단!$B$5:$B$404,MATCH($B627,명단!$A$5:$A$404,0))="","(이름 미입력)",INDEX(명단!$B$5:$B$404,MATCH($B627,명단!$A$5:$A$404,0))),"번호 없음"))</f>
        <v/>
      </c>
    </row>
    <row r="628" customFormat="false" ht="15" hidden="false" customHeight="false" outlineLevel="0" collapsed="false">
      <c r="A628" s="23"/>
      <c r="B628" s="24"/>
      <c r="C628" s="24"/>
      <c r="D628" s="24"/>
      <c r="E628" s="24"/>
      <c r="F628" s="25" t="str">
        <f aca="false">IF($B628="","",IFERROR(IF(INDEX(명단!$B$5:$B$404,MATCH($B628,명단!$A$5:$A$404,0))="","(이름 미입력)",INDEX(명단!$B$5:$B$404,MATCH($B628,명단!$A$5:$A$404,0))),"번호 없음"))</f>
        <v/>
      </c>
    </row>
    <row r="629" customFormat="false" ht="15" hidden="false" customHeight="false" outlineLevel="0" collapsed="false">
      <c r="A629" s="23"/>
      <c r="B629" s="24"/>
      <c r="C629" s="24"/>
      <c r="D629" s="24"/>
      <c r="E629" s="24"/>
      <c r="F629" s="25" t="str">
        <f aca="false">IF($B629="","",IFERROR(IF(INDEX(명단!$B$5:$B$404,MATCH($B629,명단!$A$5:$A$404,0))="","(이름 미입력)",INDEX(명단!$B$5:$B$404,MATCH($B629,명단!$A$5:$A$404,0))),"번호 없음"))</f>
        <v/>
      </c>
    </row>
    <row r="630" customFormat="false" ht="15" hidden="false" customHeight="false" outlineLevel="0" collapsed="false">
      <c r="A630" s="23"/>
      <c r="B630" s="24"/>
      <c r="C630" s="24"/>
      <c r="D630" s="24"/>
      <c r="E630" s="24"/>
      <c r="F630" s="25" t="str">
        <f aca="false">IF($B630="","",IFERROR(IF(INDEX(명단!$B$5:$B$404,MATCH($B630,명단!$A$5:$A$404,0))="","(이름 미입력)",INDEX(명단!$B$5:$B$404,MATCH($B630,명단!$A$5:$A$404,0))),"번호 없음"))</f>
        <v/>
      </c>
    </row>
    <row r="631" customFormat="false" ht="15" hidden="false" customHeight="false" outlineLevel="0" collapsed="false">
      <c r="A631" s="23"/>
      <c r="B631" s="24"/>
      <c r="C631" s="24"/>
      <c r="D631" s="24"/>
      <c r="E631" s="24"/>
      <c r="F631" s="25" t="str">
        <f aca="false">IF($B631="","",IFERROR(IF(INDEX(명단!$B$5:$B$404,MATCH($B631,명단!$A$5:$A$404,0))="","(이름 미입력)",INDEX(명단!$B$5:$B$404,MATCH($B631,명단!$A$5:$A$404,0))),"번호 없음"))</f>
        <v/>
      </c>
    </row>
    <row r="632" customFormat="false" ht="15" hidden="false" customHeight="false" outlineLevel="0" collapsed="false">
      <c r="A632" s="23"/>
      <c r="B632" s="24"/>
      <c r="C632" s="24"/>
      <c r="D632" s="24"/>
      <c r="E632" s="24"/>
      <c r="F632" s="25" t="str">
        <f aca="false">IF($B632="","",IFERROR(IF(INDEX(명단!$B$5:$B$404,MATCH($B632,명단!$A$5:$A$404,0))="","(이름 미입력)",INDEX(명단!$B$5:$B$404,MATCH($B632,명단!$A$5:$A$404,0))),"번호 없음"))</f>
        <v/>
      </c>
    </row>
    <row r="633" customFormat="false" ht="15" hidden="false" customHeight="false" outlineLevel="0" collapsed="false">
      <c r="A633" s="23"/>
      <c r="B633" s="24"/>
      <c r="C633" s="24"/>
      <c r="D633" s="24"/>
      <c r="E633" s="24"/>
      <c r="F633" s="25" t="str">
        <f aca="false">IF($B633="","",IFERROR(IF(INDEX(명단!$B$5:$B$404,MATCH($B633,명단!$A$5:$A$404,0))="","(이름 미입력)",INDEX(명단!$B$5:$B$404,MATCH($B633,명단!$A$5:$A$404,0))),"번호 없음"))</f>
        <v/>
      </c>
    </row>
    <row r="634" customFormat="false" ht="15" hidden="false" customHeight="false" outlineLevel="0" collapsed="false">
      <c r="A634" s="23"/>
      <c r="B634" s="24"/>
      <c r="C634" s="24"/>
      <c r="D634" s="24"/>
      <c r="E634" s="24"/>
      <c r="F634" s="25" t="str">
        <f aca="false">IF($B634="","",IFERROR(IF(INDEX(명단!$B$5:$B$404,MATCH($B634,명단!$A$5:$A$404,0))="","(이름 미입력)",INDEX(명단!$B$5:$B$404,MATCH($B634,명단!$A$5:$A$404,0))),"번호 없음"))</f>
        <v/>
      </c>
    </row>
    <row r="635" customFormat="false" ht="15" hidden="false" customHeight="false" outlineLevel="0" collapsed="false">
      <c r="A635" s="23"/>
      <c r="B635" s="24"/>
      <c r="C635" s="24"/>
      <c r="D635" s="24"/>
      <c r="E635" s="24"/>
      <c r="F635" s="25" t="str">
        <f aca="false">IF($B635="","",IFERROR(IF(INDEX(명단!$B$5:$B$404,MATCH($B635,명단!$A$5:$A$404,0))="","(이름 미입력)",INDEX(명단!$B$5:$B$404,MATCH($B635,명단!$A$5:$A$404,0))),"번호 없음"))</f>
        <v/>
      </c>
    </row>
    <row r="636" customFormat="false" ht="15" hidden="false" customHeight="false" outlineLevel="0" collapsed="false">
      <c r="A636" s="23"/>
      <c r="B636" s="24"/>
      <c r="C636" s="24"/>
      <c r="D636" s="24"/>
      <c r="E636" s="24"/>
      <c r="F636" s="25" t="str">
        <f aca="false">IF($B636="","",IFERROR(IF(INDEX(명단!$B$5:$B$404,MATCH($B636,명단!$A$5:$A$404,0))="","(이름 미입력)",INDEX(명단!$B$5:$B$404,MATCH($B636,명단!$A$5:$A$404,0))),"번호 없음"))</f>
        <v/>
      </c>
    </row>
    <row r="637" customFormat="false" ht="15" hidden="false" customHeight="false" outlineLevel="0" collapsed="false">
      <c r="A637" s="23"/>
      <c r="B637" s="24"/>
      <c r="C637" s="24"/>
      <c r="D637" s="24"/>
      <c r="E637" s="24"/>
      <c r="F637" s="25" t="str">
        <f aca="false">IF($B637="","",IFERROR(IF(INDEX(명단!$B$5:$B$404,MATCH($B637,명단!$A$5:$A$404,0))="","(이름 미입력)",INDEX(명단!$B$5:$B$404,MATCH($B637,명단!$A$5:$A$404,0))),"번호 없음"))</f>
        <v/>
      </c>
    </row>
    <row r="638" customFormat="false" ht="15" hidden="false" customHeight="false" outlineLevel="0" collapsed="false">
      <c r="A638" s="23"/>
      <c r="B638" s="24"/>
      <c r="C638" s="24"/>
      <c r="D638" s="24"/>
      <c r="E638" s="24"/>
      <c r="F638" s="25" t="str">
        <f aca="false">IF($B638="","",IFERROR(IF(INDEX(명단!$B$5:$B$404,MATCH($B638,명단!$A$5:$A$404,0))="","(이름 미입력)",INDEX(명단!$B$5:$B$404,MATCH($B638,명단!$A$5:$A$404,0))),"번호 없음"))</f>
        <v/>
      </c>
    </row>
    <row r="639" customFormat="false" ht="15" hidden="false" customHeight="false" outlineLevel="0" collapsed="false">
      <c r="A639" s="23"/>
      <c r="B639" s="24"/>
      <c r="C639" s="24"/>
      <c r="D639" s="24"/>
      <c r="E639" s="24"/>
      <c r="F639" s="25" t="str">
        <f aca="false">IF($B639="","",IFERROR(IF(INDEX(명단!$B$5:$B$404,MATCH($B639,명단!$A$5:$A$404,0))="","(이름 미입력)",INDEX(명단!$B$5:$B$404,MATCH($B639,명단!$A$5:$A$404,0))),"번호 없음"))</f>
        <v/>
      </c>
    </row>
    <row r="640" customFormat="false" ht="15" hidden="false" customHeight="false" outlineLevel="0" collapsed="false">
      <c r="A640" s="23"/>
      <c r="B640" s="24"/>
      <c r="C640" s="24"/>
      <c r="D640" s="24"/>
      <c r="E640" s="24"/>
      <c r="F640" s="25" t="str">
        <f aca="false">IF($B640="","",IFERROR(IF(INDEX(명단!$B$5:$B$404,MATCH($B640,명단!$A$5:$A$404,0))="","(이름 미입력)",INDEX(명단!$B$5:$B$404,MATCH($B640,명단!$A$5:$A$404,0))),"번호 없음"))</f>
        <v/>
      </c>
    </row>
    <row r="641" customFormat="false" ht="15" hidden="false" customHeight="false" outlineLevel="0" collapsed="false">
      <c r="A641" s="23"/>
      <c r="B641" s="24"/>
      <c r="C641" s="24"/>
      <c r="D641" s="24"/>
      <c r="E641" s="24"/>
      <c r="F641" s="25" t="str">
        <f aca="false">IF($B641="","",IFERROR(IF(INDEX(명단!$B$5:$B$404,MATCH($B641,명단!$A$5:$A$404,0))="","(이름 미입력)",INDEX(명단!$B$5:$B$404,MATCH($B641,명단!$A$5:$A$404,0))),"번호 없음"))</f>
        <v/>
      </c>
    </row>
    <row r="642" customFormat="false" ht="15" hidden="false" customHeight="false" outlineLevel="0" collapsed="false">
      <c r="A642" s="23"/>
      <c r="B642" s="24"/>
      <c r="C642" s="24"/>
      <c r="D642" s="24"/>
      <c r="E642" s="24"/>
      <c r="F642" s="25" t="str">
        <f aca="false">IF($B642="","",IFERROR(IF(INDEX(명단!$B$5:$B$404,MATCH($B642,명단!$A$5:$A$404,0))="","(이름 미입력)",INDEX(명단!$B$5:$B$404,MATCH($B642,명단!$A$5:$A$404,0))),"번호 없음"))</f>
        <v/>
      </c>
    </row>
    <row r="643" customFormat="false" ht="15" hidden="false" customHeight="false" outlineLevel="0" collapsed="false">
      <c r="A643" s="23"/>
      <c r="B643" s="24"/>
      <c r="C643" s="24"/>
      <c r="D643" s="24"/>
      <c r="E643" s="24"/>
      <c r="F643" s="25" t="str">
        <f aca="false">IF($B643="","",IFERROR(IF(INDEX(명단!$B$5:$B$404,MATCH($B643,명단!$A$5:$A$404,0))="","(이름 미입력)",INDEX(명단!$B$5:$B$404,MATCH($B643,명단!$A$5:$A$404,0))),"번호 없음"))</f>
        <v/>
      </c>
    </row>
    <row r="644" customFormat="false" ht="15" hidden="false" customHeight="false" outlineLevel="0" collapsed="false">
      <c r="A644" s="23"/>
      <c r="B644" s="24"/>
      <c r="C644" s="24"/>
      <c r="D644" s="24"/>
      <c r="E644" s="24"/>
      <c r="F644" s="25" t="str">
        <f aca="false">IF($B644="","",IFERROR(IF(INDEX(명단!$B$5:$B$404,MATCH($B644,명단!$A$5:$A$404,0))="","(이름 미입력)",INDEX(명단!$B$5:$B$404,MATCH($B644,명단!$A$5:$A$404,0))),"번호 없음"))</f>
        <v/>
      </c>
    </row>
    <row r="645" customFormat="false" ht="15" hidden="false" customHeight="false" outlineLevel="0" collapsed="false">
      <c r="A645" s="23"/>
      <c r="B645" s="24"/>
      <c r="C645" s="24"/>
      <c r="D645" s="24"/>
      <c r="E645" s="24"/>
      <c r="F645" s="25" t="str">
        <f aca="false">IF($B645="","",IFERROR(IF(INDEX(명단!$B$5:$B$404,MATCH($B645,명단!$A$5:$A$404,0))="","(이름 미입력)",INDEX(명단!$B$5:$B$404,MATCH($B645,명단!$A$5:$A$404,0))),"번호 없음"))</f>
        <v/>
      </c>
    </row>
    <row r="646" customFormat="false" ht="15" hidden="false" customHeight="false" outlineLevel="0" collapsed="false">
      <c r="A646" s="23"/>
      <c r="B646" s="24"/>
      <c r="C646" s="24"/>
      <c r="D646" s="24"/>
      <c r="E646" s="24"/>
      <c r="F646" s="25" t="str">
        <f aca="false">IF($B646="","",IFERROR(IF(INDEX(명단!$B$5:$B$404,MATCH($B646,명단!$A$5:$A$404,0))="","(이름 미입력)",INDEX(명단!$B$5:$B$404,MATCH($B646,명단!$A$5:$A$404,0))),"번호 없음"))</f>
        <v/>
      </c>
    </row>
    <row r="647" customFormat="false" ht="15" hidden="false" customHeight="false" outlineLevel="0" collapsed="false">
      <c r="A647" s="23"/>
      <c r="B647" s="24"/>
      <c r="C647" s="24"/>
      <c r="D647" s="24"/>
      <c r="E647" s="24"/>
      <c r="F647" s="25" t="str">
        <f aca="false">IF($B647="","",IFERROR(IF(INDEX(명단!$B$5:$B$404,MATCH($B647,명단!$A$5:$A$404,0))="","(이름 미입력)",INDEX(명단!$B$5:$B$404,MATCH($B647,명단!$A$5:$A$404,0))),"번호 없음"))</f>
        <v/>
      </c>
    </row>
    <row r="648" customFormat="false" ht="15" hidden="false" customHeight="false" outlineLevel="0" collapsed="false">
      <c r="A648" s="23"/>
      <c r="B648" s="24"/>
      <c r="C648" s="24"/>
      <c r="D648" s="24"/>
      <c r="E648" s="24"/>
      <c r="F648" s="25" t="str">
        <f aca="false">IF($B648="","",IFERROR(IF(INDEX(명단!$B$5:$B$404,MATCH($B648,명단!$A$5:$A$404,0))="","(이름 미입력)",INDEX(명단!$B$5:$B$404,MATCH($B648,명단!$A$5:$A$404,0))),"번호 없음"))</f>
        <v/>
      </c>
    </row>
    <row r="649" customFormat="false" ht="15" hidden="false" customHeight="false" outlineLevel="0" collapsed="false">
      <c r="A649" s="23"/>
      <c r="B649" s="24"/>
      <c r="C649" s="24"/>
      <c r="D649" s="24"/>
      <c r="E649" s="24"/>
      <c r="F649" s="25" t="str">
        <f aca="false">IF($B649="","",IFERROR(IF(INDEX(명단!$B$5:$B$404,MATCH($B649,명단!$A$5:$A$404,0))="","(이름 미입력)",INDEX(명단!$B$5:$B$404,MATCH($B649,명단!$A$5:$A$404,0))),"번호 없음"))</f>
        <v/>
      </c>
    </row>
    <row r="650" customFormat="false" ht="15" hidden="false" customHeight="false" outlineLevel="0" collapsed="false">
      <c r="A650" s="23"/>
      <c r="B650" s="24"/>
      <c r="C650" s="24"/>
      <c r="D650" s="24"/>
      <c r="E650" s="24"/>
      <c r="F650" s="25" t="str">
        <f aca="false">IF($B650="","",IFERROR(IF(INDEX(명단!$B$5:$B$404,MATCH($B650,명단!$A$5:$A$404,0))="","(이름 미입력)",INDEX(명단!$B$5:$B$404,MATCH($B650,명단!$A$5:$A$404,0))),"번호 없음"))</f>
        <v/>
      </c>
    </row>
    <row r="651" customFormat="false" ht="15" hidden="false" customHeight="false" outlineLevel="0" collapsed="false">
      <c r="A651" s="23"/>
      <c r="B651" s="24"/>
      <c r="C651" s="24"/>
      <c r="D651" s="24"/>
      <c r="E651" s="24"/>
      <c r="F651" s="25" t="str">
        <f aca="false">IF($B651="","",IFERROR(IF(INDEX(명단!$B$5:$B$404,MATCH($B651,명단!$A$5:$A$404,0))="","(이름 미입력)",INDEX(명단!$B$5:$B$404,MATCH($B651,명단!$A$5:$A$404,0))),"번호 없음"))</f>
        <v/>
      </c>
    </row>
    <row r="652" customFormat="false" ht="15" hidden="false" customHeight="false" outlineLevel="0" collapsed="false">
      <c r="A652" s="23"/>
      <c r="B652" s="24"/>
      <c r="C652" s="24"/>
      <c r="D652" s="24"/>
      <c r="E652" s="24"/>
      <c r="F652" s="25" t="str">
        <f aca="false">IF($B652="","",IFERROR(IF(INDEX(명단!$B$5:$B$404,MATCH($B652,명단!$A$5:$A$404,0))="","(이름 미입력)",INDEX(명단!$B$5:$B$404,MATCH($B652,명단!$A$5:$A$404,0))),"번호 없음"))</f>
        <v/>
      </c>
    </row>
    <row r="653" customFormat="false" ht="15" hidden="false" customHeight="false" outlineLevel="0" collapsed="false">
      <c r="A653" s="23"/>
      <c r="B653" s="24"/>
      <c r="C653" s="24"/>
      <c r="D653" s="24"/>
      <c r="E653" s="24"/>
      <c r="F653" s="25" t="str">
        <f aca="false">IF($B653="","",IFERROR(IF(INDEX(명단!$B$5:$B$404,MATCH($B653,명단!$A$5:$A$404,0))="","(이름 미입력)",INDEX(명단!$B$5:$B$404,MATCH($B653,명단!$A$5:$A$404,0))),"번호 없음"))</f>
        <v/>
      </c>
    </row>
    <row r="654" customFormat="false" ht="15" hidden="false" customHeight="false" outlineLevel="0" collapsed="false">
      <c r="A654" s="23"/>
      <c r="B654" s="24"/>
      <c r="C654" s="24"/>
      <c r="D654" s="24"/>
      <c r="E654" s="24"/>
      <c r="F654" s="25" t="str">
        <f aca="false">IF($B654="","",IFERROR(IF(INDEX(명단!$B$5:$B$404,MATCH($B654,명단!$A$5:$A$404,0))="","(이름 미입력)",INDEX(명단!$B$5:$B$404,MATCH($B654,명단!$A$5:$A$404,0))),"번호 없음"))</f>
        <v/>
      </c>
    </row>
    <row r="655" customFormat="false" ht="15" hidden="false" customHeight="false" outlineLevel="0" collapsed="false">
      <c r="A655" s="23"/>
      <c r="B655" s="24"/>
      <c r="C655" s="24"/>
      <c r="D655" s="24"/>
      <c r="E655" s="24"/>
      <c r="F655" s="25" t="str">
        <f aca="false">IF($B655="","",IFERROR(IF(INDEX(명단!$B$5:$B$404,MATCH($B655,명단!$A$5:$A$404,0))="","(이름 미입력)",INDEX(명단!$B$5:$B$404,MATCH($B655,명단!$A$5:$A$404,0))),"번호 없음"))</f>
        <v/>
      </c>
    </row>
    <row r="656" customFormat="false" ht="15" hidden="false" customHeight="false" outlineLevel="0" collapsed="false">
      <c r="A656" s="23"/>
      <c r="B656" s="24"/>
      <c r="C656" s="24"/>
      <c r="D656" s="24"/>
      <c r="E656" s="24"/>
      <c r="F656" s="25" t="str">
        <f aca="false">IF($B656="","",IFERROR(IF(INDEX(명단!$B$5:$B$404,MATCH($B656,명단!$A$5:$A$404,0))="","(이름 미입력)",INDEX(명단!$B$5:$B$404,MATCH($B656,명단!$A$5:$A$404,0))),"번호 없음"))</f>
        <v/>
      </c>
    </row>
    <row r="657" customFormat="false" ht="15" hidden="false" customHeight="false" outlineLevel="0" collapsed="false">
      <c r="A657" s="23"/>
      <c r="B657" s="24"/>
      <c r="C657" s="24"/>
      <c r="D657" s="24"/>
      <c r="E657" s="24"/>
      <c r="F657" s="25" t="str">
        <f aca="false">IF($B657="","",IFERROR(IF(INDEX(명단!$B$5:$B$404,MATCH($B657,명단!$A$5:$A$404,0))="","(이름 미입력)",INDEX(명단!$B$5:$B$404,MATCH($B657,명단!$A$5:$A$404,0))),"번호 없음"))</f>
        <v/>
      </c>
    </row>
    <row r="658" customFormat="false" ht="15" hidden="false" customHeight="false" outlineLevel="0" collapsed="false">
      <c r="A658" s="23"/>
      <c r="B658" s="24"/>
      <c r="C658" s="24"/>
      <c r="D658" s="24"/>
      <c r="E658" s="24"/>
      <c r="F658" s="25" t="str">
        <f aca="false">IF($B658="","",IFERROR(IF(INDEX(명단!$B$5:$B$404,MATCH($B658,명단!$A$5:$A$404,0))="","(이름 미입력)",INDEX(명단!$B$5:$B$404,MATCH($B658,명단!$A$5:$A$404,0))),"번호 없음"))</f>
        <v/>
      </c>
    </row>
    <row r="659" customFormat="false" ht="15" hidden="false" customHeight="false" outlineLevel="0" collapsed="false">
      <c r="A659" s="23"/>
      <c r="B659" s="24"/>
      <c r="C659" s="24"/>
      <c r="D659" s="24"/>
      <c r="E659" s="24"/>
      <c r="F659" s="25" t="str">
        <f aca="false">IF($B659="","",IFERROR(IF(INDEX(명단!$B$5:$B$404,MATCH($B659,명단!$A$5:$A$404,0))="","(이름 미입력)",INDEX(명단!$B$5:$B$404,MATCH($B659,명단!$A$5:$A$404,0))),"번호 없음"))</f>
        <v/>
      </c>
    </row>
    <row r="660" customFormat="false" ht="15" hidden="false" customHeight="false" outlineLevel="0" collapsed="false">
      <c r="A660" s="23"/>
      <c r="B660" s="24"/>
      <c r="C660" s="24"/>
      <c r="D660" s="24"/>
      <c r="E660" s="24"/>
      <c r="F660" s="25" t="str">
        <f aca="false">IF($B660="","",IFERROR(IF(INDEX(명단!$B$5:$B$404,MATCH($B660,명단!$A$5:$A$404,0))="","(이름 미입력)",INDEX(명단!$B$5:$B$404,MATCH($B660,명단!$A$5:$A$404,0))),"번호 없음"))</f>
        <v/>
      </c>
    </row>
    <row r="661" customFormat="false" ht="15" hidden="false" customHeight="false" outlineLevel="0" collapsed="false">
      <c r="A661" s="23"/>
      <c r="B661" s="24"/>
      <c r="C661" s="24"/>
      <c r="D661" s="24"/>
      <c r="E661" s="24"/>
      <c r="F661" s="25" t="str">
        <f aca="false">IF($B661="","",IFERROR(IF(INDEX(명단!$B$5:$B$404,MATCH($B661,명단!$A$5:$A$404,0))="","(이름 미입력)",INDEX(명단!$B$5:$B$404,MATCH($B661,명단!$A$5:$A$404,0))),"번호 없음"))</f>
        <v/>
      </c>
    </row>
    <row r="662" customFormat="false" ht="15" hidden="false" customHeight="false" outlineLevel="0" collapsed="false">
      <c r="A662" s="23"/>
      <c r="B662" s="24"/>
      <c r="C662" s="24"/>
      <c r="D662" s="24"/>
      <c r="E662" s="24"/>
      <c r="F662" s="25" t="str">
        <f aca="false">IF($B662="","",IFERROR(IF(INDEX(명단!$B$5:$B$404,MATCH($B662,명단!$A$5:$A$404,0))="","(이름 미입력)",INDEX(명단!$B$5:$B$404,MATCH($B662,명단!$A$5:$A$404,0))),"번호 없음"))</f>
        <v/>
      </c>
    </row>
    <row r="663" customFormat="false" ht="15" hidden="false" customHeight="false" outlineLevel="0" collapsed="false">
      <c r="A663" s="23"/>
      <c r="B663" s="24"/>
      <c r="C663" s="24"/>
      <c r="D663" s="24"/>
      <c r="E663" s="24"/>
      <c r="F663" s="25" t="str">
        <f aca="false">IF($B663="","",IFERROR(IF(INDEX(명단!$B$5:$B$404,MATCH($B663,명단!$A$5:$A$404,0))="","(이름 미입력)",INDEX(명단!$B$5:$B$404,MATCH($B663,명단!$A$5:$A$404,0))),"번호 없음"))</f>
        <v/>
      </c>
    </row>
    <row r="664" customFormat="false" ht="15" hidden="false" customHeight="false" outlineLevel="0" collapsed="false">
      <c r="A664" s="23"/>
      <c r="B664" s="24"/>
      <c r="C664" s="24"/>
      <c r="D664" s="24"/>
      <c r="E664" s="24"/>
      <c r="F664" s="25" t="str">
        <f aca="false">IF($B664="","",IFERROR(IF(INDEX(명단!$B$5:$B$404,MATCH($B664,명단!$A$5:$A$404,0))="","(이름 미입력)",INDEX(명단!$B$5:$B$404,MATCH($B664,명단!$A$5:$A$404,0))),"번호 없음"))</f>
        <v/>
      </c>
    </row>
    <row r="665" customFormat="false" ht="15" hidden="false" customHeight="false" outlineLevel="0" collapsed="false">
      <c r="A665" s="23"/>
      <c r="B665" s="24"/>
      <c r="C665" s="24"/>
      <c r="D665" s="24"/>
      <c r="E665" s="24"/>
      <c r="F665" s="25" t="str">
        <f aca="false">IF($B665="","",IFERROR(IF(INDEX(명단!$B$5:$B$404,MATCH($B665,명단!$A$5:$A$404,0))="","(이름 미입력)",INDEX(명단!$B$5:$B$404,MATCH($B665,명단!$A$5:$A$404,0))),"번호 없음"))</f>
        <v/>
      </c>
    </row>
    <row r="666" customFormat="false" ht="15" hidden="false" customHeight="false" outlineLevel="0" collapsed="false">
      <c r="A666" s="23"/>
      <c r="B666" s="24"/>
      <c r="C666" s="24"/>
      <c r="D666" s="24"/>
      <c r="E666" s="24"/>
      <c r="F666" s="25" t="str">
        <f aca="false">IF($B666="","",IFERROR(IF(INDEX(명단!$B$5:$B$404,MATCH($B666,명단!$A$5:$A$404,0))="","(이름 미입력)",INDEX(명단!$B$5:$B$404,MATCH($B666,명단!$A$5:$A$404,0))),"번호 없음"))</f>
        <v/>
      </c>
    </row>
    <row r="667" customFormat="false" ht="15" hidden="false" customHeight="false" outlineLevel="0" collapsed="false">
      <c r="A667" s="23"/>
      <c r="B667" s="24"/>
      <c r="C667" s="24"/>
      <c r="D667" s="24"/>
      <c r="E667" s="24"/>
      <c r="F667" s="25" t="str">
        <f aca="false">IF($B667="","",IFERROR(IF(INDEX(명단!$B$5:$B$404,MATCH($B667,명단!$A$5:$A$404,0))="","(이름 미입력)",INDEX(명단!$B$5:$B$404,MATCH($B667,명단!$A$5:$A$404,0))),"번호 없음"))</f>
        <v/>
      </c>
    </row>
    <row r="668" customFormat="false" ht="15" hidden="false" customHeight="false" outlineLevel="0" collapsed="false">
      <c r="A668" s="23"/>
      <c r="B668" s="24"/>
      <c r="C668" s="24"/>
      <c r="D668" s="24"/>
      <c r="E668" s="24"/>
      <c r="F668" s="25" t="str">
        <f aca="false">IF($B668="","",IFERROR(IF(INDEX(명단!$B$5:$B$404,MATCH($B668,명단!$A$5:$A$404,0))="","(이름 미입력)",INDEX(명단!$B$5:$B$404,MATCH($B668,명단!$A$5:$A$404,0))),"번호 없음"))</f>
        <v/>
      </c>
    </row>
    <row r="669" customFormat="false" ht="15" hidden="false" customHeight="false" outlineLevel="0" collapsed="false">
      <c r="A669" s="23"/>
      <c r="B669" s="24"/>
      <c r="C669" s="24"/>
      <c r="D669" s="24"/>
      <c r="E669" s="24"/>
      <c r="F669" s="25" t="str">
        <f aca="false">IF($B669="","",IFERROR(IF(INDEX(명단!$B$5:$B$404,MATCH($B669,명단!$A$5:$A$404,0))="","(이름 미입력)",INDEX(명단!$B$5:$B$404,MATCH($B669,명단!$A$5:$A$404,0))),"번호 없음"))</f>
        <v/>
      </c>
    </row>
    <row r="670" customFormat="false" ht="15" hidden="false" customHeight="false" outlineLevel="0" collapsed="false">
      <c r="A670" s="23"/>
      <c r="B670" s="24"/>
      <c r="C670" s="24"/>
      <c r="D670" s="24"/>
      <c r="E670" s="24"/>
      <c r="F670" s="25" t="str">
        <f aca="false">IF($B670="","",IFERROR(IF(INDEX(명단!$B$5:$B$404,MATCH($B670,명단!$A$5:$A$404,0))="","(이름 미입력)",INDEX(명단!$B$5:$B$404,MATCH($B670,명단!$A$5:$A$404,0))),"번호 없음"))</f>
        <v/>
      </c>
    </row>
    <row r="671" customFormat="false" ht="15" hidden="false" customHeight="false" outlineLevel="0" collapsed="false">
      <c r="A671" s="23"/>
      <c r="B671" s="24"/>
      <c r="C671" s="24"/>
      <c r="D671" s="24"/>
      <c r="E671" s="24"/>
      <c r="F671" s="25" t="str">
        <f aca="false">IF($B671="","",IFERROR(IF(INDEX(명단!$B$5:$B$404,MATCH($B671,명단!$A$5:$A$404,0))="","(이름 미입력)",INDEX(명단!$B$5:$B$404,MATCH($B671,명단!$A$5:$A$404,0))),"번호 없음"))</f>
        <v/>
      </c>
    </row>
    <row r="672" customFormat="false" ht="15" hidden="false" customHeight="false" outlineLevel="0" collapsed="false">
      <c r="A672" s="23"/>
      <c r="B672" s="24"/>
      <c r="C672" s="24"/>
      <c r="D672" s="24"/>
      <c r="E672" s="24"/>
      <c r="F672" s="25" t="str">
        <f aca="false">IF($B672="","",IFERROR(IF(INDEX(명단!$B$5:$B$404,MATCH($B672,명단!$A$5:$A$404,0))="","(이름 미입력)",INDEX(명단!$B$5:$B$404,MATCH($B672,명단!$A$5:$A$404,0))),"번호 없음"))</f>
        <v/>
      </c>
    </row>
    <row r="673" customFormat="false" ht="15" hidden="false" customHeight="false" outlineLevel="0" collapsed="false">
      <c r="A673" s="23"/>
      <c r="B673" s="24"/>
      <c r="C673" s="24"/>
      <c r="D673" s="24"/>
      <c r="E673" s="24"/>
      <c r="F673" s="25" t="str">
        <f aca="false">IF($B673="","",IFERROR(IF(INDEX(명단!$B$5:$B$404,MATCH($B673,명단!$A$5:$A$404,0))="","(이름 미입력)",INDEX(명단!$B$5:$B$404,MATCH($B673,명단!$A$5:$A$404,0))),"번호 없음"))</f>
        <v/>
      </c>
    </row>
    <row r="674" customFormat="false" ht="15" hidden="false" customHeight="false" outlineLevel="0" collapsed="false">
      <c r="A674" s="23"/>
      <c r="B674" s="24"/>
      <c r="C674" s="24"/>
      <c r="D674" s="24"/>
      <c r="E674" s="24"/>
      <c r="F674" s="25" t="str">
        <f aca="false">IF($B674="","",IFERROR(IF(INDEX(명단!$B$5:$B$404,MATCH($B674,명단!$A$5:$A$404,0))="","(이름 미입력)",INDEX(명단!$B$5:$B$404,MATCH($B674,명단!$A$5:$A$404,0))),"번호 없음"))</f>
        <v/>
      </c>
    </row>
    <row r="675" customFormat="false" ht="15" hidden="false" customHeight="false" outlineLevel="0" collapsed="false">
      <c r="A675" s="23"/>
      <c r="B675" s="24"/>
      <c r="C675" s="24"/>
      <c r="D675" s="24"/>
      <c r="E675" s="24"/>
      <c r="F675" s="25" t="str">
        <f aca="false">IF($B675="","",IFERROR(IF(INDEX(명단!$B$5:$B$404,MATCH($B675,명단!$A$5:$A$404,0))="","(이름 미입력)",INDEX(명단!$B$5:$B$404,MATCH($B675,명단!$A$5:$A$404,0))),"번호 없음"))</f>
        <v/>
      </c>
    </row>
    <row r="676" customFormat="false" ht="15" hidden="false" customHeight="false" outlineLevel="0" collapsed="false">
      <c r="A676" s="23"/>
      <c r="B676" s="24"/>
      <c r="C676" s="24"/>
      <c r="D676" s="24"/>
      <c r="E676" s="24"/>
      <c r="F676" s="25" t="str">
        <f aca="false">IF($B676="","",IFERROR(IF(INDEX(명단!$B$5:$B$404,MATCH($B676,명단!$A$5:$A$404,0))="","(이름 미입력)",INDEX(명단!$B$5:$B$404,MATCH($B676,명단!$A$5:$A$404,0))),"번호 없음"))</f>
        <v/>
      </c>
    </row>
    <row r="677" customFormat="false" ht="15" hidden="false" customHeight="false" outlineLevel="0" collapsed="false">
      <c r="A677" s="23"/>
      <c r="B677" s="24"/>
      <c r="C677" s="24"/>
      <c r="D677" s="24"/>
      <c r="E677" s="24"/>
      <c r="F677" s="25" t="str">
        <f aca="false">IF($B677="","",IFERROR(IF(INDEX(명단!$B$5:$B$404,MATCH($B677,명단!$A$5:$A$404,0))="","(이름 미입력)",INDEX(명단!$B$5:$B$404,MATCH($B677,명단!$A$5:$A$404,0))),"번호 없음"))</f>
        <v/>
      </c>
    </row>
    <row r="678" customFormat="false" ht="15" hidden="false" customHeight="false" outlineLevel="0" collapsed="false">
      <c r="A678" s="23"/>
      <c r="B678" s="24"/>
      <c r="C678" s="24"/>
      <c r="D678" s="24"/>
      <c r="E678" s="24"/>
      <c r="F678" s="25" t="str">
        <f aca="false">IF($B678="","",IFERROR(IF(INDEX(명단!$B$5:$B$404,MATCH($B678,명단!$A$5:$A$404,0))="","(이름 미입력)",INDEX(명단!$B$5:$B$404,MATCH($B678,명단!$A$5:$A$404,0))),"번호 없음"))</f>
        <v/>
      </c>
    </row>
    <row r="679" customFormat="false" ht="15" hidden="false" customHeight="false" outlineLevel="0" collapsed="false">
      <c r="A679" s="23"/>
      <c r="B679" s="24"/>
      <c r="C679" s="24"/>
      <c r="D679" s="24"/>
      <c r="E679" s="24"/>
      <c r="F679" s="25" t="str">
        <f aca="false">IF($B679="","",IFERROR(IF(INDEX(명단!$B$5:$B$404,MATCH($B679,명단!$A$5:$A$404,0))="","(이름 미입력)",INDEX(명단!$B$5:$B$404,MATCH($B679,명단!$A$5:$A$404,0))),"번호 없음"))</f>
        <v/>
      </c>
    </row>
    <row r="680" customFormat="false" ht="15" hidden="false" customHeight="false" outlineLevel="0" collapsed="false">
      <c r="A680" s="23"/>
      <c r="B680" s="24"/>
      <c r="C680" s="24"/>
      <c r="D680" s="24"/>
      <c r="E680" s="24"/>
      <c r="F680" s="25" t="str">
        <f aca="false">IF($B680="","",IFERROR(IF(INDEX(명단!$B$5:$B$404,MATCH($B680,명단!$A$5:$A$404,0))="","(이름 미입력)",INDEX(명단!$B$5:$B$404,MATCH($B680,명단!$A$5:$A$404,0))),"번호 없음"))</f>
        <v/>
      </c>
    </row>
    <row r="681" customFormat="false" ht="15" hidden="false" customHeight="false" outlineLevel="0" collapsed="false">
      <c r="A681" s="23"/>
      <c r="B681" s="24"/>
      <c r="C681" s="24"/>
      <c r="D681" s="24"/>
      <c r="E681" s="24"/>
      <c r="F681" s="25" t="str">
        <f aca="false">IF($B681="","",IFERROR(IF(INDEX(명단!$B$5:$B$404,MATCH($B681,명단!$A$5:$A$404,0))="","(이름 미입력)",INDEX(명단!$B$5:$B$404,MATCH($B681,명단!$A$5:$A$404,0))),"번호 없음"))</f>
        <v/>
      </c>
    </row>
    <row r="682" customFormat="false" ht="15" hidden="false" customHeight="false" outlineLevel="0" collapsed="false">
      <c r="A682" s="23"/>
      <c r="B682" s="24"/>
      <c r="C682" s="24"/>
      <c r="D682" s="24"/>
      <c r="E682" s="24"/>
      <c r="F682" s="25" t="str">
        <f aca="false">IF($B682="","",IFERROR(IF(INDEX(명단!$B$5:$B$404,MATCH($B682,명단!$A$5:$A$404,0))="","(이름 미입력)",INDEX(명단!$B$5:$B$404,MATCH($B682,명단!$A$5:$A$404,0))),"번호 없음"))</f>
        <v/>
      </c>
    </row>
    <row r="683" customFormat="false" ht="15" hidden="false" customHeight="false" outlineLevel="0" collapsed="false">
      <c r="A683" s="23"/>
      <c r="B683" s="24"/>
      <c r="C683" s="24"/>
      <c r="D683" s="24"/>
      <c r="E683" s="24"/>
      <c r="F683" s="25" t="str">
        <f aca="false">IF($B683="","",IFERROR(IF(INDEX(명단!$B$5:$B$404,MATCH($B683,명단!$A$5:$A$404,0))="","(이름 미입력)",INDEX(명단!$B$5:$B$404,MATCH($B683,명단!$A$5:$A$404,0))),"번호 없음"))</f>
        <v/>
      </c>
    </row>
    <row r="684" customFormat="false" ht="15" hidden="false" customHeight="false" outlineLevel="0" collapsed="false">
      <c r="A684" s="23"/>
      <c r="B684" s="24"/>
      <c r="C684" s="24"/>
      <c r="D684" s="24"/>
      <c r="E684" s="24"/>
      <c r="F684" s="25" t="str">
        <f aca="false">IF($B684="","",IFERROR(IF(INDEX(명단!$B$5:$B$404,MATCH($B684,명단!$A$5:$A$404,0))="","(이름 미입력)",INDEX(명단!$B$5:$B$404,MATCH($B684,명단!$A$5:$A$404,0))),"번호 없음"))</f>
        <v/>
      </c>
    </row>
    <row r="685" customFormat="false" ht="15" hidden="false" customHeight="false" outlineLevel="0" collapsed="false">
      <c r="A685" s="23"/>
      <c r="B685" s="24"/>
      <c r="C685" s="24"/>
      <c r="D685" s="24"/>
      <c r="E685" s="24"/>
      <c r="F685" s="25" t="str">
        <f aca="false">IF($B685="","",IFERROR(IF(INDEX(명단!$B$5:$B$404,MATCH($B685,명단!$A$5:$A$404,0))="","(이름 미입력)",INDEX(명단!$B$5:$B$404,MATCH($B685,명단!$A$5:$A$404,0))),"번호 없음"))</f>
        <v/>
      </c>
    </row>
    <row r="686" customFormat="false" ht="15" hidden="false" customHeight="false" outlineLevel="0" collapsed="false">
      <c r="A686" s="23"/>
      <c r="B686" s="24"/>
      <c r="C686" s="24"/>
      <c r="D686" s="24"/>
      <c r="E686" s="24"/>
      <c r="F686" s="25" t="str">
        <f aca="false">IF($B686="","",IFERROR(IF(INDEX(명단!$B$5:$B$404,MATCH($B686,명단!$A$5:$A$404,0))="","(이름 미입력)",INDEX(명단!$B$5:$B$404,MATCH($B686,명단!$A$5:$A$404,0))),"번호 없음"))</f>
        <v/>
      </c>
    </row>
    <row r="687" customFormat="false" ht="15" hidden="false" customHeight="false" outlineLevel="0" collapsed="false">
      <c r="A687" s="23"/>
      <c r="B687" s="24"/>
      <c r="C687" s="24"/>
      <c r="D687" s="24"/>
      <c r="E687" s="24"/>
      <c r="F687" s="25" t="str">
        <f aca="false">IF($B687="","",IFERROR(IF(INDEX(명단!$B$5:$B$404,MATCH($B687,명단!$A$5:$A$404,0))="","(이름 미입력)",INDEX(명단!$B$5:$B$404,MATCH($B687,명단!$A$5:$A$404,0))),"번호 없음"))</f>
        <v/>
      </c>
    </row>
    <row r="688" customFormat="false" ht="15" hidden="false" customHeight="false" outlineLevel="0" collapsed="false">
      <c r="A688" s="23"/>
      <c r="B688" s="24"/>
      <c r="C688" s="24"/>
      <c r="D688" s="24"/>
      <c r="E688" s="24"/>
      <c r="F688" s="25" t="str">
        <f aca="false">IF($B688="","",IFERROR(IF(INDEX(명단!$B$5:$B$404,MATCH($B688,명단!$A$5:$A$404,0))="","(이름 미입력)",INDEX(명단!$B$5:$B$404,MATCH($B688,명단!$A$5:$A$404,0))),"번호 없음"))</f>
        <v/>
      </c>
    </row>
    <row r="689" customFormat="false" ht="15" hidden="false" customHeight="false" outlineLevel="0" collapsed="false">
      <c r="A689" s="23"/>
      <c r="B689" s="24"/>
      <c r="C689" s="24"/>
      <c r="D689" s="24"/>
      <c r="E689" s="24"/>
      <c r="F689" s="25" t="str">
        <f aca="false">IF($B689="","",IFERROR(IF(INDEX(명단!$B$5:$B$404,MATCH($B689,명단!$A$5:$A$404,0))="","(이름 미입력)",INDEX(명단!$B$5:$B$404,MATCH($B689,명단!$A$5:$A$404,0))),"번호 없음"))</f>
        <v/>
      </c>
    </row>
    <row r="690" customFormat="false" ht="15" hidden="false" customHeight="false" outlineLevel="0" collapsed="false">
      <c r="A690" s="23"/>
      <c r="B690" s="24"/>
      <c r="C690" s="24"/>
      <c r="D690" s="24"/>
      <c r="E690" s="24"/>
      <c r="F690" s="25" t="str">
        <f aca="false">IF($B690="","",IFERROR(IF(INDEX(명단!$B$5:$B$404,MATCH($B690,명단!$A$5:$A$404,0))="","(이름 미입력)",INDEX(명단!$B$5:$B$404,MATCH($B690,명단!$A$5:$A$404,0))),"번호 없음"))</f>
        <v/>
      </c>
    </row>
    <row r="691" customFormat="false" ht="15" hidden="false" customHeight="false" outlineLevel="0" collapsed="false">
      <c r="A691" s="23"/>
      <c r="B691" s="24"/>
      <c r="C691" s="24"/>
      <c r="D691" s="24"/>
      <c r="E691" s="24"/>
      <c r="F691" s="25" t="str">
        <f aca="false">IF($B691="","",IFERROR(IF(INDEX(명단!$B$5:$B$404,MATCH($B691,명단!$A$5:$A$404,0))="","(이름 미입력)",INDEX(명단!$B$5:$B$404,MATCH($B691,명단!$A$5:$A$404,0))),"번호 없음"))</f>
        <v/>
      </c>
    </row>
    <row r="692" customFormat="false" ht="15" hidden="false" customHeight="false" outlineLevel="0" collapsed="false">
      <c r="A692" s="23"/>
      <c r="B692" s="24"/>
      <c r="C692" s="24"/>
      <c r="D692" s="24"/>
      <c r="E692" s="24"/>
      <c r="F692" s="25" t="str">
        <f aca="false">IF($B692="","",IFERROR(IF(INDEX(명단!$B$5:$B$404,MATCH($B692,명단!$A$5:$A$404,0))="","(이름 미입력)",INDEX(명단!$B$5:$B$404,MATCH($B692,명단!$A$5:$A$404,0))),"번호 없음"))</f>
        <v/>
      </c>
    </row>
    <row r="693" customFormat="false" ht="15" hidden="false" customHeight="false" outlineLevel="0" collapsed="false">
      <c r="A693" s="23"/>
      <c r="B693" s="24"/>
      <c r="C693" s="24"/>
      <c r="D693" s="24"/>
      <c r="E693" s="24"/>
      <c r="F693" s="25" t="str">
        <f aca="false">IF($B693="","",IFERROR(IF(INDEX(명단!$B$5:$B$404,MATCH($B693,명단!$A$5:$A$404,0))="","(이름 미입력)",INDEX(명단!$B$5:$B$404,MATCH($B693,명단!$A$5:$A$404,0))),"번호 없음"))</f>
        <v/>
      </c>
    </row>
    <row r="694" customFormat="false" ht="15" hidden="false" customHeight="false" outlineLevel="0" collapsed="false">
      <c r="A694" s="23"/>
      <c r="B694" s="24"/>
      <c r="C694" s="24"/>
      <c r="D694" s="24"/>
      <c r="E694" s="24"/>
      <c r="F694" s="25" t="str">
        <f aca="false">IF($B694="","",IFERROR(IF(INDEX(명단!$B$5:$B$404,MATCH($B694,명단!$A$5:$A$404,0))="","(이름 미입력)",INDEX(명단!$B$5:$B$404,MATCH($B694,명단!$A$5:$A$404,0))),"번호 없음"))</f>
        <v/>
      </c>
    </row>
    <row r="695" customFormat="false" ht="15" hidden="false" customHeight="false" outlineLevel="0" collapsed="false">
      <c r="A695" s="23"/>
      <c r="B695" s="24"/>
      <c r="C695" s="24"/>
      <c r="D695" s="24"/>
      <c r="E695" s="24"/>
      <c r="F695" s="25" t="str">
        <f aca="false">IF($B695="","",IFERROR(IF(INDEX(명단!$B$5:$B$404,MATCH($B695,명단!$A$5:$A$404,0))="","(이름 미입력)",INDEX(명단!$B$5:$B$404,MATCH($B695,명단!$A$5:$A$404,0))),"번호 없음"))</f>
        <v/>
      </c>
    </row>
    <row r="696" customFormat="false" ht="15" hidden="false" customHeight="false" outlineLevel="0" collapsed="false">
      <c r="A696" s="23"/>
      <c r="B696" s="24"/>
      <c r="C696" s="24"/>
      <c r="D696" s="24"/>
      <c r="E696" s="24"/>
      <c r="F696" s="25" t="str">
        <f aca="false">IF($B696="","",IFERROR(IF(INDEX(명단!$B$5:$B$404,MATCH($B696,명단!$A$5:$A$404,0))="","(이름 미입력)",INDEX(명단!$B$5:$B$404,MATCH($B696,명단!$A$5:$A$404,0))),"번호 없음"))</f>
        <v/>
      </c>
    </row>
    <row r="697" customFormat="false" ht="15" hidden="false" customHeight="false" outlineLevel="0" collapsed="false">
      <c r="A697" s="23"/>
      <c r="B697" s="24"/>
      <c r="C697" s="24"/>
      <c r="D697" s="24"/>
      <c r="E697" s="24"/>
      <c r="F697" s="25" t="str">
        <f aca="false">IF($B697="","",IFERROR(IF(INDEX(명단!$B$5:$B$404,MATCH($B697,명단!$A$5:$A$404,0))="","(이름 미입력)",INDEX(명단!$B$5:$B$404,MATCH($B697,명단!$A$5:$A$404,0))),"번호 없음"))</f>
        <v/>
      </c>
    </row>
    <row r="698" customFormat="false" ht="15" hidden="false" customHeight="false" outlineLevel="0" collapsed="false">
      <c r="A698" s="23"/>
      <c r="B698" s="24"/>
      <c r="C698" s="24"/>
      <c r="D698" s="24"/>
      <c r="E698" s="24"/>
      <c r="F698" s="25" t="str">
        <f aca="false">IF($B698="","",IFERROR(IF(INDEX(명단!$B$5:$B$404,MATCH($B698,명단!$A$5:$A$404,0))="","(이름 미입력)",INDEX(명단!$B$5:$B$404,MATCH($B698,명단!$A$5:$A$404,0))),"번호 없음"))</f>
        <v/>
      </c>
    </row>
    <row r="699" customFormat="false" ht="15" hidden="false" customHeight="false" outlineLevel="0" collapsed="false">
      <c r="A699" s="23"/>
      <c r="B699" s="24"/>
      <c r="C699" s="24"/>
      <c r="D699" s="24"/>
      <c r="E699" s="24"/>
      <c r="F699" s="25" t="str">
        <f aca="false">IF($B699="","",IFERROR(IF(INDEX(명단!$B$5:$B$404,MATCH($B699,명단!$A$5:$A$404,0))="","(이름 미입력)",INDEX(명단!$B$5:$B$404,MATCH($B699,명단!$A$5:$A$404,0))),"번호 없음"))</f>
        <v/>
      </c>
    </row>
    <row r="700" customFormat="false" ht="15" hidden="false" customHeight="false" outlineLevel="0" collapsed="false">
      <c r="A700" s="23"/>
      <c r="B700" s="24"/>
      <c r="C700" s="24"/>
      <c r="D700" s="24"/>
      <c r="E700" s="24"/>
      <c r="F700" s="25" t="str">
        <f aca="false">IF($B700="","",IFERROR(IF(INDEX(명단!$B$5:$B$404,MATCH($B700,명단!$A$5:$A$404,0))="","(이름 미입력)",INDEX(명단!$B$5:$B$404,MATCH($B700,명단!$A$5:$A$404,0))),"번호 없음"))</f>
        <v/>
      </c>
    </row>
    <row r="701" customFormat="false" ht="15" hidden="false" customHeight="false" outlineLevel="0" collapsed="false">
      <c r="A701" s="23"/>
      <c r="B701" s="24"/>
      <c r="C701" s="24"/>
      <c r="D701" s="24"/>
      <c r="E701" s="24"/>
      <c r="F701" s="25" t="str">
        <f aca="false">IF($B701="","",IFERROR(IF(INDEX(명단!$B$5:$B$404,MATCH($B701,명단!$A$5:$A$404,0))="","(이름 미입력)",INDEX(명단!$B$5:$B$404,MATCH($B701,명단!$A$5:$A$404,0))),"번호 없음"))</f>
        <v/>
      </c>
    </row>
    <row r="702" customFormat="false" ht="15" hidden="false" customHeight="false" outlineLevel="0" collapsed="false">
      <c r="A702" s="23"/>
      <c r="B702" s="24"/>
      <c r="C702" s="24"/>
      <c r="D702" s="24"/>
      <c r="E702" s="24"/>
      <c r="F702" s="25" t="str">
        <f aca="false">IF($B702="","",IFERROR(IF(INDEX(명단!$B$5:$B$404,MATCH($B702,명단!$A$5:$A$404,0))="","(이름 미입력)",INDEX(명단!$B$5:$B$404,MATCH($B702,명단!$A$5:$A$404,0))),"번호 없음"))</f>
        <v/>
      </c>
    </row>
    <row r="703" customFormat="false" ht="15" hidden="false" customHeight="false" outlineLevel="0" collapsed="false">
      <c r="A703" s="23"/>
      <c r="B703" s="24"/>
      <c r="C703" s="24"/>
      <c r="D703" s="24"/>
      <c r="E703" s="24"/>
      <c r="F703" s="25" t="str">
        <f aca="false">IF($B703="","",IFERROR(IF(INDEX(명단!$B$5:$B$404,MATCH($B703,명단!$A$5:$A$404,0))="","(이름 미입력)",INDEX(명단!$B$5:$B$404,MATCH($B703,명단!$A$5:$A$404,0))),"번호 없음"))</f>
        <v/>
      </c>
    </row>
    <row r="704" customFormat="false" ht="15" hidden="false" customHeight="false" outlineLevel="0" collapsed="false">
      <c r="A704" s="23"/>
      <c r="B704" s="24"/>
      <c r="C704" s="24"/>
      <c r="D704" s="24"/>
      <c r="E704" s="24"/>
      <c r="F704" s="25" t="str">
        <f aca="false">IF($B704="","",IFERROR(IF(INDEX(명단!$B$5:$B$404,MATCH($B704,명단!$A$5:$A$404,0))="","(이름 미입력)",INDEX(명단!$B$5:$B$404,MATCH($B704,명단!$A$5:$A$404,0))),"번호 없음"))</f>
        <v/>
      </c>
    </row>
    <row r="705" customFormat="false" ht="15" hidden="false" customHeight="false" outlineLevel="0" collapsed="false">
      <c r="A705" s="23"/>
      <c r="B705" s="24"/>
      <c r="C705" s="24"/>
      <c r="D705" s="24"/>
      <c r="E705" s="24"/>
      <c r="F705" s="25" t="str">
        <f aca="false">IF($B705="","",IFERROR(IF(INDEX(명단!$B$5:$B$404,MATCH($B705,명단!$A$5:$A$404,0))="","(이름 미입력)",INDEX(명단!$B$5:$B$404,MATCH($B705,명단!$A$5:$A$404,0))),"번호 없음"))</f>
        <v/>
      </c>
    </row>
    <row r="706" customFormat="false" ht="15" hidden="false" customHeight="false" outlineLevel="0" collapsed="false">
      <c r="A706" s="23"/>
      <c r="B706" s="24"/>
      <c r="C706" s="24"/>
      <c r="D706" s="24"/>
      <c r="E706" s="24"/>
      <c r="F706" s="25" t="str">
        <f aca="false">IF($B706="","",IFERROR(IF(INDEX(명단!$B$5:$B$404,MATCH($B706,명단!$A$5:$A$404,0))="","(이름 미입력)",INDEX(명단!$B$5:$B$404,MATCH($B706,명단!$A$5:$A$404,0))),"번호 없음"))</f>
        <v/>
      </c>
    </row>
    <row r="707" customFormat="false" ht="15" hidden="false" customHeight="false" outlineLevel="0" collapsed="false">
      <c r="A707" s="23"/>
      <c r="B707" s="24"/>
      <c r="C707" s="24"/>
      <c r="D707" s="24"/>
      <c r="E707" s="24"/>
      <c r="F707" s="25" t="str">
        <f aca="false">IF($B707="","",IFERROR(IF(INDEX(명단!$B$5:$B$404,MATCH($B707,명단!$A$5:$A$404,0))="","(이름 미입력)",INDEX(명단!$B$5:$B$404,MATCH($B707,명단!$A$5:$A$404,0))),"번호 없음"))</f>
        <v/>
      </c>
    </row>
    <row r="708" customFormat="false" ht="15" hidden="false" customHeight="false" outlineLevel="0" collapsed="false">
      <c r="A708" s="23"/>
      <c r="B708" s="24"/>
      <c r="C708" s="24"/>
      <c r="D708" s="24"/>
      <c r="E708" s="24"/>
      <c r="F708" s="25" t="str">
        <f aca="false">IF($B708="","",IFERROR(IF(INDEX(명단!$B$5:$B$404,MATCH($B708,명단!$A$5:$A$404,0))="","(이름 미입력)",INDEX(명단!$B$5:$B$404,MATCH($B708,명단!$A$5:$A$404,0))),"번호 없음"))</f>
        <v/>
      </c>
    </row>
    <row r="709" customFormat="false" ht="15" hidden="false" customHeight="false" outlineLevel="0" collapsed="false">
      <c r="A709" s="23"/>
      <c r="B709" s="24"/>
      <c r="C709" s="24"/>
      <c r="D709" s="24"/>
      <c r="E709" s="24"/>
      <c r="F709" s="25" t="str">
        <f aca="false">IF($B709="","",IFERROR(IF(INDEX(명단!$B$5:$B$404,MATCH($B709,명단!$A$5:$A$404,0))="","(이름 미입력)",INDEX(명단!$B$5:$B$404,MATCH($B709,명단!$A$5:$A$404,0))),"번호 없음"))</f>
        <v/>
      </c>
    </row>
    <row r="710" customFormat="false" ht="15" hidden="false" customHeight="false" outlineLevel="0" collapsed="false">
      <c r="A710" s="23"/>
      <c r="B710" s="24"/>
      <c r="C710" s="24"/>
      <c r="D710" s="24"/>
      <c r="E710" s="24"/>
      <c r="F710" s="25" t="str">
        <f aca="false">IF($B710="","",IFERROR(IF(INDEX(명단!$B$5:$B$404,MATCH($B710,명단!$A$5:$A$404,0))="","(이름 미입력)",INDEX(명단!$B$5:$B$404,MATCH($B710,명단!$A$5:$A$404,0))),"번호 없음"))</f>
        <v/>
      </c>
    </row>
    <row r="711" customFormat="false" ht="15" hidden="false" customHeight="false" outlineLevel="0" collapsed="false">
      <c r="A711" s="23"/>
      <c r="B711" s="24"/>
      <c r="C711" s="24"/>
      <c r="D711" s="24"/>
      <c r="E711" s="24"/>
      <c r="F711" s="25" t="str">
        <f aca="false">IF($B711="","",IFERROR(IF(INDEX(명단!$B$5:$B$404,MATCH($B711,명단!$A$5:$A$404,0))="","(이름 미입력)",INDEX(명단!$B$5:$B$404,MATCH($B711,명단!$A$5:$A$404,0))),"번호 없음"))</f>
        <v/>
      </c>
    </row>
    <row r="712" customFormat="false" ht="15" hidden="false" customHeight="false" outlineLevel="0" collapsed="false">
      <c r="A712" s="23"/>
      <c r="B712" s="24"/>
      <c r="C712" s="24"/>
      <c r="D712" s="24"/>
      <c r="E712" s="24"/>
      <c r="F712" s="25" t="str">
        <f aca="false">IF($B712="","",IFERROR(IF(INDEX(명단!$B$5:$B$404,MATCH($B712,명단!$A$5:$A$404,0))="","(이름 미입력)",INDEX(명단!$B$5:$B$404,MATCH($B712,명단!$A$5:$A$404,0))),"번호 없음"))</f>
        <v/>
      </c>
    </row>
    <row r="713" customFormat="false" ht="15" hidden="false" customHeight="false" outlineLevel="0" collapsed="false">
      <c r="A713" s="23"/>
      <c r="B713" s="24"/>
      <c r="C713" s="24"/>
      <c r="D713" s="24"/>
      <c r="E713" s="24"/>
      <c r="F713" s="25" t="str">
        <f aca="false">IF($B713="","",IFERROR(IF(INDEX(명단!$B$5:$B$404,MATCH($B713,명단!$A$5:$A$404,0))="","(이름 미입력)",INDEX(명단!$B$5:$B$404,MATCH($B713,명단!$A$5:$A$404,0))),"번호 없음"))</f>
        <v/>
      </c>
    </row>
    <row r="714" customFormat="false" ht="15" hidden="false" customHeight="false" outlineLevel="0" collapsed="false">
      <c r="A714" s="23"/>
      <c r="B714" s="24"/>
      <c r="C714" s="24"/>
      <c r="D714" s="24"/>
      <c r="E714" s="24"/>
      <c r="F714" s="25" t="str">
        <f aca="false">IF($B714="","",IFERROR(IF(INDEX(명단!$B$5:$B$404,MATCH($B714,명단!$A$5:$A$404,0))="","(이름 미입력)",INDEX(명단!$B$5:$B$404,MATCH($B714,명단!$A$5:$A$404,0))),"번호 없음"))</f>
        <v/>
      </c>
    </row>
    <row r="715" customFormat="false" ht="15" hidden="false" customHeight="false" outlineLevel="0" collapsed="false">
      <c r="A715" s="23"/>
      <c r="B715" s="24"/>
      <c r="C715" s="24"/>
      <c r="D715" s="24"/>
      <c r="E715" s="24"/>
      <c r="F715" s="25" t="str">
        <f aca="false">IF($B715="","",IFERROR(IF(INDEX(명단!$B$5:$B$404,MATCH($B715,명단!$A$5:$A$404,0))="","(이름 미입력)",INDEX(명단!$B$5:$B$404,MATCH($B715,명단!$A$5:$A$404,0))),"번호 없음"))</f>
        <v/>
      </c>
    </row>
    <row r="716" customFormat="false" ht="15" hidden="false" customHeight="false" outlineLevel="0" collapsed="false">
      <c r="A716" s="23"/>
      <c r="B716" s="24"/>
      <c r="C716" s="24"/>
      <c r="D716" s="24"/>
      <c r="E716" s="24"/>
      <c r="F716" s="25" t="str">
        <f aca="false">IF($B716="","",IFERROR(IF(INDEX(명단!$B$5:$B$404,MATCH($B716,명단!$A$5:$A$404,0))="","(이름 미입력)",INDEX(명단!$B$5:$B$404,MATCH($B716,명단!$A$5:$A$404,0))),"번호 없음"))</f>
        <v/>
      </c>
    </row>
    <row r="717" customFormat="false" ht="15" hidden="false" customHeight="false" outlineLevel="0" collapsed="false">
      <c r="A717" s="23"/>
      <c r="B717" s="24"/>
      <c r="C717" s="24"/>
      <c r="D717" s="24"/>
      <c r="E717" s="24"/>
      <c r="F717" s="25" t="str">
        <f aca="false">IF($B717="","",IFERROR(IF(INDEX(명단!$B$5:$B$404,MATCH($B717,명단!$A$5:$A$404,0))="","(이름 미입력)",INDEX(명단!$B$5:$B$404,MATCH($B717,명단!$A$5:$A$404,0))),"번호 없음"))</f>
        <v/>
      </c>
    </row>
    <row r="718" customFormat="false" ht="15" hidden="false" customHeight="false" outlineLevel="0" collapsed="false">
      <c r="A718" s="23"/>
      <c r="B718" s="24"/>
      <c r="C718" s="24"/>
      <c r="D718" s="24"/>
      <c r="E718" s="24"/>
      <c r="F718" s="25" t="str">
        <f aca="false">IF($B718="","",IFERROR(IF(INDEX(명단!$B$5:$B$404,MATCH($B718,명단!$A$5:$A$404,0))="","(이름 미입력)",INDEX(명단!$B$5:$B$404,MATCH($B718,명단!$A$5:$A$404,0))),"번호 없음"))</f>
        <v/>
      </c>
    </row>
    <row r="719" customFormat="false" ht="15" hidden="false" customHeight="false" outlineLevel="0" collapsed="false">
      <c r="A719" s="23"/>
      <c r="B719" s="24"/>
      <c r="C719" s="24"/>
      <c r="D719" s="24"/>
      <c r="E719" s="24"/>
      <c r="F719" s="25" t="str">
        <f aca="false">IF($B719="","",IFERROR(IF(INDEX(명단!$B$5:$B$404,MATCH($B719,명단!$A$5:$A$404,0))="","(이름 미입력)",INDEX(명단!$B$5:$B$404,MATCH($B719,명단!$A$5:$A$404,0))),"번호 없음"))</f>
        <v/>
      </c>
    </row>
    <row r="720" customFormat="false" ht="15" hidden="false" customHeight="false" outlineLevel="0" collapsed="false">
      <c r="A720" s="23"/>
      <c r="B720" s="24"/>
      <c r="C720" s="24"/>
      <c r="D720" s="24"/>
      <c r="E720" s="24"/>
      <c r="F720" s="25" t="str">
        <f aca="false">IF($B720="","",IFERROR(IF(INDEX(명단!$B$5:$B$404,MATCH($B720,명단!$A$5:$A$404,0))="","(이름 미입력)",INDEX(명단!$B$5:$B$404,MATCH($B720,명단!$A$5:$A$404,0))),"번호 없음"))</f>
        <v/>
      </c>
    </row>
    <row r="721" customFormat="false" ht="15" hidden="false" customHeight="false" outlineLevel="0" collapsed="false">
      <c r="A721" s="23"/>
      <c r="B721" s="24"/>
      <c r="C721" s="24"/>
      <c r="D721" s="24"/>
      <c r="E721" s="24"/>
      <c r="F721" s="25" t="str">
        <f aca="false">IF($B721="","",IFERROR(IF(INDEX(명단!$B$5:$B$404,MATCH($B721,명단!$A$5:$A$404,0))="","(이름 미입력)",INDEX(명단!$B$5:$B$404,MATCH($B721,명단!$A$5:$A$404,0))),"번호 없음"))</f>
        <v/>
      </c>
    </row>
    <row r="722" customFormat="false" ht="15" hidden="false" customHeight="false" outlineLevel="0" collapsed="false">
      <c r="A722" s="23"/>
      <c r="B722" s="24"/>
      <c r="C722" s="24"/>
      <c r="D722" s="24"/>
      <c r="E722" s="24"/>
      <c r="F722" s="25" t="str">
        <f aca="false">IF($B722="","",IFERROR(IF(INDEX(명단!$B$5:$B$404,MATCH($B722,명단!$A$5:$A$404,0))="","(이름 미입력)",INDEX(명단!$B$5:$B$404,MATCH($B722,명단!$A$5:$A$404,0))),"번호 없음"))</f>
        <v/>
      </c>
    </row>
    <row r="723" customFormat="false" ht="15" hidden="false" customHeight="false" outlineLevel="0" collapsed="false">
      <c r="A723" s="23"/>
      <c r="B723" s="24"/>
      <c r="C723" s="24"/>
      <c r="D723" s="24"/>
      <c r="E723" s="24"/>
      <c r="F723" s="25" t="str">
        <f aca="false">IF($B723="","",IFERROR(IF(INDEX(명단!$B$5:$B$404,MATCH($B723,명단!$A$5:$A$404,0))="","(이름 미입력)",INDEX(명단!$B$5:$B$404,MATCH($B723,명단!$A$5:$A$404,0))),"번호 없음"))</f>
        <v/>
      </c>
    </row>
    <row r="724" customFormat="false" ht="15" hidden="false" customHeight="false" outlineLevel="0" collapsed="false">
      <c r="A724" s="23"/>
      <c r="B724" s="24"/>
      <c r="C724" s="24"/>
      <c r="D724" s="24"/>
      <c r="E724" s="24"/>
      <c r="F724" s="25" t="str">
        <f aca="false">IF($B724="","",IFERROR(IF(INDEX(명단!$B$5:$B$404,MATCH($B724,명단!$A$5:$A$404,0))="","(이름 미입력)",INDEX(명단!$B$5:$B$404,MATCH($B724,명단!$A$5:$A$404,0))),"번호 없음"))</f>
        <v/>
      </c>
    </row>
    <row r="725" customFormat="false" ht="15" hidden="false" customHeight="false" outlineLevel="0" collapsed="false">
      <c r="A725" s="23"/>
      <c r="B725" s="24"/>
      <c r="C725" s="24"/>
      <c r="D725" s="24"/>
      <c r="E725" s="24"/>
      <c r="F725" s="25" t="str">
        <f aca="false">IF($B725="","",IFERROR(IF(INDEX(명단!$B$5:$B$404,MATCH($B725,명단!$A$5:$A$404,0))="","(이름 미입력)",INDEX(명단!$B$5:$B$404,MATCH($B725,명단!$A$5:$A$404,0))),"번호 없음"))</f>
        <v/>
      </c>
    </row>
    <row r="726" customFormat="false" ht="15" hidden="false" customHeight="false" outlineLevel="0" collapsed="false">
      <c r="A726" s="23"/>
      <c r="B726" s="24"/>
      <c r="C726" s="24"/>
      <c r="D726" s="24"/>
      <c r="E726" s="24"/>
      <c r="F726" s="25" t="str">
        <f aca="false">IF($B726="","",IFERROR(IF(INDEX(명단!$B$5:$B$404,MATCH($B726,명단!$A$5:$A$404,0))="","(이름 미입력)",INDEX(명단!$B$5:$B$404,MATCH($B726,명단!$A$5:$A$404,0))),"번호 없음"))</f>
        <v/>
      </c>
    </row>
    <row r="727" customFormat="false" ht="15" hidden="false" customHeight="false" outlineLevel="0" collapsed="false">
      <c r="A727" s="23"/>
      <c r="B727" s="24"/>
      <c r="C727" s="24"/>
      <c r="D727" s="24"/>
      <c r="E727" s="24"/>
      <c r="F727" s="25" t="str">
        <f aca="false">IF($B727="","",IFERROR(IF(INDEX(명단!$B$5:$B$404,MATCH($B727,명단!$A$5:$A$404,0))="","(이름 미입력)",INDEX(명단!$B$5:$B$404,MATCH($B727,명단!$A$5:$A$404,0))),"번호 없음"))</f>
        <v/>
      </c>
    </row>
    <row r="728" customFormat="false" ht="15" hidden="false" customHeight="false" outlineLevel="0" collapsed="false">
      <c r="A728" s="23"/>
      <c r="B728" s="24"/>
      <c r="C728" s="24"/>
      <c r="D728" s="24"/>
      <c r="E728" s="24"/>
      <c r="F728" s="25" t="str">
        <f aca="false">IF($B728="","",IFERROR(IF(INDEX(명단!$B$5:$B$404,MATCH($B728,명단!$A$5:$A$404,0))="","(이름 미입력)",INDEX(명단!$B$5:$B$404,MATCH($B728,명단!$A$5:$A$404,0))),"번호 없음"))</f>
        <v/>
      </c>
    </row>
    <row r="729" customFormat="false" ht="15" hidden="false" customHeight="false" outlineLevel="0" collapsed="false">
      <c r="A729" s="23"/>
      <c r="B729" s="24"/>
      <c r="C729" s="24"/>
      <c r="D729" s="24"/>
      <c r="E729" s="24"/>
      <c r="F729" s="25" t="str">
        <f aca="false">IF($B729="","",IFERROR(IF(INDEX(명단!$B$5:$B$404,MATCH($B729,명단!$A$5:$A$404,0))="","(이름 미입력)",INDEX(명단!$B$5:$B$404,MATCH($B729,명단!$A$5:$A$404,0))),"번호 없음"))</f>
        <v/>
      </c>
    </row>
    <row r="730" customFormat="false" ht="15" hidden="false" customHeight="false" outlineLevel="0" collapsed="false">
      <c r="A730" s="23"/>
      <c r="B730" s="24"/>
      <c r="C730" s="24"/>
      <c r="D730" s="24"/>
      <c r="E730" s="24"/>
      <c r="F730" s="25" t="str">
        <f aca="false">IF($B730="","",IFERROR(IF(INDEX(명단!$B$5:$B$404,MATCH($B730,명단!$A$5:$A$404,0))="","(이름 미입력)",INDEX(명단!$B$5:$B$404,MATCH($B730,명단!$A$5:$A$404,0))),"번호 없음"))</f>
        <v/>
      </c>
    </row>
    <row r="731" customFormat="false" ht="15" hidden="false" customHeight="false" outlineLevel="0" collapsed="false">
      <c r="A731" s="23"/>
      <c r="B731" s="24"/>
      <c r="C731" s="24"/>
      <c r="D731" s="24"/>
      <c r="E731" s="24"/>
      <c r="F731" s="25" t="str">
        <f aca="false">IF($B731="","",IFERROR(IF(INDEX(명단!$B$5:$B$404,MATCH($B731,명단!$A$5:$A$404,0))="","(이름 미입력)",INDEX(명단!$B$5:$B$404,MATCH($B731,명단!$A$5:$A$404,0))),"번호 없음"))</f>
        <v/>
      </c>
    </row>
    <row r="732" customFormat="false" ht="15" hidden="false" customHeight="false" outlineLevel="0" collapsed="false">
      <c r="A732" s="23"/>
      <c r="B732" s="24"/>
      <c r="C732" s="24"/>
      <c r="D732" s="24"/>
      <c r="E732" s="24"/>
      <c r="F732" s="25" t="str">
        <f aca="false">IF($B732="","",IFERROR(IF(INDEX(명단!$B$5:$B$404,MATCH($B732,명단!$A$5:$A$404,0))="","(이름 미입력)",INDEX(명단!$B$5:$B$404,MATCH($B732,명단!$A$5:$A$404,0))),"번호 없음"))</f>
        <v/>
      </c>
    </row>
    <row r="733" customFormat="false" ht="15" hidden="false" customHeight="false" outlineLevel="0" collapsed="false">
      <c r="A733" s="23"/>
      <c r="B733" s="24"/>
      <c r="C733" s="24"/>
      <c r="D733" s="24"/>
      <c r="E733" s="24"/>
      <c r="F733" s="25" t="str">
        <f aca="false">IF($B733="","",IFERROR(IF(INDEX(명단!$B$5:$B$404,MATCH($B733,명단!$A$5:$A$404,0))="","(이름 미입력)",INDEX(명단!$B$5:$B$404,MATCH($B733,명단!$A$5:$A$404,0))),"번호 없음"))</f>
        <v/>
      </c>
    </row>
    <row r="734" customFormat="false" ht="15" hidden="false" customHeight="false" outlineLevel="0" collapsed="false">
      <c r="A734" s="23"/>
      <c r="B734" s="24"/>
      <c r="C734" s="24"/>
      <c r="D734" s="24"/>
      <c r="E734" s="24"/>
      <c r="F734" s="25" t="str">
        <f aca="false">IF($B734="","",IFERROR(IF(INDEX(명단!$B$5:$B$404,MATCH($B734,명단!$A$5:$A$404,0))="","(이름 미입력)",INDEX(명단!$B$5:$B$404,MATCH($B734,명단!$A$5:$A$404,0))),"번호 없음"))</f>
        <v/>
      </c>
    </row>
    <row r="735" customFormat="false" ht="15" hidden="false" customHeight="false" outlineLevel="0" collapsed="false">
      <c r="A735" s="23"/>
      <c r="B735" s="24"/>
      <c r="C735" s="24"/>
      <c r="D735" s="24"/>
      <c r="E735" s="24"/>
      <c r="F735" s="25" t="str">
        <f aca="false">IF($B735="","",IFERROR(IF(INDEX(명단!$B$5:$B$404,MATCH($B735,명단!$A$5:$A$404,0))="","(이름 미입력)",INDEX(명단!$B$5:$B$404,MATCH($B735,명단!$A$5:$A$404,0))),"번호 없음"))</f>
        <v/>
      </c>
    </row>
    <row r="736" customFormat="false" ht="15" hidden="false" customHeight="false" outlineLevel="0" collapsed="false">
      <c r="A736" s="23"/>
      <c r="B736" s="24"/>
      <c r="C736" s="24"/>
      <c r="D736" s="24"/>
      <c r="E736" s="24"/>
      <c r="F736" s="25" t="str">
        <f aca="false">IF($B736="","",IFERROR(IF(INDEX(명단!$B$5:$B$404,MATCH($B736,명단!$A$5:$A$404,0))="","(이름 미입력)",INDEX(명단!$B$5:$B$404,MATCH($B736,명단!$A$5:$A$404,0))),"번호 없음"))</f>
        <v/>
      </c>
    </row>
    <row r="737" customFormat="false" ht="15" hidden="false" customHeight="false" outlineLevel="0" collapsed="false">
      <c r="A737" s="23"/>
      <c r="B737" s="24"/>
      <c r="C737" s="24"/>
      <c r="D737" s="24"/>
      <c r="E737" s="24"/>
      <c r="F737" s="25" t="str">
        <f aca="false">IF($B737="","",IFERROR(IF(INDEX(명단!$B$5:$B$404,MATCH($B737,명단!$A$5:$A$404,0))="","(이름 미입력)",INDEX(명단!$B$5:$B$404,MATCH($B737,명단!$A$5:$A$404,0))),"번호 없음"))</f>
        <v/>
      </c>
    </row>
    <row r="738" customFormat="false" ht="15" hidden="false" customHeight="false" outlineLevel="0" collapsed="false">
      <c r="A738" s="23"/>
      <c r="B738" s="24"/>
      <c r="C738" s="24"/>
      <c r="D738" s="24"/>
      <c r="E738" s="24"/>
      <c r="F738" s="25" t="str">
        <f aca="false">IF($B738="","",IFERROR(IF(INDEX(명단!$B$5:$B$404,MATCH($B738,명단!$A$5:$A$404,0))="","(이름 미입력)",INDEX(명단!$B$5:$B$404,MATCH($B738,명단!$A$5:$A$404,0))),"번호 없음"))</f>
        <v/>
      </c>
    </row>
    <row r="739" customFormat="false" ht="15" hidden="false" customHeight="false" outlineLevel="0" collapsed="false">
      <c r="A739" s="23"/>
      <c r="B739" s="24"/>
      <c r="C739" s="24"/>
      <c r="D739" s="24"/>
      <c r="E739" s="24"/>
      <c r="F739" s="25" t="str">
        <f aca="false">IF($B739="","",IFERROR(IF(INDEX(명단!$B$5:$B$404,MATCH($B739,명단!$A$5:$A$404,0))="","(이름 미입력)",INDEX(명단!$B$5:$B$404,MATCH($B739,명단!$A$5:$A$404,0))),"번호 없음"))</f>
        <v/>
      </c>
    </row>
    <row r="740" customFormat="false" ht="15" hidden="false" customHeight="false" outlineLevel="0" collapsed="false">
      <c r="A740" s="23"/>
      <c r="B740" s="24"/>
      <c r="C740" s="24"/>
      <c r="D740" s="24"/>
      <c r="E740" s="24"/>
      <c r="F740" s="25" t="str">
        <f aca="false">IF($B740="","",IFERROR(IF(INDEX(명단!$B$5:$B$404,MATCH($B740,명단!$A$5:$A$404,0))="","(이름 미입력)",INDEX(명단!$B$5:$B$404,MATCH($B740,명단!$A$5:$A$404,0))),"번호 없음"))</f>
        <v/>
      </c>
    </row>
    <row r="741" customFormat="false" ht="15" hidden="false" customHeight="false" outlineLevel="0" collapsed="false">
      <c r="A741" s="23"/>
      <c r="B741" s="24"/>
      <c r="C741" s="24"/>
      <c r="D741" s="24"/>
      <c r="E741" s="24"/>
      <c r="F741" s="25" t="str">
        <f aca="false">IF($B741="","",IFERROR(IF(INDEX(명단!$B$5:$B$404,MATCH($B741,명단!$A$5:$A$404,0))="","(이름 미입력)",INDEX(명단!$B$5:$B$404,MATCH($B741,명단!$A$5:$A$404,0))),"번호 없음"))</f>
        <v/>
      </c>
    </row>
    <row r="742" customFormat="false" ht="15" hidden="false" customHeight="false" outlineLevel="0" collapsed="false">
      <c r="A742" s="23"/>
      <c r="B742" s="24"/>
      <c r="C742" s="24"/>
      <c r="D742" s="24"/>
      <c r="E742" s="24"/>
      <c r="F742" s="25" t="str">
        <f aca="false">IF($B742="","",IFERROR(IF(INDEX(명단!$B$5:$B$404,MATCH($B742,명단!$A$5:$A$404,0))="","(이름 미입력)",INDEX(명단!$B$5:$B$404,MATCH($B742,명단!$A$5:$A$404,0))),"번호 없음"))</f>
        <v/>
      </c>
    </row>
    <row r="743" customFormat="false" ht="15" hidden="false" customHeight="false" outlineLevel="0" collapsed="false">
      <c r="A743" s="23"/>
      <c r="B743" s="24"/>
      <c r="C743" s="24"/>
      <c r="D743" s="24"/>
      <c r="E743" s="24"/>
      <c r="F743" s="25" t="str">
        <f aca="false">IF($B743="","",IFERROR(IF(INDEX(명단!$B$5:$B$404,MATCH($B743,명단!$A$5:$A$404,0))="","(이름 미입력)",INDEX(명단!$B$5:$B$404,MATCH($B743,명단!$A$5:$A$404,0))),"번호 없음"))</f>
        <v/>
      </c>
    </row>
    <row r="744" customFormat="false" ht="15" hidden="false" customHeight="false" outlineLevel="0" collapsed="false">
      <c r="A744" s="23"/>
      <c r="B744" s="24"/>
      <c r="C744" s="24"/>
      <c r="D744" s="24"/>
      <c r="E744" s="24"/>
      <c r="F744" s="25" t="str">
        <f aca="false">IF($B744="","",IFERROR(IF(INDEX(명단!$B$5:$B$404,MATCH($B744,명단!$A$5:$A$404,0))="","(이름 미입력)",INDEX(명단!$B$5:$B$404,MATCH($B744,명단!$A$5:$A$404,0))),"번호 없음"))</f>
        <v/>
      </c>
    </row>
    <row r="745" customFormat="false" ht="15" hidden="false" customHeight="false" outlineLevel="0" collapsed="false">
      <c r="A745" s="23"/>
      <c r="B745" s="24"/>
      <c r="C745" s="24"/>
      <c r="D745" s="24"/>
      <c r="E745" s="24"/>
      <c r="F745" s="25" t="str">
        <f aca="false">IF($B745="","",IFERROR(IF(INDEX(명단!$B$5:$B$404,MATCH($B745,명단!$A$5:$A$404,0))="","(이름 미입력)",INDEX(명단!$B$5:$B$404,MATCH($B745,명단!$A$5:$A$404,0))),"번호 없음"))</f>
        <v/>
      </c>
    </row>
    <row r="746" customFormat="false" ht="15" hidden="false" customHeight="false" outlineLevel="0" collapsed="false">
      <c r="A746" s="23"/>
      <c r="B746" s="24"/>
      <c r="C746" s="24"/>
      <c r="D746" s="24"/>
      <c r="E746" s="24"/>
      <c r="F746" s="25" t="str">
        <f aca="false">IF($B746="","",IFERROR(IF(INDEX(명단!$B$5:$B$404,MATCH($B746,명단!$A$5:$A$404,0))="","(이름 미입력)",INDEX(명단!$B$5:$B$404,MATCH($B746,명단!$A$5:$A$404,0))),"번호 없음"))</f>
        <v/>
      </c>
    </row>
    <row r="747" customFormat="false" ht="15" hidden="false" customHeight="false" outlineLevel="0" collapsed="false">
      <c r="A747" s="23"/>
      <c r="B747" s="24"/>
      <c r="C747" s="24"/>
      <c r="D747" s="24"/>
      <c r="E747" s="24"/>
      <c r="F747" s="25" t="str">
        <f aca="false">IF($B747="","",IFERROR(IF(INDEX(명단!$B$5:$B$404,MATCH($B747,명단!$A$5:$A$404,0))="","(이름 미입력)",INDEX(명단!$B$5:$B$404,MATCH($B747,명단!$A$5:$A$404,0))),"번호 없음"))</f>
        <v/>
      </c>
    </row>
    <row r="748" customFormat="false" ht="15" hidden="false" customHeight="false" outlineLevel="0" collapsed="false">
      <c r="A748" s="23"/>
      <c r="B748" s="24"/>
      <c r="C748" s="24"/>
      <c r="D748" s="24"/>
      <c r="E748" s="24"/>
      <c r="F748" s="25" t="str">
        <f aca="false">IF($B748="","",IFERROR(IF(INDEX(명단!$B$5:$B$404,MATCH($B748,명단!$A$5:$A$404,0))="","(이름 미입력)",INDEX(명단!$B$5:$B$404,MATCH($B748,명단!$A$5:$A$404,0))),"번호 없음"))</f>
        <v/>
      </c>
    </row>
    <row r="749" customFormat="false" ht="15" hidden="false" customHeight="false" outlineLevel="0" collapsed="false">
      <c r="A749" s="23"/>
      <c r="B749" s="24"/>
      <c r="C749" s="24"/>
      <c r="D749" s="24"/>
      <c r="E749" s="24"/>
      <c r="F749" s="25" t="str">
        <f aca="false">IF($B749="","",IFERROR(IF(INDEX(명단!$B$5:$B$404,MATCH($B749,명단!$A$5:$A$404,0))="","(이름 미입력)",INDEX(명단!$B$5:$B$404,MATCH($B749,명단!$A$5:$A$404,0))),"번호 없음"))</f>
        <v/>
      </c>
    </row>
    <row r="750" customFormat="false" ht="15" hidden="false" customHeight="false" outlineLevel="0" collapsed="false">
      <c r="A750" s="23"/>
      <c r="B750" s="24"/>
      <c r="C750" s="24"/>
      <c r="D750" s="24"/>
      <c r="E750" s="24"/>
      <c r="F750" s="25" t="str">
        <f aca="false">IF($B750="","",IFERROR(IF(INDEX(명단!$B$5:$B$404,MATCH($B750,명단!$A$5:$A$404,0))="","(이름 미입력)",INDEX(명단!$B$5:$B$404,MATCH($B750,명단!$A$5:$A$404,0))),"번호 없음"))</f>
        <v/>
      </c>
    </row>
    <row r="751" customFormat="false" ht="15" hidden="false" customHeight="false" outlineLevel="0" collapsed="false">
      <c r="A751" s="23"/>
      <c r="B751" s="24"/>
      <c r="C751" s="24"/>
      <c r="D751" s="24"/>
      <c r="E751" s="24"/>
      <c r="F751" s="25" t="str">
        <f aca="false">IF($B751="","",IFERROR(IF(INDEX(명단!$B$5:$B$404,MATCH($B751,명단!$A$5:$A$404,0))="","(이름 미입력)",INDEX(명단!$B$5:$B$404,MATCH($B751,명단!$A$5:$A$404,0))),"번호 없음"))</f>
        <v/>
      </c>
    </row>
    <row r="752" customFormat="false" ht="15" hidden="false" customHeight="false" outlineLevel="0" collapsed="false">
      <c r="A752" s="23"/>
      <c r="B752" s="24"/>
      <c r="C752" s="24"/>
      <c r="D752" s="24"/>
      <c r="E752" s="24"/>
      <c r="F752" s="25" t="str">
        <f aca="false">IF($B752="","",IFERROR(IF(INDEX(명단!$B$5:$B$404,MATCH($B752,명단!$A$5:$A$404,0))="","(이름 미입력)",INDEX(명단!$B$5:$B$404,MATCH($B752,명단!$A$5:$A$404,0))),"번호 없음"))</f>
        <v/>
      </c>
    </row>
    <row r="753" customFormat="false" ht="15" hidden="false" customHeight="false" outlineLevel="0" collapsed="false">
      <c r="A753" s="23"/>
      <c r="B753" s="24"/>
      <c r="C753" s="24"/>
      <c r="D753" s="24"/>
      <c r="E753" s="24"/>
      <c r="F753" s="25" t="str">
        <f aca="false">IF($B753="","",IFERROR(IF(INDEX(명단!$B$5:$B$404,MATCH($B753,명단!$A$5:$A$404,0))="","(이름 미입력)",INDEX(명단!$B$5:$B$404,MATCH($B753,명단!$A$5:$A$404,0))),"번호 없음"))</f>
        <v/>
      </c>
    </row>
    <row r="754" customFormat="false" ht="15" hidden="false" customHeight="false" outlineLevel="0" collapsed="false">
      <c r="A754" s="23"/>
      <c r="B754" s="24"/>
      <c r="C754" s="24"/>
      <c r="D754" s="24"/>
      <c r="E754" s="24"/>
      <c r="F754" s="25" t="str">
        <f aca="false">IF($B754="","",IFERROR(IF(INDEX(명단!$B$5:$B$404,MATCH($B754,명단!$A$5:$A$404,0))="","(이름 미입력)",INDEX(명단!$B$5:$B$404,MATCH($B754,명단!$A$5:$A$404,0))),"번호 없음"))</f>
        <v/>
      </c>
    </row>
    <row r="755" customFormat="false" ht="15" hidden="false" customHeight="false" outlineLevel="0" collapsed="false">
      <c r="A755" s="23"/>
      <c r="B755" s="24"/>
      <c r="C755" s="24"/>
      <c r="D755" s="24"/>
      <c r="E755" s="24"/>
      <c r="F755" s="25" t="str">
        <f aca="false">IF($B755="","",IFERROR(IF(INDEX(명단!$B$5:$B$404,MATCH($B755,명단!$A$5:$A$404,0))="","(이름 미입력)",INDEX(명단!$B$5:$B$404,MATCH($B755,명단!$A$5:$A$404,0))),"번호 없음"))</f>
        <v/>
      </c>
    </row>
    <row r="756" customFormat="false" ht="15" hidden="false" customHeight="false" outlineLevel="0" collapsed="false">
      <c r="A756" s="23"/>
      <c r="B756" s="24"/>
      <c r="C756" s="24"/>
      <c r="D756" s="24"/>
      <c r="E756" s="24"/>
      <c r="F756" s="25" t="str">
        <f aca="false">IF($B756="","",IFERROR(IF(INDEX(명단!$B$5:$B$404,MATCH($B756,명단!$A$5:$A$404,0))="","(이름 미입력)",INDEX(명단!$B$5:$B$404,MATCH($B756,명단!$A$5:$A$404,0))),"번호 없음"))</f>
        <v/>
      </c>
    </row>
    <row r="757" customFormat="false" ht="15" hidden="false" customHeight="false" outlineLevel="0" collapsed="false">
      <c r="A757" s="23"/>
      <c r="B757" s="24"/>
      <c r="C757" s="24"/>
      <c r="D757" s="24"/>
      <c r="E757" s="24"/>
      <c r="F757" s="25" t="str">
        <f aca="false">IF($B757="","",IFERROR(IF(INDEX(명단!$B$5:$B$404,MATCH($B757,명단!$A$5:$A$404,0))="","(이름 미입력)",INDEX(명단!$B$5:$B$404,MATCH($B757,명단!$A$5:$A$404,0))),"번호 없음"))</f>
        <v/>
      </c>
    </row>
    <row r="758" customFormat="false" ht="15" hidden="false" customHeight="false" outlineLevel="0" collapsed="false">
      <c r="A758" s="23"/>
      <c r="B758" s="24"/>
      <c r="C758" s="24"/>
      <c r="D758" s="24"/>
      <c r="E758" s="24"/>
      <c r="F758" s="25" t="str">
        <f aca="false">IF($B758="","",IFERROR(IF(INDEX(명단!$B$5:$B$404,MATCH($B758,명단!$A$5:$A$404,0))="","(이름 미입력)",INDEX(명단!$B$5:$B$404,MATCH($B758,명단!$A$5:$A$404,0))),"번호 없음"))</f>
        <v/>
      </c>
    </row>
    <row r="759" customFormat="false" ht="15" hidden="false" customHeight="false" outlineLevel="0" collapsed="false">
      <c r="A759" s="23"/>
      <c r="B759" s="24"/>
      <c r="C759" s="24"/>
      <c r="D759" s="24"/>
      <c r="E759" s="24"/>
      <c r="F759" s="25" t="str">
        <f aca="false">IF($B759="","",IFERROR(IF(INDEX(명단!$B$5:$B$404,MATCH($B759,명단!$A$5:$A$404,0))="","(이름 미입력)",INDEX(명단!$B$5:$B$404,MATCH($B759,명단!$A$5:$A$404,0))),"번호 없음"))</f>
        <v/>
      </c>
    </row>
    <row r="760" customFormat="false" ht="15" hidden="false" customHeight="false" outlineLevel="0" collapsed="false">
      <c r="A760" s="23"/>
      <c r="B760" s="24"/>
      <c r="C760" s="24"/>
      <c r="D760" s="24"/>
      <c r="E760" s="24"/>
      <c r="F760" s="25" t="str">
        <f aca="false">IF($B760="","",IFERROR(IF(INDEX(명단!$B$5:$B$404,MATCH($B760,명단!$A$5:$A$404,0))="","(이름 미입력)",INDEX(명단!$B$5:$B$404,MATCH($B760,명단!$A$5:$A$404,0))),"번호 없음"))</f>
        <v/>
      </c>
    </row>
    <row r="761" customFormat="false" ht="15" hidden="false" customHeight="false" outlineLevel="0" collapsed="false">
      <c r="A761" s="23"/>
      <c r="B761" s="24"/>
      <c r="C761" s="24"/>
      <c r="D761" s="24"/>
      <c r="E761" s="24"/>
      <c r="F761" s="25" t="str">
        <f aca="false">IF($B761="","",IFERROR(IF(INDEX(명단!$B$5:$B$404,MATCH($B761,명단!$A$5:$A$404,0))="","(이름 미입력)",INDEX(명단!$B$5:$B$404,MATCH($B761,명단!$A$5:$A$404,0))),"번호 없음"))</f>
        <v/>
      </c>
    </row>
    <row r="762" customFormat="false" ht="15" hidden="false" customHeight="false" outlineLevel="0" collapsed="false">
      <c r="A762" s="23"/>
      <c r="B762" s="24"/>
      <c r="C762" s="24"/>
      <c r="D762" s="24"/>
      <c r="E762" s="24"/>
      <c r="F762" s="25" t="str">
        <f aca="false">IF($B762="","",IFERROR(IF(INDEX(명단!$B$5:$B$404,MATCH($B762,명단!$A$5:$A$404,0))="","(이름 미입력)",INDEX(명단!$B$5:$B$404,MATCH($B762,명단!$A$5:$A$404,0))),"번호 없음"))</f>
        <v/>
      </c>
    </row>
    <row r="763" customFormat="false" ht="15" hidden="false" customHeight="false" outlineLevel="0" collapsed="false">
      <c r="A763" s="23"/>
      <c r="B763" s="24"/>
      <c r="C763" s="24"/>
      <c r="D763" s="24"/>
      <c r="E763" s="24"/>
      <c r="F763" s="25" t="str">
        <f aca="false">IF($B763="","",IFERROR(IF(INDEX(명단!$B$5:$B$404,MATCH($B763,명단!$A$5:$A$404,0))="","(이름 미입력)",INDEX(명단!$B$5:$B$404,MATCH($B763,명단!$A$5:$A$404,0))),"번호 없음"))</f>
        <v/>
      </c>
    </row>
    <row r="764" customFormat="false" ht="15" hidden="false" customHeight="false" outlineLevel="0" collapsed="false">
      <c r="A764" s="23"/>
      <c r="B764" s="24"/>
      <c r="C764" s="24"/>
      <c r="D764" s="24"/>
      <c r="E764" s="24"/>
      <c r="F764" s="25" t="str">
        <f aca="false">IF($B764="","",IFERROR(IF(INDEX(명단!$B$5:$B$404,MATCH($B764,명단!$A$5:$A$404,0))="","(이름 미입력)",INDEX(명단!$B$5:$B$404,MATCH($B764,명단!$A$5:$A$404,0))),"번호 없음"))</f>
        <v/>
      </c>
    </row>
    <row r="765" customFormat="false" ht="15" hidden="false" customHeight="false" outlineLevel="0" collapsed="false">
      <c r="A765" s="23"/>
      <c r="B765" s="24"/>
      <c r="C765" s="24"/>
      <c r="D765" s="24"/>
      <c r="E765" s="24"/>
      <c r="F765" s="25" t="str">
        <f aca="false">IF($B765="","",IFERROR(IF(INDEX(명단!$B$5:$B$404,MATCH($B765,명단!$A$5:$A$404,0))="","(이름 미입력)",INDEX(명단!$B$5:$B$404,MATCH($B765,명단!$A$5:$A$404,0))),"번호 없음"))</f>
        <v/>
      </c>
    </row>
    <row r="766" customFormat="false" ht="15" hidden="false" customHeight="false" outlineLevel="0" collapsed="false">
      <c r="A766" s="23"/>
      <c r="B766" s="24"/>
      <c r="C766" s="24"/>
      <c r="D766" s="24"/>
      <c r="E766" s="24"/>
      <c r="F766" s="25" t="str">
        <f aca="false">IF($B766="","",IFERROR(IF(INDEX(명단!$B$5:$B$404,MATCH($B766,명단!$A$5:$A$404,0))="","(이름 미입력)",INDEX(명단!$B$5:$B$404,MATCH($B766,명단!$A$5:$A$404,0))),"번호 없음"))</f>
        <v/>
      </c>
    </row>
    <row r="767" customFormat="false" ht="15" hidden="false" customHeight="false" outlineLevel="0" collapsed="false">
      <c r="A767" s="23"/>
      <c r="B767" s="24"/>
      <c r="C767" s="24"/>
      <c r="D767" s="24"/>
      <c r="E767" s="24"/>
      <c r="F767" s="25" t="str">
        <f aca="false">IF($B767="","",IFERROR(IF(INDEX(명단!$B$5:$B$404,MATCH($B767,명단!$A$5:$A$404,0))="","(이름 미입력)",INDEX(명단!$B$5:$B$404,MATCH($B767,명단!$A$5:$A$404,0))),"번호 없음"))</f>
        <v/>
      </c>
    </row>
    <row r="768" customFormat="false" ht="15" hidden="false" customHeight="false" outlineLevel="0" collapsed="false">
      <c r="A768" s="23"/>
      <c r="B768" s="24"/>
      <c r="C768" s="24"/>
      <c r="D768" s="24"/>
      <c r="E768" s="24"/>
      <c r="F768" s="25" t="str">
        <f aca="false">IF($B768="","",IFERROR(IF(INDEX(명단!$B$5:$B$404,MATCH($B768,명단!$A$5:$A$404,0))="","(이름 미입력)",INDEX(명단!$B$5:$B$404,MATCH($B768,명단!$A$5:$A$404,0))),"번호 없음"))</f>
        <v/>
      </c>
    </row>
    <row r="769" customFormat="false" ht="15" hidden="false" customHeight="false" outlineLevel="0" collapsed="false">
      <c r="A769" s="23"/>
      <c r="B769" s="24"/>
      <c r="C769" s="24"/>
      <c r="D769" s="24"/>
      <c r="E769" s="24"/>
      <c r="F769" s="25" t="str">
        <f aca="false">IF($B769="","",IFERROR(IF(INDEX(명단!$B$5:$B$404,MATCH($B769,명단!$A$5:$A$404,0))="","(이름 미입력)",INDEX(명단!$B$5:$B$404,MATCH($B769,명단!$A$5:$A$404,0))),"번호 없음"))</f>
        <v/>
      </c>
    </row>
    <row r="770" customFormat="false" ht="15" hidden="false" customHeight="false" outlineLevel="0" collapsed="false">
      <c r="A770" s="23"/>
      <c r="B770" s="24"/>
      <c r="C770" s="24"/>
      <c r="D770" s="24"/>
      <c r="E770" s="24"/>
      <c r="F770" s="25" t="str">
        <f aca="false">IF($B770="","",IFERROR(IF(INDEX(명단!$B$5:$B$404,MATCH($B770,명단!$A$5:$A$404,0))="","(이름 미입력)",INDEX(명단!$B$5:$B$404,MATCH($B770,명단!$A$5:$A$404,0))),"번호 없음"))</f>
        <v/>
      </c>
    </row>
    <row r="771" customFormat="false" ht="15" hidden="false" customHeight="false" outlineLevel="0" collapsed="false">
      <c r="A771" s="23"/>
      <c r="B771" s="24"/>
      <c r="C771" s="24"/>
      <c r="D771" s="24"/>
      <c r="E771" s="24"/>
      <c r="F771" s="25" t="str">
        <f aca="false">IF($B771="","",IFERROR(IF(INDEX(명단!$B$5:$B$404,MATCH($B771,명단!$A$5:$A$404,0))="","(이름 미입력)",INDEX(명단!$B$5:$B$404,MATCH($B771,명단!$A$5:$A$404,0))),"번호 없음"))</f>
        <v/>
      </c>
    </row>
    <row r="772" customFormat="false" ht="15" hidden="false" customHeight="false" outlineLevel="0" collapsed="false">
      <c r="A772" s="23"/>
      <c r="B772" s="24"/>
      <c r="C772" s="24"/>
      <c r="D772" s="24"/>
      <c r="E772" s="24"/>
      <c r="F772" s="25" t="str">
        <f aca="false">IF($B772="","",IFERROR(IF(INDEX(명단!$B$5:$B$404,MATCH($B772,명단!$A$5:$A$404,0))="","(이름 미입력)",INDEX(명단!$B$5:$B$404,MATCH($B772,명단!$A$5:$A$404,0))),"번호 없음"))</f>
        <v/>
      </c>
    </row>
    <row r="773" customFormat="false" ht="15" hidden="false" customHeight="false" outlineLevel="0" collapsed="false">
      <c r="A773" s="23"/>
      <c r="B773" s="24"/>
      <c r="C773" s="24"/>
      <c r="D773" s="24"/>
      <c r="E773" s="24"/>
      <c r="F773" s="25" t="str">
        <f aca="false">IF($B773="","",IFERROR(IF(INDEX(명단!$B$5:$B$404,MATCH($B773,명단!$A$5:$A$404,0))="","(이름 미입력)",INDEX(명단!$B$5:$B$404,MATCH($B773,명단!$A$5:$A$404,0))),"번호 없음"))</f>
        <v/>
      </c>
    </row>
    <row r="774" customFormat="false" ht="15" hidden="false" customHeight="false" outlineLevel="0" collapsed="false">
      <c r="A774" s="23"/>
      <c r="B774" s="24"/>
      <c r="C774" s="24"/>
      <c r="D774" s="24"/>
      <c r="E774" s="24"/>
      <c r="F774" s="25" t="str">
        <f aca="false">IF($B774="","",IFERROR(IF(INDEX(명단!$B$5:$B$404,MATCH($B774,명단!$A$5:$A$404,0))="","(이름 미입력)",INDEX(명단!$B$5:$B$404,MATCH($B774,명단!$A$5:$A$404,0))),"번호 없음"))</f>
        <v/>
      </c>
    </row>
    <row r="775" customFormat="false" ht="15" hidden="false" customHeight="false" outlineLevel="0" collapsed="false">
      <c r="A775" s="23"/>
      <c r="B775" s="24"/>
      <c r="C775" s="24"/>
      <c r="D775" s="24"/>
      <c r="E775" s="24"/>
      <c r="F775" s="25" t="str">
        <f aca="false">IF($B775="","",IFERROR(IF(INDEX(명단!$B$5:$B$404,MATCH($B775,명단!$A$5:$A$404,0))="","(이름 미입력)",INDEX(명단!$B$5:$B$404,MATCH($B775,명단!$A$5:$A$404,0))),"번호 없음"))</f>
        <v/>
      </c>
    </row>
    <row r="776" customFormat="false" ht="15" hidden="false" customHeight="false" outlineLevel="0" collapsed="false">
      <c r="A776" s="23"/>
      <c r="B776" s="24"/>
      <c r="C776" s="24"/>
      <c r="D776" s="24"/>
      <c r="E776" s="24"/>
      <c r="F776" s="25" t="str">
        <f aca="false">IF($B776="","",IFERROR(IF(INDEX(명단!$B$5:$B$404,MATCH($B776,명단!$A$5:$A$404,0))="","(이름 미입력)",INDEX(명단!$B$5:$B$404,MATCH($B776,명단!$A$5:$A$404,0))),"번호 없음"))</f>
        <v/>
      </c>
    </row>
    <row r="777" customFormat="false" ht="15" hidden="false" customHeight="false" outlineLevel="0" collapsed="false">
      <c r="A777" s="23"/>
      <c r="B777" s="24"/>
      <c r="C777" s="24"/>
      <c r="D777" s="24"/>
      <c r="E777" s="24"/>
      <c r="F777" s="25" t="str">
        <f aca="false">IF($B777="","",IFERROR(IF(INDEX(명단!$B$5:$B$404,MATCH($B777,명단!$A$5:$A$404,0))="","(이름 미입력)",INDEX(명단!$B$5:$B$404,MATCH($B777,명단!$A$5:$A$404,0))),"번호 없음"))</f>
        <v/>
      </c>
    </row>
    <row r="778" customFormat="false" ht="15" hidden="false" customHeight="false" outlineLevel="0" collapsed="false">
      <c r="A778" s="23"/>
      <c r="B778" s="24"/>
      <c r="C778" s="24"/>
      <c r="D778" s="24"/>
      <c r="E778" s="24"/>
      <c r="F778" s="25" t="str">
        <f aca="false">IF($B778="","",IFERROR(IF(INDEX(명단!$B$5:$B$404,MATCH($B778,명단!$A$5:$A$404,0))="","(이름 미입력)",INDEX(명단!$B$5:$B$404,MATCH($B778,명단!$A$5:$A$404,0))),"번호 없음"))</f>
        <v/>
      </c>
    </row>
    <row r="779" customFormat="false" ht="15" hidden="false" customHeight="false" outlineLevel="0" collapsed="false">
      <c r="A779" s="23"/>
      <c r="B779" s="24"/>
      <c r="C779" s="24"/>
      <c r="D779" s="24"/>
      <c r="E779" s="24"/>
      <c r="F779" s="25" t="str">
        <f aca="false">IF($B779="","",IFERROR(IF(INDEX(명단!$B$5:$B$404,MATCH($B779,명단!$A$5:$A$404,0))="","(이름 미입력)",INDEX(명단!$B$5:$B$404,MATCH($B779,명단!$A$5:$A$404,0))),"번호 없음"))</f>
        <v/>
      </c>
    </row>
    <row r="780" customFormat="false" ht="15" hidden="false" customHeight="false" outlineLevel="0" collapsed="false">
      <c r="A780" s="23"/>
      <c r="B780" s="24"/>
      <c r="C780" s="24"/>
      <c r="D780" s="24"/>
      <c r="E780" s="24"/>
      <c r="F780" s="25" t="str">
        <f aca="false">IF($B780="","",IFERROR(IF(INDEX(명단!$B$5:$B$404,MATCH($B780,명단!$A$5:$A$404,0))="","(이름 미입력)",INDEX(명단!$B$5:$B$404,MATCH($B780,명단!$A$5:$A$404,0))),"번호 없음"))</f>
        <v/>
      </c>
    </row>
    <row r="781" customFormat="false" ht="15" hidden="false" customHeight="false" outlineLevel="0" collapsed="false">
      <c r="A781" s="23"/>
      <c r="B781" s="24"/>
      <c r="C781" s="24"/>
      <c r="D781" s="24"/>
      <c r="E781" s="24"/>
      <c r="F781" s="25" t="str">
        <f aca="false">IF($B781="","",IFERROR(IF(INDEX(명단!$B$5:$B$404,MATCH($B781,명단!$A$5:$A$404,0))="","(이름 미입력)",INDEX(명단!$B$5:$B$404,MATCH($B781,명단!$A$5:$A$404,0))),"번호 없음"))</f>
        <v/>
      </c>
    </row>
    <row r="782" customFormat="false" ht="15" hidden="false" customHeight="false" outlineLevel="0" collapsed="false">
      <c r="A782" s="23"/>
      <c r="B782" s="24"/>
      <c r="C782" s="24"/>
      <c r="D782" s="24"/>
      <c r="E782" s="24"/>
      <c r="F782" s="25" t="str">
        <f aca="false">IF($B782="","",IFERROR(IF(INDEX(명단!$B$5:$B$404,MATCH($B782,명단!$A$5:$A$404,0))="","(이름 미입력)",INDEX(명단!$B$5:$B$404,MATCH($B782,명단!$A$5:$A$404,0))),"번호 없음"))</f>
        <v/>
      </c>
    </row>
    <row r="783" customFormat="false" ht="15" hidden="false" customHeight="false" outlineLevel="0" collapsed="false">
      <c r="A783" s="23"/>
      <c r="B783" s="24"/>
      <c r="C783" s="24"/>
      <c r="D783" s="24"/>
      <c r="E783" s="24"/>
      <c r="F783" s="25" t="str">
        <f aca="false">IF($B783="","",IFERROR(IF(INDEX(명단!$B$5:$B$404,MATCH($B783,명단!$A$5:$A$404,0))="","(이름 미입력)",INDEX(명단!$B$5:$B$404,MATCH($B783,명단!$A$5:$A$404,0))),"번호 없음"))</f>
        <v/>
      </c>
    </row>
    <row r="784" customFormat="false" ht="15" hidden="false" customHeight="false" outlineLevel="0" collapsed="false">
      <c r="A784" s="23"/>
      <c r="B784" s="24"/>
      <c r="C784" s="24"/>
      <c r="D784" s="24"/>
      <c r="E784" s="24"/>
      <c r="F784" s="25" t="str">
        <f aca="false">IF($B784="","",IFERROR(IF(INDEX(명단!$B$5:$B$404,MATCH($B784,명단!$A$5:$A$404,0))="","(이름 미입력)",INDEX(명단!$B$5:$B$404,MATCH($B784,명단!$A$5:$A$404,0))),"번호 없음"))</f>
        <v/>
      </c>
    </row>
    <row r="785" customFormat="false" ht="15" hidden="false" customHeight="false" outlineLevel="0" collapsed="false">
      <c r="A785" s="23"/>
      <c r="B785" s="24"/>
      <c r="C785" s="24"/>
      <c r="D785" s="24"/>
      <c r="E785" s="24"/>
      <c r="F785" s="25" t="str">
        <f aca="false">IF($B785="","",IFERROR(IF(INDEX(명단!$B$5:$B$404,MATCH($B785,명단!$A$5:$A$404,0))="","(이름 미입력)",INDEX(명단!$B$5:$B$404,MATCH($B785,명단!$A$5:$A$404,0))),"번호 없음"))</f>
        <v/>
      </c>
    </row>
    <row r="786" customFormat="false" ht="15" hidden="false" customHeight="false" outlineLevel="0" collapsed="false">
      <c r="A786" s="23"/>
      <c r="B786" s="24"/>
      <c r="C786" s="24"/>
      <c r="D786" s="24"/>
      <c r="E786" s="24"/>
      <c r="F786" s="25" t="str">
        <f aca="false">IF($B786="","",IFERROR(IF(INDEX(명단!$B$5:$B$404,MATCH($B786,명단!$A$5:$A$404,0))="","(이름 미입력)",INDEX(명단!$B$5:$B$404,MATCH($B786,명단!$A$5:$A$404,0))),"번호 없음"))</f>
        <v/>
      </c>
    </row>
    <row r="787" customFormat="false" ht="15" hidden="false" customHeight="false" outlineLevel="0" collapsed="false">
      <c r="A787" s="23"/>
      <c r="B787" s="24"/>
      <c r="C787" s="24"/>
      <c r="D787" s="24"/>
      <c r="E787" s="24"/>
      <c r="F787" s="25" t="str">
        <f aca="false">IF($B787="","",IFERROR(IF(INDEX(명단!$B$5:$B$404,MATCH($B787,명단!$A$5:$A$404,0))="","(이름 미입력)",INDEX(명단!$B$5:$B$404,MATCH($B787,명단!$A$5:$A$404,0))),"번호 없음"))</f>
        <v/>
      </c>
    </row>
    <row r="788" customFormat="false" ht="15" hidden="false" customHeight="false" outlineLevel="0" collapsed="false">
      <c r="A788" s="23"/>
      <c r="B788" s="24"/>
      <c r="C788" s="24"/>
      <c r="D788" s="24"/>
      <c r="E788" s="24"/>
      <c r="F788" s="25" t="str">
        <f aca="false">IF($B788="","",IFERROR(IF(INDEX(명단!$B$5:$B$404,MATCH($B788,명단!$A$5:$A$404,0))="","(이름 미입력)",INDEX(명단!$B$5:$B$404,MATCH($B788,명단!$A$5:$A$404,0))),"번호 없음"))</f>
        <v/>
      </c>
    </row>
    <row r="789" customFormat="false" ht="15" hidden="false" customHeight="false" outlineLevel="0" collapsed="false">
      <c r="A789" s="23"/>
      <c r="B789" s="24"/>
      <c r="C789" s="24"/>
      <c r="D789" s="24"/>
      <c r="E789" s="24"/>
      <c r="F789" s="25" t="str">
        <f aca="false">IF($B789="","",IFERROR(IF(INDEX(명단!$B$5:$B$404,MATCH($B789,명단!$A$5:$A$404,0))="","(이름 미입력)",INDEX(명단!$B$5:$B$404,MATCH($B789,명단!$A$5:$A$404,0))),"번호 없음"))</f>
        <v/>
      </c>
    </row>
    <row r="790" customFormat="false" ht="15" hidden="false" customHeight="false" outlineLevel="0" collapsed="false">
      <c r="A790" s="23"/>
      <c r="B790" s="24"/>
      <c r="C790" s="24"/>
      <c r="D790" s="24"/>
      <c r="E790" s="24"/>
      <c r="F790" s="25" t="str">
        <f aca="false">IF($B790="","",IFERROR(IF(INDEX(명단!$B$5:$B$404,MATCH($B790,명단!$A$5:$A$404,0))="","(이름 미입력)",INDEX(명단!$B$5:$B$404,MATCH($B790,명단!$A$5:$A$404,0))),"번호 없음"))</f>
        <v/>
      </c>
    </row>
    <row r="791" customFormat="false" ht="15" hidden="false" customHeight="false" outlineLevel="0" collapsed="false">
      <c r="A791" s="23"/>
      <c r="B791" s="24"/>
      <c r="C791" s="24"/>
      <c r="D791" s="24"/>
      <c r="E791" s="24"/>
      <c r="F791" s="25" t="str">
        <f aca="false">IF($B791="","",IFERROR(IF(INDEX(명단!$B$5:$B$404,MATCH($B791,명단!$A$5:$A$404,0))="","(이름 미입력)",INDEX(명단!$B$5:$B$404,MATCH($B791,명단!$A$5:$A$404,0))),"번호 없음"))</f>
        <v/>
      </c>
    </row>
    <row r="792" customFormat="false" ht="15" hidden="false" customHeight="false" outlineLevel="0" collapsed="false">
      <c r="A792" s="23"/>
      <c r="B792" s="24"/>
      <c r="C792" s="24"/>
      <c r="D792" s="24"/>
      <c r="E792" s="24"/>
      <c r="F792" s="25" t="str">
        <f aca="false">IF($B792="","",IFERROR(IF(INDEX(명단!$B$5:$B$404,MATCH($B792,명단!$A$5:$A$404,0))="","(이름 미입력)",INDEX(명단!$B$5:$B$404,MATCH($B792,명단!$A$5:$A$404,0))),"번호 없음"))</f>
        <v/>
      </c>
    </row>
    <row r="793" customFormat="false" ht="15" hidden="false" customHeight="false" outlineLevel="0" collapsed="false">
      <c r="A793" s="23"/>
      <c r="B793" s="24"/>
      <c r="C793" s="24"/>
      <c r="D793" s="24"/>
      <c r="E793" s="24"/>
      <c r="F793" s="25" t="str">
        <f aca="false">IF($B793="","",IFERROR(IF(INDEX(명단!$B$5:$B$404,MATCH($B793,명단!$A$5:$A$404,0))="","(이름 미입력)",INDEX(명단!$B$5:$B$404,MATCH($B793,명단!$A$5:$A$404,0))),"번호 없음"))</f>
        <v/>
      </c>
    </row>
    <row r="794" customFormat="false" ht="15" hidden="false" customHeight="false" outlineLevel="0" collapsed="false">
      <c r="A794" s="23"/>
      <c r="B794" s="24"/>
      <c r="C794" s="24"/>
      <c r="D794" s="24"/>
      <c r="E794" s="24"/>
      <c r="F794" s="25" t="str">
        <f aca="false">IF($B794="","",IFERROR(IF(INDEX(명단!$B$5:$B$404,MATCH($B794,명단!$A$5:$A$404,0))="","(이름 미입력)",INDEX(명단!$B$5:$B$404,MATCH($B794,명단!$A$5:$A$404,0))),"번호 없음"))</f>
        <v/>
      </c>
    </row>
    <row r="795" customFormat="false" ht="15" hidden="false" customHeight="false" outlineLevel="0" collapsed="false">
      <c r="A795" s="23"/>
      <c r="B795" s="24"/>
      <c r="C795" s="24"/>
      <c r="D795" s="24"/>
      <c r="E795" s="24"/>
      <c r="F795" s="25" t="str">
        <f aca="false">IF($B795="","",IFERROR(IF(INDEX(명단!$B$5:$B$404,MATCH($B795,명단!$A$5:$A$404,0))="","(이름 미입력)",INDEX(명단!$B$5:$B$404,MATCH($B795,명단!$A$5:$A$404,0))),"번호 없음"))</f>
        <v/>
      </c>
    </row>
    <row r="796" customFormat="false" ht="15" hidden="false" customHeight="false" outlineLevel="0" collapsed="false">
      <c r="A796" s="23"/>
      <c r="B796" s="24"/>
      <c r="C796" s="24"/>
      <c r="D796" s="24"/>
      <c r="E796" s="24"/>
      <c r="F796" s="25" t="str">
        <f aca="false">IF($B796="","",IFERROR(IF(INDEX(명단!$B$5:$B$404,MATCH($B796,명단!$A$5:$A$404,0))="","(이름 미입력)",INDEX(명단!$B$5:$B$404,MATCH($B796,명단!$A$5:$A$404,0))),"번호 없음"))</f>
        <v/>
      </c>
    </row>
    <row r="797" customFormat="false" ht="15" hidden="false" customHeight="false" outlineLevel="0" collapsed="false">
      <c r="A797" s="23"/>
      <c r="B797" s="24"/>
      <c r="C797" s="24"/>
      <c r="D797" s="24"/>
      <c r="E797" s="24"/>
      <c r="F797" s="25" t="str">
        <f aca="false">IF($B797="","",IFERROR(IF(INDEX(명단!$B$5:$B$404,MATCH($B797,명단!$A$5:$A$404,0))="","(이름 미입력)",INDEX(명단!$B$5:$B$404,MATCH($B797,명단!$A$5:$A$404,0))),"번호 없음"))</f>
        <v/>
      </c>
    </row>
    <row r="798" customFormat="false" ht="15" hidden="false" customHeight="false" outlineLevel="0" collapsed="false">
      <c r="A798" s="23"/>
      <c r="B798" s="24"/>
      <c r="C798" s="24"/>
      <c r="D798" s="24"/>
      <c r="E798" s="24"/>
      <c r="F798" s="25" t="str">
        <f aca="false">IF($B798="","",IFERROR(IF(INDEX(명단!$B$5:$B$404,MATCH($B798,명단!$A$5:$A$404,0))="","(이름 미입력)",INDEX(명단!$B$5:$B$404,MATCH($B798,명단!$A$5:$A$404,0))),"번호 없음"))</f>
        <v/>
      </c>
    </row>
    <row r="799" customFormat="false" ht="15" hidden="false" customHeight="false" outlineLevel="0" collapsed="false">
      <c r="A799" s="23"/>
      <c r="B799" s="24"/>
      <c r="C799" s="24"/>
      <c r="D799" s="24"/>
      <c r="E799" s="24"/>
      <c r="F799" s="25" t="str">
        <f aca="false">IF($B799="","",IFERROR(IF(INDEX(명단!$B$5:$B$404,MATCH($B799,명단!$A$5:$A$404,0))="","(이름 미입력)",INDEX(명단!$B$5:$B$404,MATCH($B799,명단!$A$5:$A$404,0))),"번호 없음"))</f>
        <v/>
      </c>
    </row>
    <row r="800" customFormat="false" ht="15" hidden="false" customHeight="false" outlineLevel="0" collapsed="false">
      <c r="A800" s="23"/>
      <c r="B800" s="24"/>
      <c r="C800" s="24"/>
      <c r="D800" s="24"/>
      <c r="E800" s="24"/>
      <c r="F800" s="25" t="str">
        <f aca="false">IF($B800="","",IFERROR(IF(INDEX(명단!$B$5:$B$404,MATCH($B800,명단!$A$5:$A$404,0))="","(이름 미입력)",INDEX(명단!$B$5:$B$404,MATCH($B800,명단!$A$5:$A$404,0))),"번호 없음"))</f>
        <v/>
      </c>
    </row>
    <row r="801" customFormat="false" ht="15" hidden="false" customHeight="false" outlineLevel="0" collapsed="false">
      <c r="A801" s="23"/>
      <c r="B801" s="24"/>
      <c r="C801" s="24"/>
      <c r="D801" s="24"/>
      <c r="E801" s="24"/>
      <c r="F801" s="25" t="str">
        <f aca="false">IF($B801="","",IFERROR(IF(INDEX(명단!$B$5:$B$404,MATCH($B801,명단!$A$5:$A$404,0))="","(이름 미입력)",INDEX(명단!$B$5:$B$404,MATCH($B801,명단!$A$5:$A$404,0))),"번호 없음"))</f>
        <v/>
      </c>
    </row>
    <row r="802" customFormat="false" ht="15" hidden="false" customHeight="false" outlineLevel="0" collapsed="false">
      <c r="A802" s="23"/>
      <c r="B802" s="24"/>
      <c r="C802" s="24"/>
      <c r="D802" s="24"/>
      <c r="E802" s="24"/>
      <c r="F802" s="25" t="str">
        <f aca="false">IF($B802="","",IFERROR(IF(INDEX(명단!$B$5:$B$404,MATCH($B802,명단!$A$5:$A$404,0))="","(이름 미입력)",INDEX(명단!$B$5:$B$404,MATCH($B802,명단!$A$5:$A$404,0))),"번호 없음"))</f>
        <v/>
      </c>
    </row>
    <row r="803" customFormat="false" ht="15" hidden="false" customHeight="false" outlineLevel="0" collapsed="false">
      <c r="A803" s="23"/>
      <c r="B803" s="24"/>
      <c r="C803" s="24"/>
      <c r="D803" s="24"/>
      <c r="E803" s="24"/>
      <c r="F803" s="25" t="str">
        <f aca="false">IF($B803="","",IFERROR(IF(INDEX(명단!$B$5:$B$404,MATCH($B803,명단!$A$5:$A$404,0))="","(이름 미입력)",INDEX(명단!$B$5:$B$404,MATCH($B803,명단!$A$5:$A$404,0))),"번호 없음"))</f>
        <v/>
      </c>
    </row>
    <row r="804" customFormat="false" ht="15" hidden="false" customHeight="false" outlineLevel="0" collapsed="false">
      <c r="A804" s="23"/>
      <c r="B804" s="24"/>
      <c r="C804" s="24"/>
      <c r="D804" s="24"/>
      <c r="E804" s="24"/>
      <c r="F804" s="25" t="str">
        <f aca="false">IF($B804="","",IFERROR(IF(INDEX(명단!$B$5:$B$404,MATCH($B804,명단!$A$5:$A$404,0))="","(이름 미입력)",INDEX(명단!$B$5:$B$404,MATCH($B804,명단!$A$5:$A$404,0))),"번호 없음"))</f>
        <v/>
      </c>
    </row>
    <row r="805" customFormat="false" ht="15" hidden="false" customHeight="false" outlineLevel="0" collapsed="false">
      <c r="A805" s="23"/>
      <c r="B805" s="24"/>
      <c r="C805" s="24"/>
      <c r="D805" s="24"/>
      <c r="E805" s="24"/>
      <c r="F805" s="25" t="str">
        <f aca="false">IF($B805="","",IFERROR(IF(INDEX(명단!$B$5:$B$404,MATCH($B805,명단!$A$5:$A$404,0))="","(이름 미입력)",INDEX(명단!$B$5:$B$404,MATCH($B805,명단!$A$5:$A$404,0))),"번호 없음"))</f>
        <v/>
      </c>
    </row>
    <row r="806" customFormat="false" ht="15" hidden="false" customHeight="false" outlineLevel="0" collapsed="false">
      <c r="A806" s="23"/>
      <c r="B806" s="24"/>
      <c r="C806" s="24"/>
      <c r="D806" s="24"/>
      <c r="E806" s="24"/>
      <c r="F806" s="25" t="str">
        <f aca="false">IF($B806="","",IFERROR(IF(INDEX(명단!$B$5:$B$404,MATCH($B806,명단!$A$5:$A$404,0))="","(이름 미입력)",INDEX(명단!$B$5:$B$404,MATCH($B806,명단!$A$5:$A$404,0))),"번호 없음"))</f>
        <v/>
      </c>
    </row>
    <row r="807" customFormat="false" ht="15" hidden="false" customHeight="false" outlineLevel="0" collapsed="false">
      <c r="A807" s="23"/>
      <c r="B807" s="24"/>
      <c r="C807" s="24"/>
      <c r="D807" s="24"/>
      <c r="E807" s="24"/>
      <c r="F807" s="25" t="str">
        <f aca="false">IF($B807="","",IFERROR(IF(INDEX(명단!$B$5:$B$404,MATCH($B807,명단!$A$5:$A$404,0))="","(이름 미입력)",INDEX(명단!$B$5:$B$404,MATCH($B807,명단!$A$5:$A$404,0))),"번호 없음"))</f>
        <v/>
      </c>
    </row>
    <row r="808" customFormat="false" ht="15" hidden="false" customHeight="false" outlineLevel="0" collapsed="false">
      <c r="A808" s="23"/>
      <c r="B808" s="24"/>
      <c r="C808" s="24"/>
      <c r="D808" s="24"/>
      <c r="E808" s="24"/>
      <c r="F808" s="25" t="str">
        <f aca="false">IF($B808="","",IFERROR(IF(INDEX(명단!$B$5:$B$404,MATCH($B808,명단!$A$5:$A$404,0))="","(이름 미입력)",INDEX(명단!$B$5:$B$404,MATCH($B808,명단!$A$5:$A$404,0))),"번호 없음"))</f>
        <v/>
      </c>
    </row>
    <row r="809" customFormat="false" ht="15" hidden="false" customHeight="false" outlineLevel="0" collapsed="false">
      <c r="A809" s="23"/>
      <c r="B809" s="24"/>
      <c r="C809" s="24"/>
      <c r="D809" s="24"/>
      <c r="E809" s="24"/>
      <c r="F809" s="25" t="str">
        <f aca="false">IF($B809="","",IFERROR(IF(INDEX(명단!$B$5:$B$404,MATCH($B809,명단!$A$5:$A$404,0))="","(이름 미입력)",INDEX(명단!$B$5:$B$404,MATCH($B809,명단!$A$5:$A$404,0))),"번호 없음"))</f>
        <v/>
      </c>
    </row>
    <row r="810" customFormat="false" ht="15" hidden="false" customHeight="false" outlineLevel="0" collapsed="false">
      <c r="A810" s="23"/>
      <c r="B810" s="24"/>
      <c r="C810" s="24"/>
      <c r="D810" s="24"/>
      <c r="E810" s="24"/>
      <c r="F810" s="25" t="str">
        <f aca="false">IF($B810="","",IFERROR(IF(INDEX(명단!$B$5:$B$404,MATCH($B810,명단!$A$5:$A$404,0))="","(이름 미입력)",INDEX(명단!$B$5:$B$404,MATCH($B810,명단!$A$5:$A$404,0))),"번호 없음"))</f>
        <v/>
      </c>
    </row>
    <row r="811" customFormat="false" ht="15" hidden="false" customHeight="false" outlineLevel="0" collapsed="false">
      <c r="A811" s="23"/>
      <c r="B811" s="24"/>
      <c r="C811" s="24"/>
      <c r="D811" s="24"/>
      <c r="E811" s="24"/>
      <c r="F811" s="25" t="str">
        <f aca="false">IF($B811="","",IFERROR(IF(INDEX(명단!$B$5:$B$404,MATCH($B811,명단!$A$5:$A$404,0))="","(이름 미입력)",INDEX(명단!$B$5:$B$404,MATCH($B811,명단!$A$5:$A$404,0))),"번호 없음"))</f>
        <v/>
      </c>
    </row>
    <row r="812" customFormat="false" ht="15" hidden="false" customHeight="false" outlineLevel="0" collapsed="false">
      <c r="A812" s="23"/>
      <c r="B812" s="24"/>
      <c r="C812" s="24"/>
      <c r="D812" s="24"/>
      <c r="E812" s="24"/>
      <c r="F812" s="25" t="str">
        <f aca="false">IF($B812="","",IFERROR(IF(INDEX(명단!$B$5:$B$404,MATCH($B812,명단!$A$5:$A$404,0))="","(이름 미입력)",INDEX(명단!$B$5:$B$404,MATCH($B812,명단!$A$5:$A$404,0))),"번호 없음"))</f>
        <v/>
      </c>
    </row>
    <row r="813" customFormat="false" ht="15" hidden="false" customHeight="false" outlineLevel="0" collapsed="false">
      <c r="A813" s="23"/>
      <c r="B813" s="24"/>
      <c r="C813" s="24"/>
      <c r="D813" s="24"/>
      <c r="E813" s="24"/>
      <c r="F813" s="25" t="str">
        <f aca="false">IF($B813="","",IFERROR(IF(INDEX(명단!$B$5:$B$404,MATCH($B813,명단!$A$5:$A$404,0))="","(이름 미입력)",INDEX(명단!$B$5:$B$404,MATCH($B813,명단!$A$5:$A$404,0))),"번호 없음"))</f>
        <v/>
      </c>
    </row>
    <row r="814" customFormat="false" ht="15" hidden="false" customHeight="false" outlineLevel="0" collapsed="false">
      <c r="A814" s="23"/>
      <c r="B814" s="24"/>
      <c r="C814" s="24"/>
      <c r="D814" s="24"/>
      <c r="E814" s="24"/>
      <c r="F814" s="25" t="str">
        <f aca="false">IF($B814="","",IFERROR(IF(INDEX(명단!$B$5:$B$404,MATCH($B814,명단!$A$5:$A$404,0))="","(이름 미입력)",INDEX(명단!$B$5:$B$404,MATCH($B814,명단!$A$5:$A$404,0))),"번호 없음"))</f>
        <v/>
      </c>
    </row>
    <row r="815" customFormat="false" ht="15" hidden="false" customHeight="false" outlineLevel="0" collapsed="false">
      <c r="A815" s="23"/>
      <c r="B815" s="24"/>
      <c r="C815" s="24"/>
      <c r="D815" s="24"/>
      <c r="E815" s="24"/>
      <c r="F815" s="25" t="str">
        <f aca="false">IF($B815="","",IFERROR(IF(INDEX(명단!$B$5:$B$404,MATCH($B815,명단!$A$5:$A$404,0))="","(이름 미입력)",INDEX(명단!$B$5:$B$404,MATCH($B815,명단!$A$5:$A$404,0))),"번호 없음"))</f>
        <v/>
      </c>
    </row>
    <row r="816" customFormat="false" ht="15" hidden="false" customHeight="false" outlineLevel="0" collapsed="false">
      <c r="A816" s="23"/>
      <c r="B816" s="24"/>
      <c r="C816" s="24"/>
      <c r="D816" s="24"/>
      <c r="E816" s="24"/>
      <c r="F816" s="25" t="str">
        <f aca="false">IF($B816="","",IFERROR(IF(INDEX(명단!$B$5:$B$404,MATCH($B816,명단!$A$5:$A$404,0))="","(이름 미입력)",INDEX(명단!$B$5:$B$404,MATCH($B816,명단!$A$5:$A$404,0))),"번호 없음"))</f>
        <v/>
      </c>
    </row>
    <row r="817" customFormat="false" ht="15" hidden="false" customHeight="false" outlineLevel="0" collapsed="false">
      <c r="A817" s="23"/>
      <c r="B817" s="24"/>
      <c r="C817" s="24"/>
      <c r="D817" s="24"/>
      <c r="E817" s="24"/>
      <c r="F817" s="25" t="str">
        <f aca="false">IF($B817="","",IFERROR(IF(INDEX(명단!$B$5:$B$404,MATCH($B817,명단!$A$5:$A$404,0))="","(이름 미입력)",INDEX(명단!$B$5:$B$404,MATCH($B817,명단!$A$5:$A$404,0))),"번호 없음"))</f>
        <v/>
      </c>
    </row>
    <row r="818" customFormat="false" ht="15" hidden="false" customHeight="false" outlineLevel="0" collapsed="false">
      <c r="A818" s="23"/>
      <c r="B818" s="24"/>
      <c r="C818" s="24"/>
      <c r="D818" s="24"/>
      <c r="E818" s="24"/>
      <c r="F818" s="25" t="str">
        <f aca="false">IF($B818="","",IFERROR(IF(INDEX(명단!$B$5:$B$404,MATCH($B818,명단!$A$5:$A$404,0))="","(이름 미입력)",INDEX(명단!$B$5:$B$404,MATCH($B818,명단!$A$5:$A$404,0))),"번호 없음"))</f>
        <v/>
      </c>
    </row>
    <row r="819" customFormat="false" ht="15" hidden="false" customHeight="false" outlineLevel="0" collapsed="false">
      <c r="A819" s="23"/>
      <c r="B819" s="24"/>
      <c r="C819" s="24"/>
      <c r="D819" s="24"/>
      <c r="E819" s="24"/>
      <c r="F819" s="25" t="str">
        <f aca="false">IF($B819="","",IFERROR(IF(INDEX(명단!$B$5:$B$404,MATCH($B819,명단!$A$5:$A$404,0))="","(이름 미입력)",INDEX(명단!$B$5:$B$404,MATCH($B819,명단!$A$5:$A$404,0))),"번호 없음"))</f>
        <v/>
      </c>
    </row>
    <row r="820" customFormat="false" ht="15" hidden="false" customHeight="false" outlineLevel="0" collapsed="false">
      <c r="A820" s="23"/>
      <c r="B820" s="24"/>
      <c r="C820" s="24"/>
      <c r="D820" s="24"/>
      <c r="E820" s="24"/>
      <c r="F820" s="25" t="str">
        <f aca="false">IF($B820="","",IFERROR(IF(INDEX(명단!$B$5:$B$404,MATCH($B820,명단!$A$5:$A$404,0))="","(이름 미입력)",INDEX(명단!$B$5:$B$404,MATCH($B820,명단!$A$5:$A$404,0))),"번호 없음"))</f>
        <v/>
      </c>
    </row>
    <row r="821" customFormat="false" ht="15" hidden="false" customHeight="false" outlineLevel="0" collapsed="false">
      <c r="A821" s="23"/>
      <c r="B821" s="24"/>
      <c r="C821" s="24"/>
      <c r="D821" s="24"/>
      <c r="E821" s="24"/>
      <c r="F821" s="25" t="str">
        <f aca="false">IF($B821="","",IFERROR(IF(INDEX(명단!$B$5:$B$404,MATCH($B821,명단!$A$5:$A$404,0))="","(이름 미입력)",INDEX(명단!$B$5:$B$404,MATCH($B821,명단!$A$5:$A$404,0))),"번호 없음"))</f>
        <v/>
      </c>
    </row>
    <row r="822" customFormat="false" ht="15" hidden="false" customHeight="false" outlineLevel="0" collapsed="false">
      <c r="A822" s="23"/>
      <c r="B822" s="24"/>
      <c r="C822" s="24"/>
      <c r="D822" s="24"/>
      <c r="E822" s="24"/>
      <c r="F822" s="25" t="str">
        <f aca="false">IF($B822="","",IFERROR(IF(INDEX(명단!$B$5:$B$404,MATCH($B822,명단!$A$5:$A$404,0))="","(이름 미입력)",INDEX(명단!$B$5:$B$404,MATCH($B822,명단!$A$5:$A$404,0))),"번호 없음"))</f>
        <v/>
      </c>
    </row>
    <row r="823" customFormat="false" ht="15" hidden="false" customHeight="false" outlineLevel="0" collapsed="false">
      <c r="A823" s="23"/>
      <c r="B823" s="24"/>
      <c r="C823" s="24"/>
      <c r="D823" s="24"/>
      <c r="E823" s="24"/>
      <c r="F823" s="25" t="str">
        <f aca="false">IF($B823="","",IFERROR(IF(INDEX(명단!$B$5:$B$404,MATCH($B823,명단!$A$5:$A$404,0))="","(이름 미입력)",INDEX(명단!$B$5:$B$404,MATCH($B823,명단!$A$5:$A$404,0))),"번호 없음"))</f>
        <v/>
      </c>
    </row>
    <row r="824" customFormat="false" ht="15" hidden="false" customHeight="false" outlineLevel="0" collapsed="false">
      <c r="A824" s="23"/>
      <c r="B824" s="24"/>
      <c r="C824" s="24"/>
      <c r="D824" s="24"/>
      <c r="E824" s="24"/>
      <c r="F824" s="25" t="str">
        <f aca="false">IF($B824="","",IFERROR(IF(INDEX(명단!$B$5:$B$404,MATCH($B824,명단!$A$5:$A$404,0))="","(이름 미입력)",INDEX(명단!$B$5:$B$404,MATCH($B824,명단!$A$5:$A$404,0))),"번호 없음"))</f>
        <v/>
      </c>
    </row>
    <row r="825" customFormat="false" ht="15" hidden="false" customHeight="false" outlineLevel="0" collapsed="false">
      <c r="A825" s="23"/>
      <c r="B825" s="24"/>
      <c r="C825" s="24"/>
      <c r="D825" s="24"/>
      <c r="E825" s="24"/>
      <c r="F825" s="25" t="str">
        <f aca="false">IF($B825="","",IFERROR(IF(INDEX(명단!$B$5:$B$404,MATCH($B825,명단!$A$5:$A$404,0))="","(이름 미입력)",INDEX(명단!$B$5:$B$404,MATCH($B825,명단!$A$5:$A$404,0))),"번호 없음"))</f>
        <v/>
      </c>
    </row>
    <row r="826" customFormat="false" ht="15" hidden="false" customHeight="false" outlineLevel="0" collapsed="false">
      <c r="A826" s="23"/>
      <c r="B826" s="24"/>
      <c r="C826" s="24"/>
      <c r="D826" s="24"/>
      <c r="E826" s="24"/>
      <c r="F826" s="25" t="str">
        <f aca="false">IF($B826="","",IFERROR(IF(INDEX(명단!$B$5:$B$404,MATCH($B826,명단!$A$5:$A$404,0))="","(이름 미입력)",INDEX(명단!$B$5:$B$404,MATCH($B826,명단!$A$5:$A$404,0))),"번호 없음"))</f>
        <v/>
      </c>
    </row>
    <row r="827" customFormat="false" ht="15" hidden="false" customHeight="false" outlineLevel="0" collapsed="false">
      <c r="A827" s="23"/>
      <c r="B827" s="24"/>
      <c r="C827" s="24"/>
      <c r="D827" s="24"/>
      <c r="E827" s="24"/>
      <c r="F827" s="25" t="str">
        <f aca="false">IF($B827="","",IFERROR(IF(INDEX(명단!$B$5:$B$404,MATCH($B827,명단!$A$5:$A$404,0))="","(이름 미입력)",INDEX(명단!$B$5:$B$404,MATCH($B827,명단!$A$5:$A$404,0))),"번호 없음"))</f>
        <v/>
      </c>
    </row>
    <row r="828" customFormat="false" ht="15" hidden="false" customHeight="false" outlineLevel="0" collapsed="false">
      <c r="A828" s="23"/>
      <c r="B828" s="24"/>
      <c r="C828" s="24"/>
      <c r="D828" s="24"/>
      <c r="E828" s="24"/>
      <c r="F828" s="25" t="str">
        <f aca="false">IF($B828="","",IFERROR(IF(INDEX(명단!$B$5:$B$404,MATCH($B828,명단!$A$5:$A$404,0))="","(이름 미입력)",INDEX(명단!$B$5:$B$404,MATCH($B828,명단!$A$5:$A$404,0))),"번호 없음"))</f>
        <v/>
      </c>
    </row>
    <row r="829" customFormat="false" ht="15" hidden="false" customHeight="false" outlineLevel="0" collapsed="false">
      <c r="A829" s="23"/>
      <c r="B829" s="24"/>
      <c r="C829" s="24"/>
      <c r="D829" s="24"/>
      <c r="E829" s="24"/>
      <c r="F829" s="25" t="str">
        <f aca="false">IF($B829="","",IFERROR(IF(INDEX(명단!$B$5:$B$404,MATCH($B829,명단!$A$5:$A$404,0))="","(이름 미입력)",INDEX(명단!$B$5:$B$404,MATCH($B829,명단!$A$5:$A$404,0))),"번호 없음"))</f>
        <v/>
      </c>
    </row>
    <row r="830" customFormat="false" ht="15" hidden="false" customHeight="false" outlineLevel="0" collapsed="false">
      <c r="A830" s="23"/>
      <c r="B830" s="24"/>
      <c r="C830" s="24"/>
      <c r="D830" s="24"/>
      <c r="E830" s="24"/>
      <c r="F830" s="25" t="str">
        <f aca="false">IF($B830="","",IFERROR(IF(INDEX(명단!$B$5:$B$404,MATCH($B830,명단!$A$5:$A$404,0))="","(이름 미입력)",INDEX(명단!$B$5:$B$404,MATCH($B830,명단!$A$5:$A$404,0))),"번호 없음"))</f>
        <v/>
      </c>
    </row>
    <row r="831" customFormat="false" ht="15" hidden="false" customHeight="false" outlineLevel="0" collapsed="false">
      <c r="A831" s="23"/>
      <c r="B831" s="24"/>
      <c r="C831" s="24"/>
      <c r="D831" s="24"/>
      <c r="E831" s="24"/>
      <c r="F831" s="25" t="str">
        <f aca="false">IF($B831="","",IFERROR(IF(INDEX(명단!$B$5:$B$404,MATCH($B831,명단!$A$5:$A$404,0))="","(이름 미입력)",INDEX(명단!$B$5:$B$404,MATCH($B831,명단!$A$5:$A$404,0))),"번호 없음"))</f>
        <v/>
      </c>
    </row>
    <row r="832" customFormat="false" ht="15" hidden="false" customHeight="false" outlineLevel="0" collapsed="false">
      <c r="A832" s="23"/>
      <c r="B832" s="24"/>
      <c r="C832" s="24"/>
      <c r="D832" s="24"/>
      <c r="E832" s="24"/>
      <c r="F832" s="25" t="str">
        <f aca="false">IF($B832="","",IFERROR(IF(INDEX(명단!$B$5:$B$404,MATCH($B832,명단!$A$5:$A$404,0))="","(이름 미입력)",INDEX(명단!$B$5:$B$404,MATCH($B832,명단!$A$5:$A$404,0))),"번호 없음"))</f>
        <v/>
      </c>
    </row>
    <row r="833" customFormat="false" ht="15" hidden="false" customHeight="false" outlineLevel="0" collapsed="false">
      <c r="A833" s="23"/>
      <c r="B833" s="24"/>
      <c r="C833" s="24"/>
      <c r="D833" s="24"/>
      <c r="E833" s="24"/>
      <c r="F833" s="25" t="str">
        <f aca="false">IF($B833="","",IFERROR(IF(INDEX(명단!$B$5:$B$404,MATCH($B833,명단!$A$5:$A$404,0))="","(이름 미입력)",INDEX(명단!$B$5:$B$404,MATCH($B833,명단!$A$5:$A$404,0))),"번호 없음"))</f>
        <v/>
      </c>
    </row>
    <row r="834" customFormat="false" ht="15" hidden="false" customHeight="false" outlineLevel="0" collapsed="false">
      <c r="A834" s="23"/>
      <c r="B834" s="24"/>
      <c r="C834" s="24"/>
      <c r="D834" s="24"/>
      <c r="E834" s="24"/>
      <c r="F834" s="25" t="str">
        <f aca="false">IF($B834="","",IFERROR(IF(INDEX(명단!$B$5:$B$404,MATCH($B834,명단!$A$5:$A$404,0))="","(이름 미입력)",INDEX(명단!$B$5:$B$404,MATCH($B834,명단!$A$5:$A$404,0))),"번호 없음"))</f>
        <v/>
      </c>
    </row>
    <row r="835" customFormat="false" ht="15" hidden="false" customHeight="false" outlineLevel="0" collapsed="false">
      <c r="A835" s="23"/>
      <c r="B835" s="24"/>
      <c r="C835" s="24"/>
      <c r="D835" s="24"/>
      <c r="E835" s="24"/>
      <c r="F835" s="25" t="str">
        <f aca="false">IF($B835="","",IFERROR(IF(INDEX(명단!$B$5:$B$404,MATCH($B835,명단!$A$5:$A$404,0))="","(이름 미입력)",INDEX(명단!$B$5:$B$404,MATCH($B835,명단!$A$5:$A$404,0))),"번호 없음"))</f>
        <v/>
      </c>
    </row>
    <row r="836" customFormat="false" ht="15" hidden="false" customHeight="false" outlineLevel="0" collapsed="false">
      <c r="A836" s="23"/>
      <c r="B836" s="24"/>
      <c r="C836" s="24"/>
      <c r="D836" s="24"/>
      <c r="E836" s="24"/>
      <c r="F836" s="25" t="str">
        <f aca="false">IF($B836="","",IFERROR(IF(INDEX(명단!$B$5:$B$404,MATCH($B836,명단!$A$5:$A$404,0))="","(이름 미입력)",INDEX(명단!$B$5:$B$404,MATCH($B836,명단!$A$5:$A$404,0))),"번호 없음"))</f>
        <v/>
      </c>
    </row>
    <row r="837" customFormat="false" ht="15" hidden="false" customHeight="false" outlineLevel="0" collapsed="false">
      <c r="A837" s="23"/>
      <c r="B837" s="24"/>
      <c r="C837" s="24"/>
      <c r="D837" s="24"/>
      <c r="E837" s="24"/>
      <c r="F837" s="25" t="str">
        <f aca="false">IF($B837="","",IFERROR(IF(INDEX(명단!$B$5:$B$404,MATCH($B837,명단!$A$5:$A$404,0))="","(이름 미입력)",INDEX(명단!$B$5:$B$404,MATCH($B837,명단!$A$5:$A$404,0))),"번호 없음"))</f>
        <v/>
      </c>
    </row>
    <row r="838" customFormat="false" ht="15" hidden="false" customHeight="false" outlineLevel="0" collapsed="false">
      <c r="A838" s="23"/>
      <c r="B838" s="24"/>
      <c r="C838" s="24"/>
      <c r="D838" s="24"/>
      <c r="E838" s="24"/>
      <c r="F838" s="25" t="str">
        <f aca="false">IF($B838="","",IFERROR(IF(INDEX(명단!$B$5:$B$404,MATCH($B838,명단!$A$5:$A$404,0))="","(이름 미입력)",INDEX(명단!$B$5:$B$404,MATCH($B838,명단!$A$5:$A$404,0))),"번호 없음"))</f>
        <v/>
      </c>
    </row>
    <row r="839" customFormat="false" ht="15" hidden="false" customHeight="false" outlineLevel="0" collapsed="false">
      <c r="A839" s="23"/>
      <c r="B839" s="24"/>
      <c r="C839" s="24"/>
      <c r="D839" s="24"/>
      <c r="E839" s="24"/>
      <c r="F839" s="25" t="str">
        <f aca="false">IF($B839="","",IFERROR(IF(INDEX(명단!$B$5:$B$404,MATCH($B839,명단!$A$5:$A$404,0))="","(이름 미입력)",INDEX(명단!$B$5:$B$404,MATCH($B839,명단!$A$5:$A$404,0))),"번호 없음"))</f>
        <v/>
      </c>
    </row>
    <row r="840" customFormat="false" ht="15" hidden="false" customHeight="false" outlineLevel="0" collapsed="false">
      <c r="A840" s="23"/>
      <c r="B840" s="24"/>
      <c r="C840" s="24"/>
      <c r="D840" s="24"/>
      <c r="E840" s="24"/>
      <c r="F840" s="25" t="str">
        <f aca="false">IF($B840="","",IFERROR(IF(INDEX(명단!$B$5:$B$404,MATCH($B840,명단!$A$5:$A$404,0))="","(이름 미입력)",INDEX(명단!$B$5:$B$404,MATCH($B840,명단!$A$5:$A$404,0))),"번호 없음"))</f>
        <v/>
      </c>
    </row>
    <row r="841" customFormat="false" ht="15" hidden="false" customHeight="false" outlineLevel="0" collapsed="false">
      <c r="A841" s="23"/>
      <c r="B841" s="24"/>
      <c r="C841" s="24"/>
      <c r="D841" s="24"/>
      <c r="E841" s="24"/>
      <c r="F841" s="25" t="str">
        <f aca="false">IF($B841="","",IFERROR(IF(INDEX(명단!$B$5:$B$404,MATCH($B841,명단!$A$5:$A$404,0))="","(이름 미입력)",INDEX(명단!$B$5:$B$404,MATCH($B841,명단!$A$5:$A$404,0))),"번호 없음"))</f>
        <v/>
      </c>
    </row>
    <row r="842" customFormat="false" ht="15" hidden="false" customHeight="false" outlineLevel="0" collapsed="false">
      <c r="A842" s="23"/>
      <c r="B842" s="24"/>
      <c r="C842" s="24"/>
      <c r="D842" s="24"/>
      <c r="E842" s="24"/>
      <c r="F842" s="25" t="str">
        <f aca="false">IF($B842="","",IFERROR(IF(INDEX(명단!$B$5:$B$404,MATCH($B842,명단!$A$5:$A$404,0))="","(이름 미입력)",INDEX(명단!$B$5:$B$404,MATCH($B842,명단!$A$5:$A$404,0))),"번호 없음"))</f>
        <v/>
      </c>
    </row>
    <row r="843" customFormat="false" ht="15" hidden="false" customHeight="false" outlineLevel="0" collapsed="false">
      <c r="A843" s="23"/>
      <c r="B843" s="24"/>
      <c r="C843" s="24"/>
      <c r="D843" s="24"/>
      <c r="E843" s="24"/>
      <c r="F843" s="25" t="str">
        <f aca="false">IF($B843="","",IFERROR(IF(INDEX(명단!$B$5:$B$404,MATCH($B843,명단!$A$5:$A$404,0))="","(이름 미입력)",INDEX(명단!$B$5:$B$404,MATCH($B843,명단!$A$5:$A$404,0))),"번호 없음"))</f>
        <v/>
      </c>
    </row>
    <row r="844" customFormat="false" ht="15" hidden="false" customHeight="false" outlineLevel="0" collapsed="false">
      <c r="A844" s="23"/>
      <c r="B844" s="24"/>
      <c r="C844" s="24"/>
      <c r="D844" s="24"/>
      <c r="E844" s="24"/>
      <c r="F844" s="25" t="str">
        <f aca="false">IF($B844="","",IFERROR(IF(INDEX(명단!$B$5:$B$404,MATCH($B844,명단!$A$5:$A$404,0))="","(이름 미입력)",INDEX(명단!$B$5:$B$404,MATCH($B844,명단!$A$5:$A$404,0))),"번호 없음"))</f>
        <v/>
      </c>
    </row>
    <row r="845" customFormat="false" ht="15" hidden="false" customHeight="false" outlineLevel="0" collapsed="false">
      <c r="A845" s="23"/>
      <c r="B845" s="24"/>
      <c r="C845" s="24"/>
      <c r="D845" s="24"/>
      <c r="E845" s="24"/>
      <c r="F845" s="25" t="str">
        <f aca="false">IF($B845="","",IFERROR(IF(INDEX(명단!$B$5:$B$404,MATCH($B845,명단!$A$5:$A$404,0))="","(이름 미입력)",INDEX(명단!$B$5:$B$404,MATCH($B845,명단!$A$5:$A$404,0))),"번호 없음"))</f>
        <v/>
      </c>
    </row>
    <row r="846" customFormat="false" ht="15" hidden="false" customHeight="false" outlineLevel="0" collapsed="false">
      <c r="A846" s="23"/>
      <c r="B846" s="24"/>
      <c r="C846" s="24"/>
      <c r="D846" s="24"/>
      <c r="E846" s="24"/>
      <c r="F846" s="25" t="str">
        <f aca="false">IF($B846="","",IFERROR(IF(INDEX(명단!$B$5:$B$404,MATCH($B846,명단!$A$5:$A$404,0))="","(이름 미입력)",INDEX(명단!$B$5:$B$404,MATCH($B846,명단!$A$5:$A$404,0))),"번호 없음"))</f>
        <v/>
      </c>
    </row>
    <row r="847" customFormat="false" ht="15" hidden="false" customHeight="false" outlineLevel="0" collapsed="false">
      <c r="A847" s="23"/>
      <c r="B847" s="24"/>
      <c r="C847" s="24"/>
      <c r="D847" s="24"/>
      <c r="E847" s="24"/>
      <c r="F847" s="25" t="str">
        <f aca="false">IF($B847="","",IFERROR(IF(INDEX(명단!$B$5:$B$404,MATCH($B847,명단!$A$5:$A$404,0))="","(이름 미입력)",INDEX(명단!$B$5:$B$404,MATCH($B847,명단!$A$5:$A$404,0))),"번호 없음"))</f>
        <v/>
      </c>
    </row>
    <row r="848" customFormat="false" ht="15" hidden="false" customHeight="false" outlineLevel="0" collapsed="false">
      <c r="A848" s="23"/>
      <c r="B848" s="24"/>
      <c r="C848" s="24"/>
      <c r="D848" s="24"/>
      <c r="E848" s="24"/>
      <c r="F848" s="25" t="str">
        <f aca="false">IF($B848="","",IFERROR(IF(INDEX(명단!$B$5:$B$404,MATCH($B848,명단!$A$5:$A$404,0))="","(이름 미입력)",INDEX(명단!$B$5:$B$404,MATCH($B848,명단!$A$5:$A$404,0))),"번호 없음"))</f>
        <v/>
      </c>
    </row>
    <row r="849" customFormat="false" ht="15" hidden="false" customHeight="false" outlineLevel="0" collapsed="false">
      <c r="A849" s="23"/>
      <c r="B849" s="24"/>
      <c r="C849" s="24"/>
      <c r="D849" s="24"/>
      <c r="E849" s="24"/>
      <c r="F849" s="25" t="str">
        <f aca="false">IF($B849="","",IFERROR(IF(INDEX(명단!$B$5:$B$404,MATCH($B849,명단!$A$5:$A$404,0))="","(이름 미입력)",INDEX(명단!$B$5:$B$404,MATCH($B849,명단!$A$5:$A$404,0))),"번호 없음"))</f>
        <v/>
      </c>
    </row>
    <row r="850" customFormat="false" ht="15" hidden="false" customHeight="false" outlineLevel="0" collapsed="false">
      <c r="A850" s="23"/>
      <c r="B850" s="24"/>
      <c r="C850" s="24"/>
      <c r="D850" s="24"/>
      <c r="E850" s="24"/>
      <c r="F850" s="25" t="str">
        <f aca="false">IF($B850="","",IFERROR(IF(INDEX(명단!$B$5:$B$404,MATCH($B850,명단!$A$5:$A$404,0))="","(이름 미입력)",INDEX(명단!$B$5:$B$404,MATCH($B850,명단!$A$5:$A$404,0))),"번호 없음"))</f>
        <v/>
      </c>
    </row>
    <row r="851" customFormat="false" ht="15" hidden="false" customHeight="false" outlineLevel="0" collapsed="false">
      <c r="A851" s="23"/>
      <c r="B851" s="24"/>
      <c r="C851" s="24"/>
      <c r="D851" s="24"/>
      <c r="E851" s="24"/>
      <c r="F851" s="25" t="str">
        <f aca="false">IF($B851="","",IFERROR(IF(INDEX(명단!$B$5:$B$404,MATCH($B851,명단!$A$5:$A$404,0))="","(이름 미입력)",INDEX(명단!$B$5:$B$404,MATCH($B851,명단!$A$5:$A$404,0))),"번호 없음"))</f>
        <v/>
      </c>
    </row>
    <row r="852" customFormat="false" ht="15" hidden="false" customHeight="false" outlineLevel="0" collapsed="false">
      <c r="A852" s="23"/>
      <c r="B852" s="24"/>
      <c r="C852" s="24"/>
      <c r="D852" s="24"/>
      <c r="E852" s="24"/>
      <c r="F852" s="25" t="str">
        <f aca="false">IF($B852="","",IFERROR(IF(INDEX(명단!$B$5:$B$404,MATCH($B852,명단!$A$5:$A$404,0))="","(이름 미입력)",INDEX(명단!$B$5:$B$404,MATCH($B852,명단!$A$5:$A$404,0))),"번호 없음"))</f>
        <v/>
      </c>
    </row>
    <row r="853" customFormat="false" ht="15" hidden="false" customHeight="false" outlineLevel="0" collapsed="false">
      <c r="A853" s="23"/>
      <c r="B853" s="24"/>
      <c r="C853" s="24"/>
      <c r="D853" s="24"/>
      <c r="E853" s="24"/>
      <c r="F853" s="25" t="str">
        <f aca="false">IF($B853="","",IFERROR(IF(INDEX(명단!$B$5:$B$404,MATCH($B853,명단!$A$5:$A$404,0))="","(이름 미입력)",INDEX(명단!$B$5:$B$404,MATCH($B853,명단!$A$5:$A$404,0))),"번호 없음"))</f>
        <v/>
      </c>
    </row>
    <row r="854" customFormat="false" ht="15" hidden="false" customHeight="false" outlineLevel="0" collapsed="false">
      <c r="A854" s="23"/>
      <c r="B854" s="24"/>
      <c r="C854" s="24"/>
      <c r="D854" s="24"/>
      <c r="E854" s="24"/>
      <c r="F854" s="25" t="str">
        <f aca="false">IF($B854="","",IFERROR(IF(INDEX(명단!$B$5:$B$404,MATCH($B854,명단!$A$5:$A$404,0))="","(이름 미입력)",INDEX(명단!$B$5:$B$404,MATCH($B854,명단!$A$5:$A$404,0))),"번호 없음"))</f>
        <v/>
      </c>
    </row>
    <row r="855" customFormat="false" ht="15" hidden="false" customHeight="false" outlineLevel="0" collapsed="false">
      <c r="A855" s="23"/>
      <c r="B855" s="24"/>
      <c r="C855" s="24"/>
      <c r="D855" s="24"/>
      <c r="E855" s="24"/>
      <c r="F855" s="25" t="str">
        <f aca="false">IF($B855="","",IFERROR(IF(INDEX(명단!$B$5:$B$404,MATCH($B855,명단!$A$5:$A$404,0))="","(이름 미입력)",INDEX(명단!$B$5:$B$404,MATCH($B855,명단!$A$5:$A$404,0))),"번호 없음"))</f>
        <v/>
      </c>
    </row>
    <row r="856" customFormat="false" ht="15" hidden="false" customHeight="false" outlineLevel="0" collapsed="false">
      <c r="A856" s="23"/>
      <c r="B856" s="24"/>
      <c r="C856" s="24"/>
      <c r="D856" s="24"/>
      <c r="E856" s="24"/>
      <c r="F856" s="25" t="str">
        <f aca="false">IF($B856="","",IFERROR(IF(INDEX(명단!$B$5:$B$404,MATCH($B856,명단!$A$5:$A$404,0))="","(이름 미입력)",INDEX(명단!$B$5:$B$404,MATCH($B856,명단!$A$5:$A$404,0))),"번호 없음"))</f>
        <v/>
      </c>
    </row>
    <row r="857" customFormat="false" ht="15" hidden="false" customHeight="false" outlineLevel="0" collapsed="false">
      <c r="A857" s="23"/>
      <c r="B857" s="24"/>
      <c r="C857" s="24"/>
      <c r="D857" s="24"/>
      <c r="E857" s="24"/>
      <c r="F857" s="25" t="str">
        <f aca="false">IF($B857="","",IFERROR(IF(INDEX(명단!$B$5:$B$404,MATCH($B857,명단!$A$5:$A$404,0))="","(이름 미입력)",INDEX(명단!$B$5:$B$404,MATCH($B857,명단!$A$5:$A$404,0))),"번호 없음"))</f>
        <v/>
      </c>
    </row>
    <row r="858" customFormat="false" ht="15" hidden="false" customHeight="false" outlineLevel="0" collapsed="false">
      <c r="A858" s="23"/>
      <c r="B858" s="24"/>
      <c r="C858" s="24"/>
      <c r="D858" s="24"/>
      <c r="E858" s="24"/>
      <c r="F858" s="25" t="str">
        <f aca="false">IF($B858="","",IFERROR(IF(INDEX(명단!$B$5:$B$404,MATCH($B858,명단!$A$5:$A$404,0))="","(이름 미입력)",INDEX(명단!$B$5:$B$404,MATCH($B858,명단!$A$5:$A$404,0))),"번호 없음"))</f>
        <v/>
      </c>
    </row>
    <row r="859" customFormat="false" ht="15" hidden="false" customHeight="false" outlineLevel="0" collapsed="false">
      <c r="A859" s="23"/>
      <c r="B859" s="24"/>
      <c r="C859" s="24"/>
      <c r="D859" s="24"/>
      <c r="E859" s="24"/>
      <c r="F859" s="25" t="str">
        <f aca="false">IF($B859="","",IFERROR(IF(INDEX(명단!$B$5:$B$404,MATCH($B859,명단!$A$5:$A$404,0))="","(이름 미입력)",INDEX(명단!$B$5:$B$404,MATCH($B859,명단!$A$5:$A$404,0))),"번호 없음"))</f>
        <v/>
      </c>
    </row>
    <row r="860" customFormat="false" ht="15" hidden="false" customHeight="false" outlineLevel="0" collapsed="false">
      <c r="A860" s="23"/>
      <c r="B860" s="24"/>
      <c r="C860" s="24"/>
      <c r="D860" s="24"/>
      <c r="E860" s="24"/>
      <c r="F860" s="25" t="str">
        <f aca="false">IF($B860="","",IFERROR(IF(INDEX(명단!$B$5:$B$404,MATCH($B860,명단!$A$5:$A$404,0))="","(이름 미입력)",INDEX(명단!$B$5:$B$404,MATCH($B860,명단!$A$5:$A$404,0))),"번호 없음"))</f>
        <v/>
      </c>
    </row>
    <row r="861" customFormat="false" ht="15" hidden="false" customHeight="false" outlineLevel="0" collapsed="false">
      <c r="A861" s="23"/>
      <c r="B861" s="24"/>
      <c r="C861" s="24"/>
      <c r="D861" s="24"/>
      <c r="E861" s="24"/>
      <c r="F861" s="25" t="str">
        <f aca="false">IF($B861="","",IFERROR(IF(INDEX(명단!$B$5:$B$404,MATCH($B861,명단!$A$5:$A$404,0))="","(이름 미입력)",INDEX(명단!$B$5:$B$404,MATCH($B861,명단!$A$5:$A$404,0))),"번호 없음"))</f>
        <v/>
      </c>
    </row>
    <row r="862" customFormat="false" ht="15" hidden="false" customHeight="false" outlineLevel="0" collapsed="false">
      <c r="A862" s="23"/>
      <c r="B862" s="24"/>
      <c r="C862" s="24"/>
      <c r="D862" s="24"/>
      <c r="E862" s="24"/>
      <c r="F862" s="25" t="str">
        <f aca="false">IF($B862="","",IFERROR(IF(INDEX(명단!$B$5:$B$404,MATCH($B862,명단!$A$5:$A$404,0))="","(이름 미입력)",INDEX(명단!$B$5:$B$404,MATCH($B862,명단!$A$5:$A$404,0))),"번호 없음"))</f>
        <v/>
      </c>
    </row>
    <row r="863" customFormat="false" ht="15" hidden="false" customHeight="false" outlineLevel="0" collapsed="false">
      <c r="A863" s="23"/>
      <c r="B863" s="24"/>
      <c r="C863" s="24"/>
      <c r="D863" s="24"/>
      <c r="E863" s="24"/>
      <c r="F863" s="25" t="str">
        <f aca="false">IF($B863="","",IFERROR(IF(INDEX(명단!$B$5:$B$404,MATCH($B863,명단!$A$5:$A$404,0))="","(이름 미입력)",INDEX(명단!$B$5:$B$404,MATCH($B863,명단!$A$5:$A$404,0))),"번호 없음"))</f>
        <v/>
      </c>
    </row>
    <row r="864" customFormat="false" ht="15" hidden="false" customHeight="false" outlineLevel="0" collapsed="false">
      <c r="A864" s="23"/>
      <c r="B864" s="24"/>
      <c r="C864" s="24"/>
      <c r="D864" s="24"/>
      <c r="E864" s="24"/>
      <c r="F864" s="25" t="str">
        <f aca="false">IF($B864="","",IFERROR(IF(INDEX(명단!$B$5:$B$404,MATCH($B864,명단!$A$5:$A$404,0))="","(이름 미입력)",INDEX(명단!$B$5:$B$404,MATCH($B864,명단!$A$5:$A$404,0))),"번호 없음"))</f>
        <v/>
      </c>
    </row>
    <row r="865" customFormat="false" ht="15" hidden="false" customHeight="false" outlineLevel="0" collapsed="false">
      <c r="A865" s="23"/>
      <c r="B865" s="24"/>
      <c r="C865" s="24"/>
      <c r="D865" s="24"/>
      <c r="E865" s="24"/>
      <c r="F865" s="25" t="str">
        <f aca="false">IF($B865="","",IFERROR(IF(INDEX(명단!$B$5:$B$404,MATCH($B865,명단!$A$5:$A$404,0))="","(이름 미입력)",INDEX(명단!$B$5:$B$404,MATCH($B865,명단!$A$5:$A$404,0))),"번호 없음"))</f>
        <v/>
      </c>
    </row>
    <row r="866" customFormat="false" ht="15" hidden="false" customHeight="false" outlineLevel="0" collapsed="false">
      <c r="A866" s="23"/>
      <c r="B866" s="24"/>
      <c r="C866" s="24"/>
      <c r="D866" s="24"/>
      <c r="E866" s="24"/>
      <c r="F866" s="25" t="str">
        <f aca="false">IF($B866="","",IFERROR(IF(INDEX(명단!$B$5:$B$404,MATCH($B866,명단!$A$5:$A$404,0))="","(이름 미입력)",INDEX(명단!$B$5:$B$404,MATCH($B866,명단!$A$5:$A$404,0))),"번호 없음"))</f>
        <v/>
      </c>
    </row>
    <row r="867" customFormat="false" ht="15" hidden="false" customHeight="false" outlineLevel="0" collapsed="false">
      <c r="A867" s="23"/>
      <c r="B867" s="24"/>
      <c r="C867" s="24"/>
      <c r="D867" s="24"/>
      <c r="E867" s="24"/>
      <c r="F867" s="25" t="str">
        <f aca="false">IF($B867="","",IFERROR(IF(INDEX(명단!$B$5:$B$404,MATCH($B867,명단!$A$5:$A$404,0))="","(이름 미입력)",INDEX(명단!$B$5:$B$404,MATCH($B867,명단!$A$5:$A$404,0))),"번호 없음"))</f>
        <v/>
      </c>
    </row>
    <row r="868" customFormat="false" ht="15" hidden="false" customHeight="false" outlineLevel="0" collapsed="false">
      <c r="A868" s="23"/>
      <c r="B868" s="24"/>
      <c r="C868" s="24"/>
      <c r="D868" s="24"/>
      <c r="E868" s="24"/>
      <c r="F868" s="25" t="str">
        <f aca="false">IF($B868="","",IFERROR(IF(INDEX(명단!$B$5:$B$404,MATCH($B868,명단!$A$5:$A$404,0))="","(이름 미입력)",INDEX(명단!$B$5:$B$404,MATCH($B868,명단!$A$5:$A$404,0))),"번호 없음"))</f>
        <v/>
      </c>
    </row>
    <row r="869" customFormat="false" ht="15" hidden="false" customHeight="false" outlineLevel="0" collapsed="false">
      <c r="A869" s="23"/>
      <c r="B869" s="24"/>
      <c r="C869" s="24"/>
      <c r="D869" s="24"/>
      <c r="E869" s="24"/>
      <c r="F869" s="25" t="str">
        <f aca="false">IF($B869="","",IFERROR(IF(INDEX(명단!$B$5:$B$404,MATCH($B869,명단!$A$5:$A$404,0))="","(이름 미입력)",INDEX(명단!$B$5:$B$404,MATCH($B869,명단!$A$5:$A$404,0))),"번호 없음"))</f>
        <v/>
      </c>
    </row>
    <row r="870" customFormat="false" ht="15" hidden="false" customHeight="false" outlineLevel="0" collapsed="false">
      <c r="A870" s="23"/>
      <c r="B870" s="24"/>
      <c r="C870" s="24"/>
      <c r="D870" s="24"/>
      <c r="E870" s="24"/>
      <c r="F870" s="25" t="str">
        <f aca="false">IF($B870="","",IFERROR(IF(INDEX(명단!$B$5:$B$404,MATCH($B870,명단!$A$5:$A$404,0))="","(이름 미입력)",INDEX(명단!$B$5:$B$404,MATCH($B870,명단!$A$5:$A$404,0))),"번호 없음"))</f>
        <v/>
      </c>
    </row>
    <row r="871" customFormat="false" ht="15" hidden="false" customHeight="false" outlineLevel="0" collapsed="false">
      <c r="A871" s="23"/>
      <c r="B871" s="24"/>
      <c r="C871" s="24"/>
      <c r="D871" s="24"/>
      <c r="E871" s="24"/>
      <c r="F871" s="25" t="str">
        <f aca="false">IF($B871="","",IFERROR(IF(INDEX(명단!$B$5:$B$404,MATCH($B871,명단!$A$5:$A$404,0))="","(이름 미입력)",INDEX(명단!$B$5:$B$404,MATCH($B871,명단!$A$5:$A$404,0))),"번호 없음"))</f>
        <v/>
      </c>
    </row>
    <row r="872" customFormat="false" ht="15" hidden="false" customHeight="false" outlineLevel="0" collapsed="false">
      <c r="A872" s="23"/>
      <c r="B872" s="24"/>
      <c r="C872" s="24"/>
      <c r="D872" s="24"/>
      <c r="E872" s="24"/>
      <c r="F872" s="25" t="str">
        <f aca="false">IF($B872="","",IFERROR(IF(INDEX(명단!$B$5:$B$404,MATCH($B872,명단!$A$5:$A$404,0))="","(이름 미입력)",INDEX(명단!$B$5:$B$404,MATCH($B872,명단!$A$5:$A$404,0))),"번호 없음"))</f>
        <v/>
      </c>
    </row>
    <row r="873" customFormat="false" ht="15" hidden="false" customHeight="false" outlineLevel="0" collapsed="false">
      <c r="A873" s="23"/>
      <c r="B873" s="24"/>
      <c r="C873" s="24"/>
      <c r="D873" s="24"/>
      <c r="E873" s="24"/>
      <c r="F873" s="25" t="str">
        <f aca="false">IF($B873="","",IFERROR(IF(INDEX(명단!$B$5:$B$404,MATCH($B873,명단!$A$5:$A$404,0))="","(이름 미입력)",INDEX(명단!$B$5:$B$404,MATCH($B873,명단!$A$5:$A$404,0))),"번호 없음"))</f>
        <v/>
      </c>
    </row>
    <row r="874" customFormat="false" ht="15" hidden="false" customHeight="false" outlineLevel="0" collapsed="false">
      <c r="A874" s="23"/>
      <c r="B874" s="24"/>
      <c r="C874" s="24"/>
      <c r="D874" s="24"/>
      <c r="E874" s="24"/>
      <c r="F874" s="25" t="str">
        <f aca="false">IF($B874="","",IFERROR(IF(INDEX(명단!$B$5:$B$404,MATCH($B874,명단!$A$5:$A$404,0))="","(이름 미입력)",INDEX(명단!$B$5:$B$404,MATCH($B874,명단!$A$5:$A$404,0))),"번호 없음"))</f>
        <v/>
      </c>
    </row>
    <row r="875" customFormat="false" ht="15" hidden="false" customHeight="false" outlineLevel="0" collapsed="false">
      <c r="A875" s="23"/>
      <c r="B875" s="24"/>
      <c r="C875" s="24"/>
      <c r="D875" s="24"/>
      <c r="E875" s="24"/>
      <c r="F875" s="25" t="str">
        <f aca="false">IF($B875="","",IFERROR(IF(INDEX(명단!$B$5:$B$404,MATCH($B875,명단!$A$5:$A$404,0))="","(이름 미입력)",INDEX(명단!$B$5:$B$404,MATCH($B875,명단!$A$5:$A$404,0))),"번호 없음"))</f>
        <v/>
      </c>
    </row>
    <row r="876" customFormat="false" ht="15" hidden="false" customHeight="false" outlineLevel="0" collapsed="false">
      <c r="A876" s="23"/>
      <c r="B876" s="24"/>
      <c r="C876" s="24"/>
      <c r="D876" s="24"/>
      <c r="E876" s="24"/>
      <c r="F876" s="25" t="str">
        <f aca="false">IF($B876="","",IFERROR(IF(INDEX(명단!$B$5:$B$404,MATCH($B876,명단!$A$5:$A$404,0))="","(이름 미입력)",INDEX(명단!$B$5:$B$404,MATCH($B876,명단!$A$5:$A$404,0))),"번호 없음"))</f>
        <v/>
      </c>
    </row>
    <row r="877" customFormat="false" ht="15" hidden="false" customHeight="false" outlineLevel="0" collapsed="false">
      <c r="A877" s="23"/>
      <c r="B877" s="24"/>
      <c r="C877" s="24"/>
      <c r="D877" s="24"/>
      <c r="E877" s="24"/>
      <c r="F877" s="25" t="str">
        <f aca="false">IF($B877="","",IFERROR(IF(INDEX(명단!$B$5:$B$404,MATCH($B877,명단!$A$5:$A$404,0))="","(이름 미입력)",INDEX(명단!$B$5:$B$404,MATCH($B877,명단!$A$5:$A$404,0))),"번호 없음"))</f>
        <v/>
      </c>
    </row>
    <row r="878" customFormat="false" ht="15" hidden="false" customHeight="false" outlineLevel="0" collapsed="false">
      <c r="A878" s="23"/>
      <c r="B878" s="24"/>
      <c r="C878" s="24"/>
      <c r="D878" s="24"/>
      <c r="E878" s="24"/>
      <c r="F878" s="25" t="str">
        <f aca="false">IF($B878="","",IFERROR(IF(INDEX(명단!$B$5:$B$404,MATCH($B878,명단!$A$5:$A$404,0))="","(이름 미입력)",INDEX(명단!$B$5:$B$404,MATCH($B878,명단!$A$5:$A$404,0))),"번호 없음"))</f>
        <v/>
      </c>
    </row>
    <row r="879" customFormat="false" ht="15" hidden="false" customHeight="false" outlineLevel="0" collapsed="false">
      <c r="A879" s="23"/>
      <c r="B879" s="24"/>
      <c r="C879" s="24"/>
      <c r="D879" s="24"/>
      <c r="E879" s="24"/>
      <c r="F879" s="25" t="str">
        <f aca="false">IF($B879="","",IFERROR(IF(INDEX(명단!$B$5:$B$404,MATCH($B879,명단!$A$5:$A$404,0))="","(이름 미입력)",INDEX(명단!$B$5:$B$404,MATCH($B879,명단!$A$5:$A$404,0))),"번호 없음"))</f>
        <v/>
      </c>
    </row>
    <row r="880" customFormat="false" ht="15" hidden="false" customHeight="false" outlineLevel="0" collapsed="false">
      <c r="A880" s="23"/>
      <c r="B880" s="24"/>
      <c r="C880" s="24"/>
      <c r="D880" s="24"/>
      <c r="E880" s="24"/>
      <c r="F880" s="25" t="str">
        <f aca="false">IF($B880="","",IFERROR(IF(INDEX(명단!$B$5:$B$404,MATCH($B880,명단!$A$5:$A$404,0))="","(이름 미입력)",INDEX(명단!$B$5:$B$404,MATCH($B880,명단!$A$5:$A$404,0))),"번호 없음"))</f>
        <v/>
      </c>
    </row>
    <row r="881" customFormat="false" ht="15" hidden="false" customHeight="false" outlineLevel="0" collapsed="false">
      <c r="A881" s="23"/>
      <c r="B881" s="24"/>
      <c r="C881" s="24"/>
      <c r="D881" s="24"/>
      <c r="E881" s="24"/>
      <c r="F881" s="25" t="str">
        <f aca="false">IF($B881="","",IFERROR(IF(INDEX(명단!$B$5:$B$404,MATCH($B881,명단!$A$5:$A$404,0))="","(이름 미입력)",INDEX(명단!$B$5:$B$404,MATCH($B881,명단!$A$5:$A$404,0))),"번호 없음"))</f>
        <v/>
      </c>
    </row>
    <row r="882" customFormat="false" ht="15" hidden="false" customHeight="false" outlineLevel="0" collapsed="false">
      <c r="A882" s="23"/>
      <c r="B882" s="24"/>
      <c r="C882" s="24"/>
      <c r="D882" s="24"/>
      <c r="E882" s="24"/>
      <c r="F882" s="25" t="str">
        <f aca="false">IF($B882="","",IFERROR(IF(INDEX(명단!$B$5:$B$404,MATCH($B882,명단!$A$5:$A$404,0))="","(이름 미입력)",INDEX(명단!$B$5:$B$404,MATCH($B882,명단!$A$5:$A$404,0))),"번호 없음"))</f>
        <v/>
      </c>
    </row>
    <row r="883" customFormat="false" ht="15" hidden="false" customHeight="false" outlineLevel="0" collapsed="false">
      <c r="A883" s="23"/>
      <c r="B883" s="24"/>
      <c r="C883" s="24"/>
      <c r="D883" s="24"/>
      <c r="E883" s="24"/>
      <c r="F883" s="25" t="str">
        <f aca="false">IF($B883="","",IFERROR(IF(INDEX(명단!$B$5:$B$404,MATCH($B883,명단!$A$5:$A$404,0))="","(이름 미입력)",INDEX(명단!$B$5:$B$404,MATCH($B883,명단!$A$5:$A$404,0))),"번호 없음"))</f>
        <v/>
      </c>
    </row>
    <row r="884" customFormat="false" ht="15" hidden="false" customHeight="false" outlineLevel="0" collapsed="false">
      <c r="A884" s="23"/>
      <c r="B884" s="24"/>
      <c r="C884" s="24"/>
      <c r="D884" s="24"/>
      <c r="E884" s="24"/>
      <c r="F884" s="25" t="str">
        <f aca="false">IF($B884="","",IFERROR(IF(INDEX(명단!$B$5:$B$404,MATCH($B884,명단!$A$5:$A$404,0))="","(이름 미입력)",INDEX(명단!$B$5:$B$404,MATCH($B884,명단!$A$5:$A$404,0))),"번호 없음"))</f>
        <v/>
      </c>
    </row>
    <row r="885" customFormat="false" ht="15" hidden="false" customHeight="false" outlineLevel="0" collapsed="false">
      <c r="A885" s="23"/>
      <c r="B885" s="24"/>
      <c r="C885" s="24"/>
      <c r="D885" s="24"/>
      <c r="E885" s="24"/>
      <c r="F885" s="25" t="str">
        <f aca="false">IF($B885="","",IFERROR(IF(INDEX(명단!$B$5:$B$404,MATCH($B885,명단!$A$5:$A$404,0))="","(이름 미입력)",INDEX(명단!$B$5:$B$404,MATCH($B885,명단!$A$5:$A$404,0))),"번호 없음"))</f>
        <v/>
      </c>
    </row>
    <row r="886" customFormat="false" ht="15" hidden="false" customHeight="false" outlineLevel="0" collapsed="false">
      <c r="A886" s="23"/>
      <c r="B886" s="24"/>
      <c r="C886" s="24"/>
      <c r="D886" s="24"/>
      <c r="E886" s="24"/>
      <c r="F886" s="25" t="str">
        <f aca="false">IF($B886="","",IFERROR(IF(INDEX(명단!$B$5:$B$404,MATCH($B886,명단!$A$5:$A$404,0))="","(이름 미입력)",INDEX(명단!$B$5:$B$404,MATCH($B886,명단!$A$5:$A$404,0))),"번호 없음"))</f>
        <v/>
      </c>
    </row>
    <row r="887" customFormat="false" ht="15" hidden="false" customHeight="false" outlineLevel="0" collapsed="false">
      <c r="A887" s="23"/>
      <c r="B887" s="24"/>
      <c r="C887" s="24"/>
      <c r="D887" s="24"/>
      <c r="E887" s="24"/>
      <c r="F887" s="25" t="str">
        <f aca="false">IF($B887="","",IFERROR(IF(INDEX(명단!$B$5:$B$404,MATCH($B887,명단!$A$5:$A$404,0))="","(이름 미입력)",INDEX(명단!$B$5:$B$404,MATCH($B887,명단!$A$5:$A$404,0))),"번호 없음"))</f>
        <v/>
      </c>
    </row>
    <row r="888" customFormat="false" ht="15" hidden="false" customHeight="false" outlineLevel="0" collapsed="false">
      <c r="A888" s="23"/>
      <c r="B888" s="24"/>
      <c r="C888" s="24"/>
      <c r="D888" s="24"/>
      <c r="E888" s="24"/>
      <c r="F888" s="25" t="str">
        <f aca="false">IF($B888="","",IFERROR(IF(INDEX(명단!$B$5:$B$404,MATCH($B888,명단!$A$5:$A$404,0))="","(이름 미입력)",INDEX(명단!$B$5:$B$404,MATCH($B888,명단!$A$5:$A$404,0))),"번호 없음"))</f>
        <v/>
      </c>
    </row>
    <row r="889" customFormat="false" ht="15" hidden="false" customHeight="false" outlineLevel="0" collapsed="false">
      <c r="A889" s="23"/>
      <c r="B889" s="24"/>
      <c r="C889" s="24"/>
      <c r="D889" s="24"/>
      <c r="E889" s="24"/>
      <c r="F889" s="25" t="str">
        <f aca="false">IF($B889="","",IFERROR(IF(INDEX(명단!$B$5:$B$404,MATCH($B889,명단!$A$5:$A$404,0))="","(이름 미입력)",INDEX(명단!$B$5:$B$404,MATCH($B889,명단!$A$5:$A$404,0))),"번호 없음"))</f>
        <v/>
      </c>
    </row>
    <row r="890" customFormat="false" ht="15" hidden="false" customHeight="false" outlineLevel="0" collapsed="false">
      <c r="A890" s="23"/>
      <c r="B890" s="24"/>
      <c r="C890" s="24"/>
      <c r="D890" s="24"/>
      <c r="E890" s="24"/>
      <c r="F890" s="25" t="str">
        <f aca="false">IF($B890="","",IFERROR(IF(INDEX(명단!$B$5:$B$404,MATCH($B890,명단!$A$5:$A$404,0))="","(이름 미입력)",INDEX(명단!$B$5:$B$404,MATCH($B890,명단!$A$5:$A$404,0))),"번호 없음"))</f>
        <v/>
      </c>
    </row>
    <row r="891" customFormat="false" ht="15" hidden="false" customHeight="false" outlineLevel="0" collapsed="false">
      <c r="A891" s="23"/>
      <c r="B891" s="24"/>
      <c r="C891" s="24"/>
      <c r="D891" s="24"/>
      <c r="E891" s="24"/>
      <c r="F891" s="25" t="str">
        <f aca="false">IF($B891="","",IFERROR(IF(INDEX(명단!$B$5:$B$404,MATCH($B891,명단!$A$5:$A$404,0))="","(이름 미입력)",INDEX(명단!$B$5:$B$404,MATCH($B891,명단!$A$5:$A$404,0))),"번호 없음"))</f>
        <v/>
      </c>
    </row>
    <row r="892" customFormat="false" ht="15" hidden="false" customHeight="false" outlineLevel="0" collapsed="false">
      <c r="A892" s="23"/>
      <c r="B892" s="24"/>
      <c r="C892" s="24"/>
      <c r="D892" s="24"/>
      <c r="E892" s="24"/>
      <c r="F892" s="25" t="str">
        <f aca="false">IF($B892="","",IFERROR(IF(INDEX(명단!$B$5:$B$404,MATCH($B892,명단!$A$5:$A$404,0))="","(이름 미입력)",INDEX(명단!$B$5:$B$404,MATCH($B892,명단!$A$5:$A$404,0))),"번호 없음"))</f>
        <v/>
      </c>
    </row>
    <row r="893" customFormat="false" ht="15" hidden="false" customHeight="false" outlineLevel="0" collapsed="false">
      <c r="A893" s="23"/>
      <c r="B893" s="24"/>
      <c r="C893" s="24"/>
      <c r="D893" s="24"/>
      <c r="E893" s="24"/>
      <c r="F893" s="25" t="str">
        <f aca="false">IF($B893="","",IFERROR(IF(INDEX(명단!$B$5:$B$404,MATCH($B893,명단!$A$5:$A$404,0))="","(이름 미입력)",INDEX(명단!$B$5:$B$404,MATCH($B893,명단!$A$5:$A$404,0))),"번호 없음"))</f>
        <v/>
      </c>
    </row>
    <row r="894" customFormat="false" ht="15" hidden="false" customHeight="false" outlineLevel="0" collapsed="false">
      <c r="A894" s="23"/>
      <c r="B894" s="24"/>
      <c r="C894" s="24"/>
      <c r="D894" s="24"/>
      <c r="E894" s="24"/>
      <c r="F894" s="25" t="str">
        <f aca="false">IF($B894="","",IFERROR(IF(INDEX(명단!$B$5:$B$404,MATCH($B894,명단!$A$5:$A$404,0))="","(이름 미입력)",INDEX(명단!$B$5:$B$404,MATCH($B894,명단!$A$5:$A$404,0))),"번호 없음"))</f>
        <v/>
      </c>
    </row>
    <row r="895" customFormat="false" ht="15" hidden="false" customHeight="false" outlineLevel="0" collapsed="false">
      <c r="A895" s="23"/>
      <c r="B895" s="24"/>
      <c r="C895" s="24"/>
      <c r="D895" s="24"/>
      <c r="E895" s="24"/>
      <c r="F895" s="25" t="str">
        <f aca="false">IF($B895="","",IFERROR(IF(INDEX(명단!$B$5:$B$404,MATCH($B895,명단!$A$5:$A$404,0))="","(이름 미입력)",INDEX(명단!$B$5:$B$404,MATCH($B895,명단!$A$5:$A$404,0))),"번호 없음"))</f>
        <v/>
      </c>
    </row>
    <row r="896" customFormat="false" ht="15" hidden="false" customHeight="false" outlineLevel="0" collapsed="false">
      <c r="A896" s="23"/>
      <c r="B896" s="24"/>
      <c r="C896" s="24"/>
      <c r="D896" s="24"/>
      <c r="E896" s="24"/>
      <c r="F896" s="25" t="str">
        <f aca="false">IF($B896="","",IFERROR(IF(INDEX(명단!$B$5:$B$404,MATCH($B896,명단!$A$5:$A$404,0))="","(이름 미입력)",INDEX(명단!$B$5:$B$404,MATCH($B896,명단!$A$5:$A$404,0))),"번호 없음"))</f>
        <v/>
      </c>
    </row>
    <row r="897" customFormat="false" ht="15" hidden="false" customHeight="false" outlineLevel="0" collapsed="false">
      <c r="A897" s="23"/>
      <c r="B897" s="24"/>
      <c r="C897" s="24"/>
      <c r="D897" s="24"/>
      <c r="E897" s="24"/>
      <c r="F897" s="25" t="str">
        <f aca="false">IF($B897="","",IFERROR(IF(INDEX(명단!$B$5:$B$404,MATCH($B897,명단!$A$5:$A$404,0))="","(이름 미입력)",INDEX(명단!$B$5:$B$404,MATCH($B897,명단!$A$5:$A$404,0))),"번호 없음"))</f>
        <v/>
      </c>
    </row>
    <row r="898" customFormat="false" ht="15" hidden="false" customHeight="false" outlineLevel="0" collapsed="false">
      <c r="A898" s="23"/>
      <c r="B898" s="24"/>
      <c r="C898" s="24"/>
      <c r="D898" s="24"/>
      <c r="E898" s="24"/>
      <c r="F898" s="25" t="str">
        <f aca="false">IF($B898="","",IFERROR(IF(INDEX(명단!$B$5:$B$404,MATCH($B898,명단!$A$5:$A$404,0))="","(이름 미입력)",INDEX(명단!$B$5:$B$404,MATCH($B898,명단!$A$5:$A$404,0))),"번호 없음"))</f>
        <v/>
      </c>
    </row>
    <row r="899" customFormat="false" ht="15" hidden="false" customHeight="false" outlineLevel="0" collapsed="false">
      <c r="A899" s="23"/>
      <c r="B899" s="24"/>
      <c r="C899" s="24"/>
      <c r="D899" s="24"/>
      <c r="E899" s="24"/>
      <c r="F899" s="25" t="str">
        <f aca="false">IF($B899="","",IFERROR(IF(INDEX(명단!$B$5:$B$404,MATCH($B899,명단!$A$5:$A$404,0))="","(이름 미입력)",INDEX(명단!$B$5:$B$404,MATCH($B899,명단!$A$5:$A$404,0))),"번호 없음"))</f>
        <v/>
      </c>
    </row>
    <row r="900" customFormat="false" ht="15" hidden="false" customHeight="false" outlineLevel="0" collapsed="false">
      <c r="A900" s="23"/>
      <c r="B900" s="24"/>
      <c r="C900" s="24"/>
      <c r="D900" s="24"/>
      <c r="E900" s="24"/>
      <c r="F900" s="25" t="str">
        <f aca="false">IF($B900="","",IFERROR(IF(INDEX(명단!$B$5:$B$404,MATCH($B900,명단!$A$5:$A$404,0))="","(이름 미입력)",INDEX(명단!$B$5:$B$404,MATCH($B900,명단!$A$5:$A$404,0))),"번호 없음"))</f>
        <v/>
      </c>
    </row>
    <row r="901" customFormat="false" ht="15" hidden="false" customHeight="false" outlineLevel="0" collapsed="false">
      <c r="A901" s="23"/>
      <c r="B901" s="24"/>
      <c r="C901" s="24"/>
      <c r="D901" s="24"/>
      <c r="E901" s="24"/>
      <c r="F901" s="25" t="str">
        <f aca="false">IF($B901="","",IFERROR(IF(INDEX(명단!$B$5:$B$404,MATCH($B901,명단!$A$5:$A$404,0))="","(이름 미입력)",INDEX(명단!$B$5:$B$404,MATCH($B901,명단!$A$5:$A$404,0))),"번호 없음"))</f>
        <v/>
      </c>
    </row>
    <row r="902" customFormat="false" ht="15" hidden="false" customHeight="false" outlineLevel="0" collapsed="false">
      <c r="A902" s="23"/>
      <c r="B902" s="24"/>
      <c r="C902" s="24"/>
      <c r="D902" s="24"/>
      <c r="E902" s="24"/>
      <c r="F902" s="25" t="str">
        <f aca="false">IF($B902="","",IFERROR(IF(INDEX(명단!$B$5:$B$404,MATCH($B902,명단!$A$5:$A$404,0))="","(이름 미입력)",INDEX(명단!$B$5:$B$404,MATCH($B902,명단!$A$5:$A$404,0))),"번호 없음"))</f>
        <v/>
      </c>
    </row>
    <row r="903" customFormat="false" ht="15" hidden="false" customHeight="false" outlineLevel="0" collapsed="false">
      <c r="A903" s="23"/>
      <c r="B903" s="24"/>
      <c r="C903" s="24"/>
      <c r="D903" s="24"/>
      <c r="E903" s="24"/>
      <c r="F903" s="25" t="str">
        <f aca="false">IF($B903="","",IFERROR(IF(INDEX(명단!$B$5:$B$404,MATCH($B903,명단!$A$5:$A$404,0))="","(이름 미입력)",INDEX(명단!$B$5:$B$404,MATCH($B903,명단!$A$5:$A$404,0))),"번호 없음"))</f>
        <v/>
      </c>
    </row>
    <row r="904" customFormat="false" ht="15" hidden="false" customHeight="false" outlineLevel="0" collapsed="false">
      <c r="A904" s="23"/>
      <c r="B904" s="24"/>
      <c r="C904" s="24"/>
      <c r="D904" s="24"/>
      <c r="E904" s="24"/>
      <c r="F904" s="25" t="str">
        <f aca="false">IF($B904="","",IFERROR(IF(INDEX(명단!$B$5:$B$404,MATCH($B904,명단!$A$5:$A$404,0))="","(이름 미입력)",INDEX(명단!$B$5:$B$404,MATCH($B904,명단!$A$5:$A$404,0))),"번호 없음"))</f>
        <v/>
      </c>
    </row>
    <row r="905" customFormat="false" ht="15" hidden="false" customHeight="false" outlineLevel="0" collapsed="false">
      <c r="A905" s="23"/>
      <c r="B905" s="24"/>
      <c r="C905" s="24"/>
      <c r="D905" s="24"/>
      <c r="E905" s="24"/>
      <c r="F905" s="25" t="str">
        <f aca="false">IF($B905="","",IFERROR(IF(INDEX(명단!$B$5:$B$404,MATCH($B905,명단!$A$5:$A$404,0))="","(이름 미입력)",INDEX(명단!$B$5:$B$404,MATCH($B905,명단!$A$5:$A$404,0))),"번호 없음"))</f>
        <v/>
      </c>
    </row>
    <row r="906" customFormat="false" ht="15" hidden="false" customHeight="false" outlineLevel="0" collapsed="false">
      <c r="A906" s="23"/>
      <c r="B906" s="24"/>
      <c r="C906" s="24"/>
      <c r="D906" s="24"/>
      <c r="E906" s="24"/>
      <c r="F906" s="25" t="str">
        <f aca="false">IF($B906="","",IFERROR(IF(INDEX(명단!$B$5:$B$404,MATCH($B906,명단!$A$5:$A$404,0))="","(이름 미입력)",INDEX(명단!$B$5:$B$404,MATCH($B906,명단!$A$5:$A$404,0))),"번호 없음"))</f>
        <v/>
      </c>
    </row>
    <row r="907" customFormat="false" ht="15" hidden="false" customHeight="false" outlineLevel="0" collapsed="false">
      <c r="A907" s="23"/>
      <c r="B907" s="24"/>
      <c r="C907" s="24"/>
      <c r="D907" s="24"/>
      <c r="E907" s="24"/>
      <c r="F907" s="25" t="str">
        <f aca="false">IF($B907="","",IFERROR(IF(INDEX(명단!$B$5:$B$404,MATCH($B907,명단!$A$5:$A$404,0))="","(이름 미입력)",INDEX(명단!$B$5:$B$404,MATCH($B907,명단!$A$5:$A$404,0))),"번호 없음"))</f>
        <v/>
      </c>
    </row>
    <row r="908" customFormat="false" ht="15" hidden="false" customHeight="false" outlineLevel="0" collapsed="false">
      <c r="A908" s="23"/>
      <c r="B908" s="24"/>
      <c r="C908" s="24"/>
      <c r="D908" s="24"/>
      <c r="E908" s="24"/>
      <c r="F908" s="25" t="str">
        <f aca="false">IF($B908="","",IFERROR(IF(INDEX(명단!$B$5:$B$404,MATCH($B908,명단!$A$5:$A$404,0))="","(이름 미입력)",INDEX(명단!$B$5:$B$404,MATCH($B908,명단!$A$5:$A$404,0))),"번호 없음"))</f>
        <v/>
      </c>
    </row>
    <row r="909" customFormat="false" ht="15" hidden="false" customHeight="false" outlineLevel="0" collapsed="false">
      <c r="A909" s="23"/>
      <c r="B909" s="24"/>
      <c r="C909" s="24"/>
      <c r="D909" s="24"/>
      <c r="E909" s="24"/>
      <c r="F909" s="25" t="str">
        <f aca="false">IF($B909="","",IFERROR(IF(INDEX(명단!$B$5:$B$404,MATCH($B909,명단!$A$5:$A$404,0))="","(이름 미입력)",INDEX(명단!$B$5:$B$404,MATCH($B909,명단!$A$5:$A$404,0))),"번호 없음"))</f>
        <v/>
      </c>
    </row>
    <row r="910" customFormat="false" ht="15" hidden="false" customHeight="false" outlineLevel="0" collapsed="false">
      <c r="A910" s="23"/>
      <c r="B910" s="24"/>
      <c r="C910" s="24"/>
      <c r="D910" s="24"/>
      <c r="E910" s="24"/>
      <c r="F910" s="25" t="str">
        <f aca="false">IF($B910="","",IFERROR(IF(INDEX(명단!$B$5:$B$404,MATCH($B910,명단!$A$5:$A$404,0))="","(이름 미입력)",INDEX(명단!$B$5:$B$404,MATCH($B910,명단!$A$5:$A$404,0))),"번호 없음"))</f>
        <v/>
      </c>
    </row>
    <row r="911" customFormat="false" ht="15" hidden="false" customHeight="false" outlineLevel="0" collapsed="false">
      <c r="A911" s="23"/>
      <c r="B911" s="24"/>
      <c r="C911" s="24"/>
      <c r="D911" s="24"/>
      <c r="E911" s="24"/>
      <c r="F911" s="25" t="str">
        <f aca="false">IF($B911="","",IFERROR(IF(INDEX(명단!$B$5:$B$404,MATCH($B911,명단!$A$5:$A$404,0))="","(이름 미입력)",INDEX(명단!$B$5:$B$404,MATCH($B911,명단!$A$5:$A$404,0))),"번호 없음"))</f>
        <v/>
      </c>
    </row>
    <row r="912" customFormat="false" ht="15" hidden="false" customHeight="false" outlineLevel="0" collapsed="false">
      <c r="A912" s="23"/>
      <c r="B912" s="24"/>
      <c r="C912" s="24"/>
      <c r="D912" s="24"/>
      <c r="E912" s="24"/>
      <c r="F912" s="25" t="str">
        <f aca="false">IF($B912="","",IFERROR(IF(INDEX(명단!$B$5:$B$404,MATCH($B912,명단!$A$5:$A$404,0))="","(이름 미입력)",INDEX(명단!$B$5:$B$404,MATCH($B912,명단!$A$5:$A$404,0))),"번호 없음"))</f>
        <v/>
      </c>
    </row>
    <row r="913" customFormat="false" ht="15" hidden="false" customHeight="false" outlineLevel="0" collapsed="false">
      <c r="A913" s="23"/>
      <c r="B913" s="24"/>
      <c r="C913" s="24"/>
      <c r="D913" s="24"/>
      <c r="E913" s="24"/>
      <c r="F913" s="25" t="str">
        <f aca="false">IF($B913="","",IFERROR(IF(INDEX(명단!$B$5:$B$404,MATCH($B913,명단!$A$5:$A$404,0))="","(이름 미입력)",INDEX(명단!$B$5:$B$404,MATCH($B913,명단!$A$5:$A$404,0))),"번호 없음"))</f>
        <v/>
      </c>
    </row>
    <row r="914" customFormat="false" ht="15" hidden="false" customHeight="false" outlineLevel="0" collapsed="false">
      <c r="A914" s="23"/>
      <c r="B914" s="24"/>
      <c r="C914" s="24"/>
      <c r="D914" s="24"/>
      <c r="E914" s="24"/>
      <c r="F914" s="25" t="str">
        <f aca="false">IF($B914="","",IFERROR(IF(INDEX(명단!$B$5:$B$404,MATCH($B914,명단!$A$5:$A$404,0))="","(이름 미입력)",INDEX(명단!$B$5:$B$404,MATCH($B914,명단!$A$5:$A$404,0))),"번호 없음"))</f>
        <v/>
      </c>
    </row>
    <row r="915" customFormat="false" ht="15" hidden="false" customHeight="false" outlineLevel="0" collapsed="false">
      <c r="A915" s="23"/>
      <c r="B915" s="24"/>
      <c r="C915" s="24"/>
      <c r="D915" s="24"/>
      <c r="E915" s="24"/>
      <c r="F915" s="25" t="str">
        <f aca="false">IF($B915="","",IFERROR(IF(INDEX(명단!$B$5:$B$404,MATCH($B915,명단!$A$5:$A$404,0))="","(이름 미입력)",INDEX(명단!$B$5:$B$404,MATCH($B915,명단!$A$5:$A$404,0))),"번호 없음"))</f>
        <v/>
      </c>
    </row>
    <row r="916" customFormat="false" ht="15" hidden="false" customHeight="false" outlineLevel="0" collapsed="false">
      <c r="A916" s="23"/>
      <c r="B916" s="24"/>
      <c r="C916" s="24"/>
      <c r="D916" s="24"/>
      <c r="E916" s="24"/>
      <c r="F916" s="25" t="str">
        <f aca="false">IF($B916="","",IFERROR(IF(INDEX(명단!$B$5:$B$404,MATCH($B916,명단!$A$5:$A$404,0))="","(이름 미입력)",INDEX(명단!$B$5:$B$404,MATCH($B916,명단!$A$5:$A$404,0))),"번호 없음"))</f>
        <v/>
      </c>
    </row>
    <row r="917" customFormat="false" ht="15" hidden="false" customHeight="false" outlineLevel="0" collapsed="false">
      <c r="A917" s="23"/>
      <c r="B917" s="24"/>
      <c r="C917" s="24"/>
      <c r="D917" s="24"/>
      <c r="E917" s="24"/>
      <c r="F917" s="25" t="str">
        <f aca="false">IF($B917="","",IFERROR(IF(INDEX(명단!$B$5:$B$404,MATCH($B917,명단!$A$5:$A$404,0))="","(이름 미입력)",INDEX(명단!$B$5:$B$404,MATCH($B917,명단!$A$5:$A$404,0))),"번호 없음"))</f>
        <v/>
      </c>
    </row>
    <row r="918" customFormat="false" ht="15" hidden="false" customHeight="false" outlineLevel="0" collapsed="false">
      <c r="A918" s="23"/>
      <c r="B918" s="24"/>
      <c r="C918" s="24"/>
      <c r="D918" s="24"/>
      <c r="E918" s="24"/>
      <c r="F918" s="25" t="str">
        <f aca="false">IF($B918="","",IFERROR(IF(INDEX(명단!$B$5:$B$404,MATCH($B918,명단!$A$5:$A$404,0))="","(이름 미입력)",INDEX(명단!$B$5:$B$404,MATCH($B918,명단!$A$5:$A$404,0))),"번호 없음"))</f>
        <v/>
      </c>
    </row>
    <row r="919" customFormat="false" ht="15" hidden="false" customHeight="false" outlineLevel="0" collapsed="false">
      <c r="A919" s="23"/>
      <c r="B919" s="24"/>
      <c r="C919" s="24"/>
      <c r="D919" s="24"/>
      <c r="E919" s="24"/>
      <c r="F919" s="25" t="str">
        <f aca="false">IF($B919="","",IFERROR(IF(INDEX(명단!$B$5:$B$404,MATCH($B919,명단!$A$5:$A$404,0))="","(이름 미입력)",INDEX(명단!$B$5:$B$404,MATCH($B919,명단!$A$5:$A$404,0))),"번호 없음"))</f>
        <v/>
      </c>
    </row>
    <row r="920" customFormat="false" ht="15" hidden="false" customHeight="false" outlineLevel="0" collapsed="false">
      <c r="A920" s="23"/>
      <c r="B920" s="24"/>
      <c r="C920" s="24"/>
      <c r="D920" s="24"/>
      <c r="E920" s="24"/>
      <c r="F920" s="25" t="str">
        <f aca="false">IF($B920="","",IFERROR(IF(INDEX(명단!$B$5:$B$404,MATCH($B920,명단!$A$5:$A$404,0))="","(이름 미입력)",INDEX(명단!$B$5:$B$404,MATCH($B920,명단!$A$5:$A$404,0))),"번호 없음"))</f>
        <v/>
      </c>
    </row>
    <row r="921" customFormat="false" ht="15" hidden="false" customHeight="false" outlineLevel="0" collapsed="false">
      <c r="A921" s="23"/>
      <c r="B921" s="24"/>
      <c r="C921" s="24"/>
      <c r="D921" s="24"/>
      <c r="E921" s="24"/>
      <c r="F921" s="25" t="str">
        <f aca="false">IF($B921="","",IFERROR(IF(INDEX(명단!$B$5:$B$404,MATCH($B921,명단!$A$5:$A$404,0))="","(이름 미입력)",INDEX(명단!$B$5:$B$404,MATCH($B921,명단!$A$5:$A$404,0))),"번호 없음"))</f>
        <v/>
      </c>
    </row>
    <row r="922" customFormat="false" ht="15" hidden="false" customHeight="false" outlineLevel="0" collapsed="false">
      <c r="A922" s="23"/>
      <c r="B922" s="24"/>
      <c r="C922" s="24"/>
      <c r="D922" s="24"/>
      <c r="E922" s="24"/>
      <c r="F922" s="25" t="str">
        <f aca="false">IF($B922="","",IFERROR(IF(INDEX(명단!$B$5:$B$404,MATCH($B922,명단!$A$5:$A$404,0))="","(이름 미입력)",INDEX(명단!$B$5:$B$404,MATCH($B922,명단!$A$5:$A$404,0))),"번호 없음"))</f>
        <v/>
      </c>
    </row>
    <row r="923" customFormat="false" ht="15" hidden="false" customHeight="false" outlineLevel="0" collapsed="false">
      <c r="A923" s="23"/>
      <c r="B923" s="24"/>
      <c r="C923" s="24"/>
      <c r="D923" s="24"/>
      <c r="E923" s="24"/>
      <c r="F923" s="25" t="str">
        <f aca="false">IF($B923="","",IFERROR(IF(INDEX(명단!$B$5:$B$404,MATCH($B923,명단!$A$5:$A$404,0))="","(이름 미입력)",INDEX(명단!$B$5:$B$404,MATCH($B923,명단!$A$5:$A$404,0))),"번호 없음"))</f>
        <v/>
      </c>
    </row>
    <row r="924" customFormat="false" ht="15" hidden="false" customHeight="false" outlineLevel="0" collapsed="false">
      <c r="A924" s="23"/>
      <c r="B924" s="24"/>
      <c r="C924" s="24"/>
      <c r="D924" s="24"/>
      <c r="E924" s="24"/>
      <c r="F924" s="25" t="str">
        <f aca="false">IF($B924="","",IFERROR(IF(INDEX(명단!$B$5:$B$404,MATCH($B924,명단!$A$5:$A$404,0))="","(이름 미입력)",INDEX(명단!$B$5:$B$404,MATCH($B924,명단!$A$5:$A$404,0))),"번호 없음"))</f>
        <v/>
      </c>
    </row>
    <row r="925" customFormat="false" ht="15" hidden="false" customHeight="false" outlineLevel="0" collapsed="false">
      <c r="A925" s="23"/>
      <c r="B925" s="24"/>
      <c r="C925" s="24"/>
      <c r="D925" s="24"/>
      <c r="E925" s="24"/>
      <c r="F925" s="25" t="str">
        <f aca="false">IF($B925="","",IFERROR(IF(INDEX(명단!$B$5:$B$404,MATCH($B925,명단!$A$5:$A$404,0))="","(이름 미입력)",INDEX(명단!$B$5:$B$404,MATCH($B925,명단!$A$5:$A$404,0))),"번호 없음"))</f>
        <v/>
      </c>
    </row>
    <row r="926" customFormat="false" ht="15" hidden="false" customHeight="false" outlineLevel="0" collapsed="false">
      <c r="A926" s="23"/>
      <c r="B926" s="24"/>
      <c r="C926" s="24"/>
      <c r="D926" s="24"/>
      <c r="E926" s="24"/>
      <c r="F926" s="25" t="str">
        <f aca="false">IF($B926="","",IFERROR(IF(INDEX(명단!$B$5:$B$404,MATCH($B926,명단!$A$5:$A$404,0))="","(이름 미입력)",INDEX(명단!$B$5:$B$404,MATCH($B926,명단!$A$5:$A$404,0))),"번호 없음"))</f>
        <v/>
      </c>
    </row>
    <row r="927" customFormat="false" ht="15" hidden="false" customHeight="false" outlineLevel="0" collapsed="false">
      <c r="A927" s="23"/>
      <c r="B927" s="24"/>
      <c r="C927" s="24"/>
      <c r="D927" s="24"/>
      <c r="E927" s="24"/>
      <c r="F927" s="25" t="str">
        <f aca="false">IF($B927="","",IFERROR(IF(INDEX(명단!$B$5:$B$404,MATCH($B927,명단!$A$5:$A$404,0))="","(이름 미입력)",INDEX(명단!$B$5:$B$404,MATCH($B927,명단!$A$5:$A$404,0))),"번호 없음"))</f>
        <v/>
      </c>
    </row>
    <row r="928" customFormat="false" ht="15" hidden="false" customHeight="false" outlineLevel="0" collapsed="false">
      <c r="A928" s="23"/>
      <c r="B928" s="24"/>
      <c r="C928" s="24"/>
      <c r="D928" s="24"/>
      <c r="E928" s="24"/>
      <c r="F928" s="25" t="str">
        <f aca="false">IF($B928="","",IFERROR(IF(INDEX(명단!$B$5:$B$404,MATCH($B928,명단!$A$5:$A$404,0))="","(이름 미입력)",INDEX(명단!$B$5:$B$404,MATCH($B928,명단!$A$5:$A$404,0))),"번호 없음"))</f>
        <v/>
      </c>
    </row>
    <row r="929" customFormat="false" ht="15" hidden="false" customHeight="false" outlineLevel="0" collapsed="false">
      <c r="A929" s="23"/>
      <c r="B929" s="24"/>
      <c r="C929" s="24"/>
      <c r="D929" s="24"/>
      <c r="E929" s="24"/>
      <c r="F929" s="25" t="str">
        <f aca="false">IF($B929="","",IFERROR(IF(INDEX(명단!$B$5:$B$404,MATCH($B929,명단!$A$5:$A$404,0))="","(이름 미입력)",INDEX(명단!$B$5:$B$404,MATCH($B929,명단!$A$5:$A$404,0))),"번호 없음"))</f>
        <v/>
      </c>
    </row>
    <row r="930" customFormat="false" ht="15" hidden="false" customHeight="false" outlineLevel="0" collapsed="false">
      <c r="A930" s="23"/>
      <c r="B930" s="24"/>
      <c r="C930" s="24"/>
      <c r="D930" s="24"/>
      <c r="E930" s="24"/>
      <c r="F930" s="25" t="str">
        <f aca="false">IF($B930="","",IFERROR(IF(INDEX(명단!$B$5:$B$404,MATCH($B930,명단!$A$5:$A$404,0))="","(이름 미입력)",INDEX(명단!$B$5:$B$404,MATCH($B930,명단!$A$5:$A$404,0))),"번호 없음"))</f>
        <v/>
      </c>
    </row>
    <row r="931" customFormat="false" ht="15" hidden="false" customHeight="false" outlineLevel="0" collapsed="false">
      <c r="A931" s="23"/>
      <c r="B931" s="24"/>
      <c r="C931" s="24"/>
      <c r="D931" s="24"/>
      <c r="E931" s="24"/>
      <c r="F931" s="25" t="str">
        <f aca="false">IF($B931="","",IFERROR(IF(INDEX(명단!$B$5:$B$404,MATCH($B931,명단!$A$5:$A$404,0))="","(이름 미입력)",INDEX(명단!$B$5:$B$404,MATCH($B931,명단!$A$5:$A$404,0))),"번호 없음"))</f>
        <v/>
      </c>
    </row>
    <row r="932" customFormat="false" ht="15" hidden="false" customHeight="false" outlineLevel="0" collapsed="false">
      <c r="A932" s="23"/>
      <c r="B932" s="24"/>
      <c r="C932" s="24"/>
      <c r="D932" s="24"/>
      <c r="E932" s="24"/>
      <c r="F932" s="25" t="str">
        <f aca="false">IF($B932="","",IFERROR(IF(INDEX(명단!$B$5:$B$404,MATCH($B932,명단!$A$5:$A$404,0))="","(이름 미입력)",INDEX(명단!$B$5:$B$404,MATCH($B932,명단!$A$5:$A$404,0))),"번호 없음"))</f>
        <v/>
      </c>
    </row>
    <row r="933" customFormat="false" ht="15" hidden="false" customHeight="false" outlineLevel="0" collapsed="false">
      <c r="A933" s="23"/>
      <c r="B933" s="24"/>
      <c r="C933" s="24"/>
      <c r="D933" s="24"/>
      <c r="E933" s="24"/>
      <c r="F933" s="25" t="str">
        <f aca="false">IF($B933="","",IFERROR(IF(INDEX(명단!$B$5:$B$404,MATCH($B933,명단!$A$5:$A$404,0))="","(이름 미입력)",INDEX(명단!$B$5:$B$404,MATCH($B933,명단!$A$5:$A$404,0))),"번호 없음"))</f>
        <v/>
      </c>
    </row>
    <row r="934" customFormat="false" ht="15" hidden="false" customHeight="false" outlineLevel="0" collapsed="false">
      <c r="A934" s="23"/>
      <c r="B934" s="24"/>
      <c r="C934" s="24"/>
      <c r="D934" s="24"/>
      <c r="E934" s="24"/>
      <c r="F934" s="25" t="str">
        <f aca="false">IF($B934="","",IFERROR(IF(INDEX(명단!$B$5:$B$404,MATCH($B934,명단!$A$5:$A$404,0))="","(이름 미입력)",INDEX(명단!$B$5:$B$404,MATCH($B934,명단!$A$5:$A$404,0))),"번호 없음"))</f>
        <v/>
      </c>
    </row>
    <row r="935" customFormat="false" ht="15" hidden="false" customHeight="false" outlineLevel="0" collapsed="false">
      <c r="A935" s="23"/>
      <c r="B935" s="24"/>
      <c r="C935" s="24"/>
      <c r="D935" s="24"/>
      <c r="E935" s="24"/>
      <c r="F935" s="25" t="str">
        <f aca="false">IF($B935="","",IFERROR(IF(INDEX(명단!$B$5:$B$404,MATCH($B935,명단!$A$5:$A$404,0))="","(이름 미입력)",INDEX(명단!$B$5:$B$404,MATCH($B935,명단!$A$5:$A$404,0))),"번호 없음"))</f>
        <v/>
      </c>
    </row>
    <row r="936" customFormat="false" ht="15" hidden="false" customHeight="false" outlineLevel="0" collapsed="false">
      <c r="A936" s="23"/>
      <c r="B936" s="24"/>
      <c r="C936" s="24"/>
      <c r="D936" s="24"/>
      <c r="E936" s="24"/>
      <c r="F936" s="25" t="str">
        <f aca="false">IF($B936="","",IFERROR(IF(INDEX(명단!$B$5:$B$404,MATCH($B936,명단!$A$5:$A$404,0))="","(이름 미입력)",INDEX(명단!$B$5:$B$404,MATCH($B936,명단!$A$5:$A$404,0))),"번호 없음"))</f>
        <v/>
      </c>
    </row>
    <row r="937" customFormat="false" ht="15" hidden="false" customHeight="false" outlineLevel="0" collapsed="false">
      <c r="A937" s="23"/>
      <c r="B937" s="24"/>
      <c r="C937" s="24"/>
      <c r="D937" s="24"/>
      <c r="E937" s="24"/>
      <c r="F937" s="25" t="str">
        <f aca="false">IF($B937="","",IFERROR(IF(INDEX(명단!$B$5:$B$404,MATCH($B937,명단!$A$5:$A$404,0))="","(이름 미입력)",INDEX(명단!$B$5:$B$404,MATCH($B937,명단!$A$5:$A$404,0))),"번호 없음"))</f>
        <v/>
      </c>
    </row>
    <row r="938" customFormat="false" ht="15" hidden="false" customHeight="false" outlineLevel="0" collapsed="false">
      <c r="A938" s="23"/>
      <c r="B938" s="24"/>
      <c r="C938" s="24"/>
      <c r="D938" s="24"/>
      <c r="E938" s="24"/>
      <c r="F938" s="25" t="str">
        <f aca="false">IF($B938="","",IFERROR(IF(INDEX(명단!$B$5:$B$404,MATCH($B938,명단!$A$5:$A$404,0))="","(이름 미입력)",INDEX(명단!$B$5:$B$404,MATCH($B938,명단!$A$5:$A$404,0))),"번호 없음"))</f>
        <v/>
      </c>
    </row>
    <row r="939" customFormat="false" ht="15" hidden="false" customHeight="false" outlineLevel="0" collapsed="false">
      <c r="A939" s="23"/>
      <c r="B939" s="24"/>
      <c r="C939" s="24"/>
      <c r="D939" s="24"/>
      <c r="E939" s="24"/>
      <c r="F939" s="25" t="str">
        <f aca="false">IF($B939="","",IFERROR(IF(INDEX(명단!$B$5:$B$404,MATCH($B939,명단!$A$5:$A$404,0))="","(이름 미입력)",INDEX(명단!$B$5:$B$404,MATCH($B939,명단!$A$5:$A$404,0))),"번호 없음"))</f>
        <v/>
      </c>
    </row>
    <row r="940" customFormat="false" ht="15" hidden="false" customHeight="false" outlineLevel="0" collapsed="false">
      <c r="A940" s="23"/>
      <c r="B940" s="24"/>
      <c r="C940" s="24"/>
      <c r="D940" s="24"/>
      <c r="E940" s="24"/>
      <c r="F940" s="25" t="str">
        <f aca="false">IF($B940="","",IFERROR(IF(INDEX(명단!$B$5:$B$404,MATCH($B940,명단!$A$5:$A$404,0))="","(이름 미입력)",INDEX(명단!$B$5:$B$404,MATCH($B940,명단!$A$5:$A$404,0))),"번호 없음"))</f>
        <v/>
      </c>
    </row>
    <row r="941" customFormat="false" ht="15" hidden="false" customHeight="false" outlineLevel="0" collapsed="false">
      <c r="A941" s="23"/>
      <c r="B941" s="24"/>
      <c r="C941" s="24"/>
      <c r="D941" s="24"/>
      <c r="E941" s="24"/>
      <c r="F941" s="25" t="str">
        <f aca="false">IF($B941="","",IFERROR(IF(INDEX(명단!$B$5:$B$404,MATCH($B941,명단!$A$5:$A$404,0))="","(이름 미입력)",INDEX(명단!$B$5:$B$404,MATCH($B941,명단!$A$5:$A$404,0))),"번호 없음"))</f>
        <v/>
      </c>
    </row>
    <row r="942" customFormat="false" ht="15" hidden="false" customHeight="false" outlineLevel="0" collapsed="false">
      <c r="A942" s="23"/>
      <c r="B942" s="24"/>
      <c r="C942" s="24"/>
      <c r="D942" s="24"/>
      <c r="E942" s="24"/>
      <c r="F942" s="25" t="str">
        <f aca="false">IF($B942="","",IFERROR(IF(INDEX(명단!$B$5:$B$404,MATCH($B942,명단!$A$5:$A$404,0))="","(이름 미입력)",INDEX(명단!$B$5:$B$404,MATCH($B942,명단!$A$5:$A$404,0))),"번호 없음"))</f>
        <v/>
      </c>
    </row>
    <row r="943" customFormat="false" ht="15" hidden="false" customHeight="false" outlineLevel="0" collapsed="false">
      <c r="A943" s="23"/>
      <c r="B943" s="24"/>
      <c r="C943" s="24"/>
      <c r="D943" s="24"/>
      <c r="E943" s="24"/>
      <c r="F943" s="25" t="str">
        <f aca="false">IF($B943="","",IFERROR(IF(INDEX(명단!$B$5:$B$404,MATCH($B943,명단!$A$5:$A$404,0))="","(이름 미입력)",INDEX(명단!$B$5:$B$404,MATCH($B943,명단!$A$5:$A$404,0))),"번호 없음"))</f>
        <v/>
      </c>
    </row>
    <row r="944" customFormat="false" ht="15" hidden="false" customHeight="false" outlineLevel="0" collapsed="false">
      <c r="A944" s="23"/>
      <c r="B944" s="24"/>
      <c r="C944" s="24"/>
      <c r="D944" s="24"/>
      <c r="E944" s="24"/>
      <c r="F944" s="25" t="str">
        <f aca="false">IF($B944="","",IFERROR(IF(INDEX(명단!$B$5:$B$404,MATCH($B944,명단!$A$5:$A$404,0))="","(이름 미입력)",INDEX(명단!$B$5:$B$404,MATCH($B944,명단!$A$5:$A$404,0))),"번호 없음"))</f>
        <v/>
      </c>
    </row>
    <row r="945" customFormat="false" ht="15" hidden="false" customHeight="false" outlineLevel="0" collapsed="false">
      <c r="A945" s="23"/>
      <c r="B945" s="24"/>
      <c r="C945" s="24"/>
      <c r="D945" s="24"/>
      <c r="E945" s="24"/>
      <c r="F945" s="25" t="str">
        <f aca="false">IF($B945="","",IFERROR(IF(INDEX(명단!$B$5:$B$404,MATCH($B945,명단!$A$5:$A$404,0))="","(이름 미입력)",INDEX(명단!$B$5:$B$404,MATCH($B945,명단!$A$5:$A$404,0))),"번호 없음"))</f>
        <v/>
      </c>
    </row>
    <row r="946" customFormat="false" ht="15" hidden="false" customHeight="false" outlineLevel="0" collapsed="false">
      <c r="A946" s="23"/>
      <c r="B946" s="24"/>
      <c r="C946" s="24"/>
      <c r="D946" s="24"/>
      <c r="E946" s="24"/>
      <c r="F946" s="25" t="str">
        <f aca="false">IF($B946="","",IFERROR(IF(INDEX(명단!$B$5:$B$404,MATCH($B946,명단!$A$5:$A$404,0))="","(이름 미입력)",INDEX(명단!$B$5:$B$404,MATCH($B946,명단!$A$5:$A$404,0))),"번호 없음"))</f>
        <v/>
      </c>
    </row>
    <row r="947" customFormat="false" ht="15" hidden="false" customHeight="false" outlineLevel="0" collapsed="false">
      <c r="A947" s="23"/>
      <c r="B947" s="24"/>
      <c r="C947" s="24"/>
      <c r="D947" s="24"/>
      <c r="E947" s="24"/>
      <c r="F947" s="25" t="str">
        <f aca="false">IF($B947="","",IFERROR(IF(INDEX(명단!$B$5:$B$404,MATCH($B947,명단!$A$5:$A$404,0))="","(이름 미입력)",INDEX(명단!$B$5:$B$404,MATCH($B947,명단!$A$5:$A$404,0))),"번호 없음"))</f>
        <v/>
      </c>
    </row>
    <row r="948" customFormat="false" ht="15" hidden="false" customHeight="false" outlineLevel="0" collapsed="false">
      <c r="A948" s="23"/>
      <c r="B948" s="24"/>
      <c r="C948" s="24"/>
      <c r="D948" s="24"/>
      <c r="E948" s="24"/>
      <c r="F948" s="25" t="str">
        <f aca="false">IF($B948="","",IFERROR(IF(INDEX(명단!$B$5:$B$404,MATCH($B948,명단!$A$5:$A$404,0))="","(이름 미입력)",INDEX(명단!$B$5:$B$404,MATCH($B948,명단!$A$5:$A$404,0))),"번호 없음"))</f>
        <v/>
      </c>
    </row>
    <row r="949" customFormat="false" ht="15" hidden="false" customHeight="false" outlineLevel="0" collapsed="false">
      <c r="A949" s="23"/>
      <c r="B949" s="24"/>
      <c r="C949" s="24"/>
      <c r="D949" s="24"/>
      <c r="E949" s="24"/>
      <c r="F949" s="25" t="str">
        <f aca="false">IF($B949="","",IFERROR(IF(INDEX(명단!$B$5:$B$404,MATCH($B949,명단!$A$5:$A$404,0))="","(이름 미입력)",INDEX(명단!$B$5:$B$404,MATCH($B949,명단!$A$5:$A$404,0))),"번호 없음"))</f>
        <v/>
      </c>
    </row>
    <row r="950" customFormat="false" ht="15" hidden="false" customHeight="false" outlineLevel="0" collapsed="false">
      <c r="A950" s="23"/>
      <c r="B950" s="24"/>
      <c r="C950" s="24"/>
      <c r="D950" s="24"/>
      <c r="E950" s="24"/>
      <c r="F950" s="25" t="str">
        <f aca="false">IF($B950="","",IFERROR(IF(INDEX(명단!$B$5:$B$404,MATCH($B950,명단!$A$5:$A$404,0))="","(이름 미입력)",INDEX(명단!$B$5:$B$404,MATCH($B950,명단!$A$5:$A$404,0))),"번호 없음"))</f>
        <v/>
      </c>
    </row>
    <row r="951" customFormat="false" ht="15" hidden="false" customHeight="false" outlineLevel="0" collapsed="false">
      <c r="A951" s="23"/>
      <c r="B951" s="24"/>
      <c r="C951" s="24"/>
      <c r="D951" s="24"/>
      <c r="E951" s="24"/>
      <c r="F951" s="25" t="str">
        <f aca="false">IF($B951="","",IFERROR(IF(INDEX(명단!$B$5:$B$404,MATCH($B951,명단!$A$5:$A$404,0))="","(이름 미입력)",INDEX(명단!$B$5:$B$404,MATCH($B951,명단!$A$5:$A$404,0))),"번호 없음"))</f>
        <v/>
      </c>
    </row>
    <row r="952" customFormat="false" ht="15" hidden="false" customHeight="false" outlineLevel="0" collapsed="false">
      <c r="A952" s="23"/>
      <c r="B952" s="24"/>
      <c r="C952" s="24"/>
      <c r="D952" s="24"/>
      <c r="E952" s="24"/>
      <c r="F952" s="25" t="str">
        <f aca="false">IF($B952="","",IFERROR(IF(INDEX(명단!$B$5:$B$404,MATCH($B952,명단!$A$5:$A$404,0))="","(이름 미입력)",INDEX(명단!$B$5:$B$404,MATCH($B952,명단!$A$5:$A$404,0))),"번호 없음"))</f>
        <v/>
      </c>
    </row>
    <row r="953" customFormat="false" ht="15" hidden="false" customHeight="false" outlineLevel="0" collapsed="false">
      <c r="A953" s="23"/>
      <c r="B953" s="24"/>
      <c r="C953" s="24"/>
      <c r="D953" s="24"/>
      <c r="E953" s="24"/>
      <c r="F953" s="25" t="str">
        <f aca="false">IF($B953="","",IFERROR(IF(INDEX(명단!$B$5:$B$404,MATCH($B953,명단!$A$5:$A$404,0))="","(이름 미입력)",INDEX(명단!$B$5:$B$404,MATCH($B953,명단!$A$5:$A$404,0))),"번호 없음"))</f>
        <v/>
      </c>
    </row>
    <row r="954" customFormat="false" ht="15" hidden="false" customHeight="false" outlineLevel="0" collapsed="false">
      <c r="A954" s="23"/>
      <c r="B954" s="24"/>
      <c r="C954" s="24"/>
      <c r="D954" s="24"/>
      <c r="E954" s="24"/>
      <c r="F954" s="25" t="str">
        <f aca="false">IF($B954="","",IFERROR(IF(INDEX(명단!$B$5:$B$404,MATCH($B954,명단!$A$5:$A$404,0))="","(이름 미입력)",INDEX(명단!$B$5:$B$404,MATCH($B954,명단!$A$5:$A$404,0))),"번호 없음"))</f>
        <v/>
      </c>
    </row>
    <row r="955" customFormat="false" ht="15" hidden="false" customHeight="false" outlineLevel="0" collapsed="false">
      <c r="A955" s="23"/>
      <c r="B955" s="24"/>
      <c r="C955" s="24"/>
      <c r="D955" s="24"/>
      <c r="E955" s="24"/>
      <c r="F955" s="25" t="str">
        <f aca="false">IF($B955="","",IFERROR(IF(INDEX(명단!$B$5:$B$404,MATCH($B955,명단!$A$5:$A$404,0))="","(이름 미입력)",INDEX(명단!$B$5:$B$404,MATCH($B955,명단!$A$5:$A$404,0))),"번호 없음"))</f>
        <v/>
      </c>
    </row>
    <row r="956" customFormat="false" ht="15" hidden="false" customHeight="false" outlineLevel="0" collapsed="false">
      <c r="A956" s="23"/>
      <c r="B956" s="24"/>
      <c r="C956" s="24"/>
      <c r="D956" s="24"/>
      <c r="E956" s="24"/>
      <c r="F956" s="25" t="str">
        <f aca="false">IF($B956="","",IFERROR(IF(INDEX(명단!$B$5:$B$404,MATCH($B956,명단!$A$5:$A$404,0))="","(이름 미입력)",INDEX(명단!$B$5:$B$404,MATCH($B956,명단!$A$5:$A$404,0))),"번호 없음"))</f>
        <v/>
      </c>
    </row>
    <row r="957" customFormat="false" ht="15" hidden="false" customHeight="false" outlineLevel="0" collapsed="false">
      <c r="A957" s="23"/>
      <c r="B957" s="24"/>
      <c r="C957" s="24"/>
      <c r="D957" s="24"/>
      <c r="E957" s="24"/>
      <c r="F957" s="25" t="str">
        <f aca="false">IF($B957="","",IFERROR(IF(INDEX(명단!$B$5:$B$404,MATCH($B957,명단!$A$5:$A$404,0))="","(이름 미입력)",INDEX(명단!$B$5:$B$404,MATCH($B957,명단!$A$5:$A$404,0))),"번호 없음"))</f>
        <v/>
      </c>
    </row>
    <row r="958" customFormat="false" ht="15" hidden="false" customHeight="false" outlineLevel="0" collapsed="false">
      <c r="A958" s="23"/>
      <c r="B958" s="24"/>
      <c r="C958" s="24"/>
      <c r="D958" s="24"/>
      <c r="E958" s="24"/>
      <c r="F958" s="25" t="str">
        <f aca="false">IF($B958="","",IFERROR(IF(INDEX(명단!$B$5:$B$404,MATCH($B958,명단!$A$5:$A$404,0))="","(이름 미입력)",INDEX(명단!$B$5:$B$404,MATCH($B958,명단!$A$5:$A$404,0))),"번호 없음"))</f>
        <v/>
      </c>
    </row>
    <row r="959" customFormat="false" ht="15" hidden="false" customHeight="false" outlineLevel="0" collapsed="false">
      <c r="A959" s="23"/>
      <c r="B959" s="24"/>
      <c r="C959" s="24"/>
      <c r="D959" s="24"/>
      <c r="E959" s="24"/>
      <c r="F959" s="25" t="str">
        <f aca="false">IF($B959="","",IFERROR(IF(INDEX(명단!$B$5:$B$404,MATCH($B959,명단!$A$5:$A$404,0))="","(이름 미입력)",INDEX(명단!$B$5:$B$404,MATCH($B959,명단!$A$5:$A$404,0))),"번호 없음"))</f>
        <v/>
      </c>
    </row>
    <row r="960" customFormat="false" ht="15" hidden="false" customHeight="false" outlineLevel="0" collapsed="false">
      <c r="A960" s="23"/>
      <c r="B960" s="24"/>
      <c r="C960" s="24"/>
      <c r="D960" s="24"/>
      <c r="E960" s="24"/>
      <c r="F960" s="25" t="str">
        <f aca="false">IF($B960="","",IFERROR(IF(INDEX(명단!$B$5:$B$404,MATCH($B960,명단!$A$5:$A$404,0))="","(이름 미입력)",INDEX(명단!$B$5:$B$404,MATCH($B960,명단!$A$5:$A$404,0))),"번호 없음"))</f>
        <v/>
      </c>
    </row>
    <row r="961" customFormat="false" ht="15" hidden="false" customHeight="false" outlineLevel="0" collapsed="false">
      <c r="A961" s="23"/>
      <c r="B961" s="24"/>
      <c r="C961" s="24"/>
      <c r="D961" s="24"/>
      <c r="E961" s="24"/>
      <c r="F961" s="25" t="str">
        <f aca="false">IF($B961="","",IFERROR(IF(INDEX(명단!$B$5:$B$404,MATCH($B961,명단!$A$5:$A$404,0))="","(이름 미입력)",INDEX(명단!$B$5:$B$404,MATCH($B961,명단!$A$5:$A$404,0))),"번호 없음"))</f>
        <v/>
      </c>
    </row>
    <row r="962" customFormat="false" ht="15" hidden="false" customHeight="false" outlineLevel="0" collapsed="false">
      <c r="A962" s="23"/>
      <c r="B962" s="24"/>
      <c r="C962" s="24"/>
      <c r="D962" s="24"/>
      <c r="E962" s="24"/>
      <c r="F962" s="25" t="str">
        <f aca="false">IF($B962="","",IFERROR(IF(INDEX(명단!$B$5:$B$404,MATCH($B962,명단!$A$5:$A$404,0))="","(이름 미입력)",INDEX(명단!$B$5:$B$404,MATCH($B962,명단!$A$5:$A$404,0))),"번호 없음"))</f>
        <v/>
      </c>
    </row>
    <row r="963" customFormat="false" ht="15" hidden="false" customHeight="false" outlineLevel="0" collapsed="false">
      <c r="A963" s="23"/>
      <c r="B963" s="24"/>
      <c r="C963" s="24"/>
      <c r="D963" s="24"/>
      <c r="E963" s="24"/>
      <c r="F963" s="25" t="str">
        <f aca="false">IF($B963="","",IFERROR(IF(INDEX(명단!$B$5:$B$404,MATCH($B963,명단!$A$5:$A$404,0))="","(이름 미입력)",INDEX(명단!$B$5:$B$404,MATCH($B963,명단!$A$5:$A$404,0))),"번호 없음"))</f>
        <v/>
      </c>
    </row>
    <row r="964" customFormat="false" ht="15" hidden="false" customHeight="false" outlineLevel="0" collapsed="false">
      <c r="A964" s="23"/>
      <c r="B964" s="24"/>
      <c r="C964" s="24"/>
      <c r="D964" s="24"/>
      <c r="E964" s="24"/>
      <c r="F964" s="25" t="str">
        <f aca="false">IF($B964="","",IFERROR(IF(INDEX(명단!$B$5:$B$404,MATCH($B964,명단!$A$5:$A$404,0))="","(이름 미입력)",INDEX(명단!$B$5:$B$404,MATCH($B964,명단!$A$5:$A$404,0))),"번호 없음"))</f>
        <v/>
      </c>
    </row>
    <row r="965" customFormat="false" ht="15" hidden="false" customHeight="false" outlineLevel="0" collapsed="false">
      <c r="A965" s="23"/>
      <c r="B965" s="24"/>
      <c r="C965" s="24"/>
      <c r="D965" s="24"/>
      <c r="E965" s="24"/>
      <c r="F965" s="25" t="str">
        <f aca="false">IF($B965="","",IFERROR(IF(INDEX(명단!$B$5:$B$404,MATCH($B965,명단!$A$5:$A$404,0))="","(이름 미입력)",INDEX(명단!$B$5:$B$404,MATCH($B965,명단!$A$5:$A$404,0))),"번호 없음"))</f>
        <v/>
      </c>
    </row>
    <row r="966" customFormat="false" ht="15" hidden="false" customHeight="false" outlineLevel="0" collapsed="false">
      <c r="A966" s="23"/>
      <c r="B966" s="24"/>
      <c r="C966" s="24"/>
      <c r="D966" s="24"/>
      <c r="E966" s="24"/>
      <c r="F966" s="25" t="str">
        <f aca="false">IF($B966="","",IFERROR(IF(INDEX(명단!$B$5:$B$404,MATCH($B966,명단!$A$5:$A$404,0))="","(이름 미입력)",INDEX(명단!$B$5:$B$404,MATCH($B966,명단!$A$5:$A$404,0))),"번호 없음"))</f>
        <v/>
      </c>
    </row>
    <row r="967" customFormat="false" ht="15" hidden="false" customHeight="false" outlineLevel="0" collapsed="false">
      <c r="A967" s="23"/>
      <c r="B967" s="24"/>
      <c r="C967" s="24"/>
      <c r="D967" s="24"/>
      <c r="E967" s="24"/>
      <c r="F967" s="25" t="str">
        <f aca="false">IF($B967="","",IFERROR(IF(INDEX(명단!$B$5:$B$404,MATCH($B967,명단!$A$5:$A$404,0))="","(이름 미입력)",INDEX(명단!$B$5:$B$404,MATCH($B967,명단!$A$5:$A$404,0))),"번호 없음"))</f>
        <v/>
      </c>
    </row>
    <row r="968" customFormat="false" ht="15" hidden="false" customHeight="false" outlineLevel="0" collapsed="false">
      <c r="A968" s="23"/>
      <c r="B968" s="24"/>
      <c r="C968" s="24"/>
      <c r="D968" s="24"/>
      <c r="E968" s="24"/>
      <c r="F968" s="25" t="str">
        <f aca="false">IF($B968="","",IFERROR(IF(INDEX(명단!$B$5:$B$404,MATCH($B968,명단!$A$5:$A$404,0))="","(이름 미입력)",INDEX(명단!$B$5:$B$404,MATCH($B968,명단!$A$5:$A$404,0))),"번호 없음"))</f>
        <v/>
      </c>
    </row>
    <row r="969" customFormat="false" ht="15" hidden="false" customHeight="false" outlineLevel="0" collapsed="false">
      <c r="A969" s="23"/>
      <c r="B969" s="24"/>
      <c r="C969" s="24"/>
      <c r="D969" s="24"/>
      <c r="E969" s="24"/>
      <c r="F969" s="25" t="str">
        <f aca="false">IF($B969="","",IFERROR(IF(INDEX(명단!$B$5:$B$404,MATCH($B969,명단!$A$5:$A$404,0))="","(이름 미입력)",INDEX(명단!$B$5:$B$404,MATCH($B969,명단!$A$5:$A$404,0))),"번호 없음"))</f>
        <v/>
      </c>
    </row>
    <row r="970" customFormat="false" ht="15" hidden="false" customHeight="false" outlineLevel="0" collapsed="false">
      <c r="A970" s="23"/>
      <c r="B970" s="24"/>
      <c r="C970" s="24"/>
      <c r="D970" s="24"/>
      <c r="E970" s="24"/>
      <c r="F970" s="25" t="str">
        <f aca="false">IF($B970="","",IFERROR(IF(INDEX(명단!$B$5:$B$404,MATCH($B970,명단!$A$5:$A$404,0))="","(이름 미입력)",INDEX(명단!$B$5:$B$404,MATCH($B970,명단!$A$5:$A$404,0))),"번호 없음"))</f>
        <v/>
      </c>
    </row>
    <row r="971" customFormat="false" ht="15" hidden="false" customHeight="false" outlineLevel="0" collapsed="false">
      <c r="A971" s="23"/>
      <c r="B971" s="24"/>
      <c r="C971" s="24"/>
      <c r="D971" s="24"/>
      <c r="E971" s="24"/>
      <c r="F971" s="25" t="str">
        <f aca="false">IF($B971="","",IFERROR(IF(INDEX(명단!$B$5:$B$404,MATCH($B971,명단!$A$5:$A$404,0))="","(이름 미입력)",INDEX(명단!$B$5:$B$404,MATCH($B971,명단!$A$5:$A$404,0))),"번호 없음"))</f>
        <v/>
      </c>
    </row>
    <row r="972" customFormat="false" ht="15" hidden="false" customHeight="false" outlineLevel="0" collapsed="false">
      <c r="A972" s="23"/>
      <c r="B972" s="24"/>
      <c r="C972" s="24"/>
      <c r="D972" s="24"/>
      <c r="E972" s="24"/>
      <c r="F972" s="25" t="str">
        <f aca="false">IF($B972="","",IFERROR(IF(INDEX(명단!$B$5:$B$404,MATCH($B972,명단!$A$5:$A$404,0))="","(이름 미입력)",INDEX(명단!$B$5:$B$404,MATCH($B972,명단!$A$5:$A$404,0))),"번호 없음"))</f>
        <v/>
      </c>
    </row>
    <row r="973" customFormat="false" ht="15" hidden="false" customHeight="false" outlineLevel="0" collapsed="false">
      <c r="A973" s="23"/>
      <c r="B973" s="24"/>
      <c r="C973" s="24"/>
      <c r="D973" s="24"/>
      <c r="E973" s="24"/>
      <c r="F973" s="25" t="str">
        <f aca="false">IF($B973="","",IFERROR(IF(INDEX(명단!$B$5:$B$404,MATCH($B973,명단!$A$5:$A$404,0))="","(이름 미입력)",INDEX(명단!$B$5:$B$404,MATCH($B973,명단!$A$5:$A$404,0))),"번호 없음"))</f>
        <v/>
      </c>
    </row>
    <row r="974" customFormat="false" ht="15" hidden="false" customHeight="false" outlineLevel="0" collapsed="false">
      <c r="A974" s="23"/>
      <c r="B974" s="24"/>
      <c r="C974" s="24"/>
      <c r="D974" s="24"/>
      <c r="E974" s="24"/>
      <c r="F974" s="25" t="str">
        <f aca="false">IF($B974="","",IFERROR(IF(INDEX(명단!$B$5:$B$404,MATCH($B974,명단!$A$5:$A$404,0))="","(이름 미입력)",INDEX(명단!$B$5:$B$404,MATCH($B974,명단!$A$5:$A$404,0))),"번호 없음"))</f>
        <v/>
      </c>
    </row>
    <row r="975" customFormat="false" ht="15" hidden="false" customHeight="false" outlineLevel="0" collapsed="false">
      <c r="A975" s="23"/>
      <c r="B975" s="24"/>
      <c r="C975" s="24"/>
      <c r="D975" s="24"/>
      <c r="E975" s="24"/>
      <c r="F975" s="25" t="str">
        <f aca="false">IF($B975="","",IFERROR(IF(INDEX(명단!$B$5:$B$404,MATCH($B975,명단!$A$5:$A$404,0))="","(이름 미입력)",INDEX(명단!$B$5:$B$404,MATCH($B975,명단!$A$5:$A$404,0))),"번호 없음"))</f>
        <v/>
      </c>
    </row>
    <row r="976" customFormat="false" ht="15" hidden="false" customHeight="false" outlineLevel="0" collapsed="false">
      <c r="A976" s="23"/>
      <c r="B976" s="24"/>
      <c r="C976" s="24"/>
      <c r="D976" s="24"/>
      <c r="E976" s="24"/>
      <c r="F976" s="25" t="str">
        <f aca="false">IF($B976="","",IFERROR(IF(INDEX(명단!$B$5:$B$404,MATCH($B976,명단!$A$5:$A$404,0))="","(이름 미입력)",INDEX(명단!$B$5:$B$404,MATCH($B976,명단!$A$5:$A$404,0))),"번호 없음"))</f>
        <v/>
      </c>
    </row>
    <row r="977" customFormat="false" ht="15" hidden="false" customHeight="false" outlineLevel="0" collapsed="false">
      <c r="A977" s="23"/>
      <c r="B977" s="24"/>
      <c r="C977" s="24"/>
      <c r="D977" s="24"/>
      <c r="E977" s="24"/>
      <c r="F977" s="25" t="str">
        <f aca="false">IF($B977="","",IFERROR(IF(INDEX(명단!$B$5:$B$404,MATCH($B977,명단!$A$5:$A$404,0))="","(이름 미입력)",INDEX(명단!$B$5:$B$404,MATCH($B977,명단!$A$5:$A$404,0))),"번호 없음"))</f>
        <v/>
      </c>
    </row>
    <row r="978" customFormat="false" ht="15" hidden="false" customHeight="false" outlineLevel="0" collapsed="false">
      <c r="A978" s="23"/>
      <c r="B978" s="24"/>
      <c r="C978" s="24"/>
      <c r="D978" s="24"/>
      <c r="E978" s="24"/>
      <c r="F978" s="25" t="str">
        <f aca="false">IF($B978="","",IFERROR(IF(INDEX(명단!$B$5:$B$404,MATCH($B978,명단!$A$5:$A$404,0))="","(이름 미입력)",INDEX(명단!$B$5:$B$404,MATCH($B978,명단!$A$5:$A$404,0))),"번호 없음"))</f>
        <v/>
      </c>
    </row>
    <row r="979" customFormat="false" ht="15" hidden="false" customHeight="false" outlineLevel="0" collapsed="false">
      <c r="A979" s="23"/>
      <c r="B979" s="24"/>
      <c r="C979" s="24"/>
      <c r="D979" s="24"/>
      <c r="E979" s="24"/>
      <c r="F979" s="25" t="str">
        <f aca="false">IF($B979="","",IFERROR(IF(INDEX(명단!$B$5:$B$404,MATCH($B979,명단!$A$5:$A$404,0))="","(이름 미입력)",INDEX(명단!$B$5:$B$404,MATCH($B979,명단!$A$5:$A$404,0))),"번호 없음"))</f>
        <v/>
      </c>
    </row>
    <row r="980" customFormat="false" ht="15" hidden="false" customHeight="false" outlineLevel="0" collapsed="false">
      <c r="A980" s="23"/>
      <c r="B980" s="24"/>
      <c r="C980" s="24"/>
      <c r="D980" s="24"/>
      <c r="E980" s="24"/>
      <c r="F980" s="25" t="str">
        <f aca="false">IF($B980="","",IFERROR(IF(INDEX(명단!$B$5:$B$404,MATCH($B980,명단!$A$5:$A$404,0))="","(이름 미입력)",INDEX(명단!$B$5:$B$404,MATCH($B980,명단!$A$5:$A$404,0))),"번호 없음"))</f>
        <v/>
      </c>
    </row>
    <row r="981" customFormat="false" ht="15" hidden="false" customHeight="false" outlineLevel="0" collapsed="false">
      <c r="A981" s="23"/>
      <c r="B981" s="24"/>
      <c r="C981" s="24"/>
      <c r="D981" s="24"/>
      <c r="E981" s="24"/>
      <c r="F981" s="25" t="str">
        <f aca="false">IF($B981="","",IFERROR(IF(INDEX(명단!$B$5:$B$404,MATCH($B981,명단!$A$5:$A$404,0))="","(이름 미입력)",INDEX(명단!$B$5:$B$404,MATCH($B981,명단!$A$5:$A$404,0))),"번호 없음"))</f>
        <v/>
      </c>
    </row>
    <row r="982" customFormat="false" ht="15" hidden="false" customHeight="false" outlineLevel="0" collapsed="false">
      <c r="A982" s="23"/>
      <c r="B982" s="24"/>
      <c r="C982" s="24"/>
      <c r="D982" s="24"/>
      <c r="E982" s="24"/>
      <c r="F982" s="25" t="str">
        <f aca="false">IF($B982="","",IFERROR(IF(INDEX(명단!$B$5:$B$404,MATCH($B982,명단!$A$5:$A$404,0))="","(이름 미입력)",INDEX(명단!$B$5:$B$404,MATCH($B982,명단!$A$5:$A$404,0))),"번호 없음"))</f>
        <v/>
      </c>
    </row>
    <row r="983" customFormat="false" ht="15" hidden="false" customHeight="false" outlineLevel="0" collapsed="false">
      <c r="A983" s="23"/>
      <c r="B983" s="24"/>
      <c r="C983" s="24"/>
      <c r="D983" s="24"/>
      <c r="E983" s="24"/>
      <c r="F983" s="25" t="str">
        <f aca="false">IF($B983="","",IFERROR(IF(INDEX(명단!$B$5:$B$404,MATCH($B983,명단!$A$5:$A$404,0))="","(이름 미입력)",INDEX(명단!$B$5:$B$404,MATCH($B983,명단!$A$5:$A$404,0))),"번호 없음"))</f>
        <v/>
      </c>
    </row>
    <row r="984" customFormat="false" ht="15" hidden="false" customHeight="false" outlineLevel="0" collapsed="false">
      <c r="A984" s="23"/>
      <c r="B984" s="24"/>
      <c r="C984" s="24"/>
      <c r="D984" s="24"/>
      <c r="E984" s="24"/>
      <c r="F984" s="25" t="str">
        <f aca="false">IF($B984="","",IFERROR(IF(INDEX(명단!$B$5:$B$404,MATCH($B984,명단!$A$5:$A$404,0))="","(이름 미입력)",INDEX(명단!$B$5:$B$404,MATCH($B984,명단!$A$5:$A$404,0))),"번호 없음"))</f>
        <v/>
      </c>
    </row>
    <row r="985" customFormat="false" ht="15" hidden="false" customHeight="false" outlineLevel="0" collapsed="false">
      <c r="A985" s="23"/>
      <c r="B985" s="24"/>
      <c r="C985" s="24"/>
      <c r="D985" s="24"/>
      <c r="E985" s="24"/>
      <c r="F985" s="25" t="str">
        <f aca="false">IF($B985="","",IFERROR(IF(INDEX(명단!$B$5:$B$404,MATCH($B985,명단!$A$5:$A$404,0))="","(이름 미입력)",INDEX(명단!$B$5:$B$404,MATCH($B985,명단!$A$5:$A$404,0))),"번호 없음"))</f>
        <v/>
      </c>
    </row>
    <row r="986" customFormat="false" ht="15" hidden="false" customHeight="false" outlineLevel="0" collapsed="false">
      <c r="A986" s="23"/>
      <c r="B986" s="24"/>
      <c r="C986" s="24"/>
      <c r="D986" s="24"/>
      <c r="E986" s="24"/>
      <c r="F986" s="25" t="str">
        <f aca="false">IF($B986="","",IFERROR(IF(INDEX(명단!$B$5:$B$404,MATCH($B986,명단!$A$5:$A$404,0))="","(이름 미입력)",INDEX(명단!$B$5:$B$404,MATCH($B986,명단!$A$5:$A$404,0))),"번호 없음"))</f>
        <v/>
      </c>
    </row>
    <row r="987" customFormat="false" ht="15" hidden="false" customHeight="false" outlineLevel="0" collapsed="false">
      <c r="A987" s="23"/>
      <c r="B987" s="24"/>
      <c r="C987" s="24"/>
      <c r="D987" s="24"/>
      <c r="E987" s="24"/>
      <c r="F987" s="25" t="str">
        <f aca="false">IF($B987="","",IFERROR(IF(INDEX(명단!$B$5:$B$404,MATCH($B987,명단!$A$5:$A$404,0))="","(이름 미입력)",INDEX(명단!$B$5:$B$404,MATCH($B987,명단!$A$5:$A$404,0))),"번호 없음"))</f>
        <v/>
      </c>
    </row>
    <row r="988" customFormat="false" ht="15" hidden="false" customHeight="false" outlineLevel="0" collapsed="false">
      <c r="A988" s="23"/>
      <c r="B988" s="24"/>
      <c r="C988" s="24"/>
      <c r="D988" s="24"/>
      <c r="E988" s="24"/>
      <c r="F988" s="25" t="str">
        <f aca="false">IF($B988="","",IFERROR(IF(INDEX(명단!$B$5:$B$404,MATCH($B988,명단!$A$5:$A$404,0))="","(이름 미입력)",INDEX(명단!$B$5:$B$404,MATCH($B988,명단!$A$5:$A$404,0))),"번호 없음"))</f>
        <v/>
      </c>
    </row>
    <row r="989" customFormat="false" ht="15" hidden="false" customHeight="false" outlineLevel="0" collapsed="false">
      <c r="A989" s="23"/>
      <c r="B989" s="24"/>
      <c r="C989" s="24"/>
      <c r="D989" s="24"/>
      <c r="E989" s="24"/>
      <c r="F989" s="25" t="str">
        <f aca="false">IF($B989="","",IFERROR(IF(INDEX(명단!$B$5:$B$404,MATCH($B989,명단!$A$5:$A$404,0))="","(이름 미입력)",INDEX(명단!$B$5:$B$404,MATCH($B989,명단!$A$5:$A$404,0))),"번호 없음"))</f>
        <v/>
      </c>
    </row>
    <row r="990" customFormat="false" ht="15" hidden="false" customHeight="false" outlineLevel="0" collapsed="false">
      <c r="A990" s="23"/>
      <c r="B990" s="24"/>
      <c r="C990" s="24"/>
      <c r="D990" s="24"/>
      <c r="E990" s="24"/>
      <c r="F990" s="25" t="str">
        <f aca="false">IF($B990="","",IFERROR(IF(INDEX(명단!$B$5:$B$404,MATCH($B990,명단!$A$5:$A$404,0))="","(이름 미입력)",INDEX(명단!$B$5:$B$404,MATCH($B990,명단!$A$5:$A$404,0))),"번호 없음"))</f>
        <v/>
      </c>
    </row>
    <row r="991" customFormat="false" ht="15" hidden="false" customHeight="false" outlineLevel="0" collapsed="false">
      <c r="A991" s="23"/>
      <c r="B991" s="24"/>
      <c r="C991" s="24"/>
      <c r="D991" s="24"/>
      <c r="E991" s="24"/>
      <c r="F991" s="25" t="str">
        <f aca="false">IF($B991="","",IFERROR(IF(INDEX(명단!$B$5:$B$404,MATCH($B991,명단!$A$5:$A$404,0))="","(이름 미입력)",INDEX(명단!$B$5:$B$404,MATCH($B991,명단!$A$5:$A$404,0))),"번호 없음"))</f>
        <v/>
      </c>
    </row>
    <row r="992" customFormat="false" ht="15" hidden="false" customHeight="false" outlineLevel="0" collapsed="false">
      <c r="A992" s="23"/>
      <c r="B992" s="24"/>
      <c r="C992" s="24"/>
      <c r="D992" s="24"/>
      <c r="E992" s="24"/>
      <c r="F992" s="25" t="str">
        <f aca="false">IF($B992="","",IFERROR(IF(INDEX(명단!$B$5:$B$404,MATCH($B992,명단!$A$5:$A$404,0))="","(이름 미입력)",INDEX(명단!$B$5:$B$404,MATCH($B992,명단!$A$5:$A$404,0))),"번호 없음"))</f>
        <v/>
      </c>
    </row>
    <row r="993" customFormat="false" ht="15" hidden="false" customHeight="false" outlineLevel="0" collapsed="false">
      <c r="A993" s="23"/>
      <c r="B993" s="24"/>
      <c r="C993" s="24"/>
      <c r="D993" s="24"/>
      <c r="E993" s="24"/>
      <c r="F993" s="25" t="str">
        <f aca="false">IF($B993="","",IFERROR(IF(INDEX(명단!$B$5:$B$404,MATCH($B993,명단!$A$5:$A$404,0))="","(이름 미입력)",INDEX(명단!$B$5:$B$404,MATCH($B993,명단!$A$5:$A$404,0))),"번호 없음"))</f>
        <v/>
      </c>
    </row>
    <row r="994" customFormat="false" ht="15" hidden="false" customHeight="false" outlineLevel="0" collapsed="false">
      <c r="A994" s="23"/>
      <c r="B994" s="24"/>
      <c r="C994" s="24"/>
      <c r="D994" s="24"/>
      <c r="E994" s="24"/>
      <c r="F994" s="25" t="str">
        <f aca="false">IF($B994="","",IFERROR(IF(INDEX(명단!$B$5:$B$404,MATCH($B994,명단!$A$5:$A$404,0))="","(이름 미입력)",INDEX(명단!$B$5:$B$404,MATCH($B994,명단!$A$5:$A$404,0))),"번호 없음"))</f>
        <v/>
      </c>
    </row>
    <row r="995" customFormat="false" ht="15" hidden="false" customHeight="false" outlineLevel="0" collapsed="false">
      <c r="A995" s="23"/>
      <c r="B995" s="24"/>
      <c r="C995" s="24"/>
      <c r="D995" s="24"/>
      <c r="E995" s="24"/>
      <c r="F995" s="25" t="str">
        <f aca="false">IF($B995="","",IFERROR(IF(INDEX(명단!$B$5:$B$404,MATCH($B995,명단!$A$5:$A$404,0))="","(이름 미입력)",INDEX(명단!$B$5:$B$404,MATCH($B995,명단!$A$5:$A$404,0))),"번호 없음"))</f>
        <v/>
      </c>
    </row>
    <row r="996" customFormat="false" ht="15" hidden="false" customHeight="false" outlineLevel="0" collapsed="false">
      <c r="A996" s="23"/>
      <c r="B996" s="24"/>
      <c r="C996" s="24"/>
      <c r="D996" s="24"/>
      <c r="E996" s="24"/>
      <c r="F996" s="25" t="str">
        <f aca="false">IF($B996="","",IFERROR(IF(INDEX(명단!$B$5:$B$404,MATCH($B996,명단!$A$5:$A$404,0))="","(이름 미입력)",INDEX(명단!$B$5:$B$404,MATCH($B996,명단!$A$5:$A$404,0))),"번호 없음"))</f>
        <v/>
      </c>
    </row>
    <row r="997" customFormat="false" ht="15" hidden="false" customHeight="false" outlineLevel="0" collapsed="false">
      <c r="A997" s="23"/>
      <c r="B997" s="24"/>
      <c r="C997" s="24"/>
      <c r="D997" s="24"/>
      <c r="E997" s="24"/>
      <c r="F997" s="25" t="str">
        <f aca="false">IF($B997="","",IFERROR(IF(INDEX(명단!$B$5:$B$404,MATCH($B997,명단!$A$5:$A$404,0))="","(이름 미입력)",INDEX(명단!$B$5:$B$404,MATCH($B997,명단!$A$5:$A$404,0))),"번호 없음"))</f>
        <v/>
      </c>
    </row>
    <row r="998" customFormat="false" ht="15" hidden="false" customHeight="false" outlineLevel="0" collapsed="false">
      <c r="A998" s="23"/>
      <c r="B998" s="24"/>
      <c r="C998" s="24"/>
      <c r="D998" s="24"/>
      <c r="E998" s="24"/>
      <c r="F998" s="25" t="str">
        <f aca="false">IF($B998="","",IFERROR(IF(INDEX(명단!$B$5:$B$404,MATCH($B998,명단!$A$5:$A$404,0))="","(이름 미입력)",INDEX(명단!$B$5:$B$404,MATCH($B998,명단!$A$5:$A$404,0))),"번호 없음"))</f>
        <v/>
      </c>
    </row>
    <row r="999" customFormat="false" ht="15" hidden="false" customHeight="false" outlineLevel="0" collapsed="false">
      <c r="A999" s="23"/>
      <c r="B999" s="24"/>
      <c r="C999" s="24"/>
      <c r="D999" s="24"/>
      <c r="E999" s="24"/>
      <c r="F999" s="25" t="str">
        <f aca="false">IF($B999="","",IFERROR(IF(INDEX(명단!$B$5:$B$404,MATCH($B999,명단!$A$5:$A$404,0))="","(이름 미입력)",INDEX(명단!$B$5:$B$404,MATCH($B999,명단!$A$5:$A$404,0))),"번호 없음"))</f>
        <v/>
      </c>
    </row>
    <row r="1000" customFormat="false" ht="15" hidden="false" customHeight="false" outlineLevel="0" collapsed="false">
      <c r="A1000" s="23"/>
      <c r="B1000" s="24"/>
      <c r="C1000" s="24"/>
      <c r="D1000" s="24"/>
      <c r="E1000" s="24"/>
      <c r="F1000" s="25" t="str">
        <f aca="false">IF($B1000="","",IFERROR(IF(INDEX(명단!$B$5:$B$404,MATCH($B1000,명단!$A$5:$A$404,0))="","(이름 미입력)",INDEX(명단!$B$5:$B$404,MATCH($B1000,명단!$A$5:$A$404,0))),"번호 없음"))</f>
        <v/>
      </c>
    </row>
    <row r="1001" customFormat="false" ht="15" hidden="false" customHeight="false" outlineLevel="0" collapsed="false">
      <c r="A1001" s="23"/>
      <c r="B1001" s="24"/>
      <c r="C1001" s="24"/>
      <c r="D1001" s="24"/>
      <c r="E1001" s="24"/>
      <c r="F1001" s="25" t="str">
        <f aca="false">IF($B1001="","",IFERROR(IF(INDEX(명단!$B$5:$B$404,MATCH($B1001,명단!$A$5:$A$404,0))="","(이름 미입력)",INDEX(명단!$B$5:$B$404,MATCH($B1001,명단!$A$5:$A$404,0))),"번호 없음"))</f>
        <v/>
      </c>
    </row>
    <row r="1002" customFormat="false" ht="15" hidden="false" customHeight="false" outlineLevel="0" collapsed="false">
      <c r="A1002" s="23"/>
      <c r="B1002" s="24"/>
      <c r="C1002" s="24"/>
      <c r="D1002" s="24"/>
      <c r="E1002" s="24"/>
      <c r="F1002" s="25" t="str">
        <f aca="false">IF($B1002="","",IFERROR(IF(INDEX(명단!$B$5:$B$404,MATCH($B1002,명단!$A$5:$A$404,0))="","(이름 미입력)",INDEX(명단!$B$5:$B$404,MATCH($B1002,명단!$A$5:$A$404,0))),"번호 없음"))</f>
        <v/>
      </c>
    </row>
    <row r="1003" customFormat="false" ht="15" hidden="false" customHeight="false" outlineLevel="0" collapsed="false">
      <c r="A1003" s="23"/>
      <c r="B1003" s="24"/>
      <c r="C1003" s="24"/>
      <c r="D1003" s="24"/>
      <c r="E1003" s="24"/>
      <c r="F1003" s="25" t="str">
        <f aca="false">IF($B1003="","",IFERROR(IF(INDEX(명단!$B$5:$B$404,MATCH($B1003,명단!$A$5:$A$404,0))="","(이름 미입력)",INDEX(명단!$B$5:$B$404,MATCH($B1003,명단!$A$5:$A$404,0))),"번호 없음"))</f>
        <v/>
      </c>
    </row>
    <row r="1004" customFormat="false" ht="15" hidden="false" customHeight="false" outlineLevel="0" collapsed="false">
      <c r="A1004" s="23"/>
      <c r="B1004" s="24"/>
      <c r="C1004" s="24"/>
      <c r="D1004" s="24"/>
      <c r="E1004" s="24"/>
      <c r="F1004" s="25" t="str">
        <f aca="false">IF($B1004="","",IFERROR(IF(INDEX(명단!$B$5:$B$404,MATCH($B1004,명단!$A$5:$A$404,0))="","(이름 미입력)",INDEX(명단!$B$5:$B$404,MATCH($B1004,명단!$A$5:$A$404,0))),"번호 없음"))</f>
        <v/>
      </c>
    </row>
  </sheetData>
  <conditionalFormatting sqref="A5:F1004">
    <cfRule type="expression" priority="2" aboveAverage="0" equalAverage="0" bottom="0" percent="0" rank="0" text="" dxfId="3">
      <formula>AND($B5="",$B4&lt;&gt;"")</formula>
    </cfRule>
  </conditionalFormatting>
  <conditionalFormatting sqref="F5:F1004">
    <cfRule type="expression" priority="3" aboveAverage="0" equalAverage="0" bottom="0" percent="0" rank="0" text="" dxfId="4">
      <formula>F5="번호 없음"</formula>
    </cfRule>
  </conditionalFormatting>
  <dataValidations count="3">
    <dataValidation allowBlank="true" error="번호는 1~400 사이의 숫자입니다." errorStyle="stop" errorTitle="번호 확인" operator="between" showDropDown="false" showErrorMessage="true" showInputMessage="false" sqref="B5:B1004" type="whole">
      <formula1>1</formula1>
      <formula2>400</formula2>
    </dataValidation>
    <dataValidation allowBlank="true" errorStyle="stop" operator="between" showDropDown="false" showErrorMessage="true" showInputMessage="false" sqref="C5:C1004" type="list">
      <formula1>"1,2"</formula1>
      <formula2>0</formula2>
    </dataValidation>
    <dataValidation allowBlank="true" errorStyle="stop" operator="between" showDropDown="false" showErrorMessage="true" showInputMessage="false" sqref="D5:D1004" type="list">
      <formula1>"불필요,필요,완료"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B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5" min="3" style="0" width="16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true" outlineLevel="0" max="8" min="8" style="0" width="8"/>
  </cols>
  <sheetData>
    <row r="1" customFormat="false" ht="20.85" hidden="false" customHeight="false" outlineLevel="0" collapsed="false">
      <c r="B1" s="1" t="s">
        <v>151</v>
      </c>
      <c r="H1" s="29" t="n">
        <f aca="false">IFERROR(MATCH($C$3,명단!$A$5:$A$404,0),"")</f>
        <v>1</v>
      </c>
    </row>
    <row r="3" customFormat="false" ht="18.65" hidden="false" customHeight="false" outlineLevel="0" collapsed="false">
      <c r="B3" s="10" t="s">
        <v>152</v>
      </c>
      <c r="C3" s="30" t="n">
        <v>1</v>
      </c>
      <c r="D3" s="2" t="s">
        <v>153</v>
      </c>
    </row>
    <row r="5" customFormat="false" ht="17.15" hidden="false" customHeight="false" outlineLevel="0" collapsed="false">
      <c r="B5" s="31" t="s">
        <v>154</v>
      </c>
      <c r="C5" s="32" t="str">
        <f aca="false">IF($H$1="","번호 없음",IF(IF($H$1="","",IF(INDEX(명단!$B$5:$B$404,$H$1)="","",INDEX(명단!$B$5:$B$404,$H$1)))="","(이름 미입력)",IF($H$1="","",IF(INDEX(명단!$B$5:$B$404,$H$1)="","",INDEX(명단!$B$5:$B$404,$H$1)))))</f>
        <v>(이름 미입력)</v>
      </c>
      <c r="D5" s="31" t="s">
        <v>155</v>
      </c>
      <c r="E5" s="33" t="str">
        <f aca="false">IF($H$1="","",IF(INDEX(명단!$C$5:$C$404,$H$1)="","",INDEX(명단!$C$5:$C$404,$H$1)))&amp;IF(IF($H$1="","",IF(INDEX(명단!$D$5:$D$404,$H$1)="","",INDEX(명단!$D$5:$D$404,$H$1)))="","",IF(IF($H$1="","",IF(INDEX(명단!$C$5:$C$404,$H$1)="","",INDEX(명단!$C$5:$C$404,$H$1)))="",""," / ")&amp;IF($H$1="","",IF(INDEX(명단!$D$5:$D$404,$H$1)="","",INDEX(명단!$D$5:$D$404,$H$1)))&amp;"세")</f>
        <v/>
      </c>
      <c r="F5" s="33"/>
    </row>
    <row r="6" customFormat="false" ht="15" hidden="false" customHeight="false" outlineLevel="0" collapsed="false">
      <c r="B6" s="31" t="s">
        <v>156</v>
      </c>
      <c r="C6" s="34" t="str">
        <f aca="false">IF($H$1="","",IF(INDEX(명단!$F$5:$F$404,$H$1)="","",INDEX(명단!$F$5:$F$404,$H$1)))</f>
        <v/>
      </c>
      <c r="D6" s="31" t="s">
        <v>157</v>
      </c>
      <c r="E6" s="9" t="str">
        <f aca="false">IF($H$1="","",IF(INDEX(명단!$H$5:$H$404,$H$1)="","",INDEX(명단!$H$5:$H$404,$H$1)))</f>
        <v/>
      </c>
      <c r="F6" s="9"/>
    </row>
    <row r="8" customFormat="false" ht="15" hidden="false" customHeight="false" outlineLevel="0" collapsed="false">
      <c r="B8" s="35" t="s">
        <v>158</v>
      </c>
      <c r="C8" s="35" t="s">
        <v>159</v>
      </c>
      <c r="D8" s="35" t="s">
        <v>160</v>
      </c>
      <c r="E8" s="35" t="s">
        <v>161</v>
      </c>
      <c r="F8" s="35" t="s">
        <v>162</v>
      </c>
    </row>
    <row r="9" customFormat="false" ht="15" hidden="false" customHeight="false" outlineLevel="0" collapsed="false">
      <c r="B9" s="31" t="s">
        <v>163</v>
      </c>
      <c r="C9" s="36" t="str">
        <f aca="false">IF($H$1="","",IF(INDEX(명단!$I$5:$I$404,$H$1)="","",INDEX(명단!$I$5:$I$404,$H$1)))</f>
        <v/>
      </c>
      <c r="D9" s="37" t="str">
        <f aca="false">IF($H$1="","",IF(INDEX(명단!$O$5:$O$404,$H$1)="","",INDEX(명단!$O$5:$O$404,$H$1)))</f>
        <v/>
      </c>
      <c r="E9" s="38" t="str">
        <f aca="false">IF(AND(ISNUMBER(C9),ISNUMBER(D9)),D9-C9,"")</f>
        <v/>
      </c>
      <c r="F9" s="33" t="str">
        <f aca="false">IF(E9="","",IF(E9&gt;0,"▲ 향상",IF(E9&lt;0,"▼ 감소","― 유지")))</f>
        <v/>
      </c>
    </row>
    <row r="10" customFormat="false" ht="15" hidden="false" customHeight="false" outlineLevel="0" collapsed="false">
      <c r="B10" s="31" t="s">
        <v>164</v>
      </c>
      <c r="C10" s="36" t="str">
        <f aca="false">IF($H$1="","",IF(INDEX(명단!$J$5:$J$404,$H$1)="","",INDEX(명단!$J$5:$J$404,$H$1)))</f>
        <v/>
      </c>
      <c r="D10" s="37" t="str">
        <f aca="false">IF($H$1="","",IF(INDEX(명단!$P$5:$P$404,$H$1)="","",INDEX(명단!$P$5:$P$404,$H$1)))</f>
        <v/>
      </c>
      <c r="E10" s="38" t="str">
        <f aca="false">IF(AND(ISNUMBER(C10),ISNUMBER(D10)),D10-C10,"")</f>
        <v/>
      </c>
      <c r="F10" s="33" t="str">
        <f aca="false">IF(E10="","",IF(E10&gt;0,"▲ 향상",IF(E10&lt;0,"▼ 감소","― 유지")))</f>
        <v/>
      </c>
    </row>
    <row r="11" customFormat="false" ht="15" hidden="false" customHeight="false" outlineLevel="0" collapsed="false">
      <c r="B11" s="31" t="s">
        <v>165</v>
      </c>
      <c r="C11" s="36" t="str">
        <f aca="false">IF($H$1="","",IF(INDEX(명단!$K$5:$K$404,$H$1)="","",INDEX(명단!$K$5:$K$404,$H$1)))</f>
        <v/>
      </c>
      <c r="D11" s="37" t="str">
        <f aca="false">IF($H$1="","",IF(INDEX(명단!$Q$5:$Q$404,$H$1)="","",INDEX(명단!$Q$5:$Q$404,$H$1)))</f>
        <v/>
      </c>
      <c r="E11" s="38" t="str">
        <f aca="false">IF(AND(ISNUMBER(C11),ISNUMBER(D11)),D11-C11,"")</f>
        <v/>
      </c>
      <c r="F11" s="33" t="str">
        <f aca="false">IF(E11="","",IF(E11&gt;0,"▲ 향상",IF(E11&lt;0,"▼ 감소","― 유지")))</f>
        <v/>
      </c>
    </row>
    <row r="12" customFormat="false" ht="15" hidden="false" customHeight="false" outlineLevel="0" collapsed="false">
      <c r="B12" s="39" t="s">
        <v>166</v>
      </c>
      <c r="C12" s="36" t="str">
        <f aca="false">IF($H$1="","",IF(INDEX(명단!$L$5:$L$404,$H$1)="","",INDEX(명단!$L$5:$L$404,$H$1)))</f>
        <v/>
      </c>
      <c r="D12" s="37" t="str">
        <f aca="false">IF($H$1="","",IF(INDEX(명단!$R$5:$R$404,$H$1)="","",INDEX(명단!$R$5:$R$404,$H$1)))</f>
        <v/>
      </c>
      <c r="E12" s="38" t="str">
        <f aca="false">IF(AND(ISNUMBER(C12),ISNUMBER(D12)),D12-C12,"")</f>
        <v/>
      </c>
      <c r="F12" s="33" t="str">
        <f aca="false">IF(E12="","",IF(E12&lt;0,"▲ 향상(빨라짐)",IF(E12&gt;0,"▼ 느려짐","― 유지")))</f>
        <v/>
      </c>
    </row>
    <row r="14" customFormat="false" ht="15" hidden="false" customHeight="true" outlineLevel="0" collapsed="false">
      <c r="B14" s="35" t="s">
        <v>167</v>
      </c>
      <c r="C14" s="35" t="s">
        <v>168</v>
      </c>
      <c r="D14" s="35"/>
      <c r="E14" s="35"/>
      <c r="F14" s="35" t="s">
        <v>169</v>
      </c>
    </row>
    <row r="15" customFormat="false" ht="15" hidden="false" customHeight="false" outlineLevel="0" collapsed="false">
      <c r="B15" s="31" t="s">
        <v>170</v>
      </c>
      <c r="C15" s="40" t="str">
        <f aca="false">IF(IF($H$1="","",IF(INDEX(명단!$S$5:$S$404,$H$1)="","",INDEX(명단!$S$5:$S$404,$H$1)))="","",IF($H$1="","",IF(INDEX(명단!$S$5:$S$404,$H$1)="","",INDEX(명단!$S$5:$S$404,$H$1)))&amp;" / "&amp;IF($H$1="","",IF(INDEX(명단!$T$5:$T$404,$H$1)="","",INDEX(명단!$T$5:$T$404,$H$1))))</f>
        <v/>
      </c>
      <c r="D15" s="40"/>
      <c r="E15" s="40"/>
      <c r="F15" s="40" t="str">
        <f aca="false">IF($H$1="","",IF(INDEX(명단!$X$5:$X$404,$H$1)="","",INDEX(명단!$X$5:$X$404,$H$1)))</f>
        <v/>
      </c>
    </row>
    <row r="16" customFormat="false" ht="15" hidden="false" customHeight="false" outlineLevel="0" collapsed="false">
      <c r="B16" s="31" t="s">
        <v>171</v>
      </c>
      <c r="C16" s="40" t="str">
        <f aca="false">IF(IF($H$1="","",IF(INDEX(명단!$U$5:$U$404,$H$1)="","",INDEX(명단!$U$5:$U$404,$H$1)))="","",IF($H$1="","",IF(INDEX(명단!$U$5:$U$404,$H$1)="","",INDEX(명단!$U$5:$U$404,$H$1)))&amp;IF(IF($H$1="","",IF(INDEX(명단!$V$5:$V$404,$H$1)="","",INDEX(명단!$V$5:$V$404,$H$1)))="",""," ("&amp;IF($H$1="","",IF(INDEX(명단!$V$5:$V$404,$H$1)="","",INDEX(명단!$V$5:$V$404,$H$1)))&amp;")"))</f>
        <v/>
      </c>
      <c r="D16" s="40"/>
      <c r="E16" s="40"/>
      <c r="F16" s="40" t="str">
        <f aca="false">IF($H$1="","",IF(INDEX(명단!$Y$5:$Y$404,$H$1)="","",INDEX(명단!$Y$5:$Y$404,$H$1)))</f>
        <v/>
      </c>
    </row>
    <row r="18" customFormat="false" ht="15" hidden="false" customHeight="false" outlineLevel="0" collapsed="false">
      <c r="B18" s="31" t="s">
        <v>172</v>
      </c>
      <c r="C18" s="41" t="str">
        <f aca="false">IF($H$1="","",IF(INDEX(명단!$AA$5:$AA$404,$H$1)="","",INDEX(명단!$AA$5:$AA$404,$H$1)))</f>
        <v>미방문</v>
      </c>
      <c r="D18" s="31" t="s">
        <v>150</v>
      </c>
      <c r="E18" s="33" t="str">
        <f aca="false">IF($H$1="","",IF(INDEX(명단!$W$5:$W$404,$H$1)="","",INDEX(명단!$W$5:$W$404,$H$1)))</f>
        <v/>
      </c>
      <c r="F18" s="33"/>
    </row>
    <row r="20" customFormat="false" ht="15" hidden="false" customHeight="false" outlineLevel="0" collapsed="false">
      <c r="B20" s="42" t="s">
        <v>173</v>
      </c>
      <c r="C20" s="43"/>
      <c r="D20" s="43"/>
      <c r="E20" s="43"/>
      <c r="F20" s="43"/>
    </row>
    <row r="21" customFormat="false" ht="15" hidden="false" customHeight="false" outlineLevel="0" collapsed="false">
      <c r="B21" s="44"/>
      <c r="C21" s="44"/>
      <c r="D21" s="44"/>
      <c r="E21" s="44"/>
      <c r="F21" s="44"/>
    </row>
    <row r="22" customFormat="false" ht="15" hidden="false" customHeight="false" outlineLevel="0" collapsed="false">
      <c r="B22" s="44"/>
      <c r="C22" s="44"/>
      <c r="D22" s="44"/>
      <c r="E22" s="44"/>
      <c r="F22" s="44"/>
    </row>
    <row r="23" customFormat="false" ht="15" hidden="false" customHeight="false" outlineLevel="0" collapsed="false">
      <c r="B23" s="44"/>
      <c r="C23" s="44"/>
      <c r="D23" s="44"/>
      <c r="E23" s="44"/>
      <c r="F23" s="44"/>
    </row>
    <row r="24" customFormat="false" ht="15" hidden="false" customHeight="false" outlineLevel="0" collapsed="false">
      <c r="B24" s="44"/>
      <c r="C24" s="44"/>
      <c r="D24" s="44"/>
      <c r="E24" s="44"/>
      <c r="F24" s="44"/>
    </row>
    <row r="25" customFormat="false" ht="15" hidden="false" customHeight="false" outlineLevel="0" collapsed="false">
      <c r="B25" s="44"/>
      <c r="C25" s="44"/>
      <c r="D25" s="44"/>
      <c r="E25" s="44"/>
      <c r="F25" s="44"/>
    </row>
    <row r="27" customFormat="false" ht="15" hidden="false" customHeight="false" outlineLevel="0" collapsed="false">
      <c r="B27" s="45" t="s">
        <v>174</v>
      </c>
    </row>
  </sheetData>
  <mergeCells count="7">
    <mergeCell ref="E5:F5"/>
    <mergeCell ref="E6:F6"/>
    <mergeCell ref="C14:E14"/>
    <mergeCell ref="C15:E15"/>
    <mergeCell ref="C16:E16"/>
    <mergeCell ref="E18:F18"/>
    <mergeCell ref="B21:F25"/>
  </mergeCells>
  <conditionalFormatting sqref="F9:F12">
    <cfRule type="expression" priority="2" aboveAverage="0" equalAverage="0" bottom="0" percent="0" rank="0" text="" dxfId="9">
      <formula>LEFT(F9,1)="▲"</formula>
    </cfRule>
    <cfRule type="expression" priority="3" aboveAverage="0" equalAverage="0" bottom="0" percent="0" rank="0" text="" dxfId="10">
      <formula>LEFT(F9,1)="▼"</formula>
    </cfRule>
  </conditionalFormatting>
  <conditionalFormatting sqref="F15:F16">
    <cfRule type="expression" priority="4" aboveAverage="0" equalAverage="0" bottom="0" percent="0" rank="0" text="" dxfId="6">
      <formula>LEFT(F15,2)="긴급"</formula>
    </cfRule>
    <cfRule type="expression" priority="5" aboveAverage="0" equalAverage="0" bottom="0" percent="0" rank="0" text="" dxfId="11">
      <formula>F15="주의"</formula>
    </cfRule>
    <cfRule type="expression" priority="6" aboveAverage="0" equalAverage="0" bottom="0" percent="0" rank="0" text="" dxfId="12">
      <formula>F15="정상"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B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5" min="3" style="0" width="16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true" outlineLevel="0" max="8" min="8" style="0" width="8"/>
  </cols>
  <sheetData>
    <row r="1" customFormat="false" ht="20.85" hidden="false" customHeight="false" outlineLevel="0" collapsed="false">
      <c r="B1" s="1" t="s">
        <v>175</v>
      </c>
      <c r="H1" s="29" t="n">
        <f aca="false">IFERROR(MATCH($C$3,명단!$A$5:$A$404,0),"")</f>
        <v>1</v>
      </c>
    </row>
    <row r="3" customFormat="false" ht="18.65" hidden="false" customHeight="false" outlineLevel="0" collapsed="false">
      <c r="B3" s="10" t="s">
        <v>152</v>
      </c>
      <c r="C3" s="30" t="n">
        <v>1</v>
      </c>
      <c r="D3" s="2" t="s">
        <v>153</v>
      </c>
    </row>
    <row r="5" customFormat="false" ht="17.15" hidden="false" customHeight="false" outlineLevel="0" collapsed="false">
      <c r="B5" s="31" t="s">
        <v>154</v>
      </c>
      <c r="C5" s="32" t="str">
        <f aca="false">IF($H$1="","번호 없음",IF(IF($H$1="","",IF(INDEX(명단!$B$5:$B$404,$H$1)="","",INDEX(명단!$B$5:$B$404,$H$1)))="","(이름 미입력)",IF($H$1="","",IF(INDEX(명단!$B$5:$B$404,$H$1)="","",INDEX(명단!$B$5:$B$404,$H$1)))))</f>
        <v>(이름 미입력)</v>
      </c>
      <c r="D5" s="31" t="s">
        <v>155</v>
      </c>
      <c r="E5" s="33" t="str">
        <f aca="false">IF($H$1="","",IF(INDEX(명단!$C$5:$C$404,$H$1)="","",INDEX(명단!$C$5:$C$404,$H$1)))&amp;IF(IF($H$1="","",IF(INDEX(명단!$D$5:$D$404,$H$1)="","",INDEX(명단!$D$5:$D$404,$H$1)))="","",IF(IF($H$1="","",IF(INDEX(명단!$C$5:$C$404,$H$1)="","",INDEX(명단!$C$5:$C$404,$H$1)))="",""," / ")&amp;IF($H$1="","",IF(INDEX(명단!$D$5:$D$404,$H$1)="","",INDEX(명단!$D$5:$D$404,$H$1)))&amp;"세")</f>
        <v/>
      </c>
      <c r="F5" s="33"/>
    </row>
    <row r="6" customFormat="false" ht="15" hidden="false" customHeight="false" outlineLevel="0" collapsed="false">
      <c r="B6" s="31" t="s">
        <v>156</v>
      </c>
      <c r="C6" s="34" t="str">
        <f aca="false">IF($H$1="","",IF(INDEX(명단!$F$5:$F$404,$H$1)="","",INDEX(명단!$F$5:$F$404,$H$1)))</f>
        <v/>
      </c>
      <c r="D6" s="31" t="s">
        <v>157</v>
      </c>
      <c r="E6" s="9" t="str">
        <f aca="false">IF($H$1="","",IF(INDEX(명단!$H$5:$H$404,$H$1)="","",INDEX(명단!$H$5:$H$404,$H$1)))</f>
        <v/>
      </c>
      <c r="F6" s="9"/>
    </row>
    <row r="8" customFormat="false" ht="15" hidden="false" customHeight="false" outlineLevel="0" collapsed="false">
      <c r="B8" s="35" t="s">
        <v>158</v>
      </c>
      <c r="C8" s="35" t="s">
        <v>159</v>
      </c>
      <c r="D8" s="35" t="s">
        <v>160</v>
      </c>
      <c r="E8" s="35" t="s">
        <v>161</v>
      </c>
      <c r="F8" s="35" t="s">
        <v>162</v>
      </c>
    </row>
    <row r="9" customFormat="false" ht="15" hidden="false" customHeight="false" outlineLevel="0" collapsed="false">
      <c r="B9" s="31" t="s">
        <v>163</v>
      </c>
      <c r="C9" s="36" t="str">
        <f aca="false">IF($H$1="","",IF(INDEX(명단!$I$5:$I$404,$H$1)="","",INDEX(명단!$I$5:$I$404,$H$1)))</f>
        <v/>
      </c>
      <c r="D9" s="37" t="str">
        <f aca="false">IF($H$1="","",IF(INDEX(명단!$O$5:$O$404,$H$1)="","",INDEX(명단!$O$5:$O$404,$H$1)))</f>
        <v/>
      </c>
      <c r="E9" s="38" t="str">
        <f aca="false">IF(AND(ISNUMBER(C9),ISNUMBER(D9)),D9-C9,"")</f>
        <v/>
      </c>
      <c r="F9" s="33" t="str">
        <f aca="false">IF(E9="","",IF(E9&gt;0,"▲ 향상",IF(E9&lt;0,"▼ 감소","― 유지")))</f>
        <v/>
      </c>
    </row>
    <row r="10" customFormat="false" ht="15" hidden="false" customHeight="false" outlineLevel="0" collapsed="false">
      <c r="B10" s="31" t="s">
        <v>164</v>
      </c>
      <c r="C10" s="36" t="str">
        <f aca="false">IF($H$1="","",IF(INDEX(명단!$J$5:$J$404,$H$1)="","",INDEX(명단!$J$5:$J$404,$H$1)))</f>
        <v/>
      </c>
      <c r="D10" s="37" t="str">
        <f aca="false">IF($H$1="","",IF(INDEX(명단!$P$5:$P$404,$H$1)="","",INDEX(명단!$P$5:$P$404,$H$1)))</f>
        <v/>
      </c>
      <c r="E10" s="38" t="str">
        <f aca="false">IF(AND(ISNUMBER(C10),ISNUMBER(D10)),D10-C10,"")</f>
        <v/>
      </c>
      <c r="F10" s="33" t="str">
        <f aca="false">IF(E10="","",IF(E10&gt;0,"▲ 향상",IF(E10&lt;0,"▼ 감소","― 유지")))</f>
        <v/>
      </c>
    </row>
    <row r="11" customFormat="false" ht="15" hidden="false" customHeight="false" outlineLevel="0" collapsed="false">
      <c r="B11" s="31" t="s">
        <v>165</v>
      </c>
      <c r="C11" s="36" t="str">
        <f aca="false">IF($H$1="","",IF(INDEX(명단!$K$5:$K$404,$H$1)="","",INDEX(명단!$K$5:$K$404,$H$1)))</f>
        <v/>
      </c>
      <c r="D11" s="37" t="str">
        <f aca="false">IF($H$1="","",IF(INDEX(명단!$Q$5:$Q$404,$H$1)="","",INDEX(명단!$Q$5:$Q$404,$H$1)))</f>
        <v/>
      </c>
      <c r="E11" s="38" t="str">
        <f aca="false">IF(AND(ISNUMBER(C11),ISNUMBER(D11)),D11-C11,"")</f>
        <v/>
      </c>
      <c r="F11" s="33" t="str">
        <f aca="false">IF(E11="","",IF(E11&gt;0,"▲ 향상",IF(E11&lt;0,"▼ 감소","― 유지")))</f>
        <v/>
      </c>
    </row>
    <row r="12" customFormat="false" ht="15" hidden="false" customHeight="false" outlineLevel="0" collapsed="false">
      <c r="B12" s="39" t="s">
        <v>166</v>
      </c>
      <c r="C12" s="36" t="str">
        <f aca="false">IF($H$1="","",IF(INDEX(명단!$L$5:$L$404,$H$1)="","",INDEX(명단!$L$5:$L$404,$H$1)))</f>
        <v/>
      </c>
      <c r="D12" s="37" t="str">
        <f aca="false">IF($H$1="","",IF(INDEX(명단!$R$5:$R$404,$H$1)="","",INDEX(명단!$R$5:$R$404,$H$1)))</f>
        <v/>
      </c>
      <c r="E12" s="38" t="str">
        <f aca="false">IF(AND(ISNUMBER(C12),ISNUMBER(D12)),D12-C12,"")</f>
        <v/>
      </c>
      <c r="F12" s="33" t="str">
        <f aca="false">IF(E12="","",IF(E12&lt;0,"▲ 향상(빨라짐)",IF(E12&gt;0,"▼ 느려짐","― 유지")))</f>
        <v/>
      </c>
    </row>
    <row r="14" customFormat="false" ht="15" hidden="false" customHeight="true" outlineLevel="0" collapsed="false">
      <c r="B14" s="35" t="s">
        <v>167</v>
      </c>
      <c r="C14" s="35" t="s">
        <v>168</v>
      </c>
      <c r="D14" s="35"/>
      <c r="E14" s="35"/>
      <c r="F14" s="35" t="s">
        <v>169</v>
      </c>
    </row>
    <row r="15" customFormat="false" ht="15" hidden="false" customHeight="false" outlineLevel="0" collapsed="false">
      <c r="B15" s="31" t="s">
        <v>170</v>
      </c>
      <c r="C15" s="40" t="str">
        <f aca="false">IF(IF($H$1="","",IF(INDEX(명단!$S$5:$S$404,$H$1)="","",INDEX(명단!$S$5:$S$404,$H$1)))="","",IF($H$1="","",IF(INDEX(명단!$S$5:$S$404,$H$1)="","",INDEX(명단!$S$5:$S$404,$H$1)))&amp;" / "&amp;IF($H$1="","",IF(INDEX(명단!$T$5:$T$404,$H$1)="","",INDEX(명단!$T$5:$T$404,$H$1))))</f>
        <v/>
      </c>
      <c r="D15" s="40"/>
      <c r="E15" s="40"/>
      <c r="F15" s="40" t="str">
        <f aca="false">IF($H$1="","",IF(INDEX(명단!$X$5:$X$404,$H$1)="","",INDEX(명단!$X$5:$X$404,$H$1)))</f>
        <v/>
      </c>
    </row>
    <row r="16" customFormat="false" ht="15" hidden="false" customHeight="false" outlineLevel="0" collapsed="false">
      <c r="B16" s="31" t="s">
        <v>171</v>
      </c>
      <c r="C16" s="40" t="str">
        <f aca="false">IF(IF($H$1="","",IF(INDEX(명단!$U$5:$U$404,$H$1)="","",INDEX(명단!$U$5:$U$404,$H$1)))="","",IF($H$1="","",IF(INDEX(명단!$U$5:$U$404,$H$1)="","",INDEX(명단!$U$5:$U$404,$H$1)))&amp;IF(IF($H$1="","",IF(INDEX(명단!$V$5:$V$404,$H$1)="","",INDEX(명단!$V$5:$V$404,$H$1)))="",""," ("&amp;IF($H$1="","",IF(INDEX(명단!$V$5:$V$404,$H$1)="","",INDEX(명단!$V$5:$V$404,$H$1)))&amp;")"))</f>
        <v/>
      </c>
      <c r="D16" s="40"/>
      <c r="E16" s="40"/>
      <c r="F16" s="40" t="str">
        <f aca="false">IF($H$1="","",IF(INDEX(명단!$Y$5:$Y$404,$H$1)="","",INDEX(명단!$Y$5:$Y$404,$H$1)))</f>
        <v/>
      </c>
    </row>
    <row r="18" customFormat="false" ht="15" hidden="false" customHeight="false" outlineLevel="0" collapsed="false">
      <c r="B18" s="31" t="s">
        <v>172</v>
      </c>
      <c r="C18" s="41" t="str">
        <f aca="false">IF($H$1="","",IF(INDEX(명단!$AA$5:$AA$404,$H$1)="","",INDEX(명단!$AA$5:$AA$404,$H$1)))</f>
        <v>미방문</v>
      </c>
      <c r="D18" s="31" t="s">
        <v>150</v>
      </c>
      <c r="E18" s="33" t="str">
        <f aca="false">IF($H$1="","",IF(INDEX(명단!$W$5:$W$404,$H$1)="","",INDEX(명단!$W$5:$W$404,$H$1)))</f>
        <v/>
      </c>
      <c r="F18" s="33"/>
    </row>
    <row r="20" customFormat="false" ht="15" hidden="false" customHeight="false" outlineLevel="0" collapsed="false">
      <c r="B20" s="42" t="s">
        <v>173</v>
      </c>
      <c r="C20" s="43"/>
      <c r="D20" s="43"/>
      <c r="E20" s="43"/>
      <c r="F20" s="43"/>
    </row>
    <row r="21" customFormat="false" ht="15" hidden="false" customHeight="false" outlineLevel="0" collapsed="false">
      <c r="B21" s="44"/>
      <c r="C21" s="44"/>
      <c r="D21" s="44"/>
      <c r="E21" s="44"/>
      <c r="F21" s="44"/>
    </row>
    <row r="22" customFormat="false" ht="15" hidden="false" customHeight="false" outlineLevel="0" collapsed="false">
      <c r="B22" s="44"/>
      <c r="C22" s="44"/>
      <c r="D22" s="44"/>
      <c r="E22" s="44"/>
      <c r="F22" s="44"/>
    </row>
    <row r="23" customFormat="false" ht="15" hidden="false" customHeight="false" outlineLevel="0" collapsed="false">
      <c r="B23" s="44"/>
      <c r="C23" s="44"/>
      <c r="D23" s="44"/>
      <c r="E23" s="44"/>
      <c r="F23" s="44"/>
    </row>
    <row r="24" customFormat="false" ht="15" hidden="false" customHeight="false" outlineLevel="0" collapsed="false">
      <c r="B24" s="44"/>
      <c r="C24" s="44"/>
      <c r="D24" s="44"/>
      <c r="E24" s="44"/>
      <c r="F24" s="44"/>
    </row>
    <row r="25" customFormat="false" ht="15" hidden="false" customHeight="false" outlineLevel="0" collapsed="false">
      <c r="B25" s="44"/>
      <c r="C25" s="44"/>
      <c r="D25" s="44"/>
      <c r="E25" s="44"/>
      <c r="F25" s="44"/>
    </row>
    <row r="27" customFormat="false" ht="15" hidden="false" customHeight="false" outlineLevel="0" collapsed="false">
      <c r="B27" s="45" t="s">
        <v>174</v>
      </c>
    </row>
  </sheetData>
  <mergeCells count="7">
    <mergeCell ref="E5:F5"/>
    <mergeCell ref="E6:F6"/>
    <mergeCell ref="C14:E14"/>
    <mergeCell ref="C15:E15"/>
    <mergeCell ref="C16:E16"/>
    <mergeCell ref="E18:F18"/>
    <mergeCell ref="B21:F25"/>
  </mergeCells>
  <conditionalFormatting sqref="F9:F12">
    <cfRule type="expression" priority="2" aboveAverage="0" equalAverage="0" bottom="0" percent="0" rank="0" text="" dxfId="9">
      <formula>LEFT(F9,1)="▲"</formula>
    </cfRule>
    <cfRule type="expression" priority="3" aboveAverage="0" equalAverage="0" bottom="0" percent="0" rank="0" text="" dxfId="10">
      <formula>LEFT(F9,1)="▼"</formula>
    </cfRule>
  </conditionalFormatting>
  <conditionalFormatting sqref="F15:F16">
    <cfRule type="expression" priority="4" aboveAverage="0" equalAverage="0" bottom="0" percent="0" rank="0" text="" dxfId="6">
      <formula>LEFT(F15,2)="긴급"</formula>
    </cfRule>
    <cfRule type="expression" priority="5" aboveAverage="0" equalAverage="0" bottom="0" percent="0" rank="0" text="" dxfId="11">
      <formula>F15="주의"</formula>
    </cfRule>
    <cfRule type="expression" priority="6" aboveAverage="0" equalAverage="0" bottom="0" percent="0" rank="0" text="" dxfId="12">
      <formula>F15="정상"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AK4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4" min="3" style="0" width="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6"/>
    <col collapsed="false" customWidth="true" hidden="false" outlineLevel="0" max="12" min="9" style="0" width="9"/>
    <col collapsed="false" customWidth="true" hidden="false" outlineLevel="0" max="13" min="13" style="0" width="8"/>
    <col collapsed="false" customWidth="true" hidden="false" outlineLevel="0" max="14" min="14" style="0" width="20"/>
    <col collapsed="false" customWidth="true" hidden="false" outlineLevel="0" max="18" min="15" style="0" width="9"/>
    <col collapsed="false" customWidth="true" hidden="false" outlineLevel="0" max="22" min="19" style="0" width="8"/>
    <col collapsed="false" customWidth="true" hidden="false" outlineLevel="0" max="24" min="23" style="0" width="9"/>
    <col collapsed="false" customWidth="true" hidden="false" outlineLevel="0" max="25" min="25" style="0" width="13"/>
    <col collapsed="false" customWidth="true" hidden="false" outlineLevel="0" max="26" min="26" style="0" width="9"/>
    <col collapsed="false" customWidth="true" hidden="false" outlineLevel="0" max="27" min="27" style="0" width="14"/>
    <col collapsed="false" customWidth="true" hidden="false" outlineLevel="0" max="30" min="28" style="0" width="15"/>
    <col collapsed="false" customWidth="true" hidden="true" outlineLevel="1" max="33" min="31" style="0" width="11"/>
    <col collapsed="false" customWidth="true" hidden="false" outlineLevel="0" max="34" min="34" style="0" width="15"/>
    <col collapsed="false" customWidth="true" hidden="true" outlineLevel="1" max="37" min="35" style="0" width="7"/>
  </cols>
  <sheetData>
    <row r="1" customFormat="false" ht="19.4" hidden="false" customHeight="false" outlineLevel="0" collapsed="false">
      <c r="A1" s="18" t="s">
        <v>176</v>
      </c>
    </row>
    <row r="2" customFormat="false" ht="15" hidden="false" customHeight="false" outlineLevel="0" collapsed="false">
      <c r="A2" s="2" t="s">
        <v>177</v>
      </c>
    </row>
    <row r="3" customFormat="false" ht="15" hidden="false" customHeight="true" outlineLevel="0" collapsed="false">
      <c r="A3" s="46" t="s">
        <v>178</v>
      </c>
      <c r="B3" s="46"/>
      <c r="C3" s="46"/>
      <c r="D3" s="46"/>
      <c r="E3" s="46"/>
      <c r="F3" s="46"/>
      <c r="G3" s="46"/>
      <c r="H3" s="46"/>
      <c r="I3" s="47" t="s">
        <v>179</v>
      </c>
      <c r="J3" s="47"/>
      <c r="K3" s="47"/>
      <c r="L3" s="47"/>
      <c r="M3" s="48" t="s">
        <v>180</v>
      </c>
      <c r="N3" s="48"/>
      <c r="O3" s="49" t="s">
        <v>181</v>
      </c>
      <c r="P3" s="49"/>
      <c r="Q3" s="49"/>
      <c r="R3" s="49"/>
      <c r="S3" s="49" t="s">
        <v>182</v>
      </c>
      <c r="T3" s="49"/>
      <c r="U3" s="49"/>
      <c r="V3" s="49"/>
      <c r="W3" s="50" t="s">
        <v>183</v>
      </c>
      <c r="X3" s="51" t="s">
        <v>184</v>
      </c>
      <c r="Y3" s="51"/>
      <c r="Z3" s="51"/>
      <c r="AA3" s="51"/>
      <c r="AB3" s="49" t="s">
        <v>185</v>
      </c>
      <c r="AC3" s="49"/>
      <c r="AD3" s="49"/>
      <c r="AE3" s="49" t="s">
        <v>186</v>
      </c>
      <c r="AF3" s="49"/>
      <c r="AG3" s="49"/>
      <c r="AH3" s="50" t="s">
        <v>135</v>
      </c>
      <c r="AI3" s="49" t="s">
        <v>187</v>
      </c>
      <c r="AJ3" s="49"/>
      <c r="AK3" s="49"/>
    </row>
    <row r="4" customFormat="false" ht="33.75" hidden="false" customHeight="true" outlineLevel="0" collapsed="false">
      <c r="A4" s="35" t="s">
        <v>128</v>
      </c>
      <c r="B4" s="35" t="s">
        <v>154</v>
      </c>
      <c r="C4" s="35" t="s">
        <v>188</v>
      </c>
      <c r="D4" s="35" t="s">
        <v>189</v>
      </c>
      <c r="E4" s="35" t="s">
        <v>190</v>
      </c>
      <c r="F4" s="35" t="s">
        <v>156</v>
      </c>
      <c r="G4" s="35" t="s">
        <v>191</v>
      </c>
      <c r="H4" s="35" t="s">
        <v>157</v>
      </c>
      <c r="I4" s="52" t="s">
        <v>192</v>
      </c>
      <c r="J4" s="52" t="s">
        <v>193</v>
      </c>
      <c r="K4" s="52" t="s">
        <v>194</v>
      </c>
      <c r="L4" s="52" t="s">
        <v>195</v>
      </c>
      <c r="M4" s="20" t="s">
        <v>196</v>
      </c>
      <c r="N4" s="20" t="s">
        <v>133</v>
      </c>
      <c r="O4" s="22" t="s">
        <v>129</v>
      </c>
      <c r="P4" s="22" t="s">
        <v>130</v>
      </c>
      <c r="Q4" s="22" t="s">
        <v>131</v>
      </c>
      <c r="R4" s="53" t="s">
        <v>132</v>
      </c>
      <c r="S4" s="22" t="s">
        <v>139</v>
      </c>
      <c r="T4" s="22" t="s">
        <v>140</v>
      </c>
      <c r="U4" s="22" t="s">
        <v>141</v>
      </c>
      <c r="V4" s="22" t="s">
        <v>142</v>
      </c>
      <c r="W4" s="22" t="s">
        <v>150</v>
      </c>
      <c r="X4" s="54" t="s">
        <v>143</v>
      </c>
      <c r="Y4" s="54" t="s">
        <v>144</v>
      </c>
      <c r="Z4" s="54" t="s">
        <v>197</v>
      </c>
      <c r="AA4" s="54" t="s">
        <v>172</v>
      </c>
      <c r="AB4" s="22" t="s">
        <v>198</v>
      </c>
      <c r="AC4" s="22" t="s">
        <v>199</v>
      </c>
      <c r="AD4" s="22" t="s">
        <v>200</v>
      </c>
      <c r="AE4" s="22" t="s">
        <v>201</v>
      </c>
      <c r="AF4" s="22" t="s">
        <v>202</v>
      </c>
      <c r="AG4" s="22" t="s">
        <v>203</v>
      </c>
      <c r="AH4" s="22" t="s">
        <v>204</v>
      </c>
      <c r="AI4" s="53" t="s">
        <v>205</v>
      </c>
      <c r="AJ4" s="53" t="s">
        <v>206</v>
      </c>
      <c r="AK4" s="53" t="s">
        <v>207</v>
      </c>
    </row>
    <row r="5" customFormat="false" ht="15" hidden="false" customHeight="false" outlineLevel="0" collapsed="false">
      <c r="A5" s="55" t="n">
        <v>1</v>
      </c>
      <c r="B5" s="56"/>
      <c r="C5" s="24"/>
      <c r="D5" s="24"/>
      <c r="E5" s="56"/>
      <c r="F5" s="57"/>
      <c r="G5" s="58"/>
      <c r="H5" s="56"/>
      <c r="I5" s="24"/>
      <c r="J5" s="24"/>
      <c r="K5" s="24"/>
      <c r="L5" s="24"/>
      <c r="M5" s="24"/>
      <c r="N5" s="56"/>
      <c r="O5" s="25" t="str">
        <f aca="false">IF($AI5=0,"",IF(INDEX(입력_운동!$C$5:$C$1004,$AI5)="","",INDEX(입력_운동!$C$5:$C$1004,$AI5)))</f>
        <v/>
      </c>
      <c r="P5" s="25" t="str">
        <f aca="false">IF($AI5=0,"",IF(INDEX(입력_운동!$D$5:$D$1004,$AI5)="","",INDEX(입력_운동!$D$5:$D$1004,$AI5)))</f>
        <v/>
      </c>
      <c r="Q5" s="25" t="str">
        <f aca="false">IF($AI5=0,"",IF(INDEX(입력_운동!$E$5:$E$1004,$AI5)="","",INDEX(입력_운동!$E$5:$E$1004,$AI5)))</f>
        <v/>
      </c>
      <c r="R5" s="25" t="str">
        <f aca="false">IF($AI5=0,"",IF(INDEX(입력_운동!$F$5:$F$1004,$AI5)="","",INDEX(입력_운동!$F$5:$F$1004,$AI5)))</f>
        <v/>
      </c>
      <c r="S5" s="25" t="str">
        <f aca="false">IF($AJ5=0,"",IF(INDEX(입력_측정!$C$5:$C$1004,$AJ5)="","",INDEX(입력_측정!$C$5:$C$1004,$AJ5)))</f>
        <v/>
      </c>
      <c r="T5" s="25" t="str">
        <f aca="false">IF($AJ5=0,"",IF(INDEX(입력_측정!$D$5:$D$1004,$AJ5)="","",INDEX(입력_측정!$D$5:$D$1004,$AJ5)))</f>
        <v/>
      </c>
      <c r="U5" s="25" t="str">
        <f aca="false">IF($AJ5=0,"",IF(INDEX(입력_측정!$E$5:$E$1004,$AJ5)="","",INDEX(입력_측정!$E$5:$E$1004,$AJ5)))</f>
        <v/>
      </c>
      <c r="V5" s="25" t="str">
        <f aca="false">IF($AJ5=0,"",IF(INDEX(입력_측정!$F$5:$F$1004,$AJ5)="","",INDEX(입력_측정!$F$5:$F$1004,$AJ5)))</f>
        <v/>
      </c>
      <c r="W5" s="25" t="str">
        <f aca="false">IF($AK5=0,"",IF(INDEX(입력_상담!$D$5:$D$1004,$AK5)="","",INDEX(입력_상담!$D$5:$D$1004,$AK5)))</f>
        <v/>
      </c>
      <c r="X5" s="25" t="str">
        <f aca="false">IF($AJ5=0,"",IF(INDEX(입력_측정!$I$5:$I$1004,$AJ5)="","",INDEX(입력_측정!$I$5:$I$1004,$AJ5)))</f>
        <v/>
      </c>
      <c r="Y5" s="25" t="str">
        <f aca="false">IF($AJ5=0,"",IF(INDEX(입력_측정!$J$5:$J$1004,$AJ5)="","",INDEX(입력_측정!$J$5:$J$1004,$AJ5)))</f>
        <v/>
      </c>
      <c r="Z5" s="25" t="str">
        <f aca="false">IF(OR(X5="긴급",LEFT(Y5,2)="긴급",W5="필요",W5="완료"),"대상","")</f>
        <v/>
      </c>
      <c r="AA5" s="59" t="str">
        <f aca="false">IF(M5&lt;&gt;"",M5,IF(AK5&gt;0,IF(W5="필요","추가상담 대기","완료"),IF(AJ5&gt;0,"결과상담 대기",IF(AI5&gt;0,"측정 대기","미방문"))))</f>
        <v>미방문</v>
      </c>
      <c r="AB5" s="60" t="str">
        <f aca="false">IF($AI5=0,"",IF(INDEX(입력_운동!$A$5:$A$1004,$AI5)="","",INDEX(입력_운동!$A$5:$A$1004,$AI5)))</f>
        <v/>
      </c>
      <c r="AC5" s="60" t="str">
        <f aca="false">IF($AJ5=0,"",IF(INDEX(입력_측정!$A$5:$A$1004,$AJ5)="","",INDEX(입력_측정!$A$5:$A$1004,$AJ5)))</f>
        <v/>
      </c>
      <c r="AD5" s="60" t="str">
        <f aca="false">IF($AK5=0,"",IF(INDEX(입력_상담!$A$5:$A$1004,$AK5)="","",INDEX(입력_상담!$A$5:$A$1004,$AK5)))</f>
        <v/>
      </c>
      <c r="AE5" s="25" t="str">
        <f aca="false">IF(AND(ISNUMBER(AB5),ISNUMBER(AC5)),IF(AC5&gt;=AB5,ROUND((AC5-AB5)*1440,0),""),"")</f>
        <v/>
      </c>
      <c r="AF5" s="25" t="str">
        <f aca="false">IF(AND(ISNUMBER(AC5),ISNUMBER(AD5)),IF(AD5&gt;=AC5,ROUND((AD5-AC5)*1440,0),""),"")</f>
        <v/>
      </c>
      <c r="AG5" s="25" t="str">
        <f aca="false">IF(AND(AA5="완료",ISNUMBER(AB5),ISNUMBER(AD5)),IF(AD5&gt;=AB5,ROUND((AD5-AB5)*1440,0),""),"")</f>
        <v/>
      </c>
      <c r="AH5" s="61" t="str">
        <f aca="false">IF(AND(AK5&gt;0,AJ5=0),"측정 기록 없음",IF(AND(AJ5&gt;0,AI5=0),"운동평가 기록 없음",IF(OR(COUNTIF(입력_운동!$B$5:$B$1004,$A5)&gt;1,COUNTIF(입력_측정!$B$5:$B$1004,$A5)&gt;1),"중복 입력","")))</f>
        <v/>
      </c>
      <c r="AI5" s="62" t="n">
        <f aca="false">SUMPRODUCT(MAX((입력_운동!$B$5:$B$1004=$A5)*(ROW(입력_운동!$B$5:$B$1004)-4)))</f>
        <v>0</v>
      </c>
      <c r="AJ5" s="62" t="n">
        <f aca="false">SUMPRODUCT(MAX((입력_측정!$B$5:$B$1004=$A5)*(ROW(입력_측정!$B$5:$B$1004)-4)))</f>
        <v>0</v>
      </c>
      <c r="AK5" s="62" t="n">
        <f aca="false">SUMPRODUCT(MAX((입력_상담!$B$5:$B$1004=$A5)*(ROW(입력_상담!$B$5:$B$1004)-4)))</f>
        <v>0</v>
      </c>
    </row>
    <row r="6" customFormat="false" ht="15" hidden="false" customHeight="false" outlineLevel="0" collapsed="false">
      <c r="A6" s="55" t="n">
        <v>2</v>
      </c>
      <c r="B6" s="56"/>
      <c r="C6" s="24"/>
      <c r="D6" s="24"/>
      <c r="E6" s="56"/>
      <c r="F6" s="57"/>
      <c r="G6" s="58"/>
      <c r="H6" s="56"/>
      <c r="I6" s="24"/>
      <c r="J6" s="24"/>
      <c r="K6" s="24"/>
      <c r="L6" s="24"/>
      <c r="M6" s="24"/>
      <c r="N6" s="56"/>
      <c r="O6" s="25" t="str">
        <f aca="false">IF($AI6=0,"",IF(INDEX(입력_운동!$C$5:$C$1004,$AI6)="","",INDEX(입력_운동!$C$5:$C$1004,$AI6)))</f>
        <v/>
      </c>
      <c r="P6" s="25" t="str">
        <f aca="false">IF($AI6=0,"",IF(INDEX(입력_운동!$D$5:$D$1004,$AI6)="","",INDEX(입력_운동!$D$5:$D$1004,$AI6)))</f>
        <v/>
      </c>
      <c r="Q6" s="25" t="str">
        <f aca="false">IF($AI6=0,"",IF(INDEX(입력_운동!$E$5:$E$1004,$AI6)="","",INDEX(입력_운동!$E$5:$E$1004,$AI6)))</f>
        <v/>
      </c>
      <c r="R6" s="25" t="str">
        <f aca="false">IF($AI6=0,"",IF(INDEX(입력_운동!$F$5:$F$1004,$AI6)="","",INDEX(입력_운동!$F$5:$F$1004,$AI6)))</f>
        <v/>
      </c>
      <c r="S6" s="25" t="str">
        <f aca="false">IF($AJ6=0,"",IF(INDEX(입력_측정!$C$5:$C$1004,$AJ6)="","",INDEX(입력_측정!$C$5:$C$1004,$AJ6)))</f>
        <v/>
      </c>
      <c r="T6" s="25" t="str">
        <f aca="false">IF($AJ6=0,"",IF(INDEX(입력_측정!$D$5:$D$1004,$AJ6)="","",INDEX(입력_측정!$D$5:$D$1004,$AJ6)))</f>
        <v/>
      </c>
      <c r="U6" s="25" t="str">
        <f aca="false">IF($AJ6=0,"",IF(INDEX(입력_측정!$E$5:$E$1004,$AJ6)="","",INDEX(입력_측정!$E$5:$E$1004,$AJ6)))</f>
        <v/>
      </c>
      <c r="V6" s="25" t="str">
        <f aca="false">IF($AJ6=0,"",IF(INDEX(입력_측정!$F$5:$F$1004,$AJ6)="","",INDEX(입력_측정!$F$5:$F$1004,$AJ6)))</f>
        <v/>
      </c>
      <c r="W6" s="25" t="str">
        <f aca="false">IF($AK6=0,"",IF(INDEX(입력_상담!$D$5:$D$1004,$AK6)="","",INDEX(입력_상담!$D$5:$D$1004,$AK6)))</f>
        <v/>
      </c>
      <c r="X6" s="25" t="str">
        <f aca="false">IF($AJ6=0,"",IF(INDEX(입력_측정!$I$5:$I$1004,$AJ6)="","",INDEX(입력_측정!$I$5:$I$1004,$AJ6)))</f>
        <v/>
      </c>
      <c r="Y6" s="25" t="str">
        <f aca="false">IF($AJ6=0,"",IF(INDEX(입력_측정!$J$5:$J$1004,$AJ6)="","",INDEX(입력_측정!$J$5:$J$1004,$AJ6)))</f>
        <v/>
      </c>
      <c r="Z6" s="25" t="str">
        <f aca="false">IF(OR(X6="긴급",LEFT(Y6,2)="긴급",W6="필요",W6="완료"),"대상","")</f>
        <v/>
      </c>
      <c r="AA6" s="59" t="str">
        <f aca="false">IF(M6&lt;&gt;"",M6,IF(AK6&gt;0,IF(W6="필요","추가상담 대기","완료"),IF(AJ6&gt;0,"결과상담 대기",IF(AI6&gt;0,"측정 대기","미방문"))))</f>
        <v>미방문</v>
      </c>
      <c r="AB6" s="60" t="str">
        <f aca="false">IF($AI6=0,"",IF(INDEX(입력_운동!$A$5:$A$1004,$AI6)="","",INDEX(입력_운동!$A$5:$A$1004,$AI6)))</f>
        <v/>
      </c>
      <c r="AC6" s="60" t="str">
        <f aca="false">IF($AJ6=0,"",IF(INDEX(입력_측정!$A$5:$A$1004,$AJ6)="","",INDEX(입력_측정!$A$5:$A$1004,$AJ6)))</f>
        <v/>
      </c>
      <c r="AD6" s="60" t="str">
        <f aca="false">IF($AK6=0,"",IF(INDEX(입력_상담!$A$5:$A$1004,$AK6)="","",INDEX(입력_상담!$A$5:$A$1004,$AK6)))</f>
        <v/>
      </c>
      <c r="AE6" s="25" t="str">
        <f aca="false">IF(AND(ISNUMBER(AB6),ISNUMBER(AC6)),IF(AC6&gt;=AB6,ROUND((AC6-AB6)*1440,0),""),"")</f>
        <v/>
      </c>
      <c r="AF6" s="25" t="str">
        <f aca="false">IF(AND(ISNUMBER(AC6),ISNUMBER(AD6)),IF(AD6&gt;=AC6,ROUND((AD6-AC6)*1440,0),""),"")</f>
        <v/>
      </c>
      <c r="AG6" s="25" t="str">
        <f aca="false">IF(AND(AA6="완료",ISNUMBER(AB6),ISNUMBER(AD6)),IF(AD6&gt;=AB6,ROUND((AD6-AB6)*1440,0),""),"")</f>
        <v/>
      </c>
      <c r="AH6" s="61" t="str">
        <f aca="false">IF(AND(AK6&gt;0,AJ6=0),"측정 기록 없음",IF(AND(AJ6&gt;0,AI6=0),"운동평가 기록 없음",IF(OR(COUNTIF(입력_운동!$B$5:$B$1004,$A6)&gt;1,COUNTIF(입력_측정!$B$5:$B$1004,$A6)&gt;1),"중복 입력","")))</f>
        <v/>
      </c>
      <c r="AI6" s="62" t="n">
        <f aca="false">SUMPRODUCT(MAX((입력_운동!$B$5:$B$1004=$A6)*(ROW(입력_운동!$B$5:$B$1004)-4)))</f>
        <v>0</v>
      </c>
      <c r="AJ6" s="62" t="n">
        <f aca="false">SUMPRODUCT(MAX((입력_측정!$B$5:$B$1004=$A6)*(ROW(입력_측정!$B$5:$B$1004)-4)))</f>
        <v>0</v>
      </c>
      <c r="AK6" s="62" t="n">
        <f aca="false">SUMPRODUCT(MAX((입력_상담!$B$5:$B$1004=$A6)*(ROW(입력_상담!$B$5:$B$1004)-4)))</f>
        <v>0</v>
      </c>
    </row>
    <row r="7" customFormat="false" ht="15" hidden="false" customHeight="false" outlineLevel="0" collapsed="false">
      <c r="A7" s="55" t="n">
        <v>3</v>
      </c>
      <c r="B7" s="56"/>
      <c r="C7" s="24"/>
      <c r="D7" s="24"/>
      <c r="E7" s="56"/>
      <c r="F7" s="57"/>
      <c r="G7" s="58"/>
      <c r="H7" s="56"/>
      <c r="I7" s="24"/>
      <c r="J7" s="24"/>
      <c r="K7" s="24"/>
      <c r="L7" s="24"/>
      <c r="M7" s="24"/>
      <c r="N7" s="56"/>
      <c r="O7" s="25" t="str">
        <f aca="false">IF($AI7=0,"",IF(INDEX(입력_운동!$C$5:$C$1004,$AI7)="","",INDEX(입력_운동!$C$5:$C$1004,$AI7)))</f>
        <v/>
      </c>
      <c r="P7" s="25" t="str">
        <f aca="false">IF($AI7=0,"",IF(INDEX(입력_운동!$D$5:$D$1004,$AI7)="","",INDEX(입력_운동!$D$5:$D$1004,$AI7)))</f>
        <v/>
      </c>
      <c r="Q7" s="25" t="str">
        <f aca="false">IF($AI7=0,"",IF(INDEX(입력_운동!$E$5:$E$1004,$AI7)="","",INDEX(입력_운동!$E$5:$E$1004,$AI7)))</f>
        <v/>
      </c>
      <c r="R7" s="25" t="str">
        <f aca="false">IF($AI7=0,"",IF(INDEX(입력_운동!$F$5:$F$1004,$AI7)="","",INDEX(입력_운동!$F$5:$F$1004,$AI7)))</f>
        <v/>
      </c>
      <c r="S7" s="25" t="str">
        <f aca="false">IF($AJ7=0,"",IF(INDEX(입력_측정!$C$5:$C$1004,$AJ7)="","",INDEX(입력_측정!$C$5:$C$1004,$AJ7)))</f>
        <v/>
      </c>
      <c r="T7" s="25" t="str">
        <f aca="false">IF($AJ7=0,"",IF(INDEX(입력_측정!$D$5:$D$1004,$AJ7)="","",INDEX(입력_측정!$D$5:$D$1004,$AJ7)))</f>
        <v/>
      </c>
      <c r="U7" s="25" t="str">
        <f aca="false">IF($AJ7=0,"",IF(INDEX(입력_측정!$E$5:$E$1004,$AJ7)="","",INDEX(입력_측정!$E$5:$E$1004,$AJ7)))</f>
        <v/>
      </c>
      <c r="V7" s="25" t="str">
        <f aca="false">IF($AJ7=0,"",IF(INDEX(입력_측정!$F$5:$F$1004,$AJ7)="","",INDEX(입력_측정!$F$5:$F$1004,$AJ7)))</f>
        <v/>
      </c>
      <c r="W7" s="25" t="str">
        <f aca="false">IF($AK7=0,"",IF(INDEX(입력_상담!$D$5:$D$1004,$AK7)="","",INDEX(입력_상담!$D$5:$D$1004,$AK7)))</f>
        <v/>
      </c>
      <c r="X7" s="25" t="str">
        <f aca="false">IF($AJ7=0,"",IF(INDEX(입력_측정!$I$5:$I$1004,$AJ7)="","",INDEX(입력_측정!$I$5:$I$1004,$AJ7)))</f>
        <v/>
      </c>
      <c r="Y7" s="25" t="str">
        <f aca="false">IF($AJ7=0,"",IF(INDEX(입력_측정!$J$5:$J$1004,$AJ7)="","",INDEX(입력_측정!$J$5:$J$1004,$AJ7)))</f>
        <v/>
      </c>
      <c r="Z7" s="25" t="str">
        <f aca="false">IF(OR(X7="긴급",LEFT(Y7,2)="긴급",W7="필요",W7="완료"),"대상","")</f>
        <v/>
      </c>
      <c r="AA7" s="59" t="str">
        <f aca="false">IF(M7&lt;&gt;"",M7,IF(AK7&gt;0,IF(W7="필요","추가상담 대기","완료"),IF(AJ7&gt;0,"결과상담 대기",IF(AI7&gt;0,"측정 대기","미방문"))))</f>
        <v>미방문</v>
      </c>
      <c r="AB7" s="60" t="str">
        <f aca="false">IF($AI7=0,"",IF(INDEX(입력_운동!$A$5:$A$1004,$AI7)="","",INDEX(입력_운동!$A$5:$A$1004,$AI7)))</f>
        <v/>
      </c>
      <c r="AC7" s="60" t="str">
        <f aca="false">IF($AJ7=0,"",IF(INDEX(입력_측정!$A$5:$A$1004,$AJ7)="","",INDEX(입력_측정!$A$5:$A$1004,$AJ7)))</f>
        <v/>
      </c>
      <c r="AD7" s="60" t="str">
        <f aca="false">IF($AK7=0,"",IF(INDEX(입력_상담!$A$5:$A$1004,$AK7)="","",INDEX(입력_상담!$A$5:$A$1004,$AK7)))</f>
        <v/>
      </c>
      <c r="AE7" s="25" t="str">
        <f aca="false">IF(AND(ISNUMBER(AB7),ISNUMBER(AC7)),IF(AC7&gt;=AB7,ROUND((AC7-AB7)*1440,0),""),"")</f>
        <v/>
      </c>
      <c r="AF7" s="25" t="str">
        <f aca="false">IF(AND(ISNUMBER(AC7),ISNUMBER(AD7)),IF(AD7&gt;=AC7,ROUND((AD7-AC7)*1440,0),""),"")</f>
        <v/>
      </c>
      <c r="AG7" s="25" t="str">
        <f aca="false">IF(AND(AA7="완료",ISNUMBER(AB7),ISNUMBER(AD7)),IF(AD7&gt;=AB7,ROUND((AD7-AB7)*1440,0),""),"")</f>
        <v/>
      </c>
      <c r="AH7" s="61" t="str">
        <f aca="false">IF(AND(AK7&gt;0,AJ7=0),"측정 기록 없음",IF(AND(AJ7&gt;0,AI7=0),"운동평가 기록 없음",IF(OR(COUNTIF(입력_운동!$B$5:$B$1004,$A7)&gt;1,COUNTIF(입력_측정!$B$5:$B$1004,$A7)&gt;1),"중복 입력","")))</f>
        <v/>
      </c>
      <c r="AI7" s="62" t="n">
        <f aca="false">SUMPRODUCT(MAX((입력_운동!$B$5:$B$1004=$A7)*(ROW(입력_운동!$B$5:$B$1004)-4)))</f>
        <v>0</v>
      </c>
      <c r="AJ7" s="62" t="n">
        <f aca="false">SUMPRODUCT(MAX((입력_측정!$B$5:$B$1004=$A7)*(ROW(입력_측정!$B$5:$B$1004)-4)))</f>
        <v>0</v>
      </c>
      <c r="AK7" s="62" t="n">
        <f aca="false">SUMPRODUCT(MAX((입력_상담!$B$5:$B$1004=$A7)*(ROW(입력_상담!$B$5:$B$1004)-4)))</f>
        <v>0</v>
      </c>
    </row>
    <row r="8" customFormat="false" ht="15" hidden="false" customHeight="false" outlineLevel="0" collapsed="false">
      <c r="A8" s="55" t="n">
        <v>4</v>
      </c>
      <c r="B8" s="56"/>
      <c r="C8" s="24"/>
      <c r="D8" s="24"/>
      <c r="E8" s="56"/>
      <c r="F8" s="57"/>
      <c r="G8" s="58"/>
      <c r="H8" s="56"/>
      <c r="I8" s="24"/>
      <c r="J8" s="24"/>
      <c r="K8" s="24"/>
      <c r="L8" s="24"/>
      <c r="M8" s="24"/>
      <c r="N8" s="56"/>
      <c r="O8" s="25" t="str">
        <f aca="false">IF($AI8=0,"",IF(INDEX(입력_운동!$C$5:$C$1004,$AI8)="","",INDEX(입력_운동!$C$5:$C$1004,$AI8)))</f>
        <v/>
      </c>
      <c r="P8" s="25" t="str">
        <f aca="false">IF($AI8=0,"",IF(INDEX(입력_운동!$D$5:$D$1004,$AI8)="","",INDEX(입력_운동!$D$5:$D$1004,$AI8)))</f>
        <v/>
      </c>
      <c r="Q8" s="25" t="str">
        <f aca="false">IF($AI8=0,"",IF(INDEX(입력_운동!$E$5:$E$1004,$AI8)="","",INDEX(입력_운동!$E$5:$E$1004,$AI8)))</f>
        <v/>
      </c>
      <c r="R8" s="25" t="str">
        <f aca="false">IF($AI8=0,"",IF(INDEX(입력_운동!$F$5:$F$1004,$AI8)="","",INDEX(입력_운동!$F$5:$F$1004,$AI8)))</f>
        <v/>
      </c>
      <c r="S8" s="25" t="str">
        <f aca="false">IF($AJ8=0,"",IF(INDEX(입력_측정!$C$5:$C$1004,$AJ8)="","",INDEX(입력_측정!$C$5:$C$1004,$AJ8)))</f>
        <v/>
      </c>
      <c r="T8" s="25" t="str">
        <f aca="false">IF($AJ8=0,"",IF(INDEX(입력_측정!$D$5:$D$1004,$AJ8)="","",INDEX(입력_측정!$D$5:$D$1004,$AJ8)))</f>
        <v/>
      </c>
      <c r="U8" s="25" t="str">
        <f aca="false">IF($AJ8=0,"",IF(INDEX(입력_측정!$E$5:$E$1004,$AJ8)="","",INDEX(입력_측정!$E$5:$E$1004,$AJ8)))</f>
        <v/>
      </c>
      <c r="V8" s="25" t="str">
        <f aca="false">IF($AJ8=0,"",IF(INDEX(입력_측정!$F$5:$F$1004,$AJ8)="","",INDEX(입력_측정!$F$5:$F$1004,$AJ8)))</f>
        <v/>
      </c>
      <c r="W8" s="25" t="str">
        <f aca="false">IF($AK8=0,"",IF(INDEX(입력_상담!$D$5:$D$1004,$AK8)="","",INDEX(입력_상담!$D$5:$D$1004,$AK8)))</f>
        <v/>
      </c>
      <c r="X8" s="25" t="str">
        <f aca="false">IF($AJ8=0,"",IF(INDEX(입력_측정!$I$5:$I$1004,$AJ8)="","",INDEX(입력_측정!$I$5:$I$1004,$AJ8)))</f>
        <v/>
      </c>
      <c r="Y8" s="25" t="str">
        <f aca="false">IF($AJ8=0,"",IF(INDEX(입력_측정!$J$5:$J$1004,$AJ8)="","",INDEX(입력_측정!$J$5:$J$1004,$AJ8)))</f>
        <v/>
      </c>
      <c r="Z8" s="25" t="str">
        <f aca="false">IF(OR(X8="긴급",LEFT(Y8,2)="긴급",W8="필요",W8="완료"),"대상","")</f>
        <v/>
      </c>
      <c r="AA8" s="59" t="str">
        <f aca="false">IF(M8&lt;&gt;"",M8,IF(AK8&gt;0,IF(W8="필요","추가상담 대기","완료"),IF(AJ8&gt;0,"결과상담 대기",IF(AI8&gt;0,"측정 대기","미방문"))))</f>
        <v>미방문</v>
      </c>
      <c r="AB8" s="60" t="str">
        <f aca="false">IF($AI8=0,"",IF(INDEX(입력_운동!$A$5:$A$1004,$AI8)="","",INDEX(입력_운동!$A$5:$A$1004,$AI8)))</f>
        <v/>
      </c>
      <c r="AC8" s="60" t="str">
        <f aca="false">IF($AJ8=0,"",IF(INDEX(입력_측정!$A$5:$A$1004,$AJ8)="","",INDEX(입력_측정!$A$5:$A$1004,$AJ8)))</f>
        <v/>
      </c>
      <c r="AD8" s="60" t="str">
        <f aca="false">IF($AK8=0,"",IF(INDEX(입력_상담!$A$5:$A$1004,$AK8)="","",INDEX(입력_상담!$A$5:$A$1004,$AK8)))</f>
        <v/>
      </c>
      <c r="AE8" s="25" t="str">
        <f aca="false">IF(AND(ISNUMBER(AB8),ISNUMBER(AC8)),IF(AC8&gt;=AB8,ROUND((AC8-AB8)*1440,0),""),"")</f>
        <v/>
      </c>
      <c r="AF8" s="25" t="str">
        <f aca="false">IF(AND(ISNUMBER(AC8),ISNUMBER(AD8)),IF(AD8&gt;=AC8,ROUND((AD8-AC8)*1440,0),""),"")</f>
        <v/>
      </c>
      <c r="AG8" s="25" t="str">
        <f aca="false">IF(AND(AA8="완료",ISNUMBER(AB8),ISNUMBER(AD8)),IF(AD8&gt;=AB8,ROUND((AD8-AB8)*1440,0),""),"")</f>
        <v/>
      </c>
      <c r="AH8" s="61" t="str">
        <f aca="false">IF(AND(AK8&gt;0,AJ8=0),"측정 기록 없음",IF(AND(AJ8&gt;0,AI8=0),"운동평가 기록 없음",IF(OR(COUNTIF(입력_운동!$B$5:$B$1004,$A8)&gt;1,COUNTIF(입력_측정!$B$5:$B$1004,$A8)&gt;1),"중복 입력","")))</f>
        <v/>
      </c>
      <c r="AI8" s="62" t="n">
        <f aca="false">SUMPRODUCT(MAX((입력_운동!$B$5:$B$1004=$A8)*(ROW(입력_운동!$B$5:$B$1004)-4)))</f>
        <v>0</v>
      </c>
      <c r="AJ8" s="62" t="n">
        <f aca="false">SUMPRODUCT(MAX((입력_측정!$B$5:$B$1004=$A8)*(ROW(입력_측정!$B$5:$B$1004)-4)))</f>
        <v>0</v>
      </c>
      <c r="AK8" s="62" t="n">
        <f aca="false">SUMPRODUCT(MAX((입력_상담!$B$5:$B$1004=$A8)*(ROW(입력_상담!$B$5:$B$1004)-4)))</f>
        <v>0</v>
      </c>
    </row>
    <row r="9" customFormat="false" ht="15" hidden="false" customHeight="false" outlineLevel="0" collapsed="false">
      <c r="A9" s="55" t="n">
        <v>5</v>
      </c>
      <c r="B9" s="56"/>
      <c r="C9" s="24"/>
      <c r="D9" s="24"/>
      <c r="E9" s="56"/>
      <c r="F9" s="57"/>
      <c r="G9" s="58"/>
      <c r="H9" s="56"/>
      <c r="I9" s="24"/>
      <c r="J9" s="24"/>
      <c r="K9" s="24"/>
      <c r="L9" s="24"/>
      <c r="M9" s="24"/>
      <c r="N9" s="56"/>
      <c r="O9" s="25" t="str">
        <f aca="false">IF($AI9=0,"",IF(INDEX(입력_운동!$C$5:$C$1004,$AI9)="","",INDEX(입력_운동!$C$5:$C$1004,$AI9)))</f>
        <v/>
      </c>
      <c r="P9" s="25" t="str">
        <f aca="false">IF($AI9=0,"",IF(INDEX(입력_운동!$D$5:$D$1004,$AI9)="","",INDEX(입력_운동!$D$5:$D$1004,$AI9)))</f>
        <v/>
      </c>
      <c r="Q9" s="25" t="str">
        <f aca="false">IF($AI9=0,"",IF(INDEX(입력_운동!$E$5:$E$1004,$AI9)="","",INDEX(입력_운동!$E$5:$E$1004,$AI9)))</f>
        <v/>
      </c>
      <c r="R9" s="25" t="str">
        <f aca="false">IF($AI9=0,"",IF(INDEX(입력_운동!$F$5:$F$1004,$AI9)="","",INDEX(입력_운동!$F$5:$F$1004,$AI9)))</f>
        <v/>
      </c>
      <c r="S9" s="25" t="str">
        <f aca="false">IF($AJ9=0,"",IF(INDEX(입력_측정!$C$5:$C$1004,$AJ9)="","",INDEX(입력_측정!$C$5:$C$1004,$AJ9)))</f>
        <v/>
      </c>
      <c r="T9" s="25" t="str">
        <f aca="false">IF($AJ9=0,"",IF(INDEX(입력_측정!$D$5:$D$1004,$AJ9)="","",INDEX(입력_측정!$D$5:$D$1004,$AJ9)))</f>
        <v/>
      </c>
      <c r="U9" s="25" t="str">
        <f aca="false">IF($AJ9=0,"",IF(INDEX(입력_측정!$E$5:$E$1004,$AJ9)="","",INDEX(입력_측정!$E$5:$E$1004,$AJ9)))</f>
        <v/>
      </c>
      <c r="V9" s="25" t="str">
        <f aca="false">IF($AJ9=0,"",IF(INDEX(입력_측정!$F$5:$F$1004,$AJ9)="","",INDEX(입력_측정!$F$5:$F$1004,$AJ9)))</f>
        <v/>
      </c>
      <c r="W9" s="25" t="str">
        <f aca="false">IF($AK9=0,"",IF(INDEX(입력_상담!$D$5:$D$1004,$AK9)="","",INDEX(입력_상담!$D$5:$D$1004,$AK9)))</f>
        <v/>
      </c>
      <c r="X9" s="25" t="str">
        <f aca="false">IF($AJ9=0,"",IF(INDEX(입력_측정!$I$5:$I$1004,$AJ9)="","",INDEX(입력_측정!$I$5:$I$1004,$AJ9)))</f>
        <v/>
      </c>
      <c r="Y9" s="25" t="str">
        <f aca="false">IF($AJ9=0,"",IF(INDEX(입력_측정!$J$5:$J$1004,$AJ9)="","",INDEX(입력_측정!$J$5:$J$1004,$AJ9)))</f>
        <v/>
      </c>
      <c r="Z9" s="25" t="str">
        <f aca="false">IF(OR(X9="긴급",LEFT(Y9,2)="긴급",W9="필요",W9="완료"),"대상","")</f>
        <v/>
      </c>
      <c r="AA9" s="59" t="str">
        <f aca="false">IF(M9&lt;&gt;"",M9,IF(AK9&gt;0,IF(W9="필요","추가상담 대기","완료"),IF(AJ9&gt;0,"결과상담 대기",IF(AI9&gt;0,"측정 대기","미방문"))))</f>
        <v>미방문</v>
      </c>
      <c r="AB9" s="60" t="str">
        <f aca="false">IF($AI9=0,"",IF(INDEX(입력_운동!$A$5:$A$1004,$AI9)="","",INDEX(입력_운동!$A$5:$A$1004,$AI9)))</f>
        <v/>
      </c>
      <c r="AC9" s="60" t="str">
        <f aca="false">IF($AJ9=0,"",IF(INDEX(입력_측정!$A$5:$A$1004,$AJ9)="","",INDEX(입력_측정!$A$5:$A$1004,$AJ9)))</f>
        <v/>
      </c>
      <c r="AD9" s="60" t="str">
        <f aca="false">IF($AK9=0,"",IF(INDEX(입력_상담!$A$5:$A$1004,$AK9)="","",INDEX(입력_상담!$A$5:$A$1004,$AK9)))</f>
        <v/>
      </c>
      <c r="AE9" s="25" t="str">
        <f aca="false">IF(AND(ISNUMBER(AB9),ISNUMBER(AC9)),IF(AC9&gt;=AB9,ROUND((AC9-AB9)*1440,0),""),"")</f>
        <v/>
      </c>
      <c r="AF9" s="25" t="str">
        <f aca="false">IF(AND(ISNUMBER(AC9),ISNUMBER(AD9)),IF(AD9&gt;=AC9,ROUND((AD9-AC9)*1440,0),""),"")</f>
        <v/>
      </c>
      <c r="AG9" s="25" t="str">
        <f aca="false">IF(AND(AA9="완료",ISNUMBER(AB9),ISNUMBER(AD9)),IF(AD9&gt;=AB9,ROUND((AD9-AB9)*1440,0),""),"")</f>
        <v/>
      </c>
      <c r="AH9" s="61" t="str">
        <f aca="false">IF(AND(AK9&gt;0,AJ9=0),"측정 기록 없음",IF(AND(AJ9&gt;0,AI9=0),"운동평가 기록 없음",IF(OR(COUNTIF(입력_운동!$B$5:$B$1004,$A9)&gt;1,COUNTIF(입력_측정!$B$5:$B$1004,$A9)&gt;1),"중복 입력","")))</f>
        <v/>
      </c>
      <c r="AI9" s="62" t="n">
        <f aca="false">SUMPRODUCT(MAX((입력_운동!$B$5:$B$1004=$A9)*(ROW(입력_운동!$B$5:$B$1004)-4)))</f>
        <v>0</v>
      </c>
      <c r="AJ9" s="62" t="n">
        <f aca="false">SUMPRODUCT(MAX((입력_측정!$B$5:$B$1004=$A9)*(ROW(입력_측정!$B$5:$B$1004)-4)))</f>
        <v>0</v>
      </c>
      <c r="AK9" s="62" t="n">
        <f aca="false">SUMPRODUCT(MAX((입력_상담!$B$5:$B$1004=$A9)*(ROW(입력_상담!$B$5:$B$1004)-4)))</f>
        <v>0</v>
      </c>
    </row>
    <row r="10" customFormat="false" ht="15" hidden="false" customHeight="false" outlineLevel="0" collapsed="false">
      <c r="A10" s="55" t="n">
        <v>6</v>
      </c>
      <c r="B10" s="56"/>
      <c r="C10" s="24"/>
      <c r="D10" s="24"/>
      <c r="E10" s="56"/>
      <c r="F10" s="57"/>
      <c r="G10" s="58"/>
      <c r="H10" s="56"/>
      <c r="I10" s="24"/>
      <c r="J10" s="24"/>
      <c r="K10" s="24"/>
      <c r="L10" s="24"/>
      <c r="M10" s="24"/>
      <c r="N10" s="56"/>
      <c r="O10" s="25" t="str">
        <f aca="false">IF($AI10=0,"",IF(INDEX(입력_운동!$C$5:$C$1004,$AI10)="","",INDEX(입력_운동!$C$5:$C$1004,$AI10)))</f>
        <v/>
      </c>
      <c r="P10" s="25" t="str">
        <f aca="false">IF($AI10=0,"",IF(INDEX(입력_운동!$D$5:$D$1004,$AI10)="","",INDEX(입력_운동!$D$5:$D$1004,$AI10)))</f>
        <v/>
      </c>
      <c r="Q10" s="25" t="str">
        <f aca="false">IF($AI10=0,"",IF(INDEX(입력_운동!$E$5:$E$1004,$AI10)="","",INDEX(입력_운동!$E$5:$E$1004,$AI10)))</f>
        <v/>
      </c>
      <c r="R10" s="25" t="str">
        <f aca="false">IF($AI10=0,"",IF(INDEX(입력_운동!$F$5:$F$1004,$AI10)="","",INDEX(입력_운동!$F$5:$F$1004,$AI10)))</f>
        <v/>
      </c>
      <c r="S10" s="25" t="str">
        <f aca="false">IF($AJ10=0,"",IF(INDEX(입력_측정!$C$5:$C$1004,$AJ10)="","",INDEX(입력_측정!$C$5:$C$1004,$AJ10)))</f>
        <v/>
      </c>
      <c r="T10" s="25" t="str">
        <f aca="false">IF($AJ10=0,"",IF(INDEX(입력_측정!$D$5:$D$1004,$AJ10)="","",INDEX(입력_측정!$D$5:$D$1004,$AJ10)))</f>
        <v/>
      </c>
      <c r="U10" s="25" t="str">
        <f aca="false">IF($AJ10=0,"",IF(INDEX(입력_측정!$E$5:$E$1004,$AJ10)="","",INDEX(입력_측정!$E$5:$E$1004,$AJ10)))</f>
        <v/>
      </c>
      <c r="V10" s="25" t="str">
        <f aca="false">IF($AJ10=0,"",IF(INDEX(입력_측정!$F$5:$F$1004,$AJ10)="","",INDEX(입력_측정!$F$5:$F$1004,$AJ10)))</f>
        <v/>
      </c>
      <c r="W10" s="25" t="str">
        <f aca="false">IF($AK10=0,"",IF(INDEX(입력_상담!$D$5:$D$1004,$AK10)="","",INDEX(입력_상담!$D$5:$D$1004,$AK10)))</f>
        <v/>
      </c>
      <c r="X10" s="25" t="str">
        <f aca="false">IF($AJ10=0,"",IF(INDEX(입력_측정!$I$5:$I$1004,$AJ10)="","",INDEX(입력_측정!$I$5:$I$1004,$AJ10)))</f>
        <v/>
      </c>
      <c r="Y10" s="25" t="str">
        <f aca="false">IF($AJ10=0,"",IF(INDEX(입력_측정!$J$5:$J$1004,$AJ10)="","",INDEX(입력_측정!$J$5:$J$1004,$AJ10)))</f>
        <v/>
      </c>
      <c r="Z10" s="25" t="str">
        <f aca="false">IF(OR(X10="긴급",LEFT(Y10,2)="긴급",W10="필요",W10="완료"),"대상","")</f>
        <v/>
      </c>
      <c r="AA10" s="59" t="str">
        <f aca="false">IF(M10&lt;&gt;"",M10,IF(AK10&gt;0,IF(W10="필요","추가상담 대기","완료"),IF(AJ10&gt;0,"결과상담 대기",IF(AI10&gt;0,"측정 대기","미방문"))))</f>
        <v>미방문</v>
      </c>
      <c r="AB10" s="60" t="str">
        <f aca="false">IF($AI10=0,"",IF(INDEX(입력_운동!$A$5:$A$1004,$AI10)="","",INDEX(입력_운동!$A$5:$A$1004,$AI10)))</f>
        <v/>
      </c>
      <c r="AC10" s="60" t="str">
        <f aca="false">IF($AJ10=0,"",IF(INDEX(입력_측정!$A$5:$A$1004,$AJ10)="","",INDEX(입력_측정!$A$5:$A$1004,$AJ10)))</f>
        <v/>
      </c>
      <c r="AD10" s="60" t="str">
        <f aca="false">IF($AK10=0,"",IF(INDEX(입력_상담!$A$5:$A$1004,$AK10)="","",INDEX(입력_상담!$A$5:$A$1004,$AK10)))</f>
        <v/>
      </c>
      <c r="AE10" s="25" t="str">
        <f aca="false">IF(AND(ISNUMBER(AB10),ISNUMBER(AC10)),IF(AC10&gt;=AB10,ROUND((AC10-AB10)*1440,0),""),"")</f>
        <v/>
      </c>
      <c r="AF10" s="25" t="str">
        <f aca="false">IF(AND(ISNUMBER(AC10),ISNUMBER(AD10)),IF(AD10&gt;=AC10,ROUND((AD10-AC10)*1440,0),""),"")</f>
        <v/>
      </c>
      <c r="AG10" s="25" t="str">
        <f aca="false">IF(AND(AA10="완료",ISNUMBER(AB10),ISNUMBER(AD10)),IF(AD10&gt;=AB10,ROUND((AD10-AB10)*1440,0),""),"")</f>
        <v/>
      </c>
      <c r="AH10" s="61" t="str">
        <f aca="false">IF(AND(AK10&gt;0,AJ10=0),"측정 기록 없음",IF(AND(AJ10&gt;0,AI10=0),"운동평가 기록 없음",IF(OR(COUNTIF(입력_운동!$B$5:$B$1004,$A10)&gt;1,COUNTIF(입력_측정!$B$5:$B$1004,$A10)&gt;1),"중복 입력","")))</f>
        <v/>
      </c>
      <c r="AI10" s="62" t="n">
        <f aca="false">SUMPRODUCT(MAX((입력_운동!$B$5:$B$1004=$A10)*(ROW(입력_운동!$B$5:$B$1004)-4)))</f>
        <v>0</v>
      </c>
      <c r="AJ10" s="62" t="n">
        <f aca="false">SUMPRODUCT(MAX((입력_측정!$B$5:$B$1004=$A10)*(ROW(입력_측정!$B$5:$B$1004)-4)))</f>
        <v>0</v>
      </c>
      <c r="AK10" s="62" t="n">
        <f aca="false">SUMPRODUCT(MAX((입력_상담!$B$5:$B$1004=$A10)*(ROW(입력_상담!$B$5:$B$1004)-4)))</f>
        <v>0</v>
      </c>
    </row>
    <row r="11" customFormat="false" ht="15" hidden="false" customHeight="false" outlineLevel="0" collapsed="false">
      <c r="A11" s="55" t="n">
        <v>7</v>
      </c>
      <c r="B11" s="56"/>
      <c r="C11" s="24"/>
      <c r="D11" s="24"/>
      <c r="E11" s="56"/>
      <c r="F11" s="57"/>
      <c r="G11" s="58"/>
      <c r="H11" s="56"/>
      <c r="I11" s="24"/>
      <c r="J11" s="24"/>
      <c r="K11" s="24"/>
      <c r="L11" s="24"/>
      <c r="M11" s="24"/>
      <c r="N11" s="56"/>
      <c r="O11" s="25" t="str">
        <f aca="false">IF($AI11=0,"",IF(INDEX(입력_운동!$C$5:$C$1004,$AI11)="","",INDEX(입력_운동!$C$5:$C$1004,$AI11)))</f>
        <v/>
      </c>
      <c r="P11" s="25" t="str">
        <f aca="false">IF($AI11=0,"",IF(INDEX(입력_운동!$D$5:$D$1004,$AI11)="","",INDEX(입력_운동!$D$5:$D$1004,$AI11)))</f>
        <v/>
      </c>
      <c r="Q11" s="25" t="str">
        <f aca="false">IF($AI11=0,"",IF(INDEX(입력_운동!$E$5:$E$1004,$AI11)="","",INDEX(입력_운동!$E$5:$E$1004,$AI11)))</f>
        <v/>
      </c>
      <c r="R11" s="25" t="str">
        <f aca="false">IF($AI11=0,"",IF(INDEX(입력_운동!$F$5:$F$1004,$AI11)="","",INDEX(입력_운동!$F$5:$F$1004,$AI11)))</f>
        <v/>
      </c>
      <c r="S11" s="25" t="str">
        <f aca="false">IF($AJ11=0,"",IF(INDEX(입력_측정!$C$5:$C$1004,$AJ11)="","",INDEX(입력_측정!$C$5:$C$1004,$AJ11)))</f>
        <v/>
      </c>
      <c r="T11" s="25" t="str">
        <f aca="false">IF($AJ11=0,"",IF(INDEX(입력_측정!$D$5:$D$1004,$AJ11)="","",INDEX(입력_측정!$D$5:$D$1004,$AJ11)))</f>
        <v/>
      </c>
      <c r="U11" s="25" t="str">
        <f aca="false">IF($AJ11=0,"",IF(INDEX(입력_측정!$E$5:$E$1004,$AJ11)="","",INDEX(입력_측정!$E$5:$E$1004,$AJ11)))</f>
        <v/>
      </c>
      <c r="V11" s="25" t="str">
        <f aca="false">IF($AJ11=0,"",IF(INDEX(입력_측정!$F$5:$F$1004,$AJ11)="","",INDEX(입력_측정!$F$5:$F$1004,$AJ11)))</f>
        <v/>
      </c>
      <c r="W11" s="25" t="str">
        <f aca="false">IF($AK11=0,"",IF(INDEX(입력_상담!$D$5:$D$1004,$AK11)="","",INDEX(입력_상담!$D$5:$D$1004,$AK11)))</f>
        <v/>
      </c>
      <c r="X11" s="25" t="str">
        <f aca="false">IF($AJ11=0,"",IF(INDEX(입력_측정!$I$5:$I$1004,$AJ11)="","",INDEX(입력_측정!$I$5:$I$1004,$AJ11)))</f>
        <v/>
      </c>
      <c r="Y11" s="25" t="str">
        <f aca="false">IF($AJ11=0,"",IF(INDEX(입력_측정!$J$5:$J$1004,$AJ11)="","",INDEX(입력_측정!$J$5:$J$1004,$AJ11)))</f>
        <v/>
      </c>
      <c r="Z11" s="25" t="str">
        <f aca="false">IF(OR(X11="긴급",LEFT(Y11,2)="긴급",W11="필요",W11="완료"),"대상","")</f>
        <v/>
      </c>
      <c r="AA11" s="59" t="str">
        <f aca="false">IF(M11&lt;&gt;"",M11,IF(AK11&gt;0,IF(W11="필요","추가상담 대기","완료"),IF(AJ11&gt;0,"결과상담 대기",IF(AI11&gt;0,"측정 대기","미방문"))))</f>
        <v>미방문</v>
      </c>
      <c r="AB11" s="60" t="str">
        <f aca="false">IF($AI11=0,"",IF(INDEX(입력_운동!$A$5:$A$1004,$AI11)="","",INDEX(입력_운동!$A$5:$A$1004,$AI11)))</f>
        <v/>
      </c>
      <c r="AC11" s="60" t="str">
        <f aca="false">IF($AJ11=0,"",IF(INDEX(입력_측정!$A$5:$A$1004,$AJ11)="","",INDEX(입력_측정!$A$5:$A$1004,$AJ11)))</f>
        <v/>
      </c>
      <c r="AD11" s="60" t="str">
        <f aca="false">IF($AK11=0,"",IF(INDEX(입력_상담!$A$5:$A$1004,$AK11)="","",INDEX(입력_상담!$A$5:$A$1004,$AK11)))</f>
        <v/>
      </c>
      <c r="AE11" s="25" t="str">
        <f aca="false">IF(AND(ISNUMBER(AB11),ISNUMBER(AC11)),IF(AC11&gt;=AB11,ROUND((AC11-AB11)*1440,0),""),"")</f>
        <v/>
      </c>
      <c r="AF11" s="25" t="str">
        <f aca="false">IF(AND(ISNUMBER(AC11),ISNUMBER(AD11)),IF(AD11&gt;=AC11,ROUND((AD11-AC11)*1440,0),""),"")</f>
        <v/>
      </c>
      <c r="AG11" s="25" t="str">
        <f aca="false">IF(AND(AA11="완료",ISNUMBER(AB11),ISNUMBER(AD11)),IF(AD11&gt;=AB11,ROUND((AD11-AB11)*1440,0),""),"")</f>
        <v/>
      </c>
      <c r="AH11" s="61" t="str">
        <f aca="false">IF(AND(AK11&gt;0,AJ11=0),"측정 기록 없음",IF(AND(AJ11&gt;0,AI11=0),"운동평가 기록 없음",IF(OR(COUNTIF(입력_운동!$B$5:$B$1004,$A11)&gt;1,COUNTIF(입력_측정!$B$5:$B$1004,$A11)&gt;1),"중복 입력","")))</f>
        <v/>
      </c>
      <c r="AI11" s="62" t="n">
        <f aca="false">SUMPRODUCT(MAX((입력_운동!$B$5:$B$1004=$A11)*(ROW(입력_운동!$B$5:$B$1004)-4)))</f>
        <v>0</v>
      </c>
      <c r="AJ11" s="62" t="n">
        <f aca="false">SUMPRODUCT(MAX((입력_측정!$B$5:$B$1004=$A11)*(ROW(입력_측정!$B$5:$B$1004)-4)))</f>
        <v>0</v>
      </c>
      <c r="AK11" s="62" t="n">
        <f aca="false">SUMPRODUCT(MAX((입력_상담!$B$5:$B$1004=$A11)*(ROW(입력_상담!$B$5:$B$1004)-4)))</f>
        <v>0</v>
      </c>
    </row>
    <row r="12" customFormat="false" ht="15" hidden="false" customHeight="false" outlineLevel="0" collapsed="false">
      <c r="A12" s="55" t="n">
        <v>8</v>
      </c>
      <c r="B12" s="56"/>
      <c r="C12" s="24"/>
      <c r="D12" s="24"/>
      <c r="E12" s="56"/>
      <c r="F12" s="57"/>
      <c r="G12" s="58"/>
      <c r="H12" s="56"/>
      <c r="I12" s="24"/>
      <c r="J12" s="24"/>
      <c r="K12" s="24"/>
      <c r="L12" s="24"/>
      <c r="M12" s="24"/>
      <c r="N12" s="56"/>
      <c r="O12" s="25" t="str">
        <f aca="false">IF($AI12=0,"",IF(INDEX(입력_운동!$C$5:$C$1004,$AI12)="","",INDEX(입력_운동!$C$5:$C$1004,$AI12)))</f>
        <v/>
      </c>
      <c r="P12" s="25" t="str">
        <f aca="false">IF($AI12=0,"",IF(INDEX(입력_운동!$D$5:$D$1004,$AI12)="","",INDEX(입력_운동!$D$5:$D$1004,$AI12)))</f>
        <v/>
      </c>
      <c r="Q12" s="25" t="str">
        <f aca="false">IF($AI12=0,"",IF(INDEX(입력_운동!$E$5:$E$1004,$AI12)="","",INDEX(입력_운동!$E$5:$E$1004,$AI12)))</f>
        <v/>
      </c>
      <c r="R12" s="25" t="str">
        <f aca="false">IF($AI12=0,"",IF(INDEX(입력_운동!$F$5:$F$1004,$AI12)="","",INDEX(입력_운동!$F$5:$F$1004,$AI12)))</f>
        <v/>
      </c>
      <c r="S12" s="25" t="str">
        <f aca="false">IF($AJ12=0,"",IF(INDEX(입력_측정!$C$5:$C$1004,$AJ12)="","",INDEX(입력_측정!$C$5:$C$1004,$AJ12)))</f>
        <v/>
      </c>
      <c r="T12" s="25" t="str">
        <f aca="false">IF($AJ12=0,"",IF(INDEX(입력_측정!$D$5:$D$1004,$AJ12)="","",INDEX(입력_측정!$D$5:$D$1004,$AJ12)))</f>
        <v/>
      </c>
      <c r="U12" s="25" t="str">
        <f aca="false">IF($AJ12=0,"",IF(INDEX(입력_측정!$E$5:$E$1004,$AJ12)="","",INDEX(입력_측정!$E$5:$E$1004,$AJ12)))</f>
        <v/>
      </c>
      <c r="V12" s="25" t="str">
        <f aca="false">IF($AJ12=0,"",IF(INDEX(입력_측정!$F$5:$F$1004,$AJ12)="","",INDEX(입력_측정!$F$5:$F$1004,$AJ12)))</f>
        <v/>
      </c>
      <c r="W12" s="25" t="str">
        <f aca="false">IF($AK12=0,"",IF(INDEX(입력_상담!$D$5:$D$1004,$AK12)="","",INDEX(입력_상담!$D$5:$D$1004,$AK12)))</f>
        <v/>
      </c>
      <c r="X12" s="25" t="str">
        <f aca="false">IF($AJ12=0,"",IF(INDEX(입력_측정!$I$5:$I$1004,$AJ12)="","",INDEX(입력_측정!$I$5:$I$1004,$AJ12)))</f>
        <v/>
      </c>
      <c r="Y12" s="25" t="str">
        <f aca="false">IF($AJ12=0,"",IF(INDEX(입력_측정!$J$5:$J$1004,$AJ12)="","",INDEX(입력_측정!$J$5:$J$1004,$AJ12)))</f>
        <v/>
      </c>
      <c r="Z12" s="25" t="str">
        <f aca="false">IF(OR(X12="긴급",LEFT(Y12,2)="긴급",W12="필요",W12="완료"),"대상","")</f>
        <v/>
      </c>
      <c r="AA12" s="59" t="str">
        <f aca="false">IF(M12&lt;&gt;"",M12,IF(AK12&gt;0,IF(W12="필요","추가상담 대기","완료"),IF(AJ12&gt;0,"결과상담 대기",IF(AI12&gt;0,"측정 대기","미방문"))))</f>
        <v>미방문</v>
      </c>
      <c r="AB12" s="60" t="str">
        <f aca="false">IF($AI12=0,"",IF(INDEX(입력_운동!$A$5:$A$1004,$AI12)="","",INDEX(입력_운동!$A$5:$A$1004,$AI12)))</f>
        <v/>
      </c>
      <c r="AC12" s="60" t="str">
        <f aca="false">IF($AJ12=0,"",IF(INDEX(입력_측정!$A$5:$A$1004,$AJ12)="","",INDEX(입력_측정!$A$5:$A$1004,$AJ12)))</f>
        <v/>
      </c>
      <c r="AD12" s="60" t="str">
        <f aca="false">IF($AK12=0,"",IF(INDEX(입력_상담!$A$5:$A$1004,$AK12)="","",INDEX(입력_상담!$A$5:$A$1004,$AK12)))</f>
        <v/>
      </c>
      <c r="AE12" s="25" t="str">
        <f aca="false">IF(AND(ISNUMBER(AB12),ISNUMBER(AC12)),IF(AC12&gt;=AB12,ROUND((AC12-AB12)*1440,0),""),"")</f>
        <v/>
      </c>
      <c r="AF12" s="25" t="str">
        <f aca="false">IF(AND(ISNUMBER(AC12),ISNUMBER(AD12)),IF(AD12&gt;=AC12,ROUND((AD12-AC12)*1440,0),""),"")</f>
        <v/>
      </c>
      <c r="AG12" s="25" t="str">
        <f aca="false">IF(AND(AA12="완료",ISNUMBER(AB12),ISNUMBER(AD12)),IF(AD12&gt;=AB12,ROUND((AD12-AB12)*1440,0),""),"")</f>
        <v/>
      </c>
      <c r="AH12" s="61" t="str">
        <f aca="false">IF(AND(AK12&gt;0,AJ12=0),"측정 기록 없음",IF(AND(AJ12&gt;0,AI12=0),"운동평가 기록 없음",IF(OR(COUNTIF(입력_운동!$B$5:$B$1004,$A12)&gt;1,COUNTIF(입력_측정!$B$5:$B$1004,$A12)&gt;1),"중복 입력","")))</f>
        <v/>
      </c>
      <c r="AI12" s="62" t="n">
        <f aca="false">SUMPRODUCT(MAX((입력_운동!$B$5:$B$1004=$A12)*(ROW(입력_운동!$B$5:$B$1004)-4)))</f>
        <v>0</v>
      </c>
      <c r="AJ12" s="62" t="n">
        <f aca="false">SUMPRODUCT(MAX((입력_측정!$B$5:$B$1004=$A12)*(ROW(입력_측정!$B$5:$B$1004)-4)))</f>
        <v>0</v>
      </c>
      <c r="AK12" s="62" t="n">
        <f aca="false">SUMPRODUCT(MAX((입력_상담!$B$5:$B$1004=$A12)*(ROW(입력_상담!$B$5:$B$1004)-4)))</f>
        <v>0</v>
      </c>
    </row>
    <row r="13" customFormat="false" ht="15" hidden="false" customHeight="false" outlineLevel="0" collapsed="false">
      <c r="A13" s="55" t="n">
        <v>9</v>
      </c>
      <c r="B13" s="56"/>
      <c r="C13" s="24"/>
      <c r="D13" s="24"/>
      <c r="E13" s="56"/>
      <c r="F13" s="57"/>
      <c r="G13" s="58"/>
      <c r="H13" s="56"/>
      <c r="I13" s="24"/>
      <c r="J13" s="24"/>
      <c r="K13" s="24"/>
      <c r="L13" s="24"/>
      <c r="M13" s="24"/>
      <c r="N13" s="56"/>
      <c r="O13" s="25" t="str">
        <f aca="false">IF($AI13=0,"",IF(INDEX(입력_운동!$C$5:$C$1004,$AI13)="","",INDEX(입력_운동!$C$5:$C$1004,$AI13)))</f>
        <v/>
      </c>
      <c r="P13" s="25" t="str">
        <f aca="false">IF($AI13=0,"",IF(INDEX(입력_운동!$D$5:$D$1004,$AI13)="","",INDEX(입력_운동!$D$5:$D$1004,$AI13)))</f>
        <v/>
      </c>
      <c r="Q13" s="25" t="str">
        <f aca="false">IF($AI13=0,"",IF(INDEX(입력_운동!$E$5:$E$1004,$AI13)="","",INDEX(입력_운동!$E$5:$E$1004,$AI13)))</f>
        <v/>
      </c>
      <c r="R13" s="25" t="str">
        <f aca="false">IF($AI13=0,"",IF(INDEX(입력_운동!$F$5:$F$1004,$AI13)="","",INDEX(입력_운동!$F$5:$F$1004,$AI13)))</f>
        <v/>
      </c>
      <c r="S13" s="25" t="str">
        <f aca="false">IF($AJ13=0,"",IF(INDEX(입력_측정!$C$5:$C$1004,$AJ13)="","",INDEX(입력_측정!$C$5:$C$1004,$AJ13)))</f>
        <v/>
      </c>
      <c r="T13" s="25" t="str">
        <f aca="false">IF($AJ13=0,"",IF(INDEX(입력_측정!$D$5:$D$1004,$AJ13)="","",INDEX(입력_측정!$D$5:$D$1004,$AJ13)))</f>
        <v/>
      </c>
      <c r="U13" s="25" t="str">
        <f aca="false">IF($AJ13=0,"",IF(INDEX(입력_측정!$E$5:$E$1004,$AJ13)="","",INDEX(입력_측정!$E$5:$E$1004,$AJ13)))</f>
        <v/>
      </c>
      <c r="V13" s="25" t="str">
        <f aca="false">IF($AJ13=0,"",IF(INDEX(입력_측정!$F$5:$F$1004,$AJ13)="","",INDEX(입력_측정!$F$5:$F$1004,$AJ13)))</f>
        <v/>
      </c>
      <c r="W13" s="25" t="str">
        <f aca="false">IF($AK13=0,"",IF(INDEX(입력_상담!$D$5:$D$1004,$AK13)="","",INDEX(입력_상담!$D$5:$D$1004,$AK13)))</f>
        <v/>
      </c>
      <c r="X13" s="25" t="str">
        <f aca="false">IF($AJ13=0,"",IF(INDEX(입력_측정!$I$5:$I$1004,$AJ13)="","",INDEX(입력_측정!$I$5:$I$1004,$AJ13)))</f>
        <v/>
      </c>
      <c r="Y13" s="25" t="str">
        <f aca="false">IF($AJ13=0,"",IF(INDEX(입력_측정!$J$5:$J$1004,$AJ13)="","",INDEX(입력_측정!$J$5:$J$1004,$AJ13)))</f>
        <v/>
      </c>
      <c r="Z13" s="25" t="str">
        <f aca="false">IF(OR(X13="긴급",LEFT(Y13,2)="긴급",W13="필요",W13="완료"),"대상","")</f>
        <v/>
      </c>
      <c r="AA13" s="59" t="str">
        <f aca="false">IF(M13&lt;&gt;"",M13,IF(AK13&gt;0,IF(W13="필요","추가상담 대기","완료"),IF(AJ13&gt;0,"결과상담 대기",IF(AI13&gt;0,"측정 대기","미방문"))))</f>
        <v>미방문</v>
      </c>
      <c r="AB13" s="60" t="str">
        <f aca="false">IF($AI13=0,"",IF(INDEX(입력_운동!$A$5:$A$1004,$AI13)="","",INDEX(입력_운동!$A$5:$A$1004,$AI13)))</f>
        <v/>
      </c>
      <c r="AC13" s="60" t="str">
        <f aca="false">IF($AJ13=0,"",IF(INDEX(입력_측정!$A$5:$A$1004,$AJ13)="","",INDEX(입력_측정!$A$5:$A$1004,$AJ13)))</f>
        <v/>
      </c>
      <c r="AD13" s="60" t="str">
        <f aca="false">IF($AK13=0,"",IF(INDEX(입력_상담!$A$5:$A$1004,$AK13)="","",INDEX(입력_상담!$A$5:$A$1004,$AK13)))</f>
        <v/>
      </c>
      <c r="AE13" s="25" t="str">
        <f aca="false">IF(AND(ISNUMBER(AB13),ISNUMBER(AC13)),IF(AC13&gt;=AB13,ROUND((AC13-AB13)*1440,0),""),"")</f>
        <v/>
      </c>
      <c r="AF13" s="25" t="str">
        <f aca="false">IF(AND(ISNUMBER(AC13),ISNUMBER(AD13)),IF(AD13&gt;=AC13,ROUND((AD13-AC13)*1440,0),""),"")</f>
        <v/>
      </c>
      <c r="AG13" s="25" t="str">
        <f aca="false">IF(AND(AA13="완료",ISNUMBER(AB13),ISNUMBER(AD13)),IF(AD13&gt;=AB13,ROUND((AD13-AB13)*1440,0),""),"")</f>
        <v/>
      </c>
      <c r="AH13" s="61" t="str">
        <f aca="false">IF(AND(AK13&gt;0,AJ13=0),"측정 기록 없음",IF(AND(AJ13&gt;0,AI13=0),"운동평가 기록 없음",IF(OR(COUNTIF(입력_운동!$B$5:$B$1004,$A13)&gt;1,COUNTIF(입력_측정!$B$5:$B$1004,$A13)&gt;1),"중복 입력","")))</f>
        <v/>
      </c>
      <c r="AI13" s="62" t="n">
        <f aca="false">SUMPRODUCT(MAX((입력_운동!$B$5:$B$1004=$A13)*(ROW(입력_운동!$B$5:$B$1004)-4)))</f>
        <v>0</v>
      </c>
      <c r="AJ13" s="62" t="n">
        <f aca="false">SUMPRODUCT(MAX((입력_측정!$B$5:$B$1004=$A13)*(ROW(입력_측정!$B$5:$B$1004)-4)))</f>
        <v>0</v>
      </c>
      <c r="AK13" s="62" t="n">
        <f aca="false">SUMPRODUCT(MAX((입력_상담!$B$5:$B$1004=$A13)*(ROW(입력_상담!$B$5:$B$1004)-4)))</f>
        <v>0</v>
      </c>
    </row>
    <row r="14" customFormat="false" ht="15" hidden="false" customHeight="false" outlineLevel="0" collapsed="false">
      <c r="A14" s="55" t="n">
        <v>10</v>
      </c>
      <c r="B14" s="56"/>
      <c r="C14" s="24"/>
      <c r="D14" s="24"/>
      <c r="E14" s="56"/>
      <c r="F14" s="57"/>
      <c r="G14" s="58"/>
      <c r="H14" s="56"/>
      <c r="I14" s="24"/>
      <c r="J14" s="24"/>
      <c r="K14" s="24"/>
      <c r="L14" s="24"/>
      <c r="M14" s="24"/>
      <c r="N14" s="56"/>
      <c r="O14" s="25" t="str">
        <f aca="false">IF($AI14=0,"",IF(INDEX(입력_운동!$C$5:$C$1004,$AI14)="","",INDEX(입력_운동!$C$5:$C$1004,$AI14)))</f>
        <v/>
      </c>
      <c r="P14" s="25" t="str">
        <f aca="false">IF($AI14=0,"",IF(INDEX(입력_운동!$D$5:$D$1004,$AI14)="","",INDEX(입력_운동!$D$5:$D$1004,$AI14)))</f>
        <v/>
      </c>
      <c r="Q14" s="25" t="str">
        <f aca="false">IF($AI14=0,"",IF(INDEX(입력_운동!$E$5:$E$1004,$AI14)="","",INDEX(입력_운동!$E$5:$E$1004,$AI14)))</f>
        <v/>
      </c>
      <c r="R14" s="25" t="str">
        <f aca="false">IF($AI14=0,"",IF(INDEX(입력_운동!$F$5:$F$1004,$AI14)="","",INDEX(입력_운동!$F$5:$F$1004,$AI14)))</f>
        <v/>
      </c>
      <c r="S14" s="25" t="str">
        <f aca="false">IF($AJ14=0,"",IF(INDEX(입력_측정!$C$5:$C$1004,$AJ14)="","",INDEX(입력_측정!$C$5:$C$1004,$AJ14)))</f>
        <v/>
      </c>
      <c r="T14" s="25" t="str">
        <f aca="false">IF($AJ14=0,"",IF(INDEX(입력_측정!$D$5:$D$1004,$AJ14)="","",INDEX(입력_측정!$D$5:$D$1004,$AJ14)))</f>
        <v/>
      </c>
      <c r="U14" s="25" t="str">
        <f aca="false">IF($AJ14=0,"",IF(INDEX(입력_측정!$E$5:$E$1004,$AJ14)="","",INDEX(입력_측정!$E$5:$E$1004,$AJ14)))</f>
        <v/>
      </c>
      <c r="V14" s="25" t="str">
        <f aca="false">IF($AJ14=0,"",IF(INDEX(입력_측정!$F$5:$F$1004,$AJ14)="","",INDEX(입력_측정!$F$5:$F$1004,$AJ14)))</f>
        <v/>
      </c>
      <c r="W14" s="25" t="str">
        <f aca="false">IF($AK14=0,"",IF(INDEX(입력_상담!$D$5:$D$1004,$AK14)="","",INDEX(입력_상담!$D$5:$D$1004,$AK14)))</f>
        <v/>
      </c>
      <c r="X14" s="25" t="str">
        <f aca="false">IF($AJ14=0,"",IF(INDEX(입력_측정!$I$5:$I$1004,$AJ14)="","",INDEX(입력_측정!$I$5:$I$1004,$AJ14)))</f>
        <v/>
      </c>
      <c r="Y14" s="25" t="str">
        <f aca="false">IF($AJ14=0,"",IF(INDEX(입력_측정!$J$5:$J$1004,$AJ14)="","",INDEX(입력_측정!$J$5:$J$1004,$AJ14)))</f>
        <v/>
      </c>
      <c r="Z14" s="25" t="str">
        <f aca="false">IF(OR(X14="긴급",LEFT(Y14,2)="긴급",W14="필요",W14="완료"),"대상","")</f>
        <v/>
      </c>
      <c r="AA14" s="59" t="str">
        <f aca="false">IF(M14&lt;&gt;"",M14,IF(AK14&gt;0,IF(W14="필요","추가상담 대기","완료"),IF(AJ14&gt;0,"결과상담 대기",IF(AI14&gt;0,"측정 대기","미방문"))))</f>
        <v>미방문</v>
      </c>
      <c r="AB14" s="60" t="str">
        <f aca="false">IF($AI14=0,"",IF(INDEX(입력_운동!$A$5:$A$1004,$AI14)="","",INDEX(입력_운동!$A$5:$A$1004,$AI14)))</f>
        <v/>
      </c>
      <c r="AC14" s="60" t="str">
        <f aca="false">IF($AJ14=0,"",IF(INDEX(입력_측정!$A$5:$A$1004,$AJ14)="","",INDEX(입력_측정!$A$5:$A$1004,$AJ14)))</f>
        <v/>
      </c>
      <c r="AD14" s="60" t="str">
        <f aca="false">IF($AK14=0,"",IF(INDEX(입력_상담!$A$5:$A$1004,$AK14)="","",INDEX(입력_상담!$A$5:$A$1004,$AK14)))</f>
        <v/>
      </c>
      <c r="AE14" s="25" t="str">
        <f aca="false">IF(AND(ISNUMBER(AB14),ISNUMBER(AC14)),IF(AC14&gt;=AB14,ROUND((AC14-AB14)*1440,0),""),"")</f>
        <v/>
      </c>
      <c r="AF14" s="25" t="str">
        <f aca="false">IF(AND(ISNUMBER(AC14),ISNUMBER(AD14)),IF(AD14&gt;=AC14,ROUND((AD14-AC14)*1440,0),""),"")</f>
        <v/>
      </c>
      <c r="AG14" s="25" t="str">
        <f aca="false">IF(AND(AA14="완료",ISNUMBER(AB14),ISNUMBER(AD14)),IF(AD14&gt;=AB14,ROUND((AD14-AB14)*1440,0),""),"")</f>
        <v/>
      </c>
      <c r="AH14" s="61" t="str">
        <f aca="false">IF(AND(AK14&gt;0,AJ14=0),"측정 기록 없음",IF(AND(AJ14&gt;0,AI14=0),"운동평가 기록 없음",IF(OR(COUNTIF(입력_운동!$B$5:$B$1004,$A14)&gt;1,COUNTIF(입력_측정!$B$5:$B$1004,$A14)&gt;1),"중복 입력","")))</f>
        <v/>
      </c>
      <c r="AI14" s="62" t="n">
        <f aca="false">SUMPRODUCT(MAX((입력_운동!$B$5:$B$1004=$A14)*(ROW(입력_운동!$B$5:$B$1004)-4)))</f>
        <v>0</v>
      </c>
      <c r="AJ14" s="62" t="n">
        <f aca="false">SUMPRODUCT(MAX((입력_측정!$B$5:$B$1004=$A14)*(ROW(입력_측정!$B$5:$B$1004)-4)))</f>
        <v>0</v>
      </c>
      <c r="AK14" s="62" t="n">
        <f aca="false">SUMPRODUCT(MAX((입력_상담!$B$5:$B$1004=$A14)*(ROW(입력_상담!$B$5:$B$1004)-4)))</f>
        <v>0</v>
      </c>
    </row>
    <row r="15" customFormat="false" ht="15" hidden="false" customHeight="false" outlineLevel="0" collapsed="false">
      <c r="A15" s="55" t="n">
        <v>11</v>
      </c>
      <c r="B15" s="56"/>
      <c r="C15" s="24"/>
      <c r="D15" s="24"/>
      <c r="E15" s="56"/>
      <c r="F15" s="57"/>
      <c r="G15" s="58"/>
      <c r="H15" s="56"/>
      <c r="I15" s="24"/>
      <c r="J15" s="24"/>
      <c r="K15" s="24"/>
      <c r="L15" s="24"/>
      <c r="M15" s="24"/>
      <c r="N15" s="56"/>
      <c r="O15" s="25" t="str">
        <f aca="false">IF($AI15=0,"",IF(INDEX(입력_운동!$C$5:$C$1004,$AI15)="","",INDEX(입력_운동!$C$5:$C$1004,$AI15)))</f>
        <v/>
      </c>
      <c r="P15" s="25" t="str">
        <f aca="false">IF($AI15=0,"",IF(INDEX(입력_운동!$D$5:$D$1004,$AI15)="","",INDEX(입력_운동!$D$5:$D$1004,$AI15)))</f>
        <v/>
      </c>
      <c r="Q15" s="25" t="str">
        <f aca="false">IF($AI15=0,"",IF(INDEX(입력_운동!$E$5:$E$1004,$AI15)="","",INDEX(입력_운동!$E$5:$E$1004,$AI15)))</f>
        <v/>
      </c>
      <c r="R15" s="25" t="str">
        <f aca="false">IF($AI15=0,"",IF(INDEX(입력_운동!$F$5:$F$1004,$AI15)="","",INDEX(입력_운동!$F$5:$F$1004,$AI15)))</f>
        <v/>
      </c>
      <c r="S15" s="25" t="str">
        <f aca="false">IF($AJ15=0,"",IF(INDEX(입력_측정!$C$5:$C$1004,$AJ15)="","",INDEX(입력_측정!$C$5:$C$1004,$AJ15)))</f>
        <v/>
      </c>
      <c r="T15" s="25" t="str">
        <f aca="false">IF($AJ15=0,"",IF(INDEX(입력_측정!$D$5:$D$1004,$AJ15)="","",INDEX(입력_측정!$D$5:$D$1004,$AJ15)))</f>
        <v/>
      </c>
      <c r="U15" s="25" t="str">
        <f aca="false">IF($AJ15=0,"",IF(INDEX(입력_측정!$E$5:$E$1004,$AJ15)="","",INDEX(입력_측정!$E$5:$E$1004,$AJ15)))</f>
        <v/>
      </c>
      <c r="V15" s="25" t="str">
        <f aca="false">IF($AJ15=0,"",IF(INDEX(입력_측정!$F$5:$F$1004,$AJ15)="","",INDEX(입력_측정!$F$5:$F$1004,$AJ15)))</f>
        <v/>
      </c>
      <c r="W15" s="25" t="str">
        <f aca="false">IF($AK15=0,"",IF(INDEX(입력_상담!$D$5:$D$1004,$AK15)="","",INDEX(입력_상담!$D$5:$D$1004,$AK15)))</f>
        <v/>
      </c>
      <c r="X15" s="25" t="str">
        <f aca="false">IF($AJ15=0,"",IF(INDEX(입력_측정!$I$5:$I$1004,$AJ15)="","",INDEX(입력_측정!$I$5:$I$1004,$AJ15)))</f>
        <v/>
      </c>
      <c r="Y15" s="25" t="str">
        <f aca="false">IF($AJ15=0,"",IF(INDEX(입력_측정!$J$5:$J$1004,$AJ15)="","",INDEX(입력_측정!$J$5:$J$1004,$AJ15)))</f>
        <v/>
      </c>
      <c r="Z15" s="25" t="str">
        <f aca="false">IF(OR(X15="긴급",LEFT(Y15,2)="긴급",W15="필요",W15="완료"),"대상","")</f>
        <v/>
      </c>
      <c r="AA15" s="59" t="str">
        <f aca="false">IF(M15&lt;&gt;"",M15,IF(AK15&gt;0,IF(W15="필요","추가상담 대기","완료"),IF(AJ15&gt;0,"결과상담 대기",IF(AI15&gt;0,"측정 대기","미방문"))))</f>
        <v>미방문</v>
      </c>
      <c r="AB15" s="60" t="str">
        <f aca="false">IF($AI15=0,"",IF(INDEX(입력_운동!$A$5:$A$1004,$AI15)="","",INDEX(입력_운동!$A$5:$A$1004,$AI15)))</f>
        <v/>
      </c>
      <c r="AC15" s="60" t="str">
        <f aca="false">IF($AJ15=0,"",IF(INDEX(입력_측정!$A$5:$A$1004,$AJ15)="","",INDEX(입력_측정!$A$5:$A$1004,$AJ15)))</f>
        <v/>
      </c>
      <c r="AD15" s="60" t="str">
        <f aca="false">IF($AK15=0,"",IF(INDEX(입력_상담!$A$5:$A$1004,$AK15)="","",INDEX(입력_상담!$A$5:$A$1004,$AK15)))</f>
        <v/>
      </c>
      <c r="AE15" s="25" t="str">
        <f aca="false">IF(AND(ISNUMBER(AB15),ISNUMBER(AC15)),IF(AC15&gt;=AB15,ROUND((AC15-AB15)*1440,0),""),"")</f>
        <v/>
      </c>
      <c r="AF15" s="25" t="str">
        <f aca="false">IF(AND(ISNUMBER(AC15),ISNUMBER(AD15)),IF(AD15&gt;=AC15,ROUND((AD15-AC15)*1440,0),""),"")</f>
        <v/>
      </c>
      <c r="AG15" s="25" t="str">
        <f aca="false">IF(AND(AA15="완료",ISNUMBER(AB15),ISNUMBER(AD15)),IF(AD15&gt;=AB15,ROUND((AD15-AB15)*1440,0),""),"")</f>
        <v/>
      </c>
      <c r="AH15" s="61" t="str">
        <f aca="false">IF(AND(AK15&gt;0,AJ15=0),"측정 기록 없음",IF(AND(AJ15&gt;0,AI15=0),"운동평가 기록 없음",IF(OR(COUNTIF(입력_운동!$B$5:$B$1004,$A15)&gt;1,COUNTIF(입력_측정!$B$5:$B$1004,$A15)&gt;1),"중복 입력","")))</f>
        <v/>
      </c>
      <c r="AI15" s="62" t="n">
        <f aca="false">SUMPRODUCT(MAX((입력_운동!$B$5:$B$1004=$A15)*(ROW(입력_운동!$B$5:$B$1004)-4)))</f>
        <v>0</v>
      </c>
      <c r="AJ15" s="62" t="n">
        <f aca="false">SUMPRODUCT(MAX((입력_측정!$B$5:$B$1004=$A15)*(ROW(입력_측정!$B$5:$B$1004)-4)))</f>
        <v>0</v>
      </c>
      <c r="AK15" s="62" t="n">
        <f aca="false">SUMPRODUCT(MAX((입력_상담!$B$5:$B$1004=$A15)*(ROW(입력_상담!$B$5:$B$1004)-4)))</f>
        <v>0</v>
      </c>
    </row>
    <row r="16" customFormat="false" ht="15" hidden="false" customHeight="false" outlineLevel="0" collapsed="false">
      <c r="A16" s="55" t="n">
        <v>12</v>
      </c>
      <c r="B16" s="56"/>
      <c r="C16" s="24"/>
      <c r="D16" s="24"/>
      <c r="E16" s="56"/>
      <c r="F16" s="57"/>
      <c r="G16" s="58"/>
      <c r="H16" s="56"/>
      <c r="I16" s="24"/>
      <c r="J16" s="24"/>
      <c r="K16" s="24"/>
      <c r="L16" s="24"/>
      <c r="M16" s="24"/>
      <c r="N16" s="56"/>
      <c r="O16" s="25" t="str">
        <f aca="false">IF($AI16=0,"",IF(INDEX(입력_운동!$C$5:$C$1004,$AI16)="","",INDEX(입력_운동!$C$5:$C$1004,$AI16)))</f>
        <v/>
      </c>
      <c r="P16" s="25" t="str">
        <f aca="false">IF($AI16=0,"",IF(INDEX(입력_운동!$D$5:$D$1004,$AI16)="","",INDEX(입력_운동!$D$5:$D$1004,$AI16)))</f>
        <v/>
      </c>
      <c r="Q16" s="25" t="str">
        <f aca="false">IF($AI16=0,"",IF(INDEX(입력_운동!$E$5:$E$1004,$AI16)="","",INDEX(입력_운동!$E$5:$E$1004,$AI16)))</f>
        <v/>
      </c>
      <c r="R16" s="25" t="str">
        <f aca="false">IF($AI16=0,"",IF(INDEX(입력_운동!$F$5:$F$1004,$AI16)="","",INDEX(입력_운동!$F$5:$F$1004,$AI16)))</f>
        <v/>
      </c>
      <c r="S16" s="25" t="str">
        <f aca="false">IF($AJ16=0,"",IF(INDEX(입력_측정!$C$5:$C$1004,$AJ16)="","",INDEX(입력_측정!$C$5:$C$1004,$AJ16)))</f>
        <v/>
      </c>
      <c r="T16" s="25" t="str">
        <f aca="false">IF($AJ16=0,"",IF(INDEX(입력_측정!$D$5:$D$1004,$AJ16)="","",INDEX(입력_측정!$D$5:$D$1004,$AJ16)))</f>
        <v/>
      </c>
      <c r="U16" s="25" t="str">
        <f aca="false">IF($AJ16=0,"",IF(INDEX(입력_측정!$E$5:$E$1004,$AJ16)="","",INDEX(입력_측정!$E$5:$E$1004,$AJ16)))</f>
        <v/>
      </c>
      <c r="V16" s="25" t="str">
        <f aca="false">IF($AJ16=0,"",IF(INDEX(입력_측정!$F$5:$F$1004,$AJ16)="","",INDEX(입력_측정!$F$5:$F$1004,$AJ16)))</f>
        <v/>
      </c>
      <c r="W16" s="25" t="str">
        <f aca="false">IF($AK16=0,"",IF(INDEX(입력_상담!$D$5:$D$1004,$AK16)="","",INDEX(입력_상담!$D$5:$D$1004,$AK16)))</f>
        <v/>
      </c>
      <c r="X16" s="25" t="str">
        <f aca="false">IF($AJ16=0,"",IF(INDEX(입력_측정!$I$5:$I$1004,$AJ16)="","",INDEX(입력_측정!$I$5:$I$1004,$AJ16)))</f>
        <v/>
      </c>
      <c r="Y16" s="25" t="str">
        <f aca="false">IF($AJ16=0,"",IF(INDEX(입력_측정!$J$5:$J$1004,$AJ16)="","",INDEX(입력_측정!$J$5:$J$1004,$AJ16)))</f>
        <v/>
      </c>
      <c r="Z16" s="25" t="str">
        <f aca="false">IF(OR(X16="긴급",LEFT(Y16,2)="긴급",W16="필요",W16="완료"),"대상","")</f>
        <v/>
      </c>
      <c r="AA16" s="59" t="str">
        <f aca="false">IF(M16&lt;&gt;"",M16,IF(AK16&gt;0,IF(W16="필요","추가상담 대기","완료"),IF(AJ16&gt;0,"결과상담 대기",IF(AI16&gt;0,"측정 대기","미방문"))))</f>
        <v>미방문</v>
      </c>
      <c r="AB16" s="60" t="str">
        <f aca="false">IF($AI16=0,"",IF(INDEX(입력_운동!$A$5:$A$1004,$AI16)="","",INDEX(입력_운동!$A$5:$A$1004,$AI16)))</f>
        <v/>
      </c>
      <c r="AC16" s="60" t="str">
        <f aca="false">IF($AJ16=0,"",IF(INDEX(입력_측정!$A$5:$A$1004,$AJ16)="","",INDEX(입력_측정!$A$5:$A$1004,$AJ16)))</f>
        <v/>
      </c>
      <c r="AD16" s="60" t="str">
        <f aca="false">IF($AK16=0,"",IF(INDEX(입력_상담!$A$5:$A$1004,$AK16)="","",INDEX(입력_상담!$A$5:$A$1004,$AK16)))</f>
        <v/>
      </c>
      <c r="AE16" s="25" t="str">
        <f aca="false">IF(AND(ISNUMBER(AB16),ISNUMBER(AC16)),IF(AC16&gt;=AB16,ROUND((AC16-AB16)*1440,0),""),"")</f>
        <v/>
      </c>
      <c r="AF16" s="25" t="str">
        <f aca="false">IF(AND(ISNUMBER(AC16),ISNUMBER(AD16)),IF(AD16&gt;=AC16,ROUND((AD16-AC16)*1440,0),""),"")</f>
        <v/>
      </c>
      <c r="AG16" s="25" t="str">
        <f aca="false">IF(AND(AA16="완료",ISNUMBER(AB16),ISNUMBER(AD16)),IF(AD16&gt;=AB16,ROUND((AD16-AB16)*1440,0),""),"")</f>
        <v/>
      </c>
      <c r="AH16" s="61" t="str">
        <f aca="false">IF(AND(AK16&gt;0,AJ16=0),"측정 기록 없음",IF(AND(AJ16&gt;0,AI16=0),"운동평가 기록 없음",IF(OR(COUNTIF(입력_운동!$B$5:$B$1004,$A16)&gt;1,COUNTIF(입력_측정!$B$5:$B$1004,$A16)&gt;1),"중복 입력","")))</f>
        <v/>
      </c>
      <c r="AI16" s="62" t="n">
        <f aca="false">SUMPRODUCT(MAX((입력_운동!$B$5:$B$1004=$A16)*(ROW(입력_운동!$B$5:$B$1004)-4)))</f>
        <v>0</v>
      </c>
      <c r="AJ16" s="62" t="n">
        <f aca="false">SUMPRODUCT(MAX((입력_측정!$B$5:$B$1004=$A16)*(ROW(입력_측정!$B$5:$B$1004)-4)))</f>
        <v>0</v>
      </c>
      <c r="AK16" s="62" t="n">
        <f aca="false">SUMPRODUCT(MAX((입력_상담!$B$5:$B$1004=$A16)*(ROW(입력_상담!$B$5:$B$1004)-4)))</f>
        <v>0</v>
      </c>
    </row>
    <row r="17" customFormat="false" ht="15" hidden="false" customHeight="false" outlineLevel="0" collapsed="false">
      <c r="A17" s="55" t="n">
        <v>13</v>
      </c>
      <c r="B17" s="56"/>
      <c r="C17" s="24"/>
      <c r="D17" s="24"/>
      <c r="E17" s="56"/>
      <c r="F17" s="57"/>
      <c r="G17" s="58"/>
      <c r="H17" s="56"/>
      <c r="I17" s="24"/>
      <c r="J17" s="24"/>
      <c r="K17" s="24"/>
      <c r="L17" s="24"/>
      <c r="M17" s="24"/>
      <c r="N17" s="56"/>
      <c r="O17" s="25" t="str">
        <f aca="false">IF($AI17=0,"",IF(INDEX(입력_운동!$C$5:$C$1004,$AI17)="","",INDEX(입력_운동!$C$5:$C$1004,$AI17)))</f>
        <v/>
      </c>
      <c r="P17" s="25" t="str">
        <f aca="false">IF($AI17=0,"",IF(INDEX(입력_운동!$D$5:$D$1004,$AI17)="","",INDEX(입력_운동!$D$5:$D$1004,$AI17)))</f>
        <v/>
      </c>
      <c r="Q17" s="25" t="str">
        <f aca="false">IF($AI17=0,"",IF(INDEX(입력_운동!$E$5:$E$1004,$AI17)="","",INDEX(입력_운동!$E$5:$E$1004,$AI17)))</f>
        <v/>
      </c>
      <c r="R17" s="25" t="str">
        <f aca="false">IF($AI17=0,"",IF(INDEX(입력_운동!$F$5:$F$1004,$AI17)="","",INDEX(입력_운동!$F$5:$F$1004,$AI17)))</f>
        <v/>
      </c>
      <c r="S17" s="25" t="str">
        <f aca="false">IF($AJ17=0,"",IF(INDEX(입력_측정!$C$5:$C$1004,$AJ17)="","",INDEX(입력_측정!$C$5:$C$1004,$AJ17)))</f>
        <v/>
      </c>
      <c r="T17" s="25" t="str">
        <f aca="false">IF($AJ17=0,"",IF(INDEX(입력_측정!$D$5:$D$1004,$AJ17)="","",INDEX(입력_측정!$D$5:$D$1004,$AJ17)))</f>
        <v/>
      </c>
      <c r="U17" s="25" t="str">
        <f aca="false">IF($AJ17=0,"",IF(INDEX(입력_측정!$E$5:$E$1004,$AJ17)="","",INDEX(입력_측정!$E$5:$E$1004,$AJ17)))</f>
        <v/>
      </c>
      <c r="V17" s="25" t="str">
        <f aca="false">IF($AJ17=0,"",IF(INDEX(입력_측정!$F$5:$F$1004,$AJ17)="","",INDEX(입력_측정!$F$5:$F$1004,$AJ17)))</f>
        <v/>
      </c>
      <c r="W17" s="25" t="str">
        <f aca="false">IF($AK17=0,"",IF(INDEX(입력_상담!$D$5:$D$1004,$AK17)="","",INDEX(입력_상담!$D$5:$D$1004,$AK17)))</f>
        <v/>
      </c>
      <c r="X17" s="25" t="str">
        <f aca="false">IF($AJ17=0,"",IF(INDEX(입력_측정!$I$5:$I$1004,$AJ17)="","",INDEX(입력_측정!$I$5:$I$1004,$AJ17)))</f>
        <v/>
      </c>
      <c r="Y17" s="25" t="str">
        <f aca="false">IF($AJ17=0,"",IF(INDEX(입력_측정!$J$5:$J$1004,$AJ17)="","",INDEX(입력_측정!$J$5:$J$1004,$AJ17)))</f>
        <v/>
      </c>
      <c r="Z17" s="25" t="str">
        <f aca="false">IF(OR(X17="긴급",LEFT(Y17,2)="긴급",W17="필요",W17="완료"),"대상","")</f>
        <v/>
      </c>
      <c r="AA17" s="59" t="str">
        <f aca="false">IF(M17&lt;&gt;"",M17,IF(AK17&gt;0,IF(W17="필요","추가상담 대기","완료"),IF(AJ17&gt;0,"결과상담 대기",IF(AI17&gt;0,"측정 대기","미방문"))))</f>
        <v>미방문</v>
      </c>
      <c r="AB17" s="60" t="str">
        <f aca="false">IF($AI17=0,"",IF(INDEX(입력_운동!$A$5:$A$1004,$AI17)="","",INDEX(입력_운동!$A$5:$A$1004,$AI17)))</f>
        <v/>
      </c>
      <c r="AC17" s="60" t="str">
        <f aca="false">IF($AJ17=0,"",IF(INDEX(입력_측정!$A$5:$A$1004,$AJ17)="","",INDEX(입력_측정!$A$5:$A$1004,$AJ17)))</f>
        <v/>
      </c>
      <c r="AD17" s="60" t="str">
        <f aca="false">IF($AK17=0,"",IF(INDEX(입력_상담!$A$5:$A$1004,$AK17)="","",INDEX(입력_상담!$A$5:$A$1004,$AK17)))</f>
        <v/>
      </c>
      <c r="AE17" s="25" t="str">
        <f aca="false">IF(AND(ISNUMBER(AB17),ISNUMBER(AC17)),IF(AC17&gt;=AB17,ROUND((AC17-AB17)*1440,0),""),"")</f>
        <v/>
      </c>
      <c r="AF17" s="25" t="str">
        <f aca="false">IF(AND(ISNUMBER(AC17),ISNUMBER(AD17)),IF(AD17&gt;=AC17,ROUND((AD17-AC17)*1440,0),""),"")</f>
        <v/>
      </c>
      <c r="AG17" s="25" t="str">
        <f aca="false">IF(AND(AA17="완료",ISNUMBER(AB17),ISNUMBER(AD17)),IF(AD17&gt;=AB17,ROUND((AD17-AB17)*1440,0),""),"")</f>
        <v/>
      </c>
      <c r="AH17" s="61" t="str">
        <f aca="false">IF(AND(AK17&gt;0,AJ17=0),"측정 기록 없음",IF(AND(AJ17&gt;0,AI17=0),"운동평가 기록 없음",IF(OR(COUNTIF(입력_운동!$B$5:$B$1004,$A17)&gt;1,COUNTIF(입력_측정!$B$5:$B$1004,$A17)&gt;1),"중복 입력","")))</f>
        <v/>
      </c>
      <c r="AI17" s="62" t="n">
        <f aca="false">SUMPRODUCT(MAX((입력_운동!$B$5:$B$1004=$A17)*(ROW(입력_운동!$B$5:$B$1004)-4)))</f>
        <v>0</v>
      </c>
      <c r="AJ17" s="62" t="n">
        <f aca="false">SUMPRODUCT(MAX((입력_측정!$B$5:$B$1004=$A17)*(ROW(입력_측정!$B$5:$B$1004)-4)))</f>
        <v>0</v>
      </c>
      <c r="AK17" s="62" t="n">
        <f aca="false">SUMPRODUCT(MAX((입력_상담!$B$5:$B$1004=$A17)*(ROW(입력_상담!$B$5:$B$1004)-4)))</f>
        <v>0</v>
      </c>
    </row>
    <row r="18" customFormat="false" ht="15" hidden="false" customHeight="false" outlineLevel="0" collapsed="false">
      <c r="A18" s="55" t="n">
        <v>14</v>
      </c>
      <c r="B18" s="56"/>
      <c r="C18" s="24"/>
      <c r="D18" s="24"/>
      <c r="E18" s="56"/>
      <c r="F18" s="57"/>
      <c r="G18" s="58"/>
      <c r="H18" s="56"/>
      <c r="I18" s="24"/>
      <c r="J18" s="24"/>
      <c r="K18" s="24"/>
      <c r="L18" s="24"/>
      <c r="M18" s="24"/>
      <c r="N18" s="56"/>
      <c r="O18" s="25" t="str">
        <f aca="false">IF($AI18=0,"",IF(INDEX(입력_운동!$C$5:$C$1004,$AI18)="","",INDEX(입력_운동!$C$5:$C$1004,$AI18)))</f>
        <v/>
      </c>
      <c r="P18" s="25" t="str">
        <f aca="false">IF($AI18=0,"",IF(INDEX(입력_운동!$D$5:$D$1004,$AI18)="","",INDEX(입력_운동!$D$5:$D$1004,$AI18)))</f>
        <v/>
      </c>
      <c r="Q18" s="25" t="str">
        <f aca="false">IF($AI18=0,"",IF(INDEX(입력_운동!$E$5:$E$1004,$AI18)="","",INDEX(입력_운동!$E$5:$E$1004,$AI18)))</f>
        <v/>
      </c>
      <c r="R18" s="25" t="str">
        <f aca="false">IF($AI18=0,"",IF(INDEX(입력_운동!$F$5:$F$1004,$AI18)="","",INDEX(입력_운동!$F$5:$F$1004,$AI18)))</f>
        <v/>
      </c>
      <c r="S18" s="25" t="str">
        <f aca="false">IF($AJ18=0,"",IF(INDEX(입력_측정!$C$5:$C$1004,$AJ18)="","",INDEX(입력_측정!$C$5:$C$1004,$AJ18)))</f>
        <v/>
      </c>
      <c r="T18" s="25" t="str">
        <f aca="false">IF($AJ18=0,"",IF(INDEX(입력_측정!$D$5:$D$1004,$AJ18)="","",INDEX(입력_측정!$D$5:$D$1004,$AJ18)))</f>
        <v/>
      </c>
      <c r="U18" s="25" t="str">
        <f aca="false">IF($AJ18=0,"",IF(INDEX(입력_측정!$E$5:$E$1004,$AJ18)="","",INDEX(입력_측정!$E$5:$E$1004,$AJ18)))</f>
        <v/>
      </c>
      <c r="V18" s="25" t="str">
        <f aca="false">IF($AJ18=0,"",IF(INDEX(입력_측정!$F$5:$F$1004,$AJ18)="","",INDEX(입력_측정!$F$5:$F$1004,$AJ18)))</f>
        <v/>
      </c>
      <c r="W18" s="25" t="str">
        <f aca="false">IF($AK18=0,"",IF(INDEX(입력_상담!$D$5:$D$1004,$AK18)="","",INDEX(입력_상담!$D$5:$D$1004,$AK18)))</f>
        <v/>
      </c>
      <c r="X18" s="25" t="str">
        <f aca="false">IF($AJ18=0,"",IF(INDEX(입력_측정!$I$5:$I$1004,$AJ18)="","",INDEX(입력_측정!$I$5:$I$1004,$AJ18)))</f>
        <v/>
      </c>
      <c r="Y18" s="25" t="str">
        <f aca="false">IF($AJ18=0,"",IF(INDEX(입력_측정!$J$5:$J$1004,$AJ18)="","",INDEX(입력_측정!$J$5:$J$1004,$AJ18)))</f>
        <v/>
      </c>
      <c r="Z18" s="25" t="str">
        <f aca="false">IF(OR(X18="긴급",LEFT(Y18,2)="긴급",W18="필요",W18="완료"),"대상","")</f>
        <v/>
      </c>
      <c r="AA18" s="59" t="str">
        <f aca="false">IF(M18&lt;&gt;"",M18,IF(AK18&gt;0,IF(W18="필요","추가상담 대기","완료"),IF(AJ18&gt;0,"결과상담 대기",IF(AI18&gt;0,"측정 대기","미방문"))))</f>
        <v>미방문</v>
      </c>
      <c r="AB18" s="60" t="str">
        <f aca="false">IF($AI18=0,"",IF(INDEX(입력_운동!$A$5:$A$1004,$AI18)="","",INDEX(입력_운동!$A$5:$A$1004,$AI18)))</f>
        <v/>
      </c>
      <c r="AC18" s="60" t="str">
        <f aca="false">IF($AJ18=0,"",IF(INDEX(입력_측정!$A$5:$A$1004,$AJ18)="","",INDEX(입력_측정!$A$5:$A$1004,$AJ18)))</f>
        <v/>
      </c>
      <c r="AD18" s="60" t="str">
        <f aca="false">IF($AK18=0,"",IF(INDEX(입력_상담!$A$5:$A$1004,$AK18)="","",INDEX(입력_상담!$A$5:$A$1004,$AK18)))</f>
        <v/>
      </c>
      <c r="AE18" s="25" t="str">
        <f aca="false">IF(AND(ISNUMBER(AB18),ISNUMBER(AC18)),IF(AC18&gt;=AB18,ROUND((AC18-AB18)*1440,0),""),"")</f>
        <v/>
      </c>
      <c r="AF18" s="25" t="str">
        <f aca="false">IF(AND(ISNUMBER(AC18),ISNUMBER(AD18)),IF(AD18&gt;=AC18,ROUND((AD18-AC18)*1440,0),""),"")</f>
        <v/>
      </c>
      <c r="AG18" s="25" t="str">
        <f aca="false">IF(AND(AA18="완료",ISNUMBER(AB18),ISNUMBER(AD18)),IF(AD18&gt;=AB18,ROUND((AD18-AB18)*1440,0),""),"")</f>
        <v/>
      </c>
      <c r="AH18" s="61" t="str">
        <f aca="false">IF(AND(AK18&gt;0,AJ18=0),"측정 기록 없음",IF(AND(AJ18&gt;0,AI18=0),"운동평가 기록 없음",IF(OR(COUNTIF(입력_운동!$B$5:$B$1004,$A18)&gt;1,COUNTIF(입력_측정!$B$5:$B$1004,$A18)&gt;1),"중복 입력","")))</f>
        <v/>
      </c>
      <c r="AI18" s="62" t="n">
        <f aca="false">SUMPRODUCT(MAX((입력_운동!$B$5:$B$1004=$A18)*(ROW(입력_운동!$B$5:$B$1004)-4)))</f>
        <v>0</v>
      </c>
      <c r="AJ18" s="62" t="n">
        <f aca="false">SUMPRODUCT(MAX((입력_측정!$B$5:$B$1004=$A18)*(ROW(입력_측정!$B$5:$B$1004)-4)))</f>
        <v>0</v>
      </c>
      <c r="AK18" s="62" t="n">
        <f aca="false">SUMPRODUCT(MAX((입력_상담!$B$5:$B$1004=$A18)*(ROW(입력_상담!$B$5:$B$1004)-4)))</f>
        <v>0</v>
      </c>
    </row>
    <row r="19" customFormat="false" ht="15" hidden="false" customHeight="false" outlineLevel="0" collapsed="false">
      <c r="A19" s="55" t="n">
        <v>15</v>
      </c>
      <c r="B19" s="56"/>
      <c r="C19" s="24"/>
      <c r="D19" s="24"/>
      <c r="E19" s="56"/>
      <c r="F19" s="57"/>
      <c r="G19" s="58"/>
      <c r="H19" s="56"/>
      <c r="I19" s="24"/>
      <c r="J19" s="24"/>
      <c r="K19" s="24"/>
      <c r="L19" s="24"/>
      <c r="M19" s="24"/>
      <c r="N19" s="56"/>
      <c r="O19" s="25" t="str">
        <f aca="false">IF($AI19=0,"",IF(INDEX(입력_운동!$C$5:$C$1004,$AI19)="","",INDEX(입력_운동!$C$5:$C$1004,$AI19)))</f>
        <v/>
      </c>
      <c r="P19" s="25" t="str">
        <f aca="false">IF($AI19=0,"",IF(INDEX(입력_운동!$D$5:$D$1004,$AI19)="","",INDEX(입력_운동!$D$5:$D$1004,$AI19)))</f>
        <v/>
      </c>
      <c r="Q19" s="25" t="str">
        <f aca="false">IF($AI19=0,"",IF(INDEX(입력_운동!$E$5:$E$1004,$AI19)="","",INDEX(입력_운동!$E$5:$E$1004,$AI19)))</f>
        <v/>
      </c>
      <c r="R19" s="25" t="str">
        <f aca="false">IF($AI19=0,"",IF(INDEX(입력_운동!$F$5:$F$1004,$AI19)="","",INDEX(입력_운동!$F$5:$F$1004,$AI19)))</f>
        <v/>
      </c>
      <c r="S19" s="25" t="str">
        <f aca="false">IF($AJ19=0,"",IF(INDEX(입력_측정!$C$5:$C$1004,$AJ19)="","",INDEX(입력_측정!$C$5:$C$1004,$AJ19)))</f>
        <v/>
      </c>
      <c r="T19" s="25" t="str">
        <f aca="false">IF($AJ19=0,"",IF(INDEX(입력_측정!$D$5:$D$1004,$AJ19)="","",INDEX(입력_측정!$D$5:$D$1004,$AJ19)))</f>
        <v/>
      </c>
      <c r="U19" s="25" t="str">
        <f aca="false">IF($AJ19=0,"",IF(INDEX(입력_측정!$E$5:$E$1004,$AJ19)="","",INDEX(입력_측정!$E$5:$E$1004,$AJ19)))</f>
        <v/>
      </c>
      <c r="V19" s="25" t="str">
        <f aca="false">IF($AJ19=0,"",IF(INDEX(입력_측정!$F$5:$F$1004,$AJ19)="","",INDEX(입력_측정!$F$5:$F$1004,$AJ19)))</f>
        <v/>
      </c>
      <c r="W19" s="25" t="str">
        <f aca="false">IF($AK19=0,"",IF(INDEX(입력_상담!$D$5:$D$1004,$AK19)="","",INDEX(입력_상담!$D$5:$D$1004,$AK19)))</f>
        <v/>
      </c>
      <c r="X19" s="25" t="str">
        <f aca="false">IF($AJ19=0,"",IF(INDEX(입력_측정!$I$5:$I$1004,$AJ19)="","",INDEX(입력_측정!$I$5:$I$1004,$AJ19)))</f>
        <v/>
      </c>
      <c r="Y19" s="25" t="str">
        <f aca="false">IF($AJ19=0,"",IF(INDEX(입력_측정!$J$5:$J$1004,$AJ19)="","",INDEX(입력_측정!$J$5:$J$1004,$AJ19)))</f>
        <v/>
      </c>
      <c r="Z19" s="25" t="str">
        <f aca="false">IF(OR(X19="긴급",LEFT(Y19,2)="긴급",W19="필요",W19="완료"),"대상","")</f>
        <v/>
      </c>
      <c r="AA19" s="59" t="str">
        <f aca="false">IF(M19&lt;&gt;"",M19,IF(AK19&gt;0,IF(W19="필요","추가상담 대기","완료"),IF(AJ19&gt;0,"결과상담 대기",IF(AI19&gt;0,"측정 대기","미방문"))))</f>
        <v>미방문</v>
      </c>
      <c r="AB19" s="60" t="str">
        <f aca="false">IF($AI19=0,"",IF(INDEX(입력_운동!$A$5:$A$1004,$AI19)="","",INDEX(입력_운동!$A$5:$A$1004,$AI19)))</f>
        <v/>
      </c>
      <c r="AC19" s="60" t="str">
        <f aca="false">IF($AJ19=0,"",IF(INDEX(입력_측정!$A$5:$A$1004,$AJ19)="","",INDEX(입력_측정!$A$5:$A$1004,$AJ19)))</f>
        <v/>
      </c>
      <c r="AD19" s="60" t="str">
        <f aca="false">IF($AK19=0,"",IF(INDEX(입력_상담!$A$5:$A$1004,$AK19)="","",INDEX(입력_상담!$A$5:$A$1004,$AK19)))</f>
        <v/>
      </c>
      <c r="AE19" s="25" t="str">
        <f aca="false">IF(AND(ISNUMBER(AB19),ISNUMBER(AC19)),IF(AC19&gt;=AB19,ROUND((AC19-AB19)*1440,0),""),"")</f>
        <v/>
      </c>
      <c r="AF19" s="25" t="str">
        <f aca="false">IF(AND(ISNUMBER(AC19),ISNUMBER(AD19)),IF(AD19&gt;=AC19,ROUND((AD19-AC19)*1440,0),""),"")</f>
        <v/>
      </c>
      <c r="AG19" s="25" t="str">
        <f aca="false">IF(AND(AA19="완료",ISNUMBER(AB19),ISNUMBER(AD19)),IF(AD19&gt;=AB19,ROUND((AD19-AB19)*1440,0),""),"")</f>
        <v/>
      </c>
      <c r="AH19" s="61" t="str">
        <f aca="false">IF(AND(AK19&gt;0,AJ19=0),"측정 기록 없음",IF(AND(AJ19&gt;0,AI19=0),"운동평가 기록 없음",IF(OR(COUNTIF(입력_운동!$B$5:$B$1004,$A19)&gt;1,COUNTIF(입력_측정!$B$5:$B$1004,$A19)&gt;1),"중복 입력","")))</f>
        <v/>
      </c>
      <c r="AI19" s="62" t="n">
        <f aca="false">SUMPRODUCT(MAX((입력_운동!$B$5:$B$1004=$A19)*(ROW(입력_운동!$B$5:$B$1004)-4)))</f>
        <v>0</v>
      </c>
      <c r="AJ19" s="62" t="n">
        <f aca="false">SUMPRODUCT(MAX((입력_측정!$B$5:$B$1004=$A19)*(ROW(입력_측정!$B$5:$B$1004)-4)))</f>
        <v>0</v>
      </c>
      <c r="AK19" s="62" t="n">
        <f aca="false">SUMPRODUCT(MAX((입력_상담!$B$5:$B$1004=$A19)*(ROW(입력_상담!$B$5:$B$1004)-4)))</f>
        <v>0</v>
      </c>
    </row>
    <row r="20" customFormat="false" ht="15" hidden="false" customHeight="false" outlineLevel="0" collapsed="false">
      <c r="A20" s="55" t="n">
        <v>16</v>
      </c>
      <c r="B20" s="56"/>
      <c r="C20" s="24"/>
      <c r="D20" s="24"/>
      <c r="E20" s="56"/>
      <c r="F20" s="57"/>
      <c r="G20" s="58"/>
      <c r="H20" s="56"/>
      <c r="I20" s="24"/>
      <c r="J20" s="24"/>
      <c r="K20" s="24"/>
      <c r="L20" s="24"/>
      <c r="M20" s="24"/>
      <c r="N20" s="56"/>
      <c r="O20" s="25" t="str">
        <f aca="false">IF($AI20=0,"",IF(INDEX(입력_운동!$C$5:$C$1004,$AI20)="","",INDEX(입력_운동!$C$5:$C$1004,$AI20)))</f>
        <v/>
      </c>
      <c r="P20" s="25" t="str">
        <f aca="false">IF($AI20=0,"",IF(INDEX(입력_운동!$D$5:$D$1004,$AI20)="","",INDEX(입력_운동!$D$5:$D$1004,$AI20)))</f>
        <v/>
      </c>
      <c r="Q20" s="25" t="str">
        <f aca="false">IF($AI20=0,"",IF(INDEX(입력_운동!$E$5:$E$1004,$AI20)="","",INDEX(입력_운동!$E$5:$E$1004,$AI20)))</f>
        <v/>
      </c>
      <c r="R20" s="25" t="str">
        <f aca="false">IF($AI20=0,"",IF(INDEX(입력_운동!$F$5:$F$1004,$AI20)="","",INDEX(입력_운동!$F$5:$F$1004,$AI20)))</f>
        <v/>
      </c>
      <c r="S20" s="25" t="str">
        <f aca="false">IF($AJ20=0,"",IF(INDEX(입력_측정!$C$5:$C$1004,$AJ20)="","",INDEX(입력_측정!$C$5:$C$1004,$AJ20)))</f>
        <v/>
      </c>
      <c r="T20" s="25" t="str">
        <f aca="false">IF($AJ20=0,"",IF(INDEX(입력_측정!$D$5:$D$1004,$AJ20)="","",INDEX(입력_측정!$D$5:$D$1004,$AJ20)))</f>
        <v/>
      </c>
      <c r="U20" s="25" t="str">
        <f aca="false">IF($AJ20=0,"",IF(INDEX(입력_측정!$E$5:$E$1004,$AJ20)="","",INDEX(입력_측정!$E$5:$E$1004,$AJ20)))</f>
        <v/>
      </c>
      <c r="V20" s="25" t="str">
        <f aca="false">IF($AJ20=0,"",IF(INDEX(입력_측정!$F$5:$F$1004,$AJ20)="","",INDEX(입력_측정!$F$5:$F$1004,$AJ20)))</f>
        <v/>
      </c>
      <c r="W20" s="25" t="str">
        <f aca="false">IF($AK20=0,"",IF(INDEX(입력_상담!$D$5:$D$1004,$AK20)="","",INDEX(입력_상담!$D$5:$D$1004,$AK20)))</f>
        <v/>
      </c>
      <c r="X20" s="25" t="str">
        <f aca="false">IF($AJ20=0,"",IF(INDEX(입력_측정!$I$5:$I$1004,$AJ20)="","",INDEX(입력_측정!$I$5:$I$1004,$AJ20)))</f>
        <v/>
      </c>
      <c r="Y20" s="25" t="str">
        <f aca="false">IF($AJ20=0,"",IF(INDEX(입력_측정!$J$5:$J$1004,$AJ20)="","",INDEX(입력_측정!$J$5:$J$1004,$AJ20)))</f>
        <v/>
      </c>
      <c r="Z20" s="25" t="str">
        <f aca="false">IF(OR(X20="긴급",LEFT(Y20,2)="긴급",W20="필요",W20="완료"),"대상","")</f>
        <v/>
      </c>
      <c r="AA20" s="59" t="str">
        <f aca="false">IF(M20&lt;&gt;"",M20,IF(AK20&gt;0,IF(W20="필요","추가상담 대기","완료"),IF(AJ20&gt;0,"결과상담 대기",IF(AI20&gt;0,"측정 대기","미방문"))))</f>
        <v>미방문</v>
      </c>
      <c r="AB20" s="60" t="str">
        <f aca="false">IF($AI20=0,"",IF(INDEX(입력_운동!$A$5:$A$1004,$AI20)="","",INDEX(입력_운동!$A$5:$A$1004,$AI20)))</f>
        <v/>
      </c>
      <c r="AC20" s="60" t="str">
        <f aca="false">IF($AJ20=0,"",IF(INDEX(입력_측정!$A$5:$A$1004,$AJ20)="","",INDEX(입력_측정!$A$5:$A$1004,$AJ20)))</f>
        <v/>
      </c>
      <c r="AD20" s="60" t="str">
        <f aca="false">IF($AK20=0,"",IF(INDEX(입력_상담!$A$5:$A$1004,$AK20)="","",INDEX(입력_상담!$A$5:$A$1004,$AK20)))</f>
        <v/>
      </c>
      <c r="AE20" s="25" t="str">
        <f aca="false">IF(AND(ISNUMBER(AB20),ISNUMBER(AC20)),IF(AC20&gt;=AB20,ROUND((AC20-AB20)*1440,0),""),"")</f>
        <v/>
      </c>
      <c r="AF20" s="25" t="str">
        <f aca="false">IF(AND(ISNUMBER(AC20),ISNUMBER(AD20)),IF(AD20&gt;=AC20,ROUND((AD20-AC20)*1440,0),""),"")</f>
        <v/>
      </c>
      <c r="AG20" s="25" t="str">
        <f aca="false">IF(AND(AA20="완료",ISNUMBER(AB20),ISNUMBER(AD20)),IF(AD20&gt;=AB20,ROUND((AD20-AB20)*1440,0),""),"")</f>
        <v/>
      </c>
      <c r="AH20" s="61" t="str">
        <f aca="false">IF(AND(AK20&gt;0,AJ20=0),"측정 기록 없음",IF(AND(AJ20&gt;0,AI20=0),"운동평가 기록 없음",IF(OR(COUNTIF(입력_운동!$B$5:$B$1004,$A20)&gt;1,COUNTIF(입력_측정!$B$5:$B$1004,$A20)&gt;1),"중복 입력","")))</f>
        <v/>
      </c>
      <c r="AI20" s="62" t="n">
        <f aca="false">SUMPRODUCT(MAX((입력_운동!$B$5:$B$1004=$A20)*(ROW(입력_운동!$B$5:$B$1004)-4)))</f>
        <v>0</v>
      </c>
      <c r="AJ20" s="62" t="n">
        <f aca="false">SUMPRODUCT(MAX((입력_측정!$B$5:$B$1004=$A20)*(ROW(입력_측정!$B$5:$B$1004)-4)))</f>
        <v>0</v>
      </c>
      <c r="AK20" s="62" t="n">
        <f aca="false">SUMPRODUCT(MAX((입력_상담!$B$5:$B$1004=$A20)*(ROW(입력_상담!$B$5:$B$1004)-4)))</f>
        <v>0</v>
      </c>
    </row>
    <row r="21" customFormat="false" ht="15" hidden="false" customHeight="false" outlineLevel="0" collapsed="false">
      <c r="A21" s="55" t="n">
        <v>17</v>
      </c>
      <c r="B21" s="56"/>
      <c r="C21" s="24"/>
      <c r="D21" s="24"/>
      <c r="E21" s="56"/>
      <c r="F21" s="57"/>
      <c r="G21" s="58"/>
      <c r="H21" s="56"/>
      <c r="I21" s="24"/>
      <c r="J21" s="24"/>
      <c r="K21" s="24"/>
      <c r="L21" s="24"/>
      <c r="M21" s="24"/>
      <c r="N21" s="56"/>
      <c r="O21" s="25" t="str">
        <f aca="false">IF($AI21=0,"",IF(INDEX(입력_운동!$C$5:$C$1004,$AI21)="","",INDEX(입력_운동!$C$5:$C$1004,$AI21)))</f>
        <v/>
      </c>
      <c r="P21" s="25" t="str">
        <f aca="false">IF($AI21=0,"",IF(INDEX(입력_운동!$D$5:$D$1004,$AI21)="","",INDEX(입력_운동!$D$5:$D$1004,$AI21)))</f>
        <v/>
      </c>
      <c r="Q21" s="25" t="str">
        <f aca="false">IF($AI21=0,"",IF(INDEX(입력_운동!$E$5:$E$1004,$AI21)="","",INDEX(입력_운동!$E$5:$E$1004,$AI21)))</f>
        <v/>
      </c>
      <c r="R21" s="25" t="str">
        <f aca="false">IF($AI21=0,"",IF(INDEX(입력_운동!$F$5:$F$1004,$AI21)="","",INDEX(입력_운동!$F$5:$F$1004,$AI21)))</f>
        <v/>
      </c>
      <c r="S21" s="25" t="str">
        <f aca="false">IF($AJ21=0,"",IF(INDEX(입력_측정!$C$5:$C$1004,$AJ21)="","",INDEX(입력_측정!$C$5:$C$1004,$AJ21)))</f>
        <v/>
      </c>
      <c r="T21" s="25" t="str">
        <f aca="false">IF($AJ21=0,"",IF(INDEX(입력_측정!$D$5:$D$1004,$AJ21)="","",INDEX(입력_측정!$D$5:$D$1004,$AJ21)))</f>
        <v/>
      </c>
      <c r="U21" s="25" t="str">
        <f aca="false">IF($AJ21=0,"",IF(INDEX(입력_측정!$E$5:$E$1004,$AJ21)="","",INDEX(입력_측정!$E$5:$E$1004,$AJ21)))</f>
        <v/>
      </c>
      <c r="V21" s="25" t="str">
        <f aca="false">IF($AJ21=0,"",IF(INDEX(입력_측정!$F$5:$F$1004,$AJ21)="","",INDEX(입력_측정!$F$5:$F$1004,$AJ21)))</f>
        <v/>
      </c>
      <c r="W21" s="25" t="str">
        <f aca="false">IF($AK21=0,"",IF(INDEX(입력_상담!$D$5:$D$1004,$AK21)="","",INDEX(입력_상담!$D$5:$D$1004,$AK21)))</f>
        <v/>
      </c>
      <c r="X21" s="25" t="str">
        <f aca="false">IF($AJ21=0,"",IF(INDEX(입력_측정!$I$5:$I$1004,$AJ21)="","",INDEX(입력_측정!$I$5:$I$1004,$AJ21)))</f>
        <v/>
      </c>
      <c r="Y21" s="25" t="str">
        <f aca="false">IF($AJ21=0,"",IF(INDEX(입력_측정!$J$5:$J$1004,$AJ21)="","",INDEX(입력_측정!$J$5:$J$1004,$AJ21)))</f>
        <v/>
      </c>
      <c r="Z21" s="25" t="str">
        <f aca="false">IF(OR(X21="긴급",LEFT(Y21,2)="긴급",W21="필요",W21="완료"),"대상","")</f>
        <v/>
      </c>
      <c r="AA21" s="59" t="str">
        <f aca="false">IF(M21&lt;&gt;"",M21,IF(AK21&gt;0,IF(W21="필요","추가상담 대기","완료"),IF(AJ21&gt;0,"결과상담 대기",IF(AI21&gt;0,"측정 대기","미방문"))))</f>
        <v>미방문</v>
      </c>
      <c r="AB21" s="60" t="str">
        <f aca="false">IF($AI21=0,"",IF(INDEX(입력_운동!$A$5:$A$1004,$AI21)="","",INDEX(입력_운동!$A$5:$A$1004,$AI21)))</f>
        <v/>
      </c>
      <c r="AC21" s="60" t="str">
        <f aca="false">IF($AJ21=0,"",IF(INDEX(입력_측정!$A$5:$A$1004,$AJ21)="","",INDEX(입력_측정!$A$5:$A$1004,$AJ21)))</f>
        <v/>
      </c>
      <c r="AD21" s="60" t="str">
        <f aca="false">IF($AK21=0,"",IF(INDEX(입력_상담!$A$5:$A$1004,$AK21)="","",INDEX(입력_상담!$A$5:$A$1004,$AK21)))</f>
        <v/>
      </c>
      <c r="AE21" s="25" t="str">
        <f aca="false">IF(AND(ISNUMBER(AB21),ISNUMBER(AC21)),IF(AC21&gt;=AB21,ROUND((AC21-AB21)*1440,0),""),"")</f>
        <v/>
      </c>
      <c r="AF21" s="25" t="str">
        <f aca="false">IF(AND(ISNUMBER(AC21),ISNUMBER(AD21)),IF(AD21&gt;=AC21,ROUND((AD21-AC21)*1440,0),""),"")</f>
        <v/>
      </c>
      <c r="AG21" s="25" t="str">
        <f aca="false">IF(AND(AA21="완료",ISNUMBER(AB21),ISNUMBER(AD21)),IF(AD21&gt;=AB21,ROUND((AD21-AB21)*1440,0),""),"")</f>
        <v/>
      </c>
      <c r="AH21" s="61" t="str">
        <f aca="false">IF(AND(AK21&gt;0,AJ21=0),"측정 기록 없음",IF(AND(AJ21&gt;0,AI21=0),"운동평가 기록 없음",IF(OR(COUNTIF(입력_운동!$B$5:$B$1004,$A21)&gt;1,COUNTIF(입력_측정!$B$5:$B$1004,$A21)&gt;1),"중복 입력","")))</f>
        <v/>
      </c>
      <c r="AI21" s="62" t="n">
        <f aca="false">SUMPRODUCT(MAX((입력_운동!$B$5:$B$1004=$A21)*(ROW(입력_운동!$B$5:$B$1004)-4)))</f>
        <v>0</v>
      </c>
      <c r="AJ21" s="62" t="n">
        <f aca="false">SUMPRODUCT(MAX((입력_측정!$B$5:$B$1004=$A21)*(ROW(입력_측정!$B$5:$B$1004)-4)))</f>
        <v>0</v>
      </c>
      <c r="AK21" s="62" t="n">
        <f aca="false">SUMPRODUCT(MAX((입력_상담!$B$5:$B$1004=$A21)*(ROW(입력_상담!$B$5:$B$1004)-4)))</f>
        <v>0</v>
      </c>
    </row>
    <row r="22" customFormat="false" ht="15" hidden="false" customHeight="false" outlineLevel="0" collapsed="false">
      <c r="A22" s="55" t="n">
        <v>18</v>
      </c>
      <c r="B22" s="56"/>
      <c r="C22" s="24"/>
      <c r="D22" s="24"/>
      <c r="E22" s="56"/>
      <c r="F22" s="57"/>
      <c r="G22" s="58"/>
      <c r="H22" s="56"/>
      <c r="I22" s="24"/>
      <c r="J22" s="24"/>
      <c r="K22" s="24"/>
      <c r="L22" s="24"/>
      <c r="M22" s="24"/>
      <c r="N22" s="56"/>
      <c r="O22" s="25" t="str">
        <f aca="false">IF($AI22=0,"",IF(INDEX(입력_운동!$C$5:$C$1004,$AI22)="","",INDEX(입력_운동!$C$5:$C$1004,$AI22)))</f>
        <v/>
      </c>
      <c r="P22" s="25" t="str">
        <f aca="false">IF($AI22=0,"",IF(INDEX(입력_운동!$D$5:$D$1004,$AI22)="","",INDEX(입력_운동!$D$5:$D$1004,$AI22)))</f>
        <v/>
      </c>
      <c r="Q22" s="25" t="str">
        <f aca="false">IF($AI22=0,"",IF(INDEX(입력_운동!$E$5:$E$1004,$AI22)="","",INDEX(입력_운동!$E$5:$E$1004,$AI22)))</f>
        <v/>
      </c>
      <c r="R22" s="25" t="str">
        <f aca="false">IF($AI22=0,"",IF(INDEX(입력_운동!$F$5:$F$1004,$AI22)="","",INDEX(입력_운동!$F$5:$F$1004,$AI22)))</f>
        <v/>
      </c>
      <c r="S22" s="25" t="str">
        <f aca="false">IF($AJ22=0,"",IF(INDEX(입력_측정!$C$5:$C$1004,$AJ22)="","",INDEX(입력_측정!$C$5:$C$1004,$AJ22)))</f>
        <v/>
      </c>
      <c r="T22" s="25" t="str">
        <f aca="false">IF($AJ22=0,"",IF(INDEX(입력_측정!$D$5:$D$1004,$AJ22)="","",INDEX(입력_측정!$D$5:$D$1004,$AJ22)))</f>
        <v/>
      </c>
      <c r="U22" s="25" t="str">
        <f aca="false">IF($AJ22=0,"",IF(INDEX(입력_측정!$E$5:$E$1004,$AJ22)="","",INDEX(입력_측정!$E$5:$E$1004,$AJ22)))</f>
        <v/>
      </c>
      <c r="V22" s="25" t="str">
        <f aca="false">IF($AJ22=0,"",IF(INDEX(입력_측정!$F$5:$F$1004,$AJ22)="","",INDEX(입력_측정!$F$5:$F$1004,$AJ22)))</f>
        <v/>
      </c>
      <c r="W22" s="25" t="str">
        <f aca="false">IF($AK22=0,"",IF(INDEX(입력_상담!$D$5:$D$1004,$AK22)="","",INDEX(입력_상담!$D$5:$D$1004,$AK22)))</f>
        <v/>
      </c>
      <c r="X22" s="25" t="str">
        <f aca="false">IF($AJ22=0,"",IF(INDEX(입력_측정!$I$5:$I$1004,$AJ22)="","",INDEX(입력_측정!$I$5:$I$1004,$AJ22)))</f>
        <v/>
      </c>
      <c r="Y22" s="25" t="str">
        <f aca="false">IF($AJ22=0,"",IF(INDEX(입력_측정!$J$5:$J$1004,$AJ22)="","",INDEX(입력_측정!$J$5:$J$1004,$AJ22)))</f>
        <v/>
      </c>
      <c r="Z22" s="25" t="str">
        <f aca="false">IF(OR(X22="긴급",LEFT(Y22,2)="긴급",W22="필요",W22="완료"),"대상","")</f>
        <v/>
      </c>
      <c r="AA22" s="59" t="str">
        <f aca="false">IF(M22&lt;&gt;"",M22,IF(AK22&gt;0,IF(W22="필요","추가상담 대기","완료"),IF(AJ22&gt;0,"결과상담 대기",IF(AI22&gt;0,"측정 대기","미방문"))))</f>
        <v>미방문</v>
      </c>
      <c r="AB22" s="60" t="str">
        <f aca="false">IF($AI22=0,"",IF(INDEX(입력_운동!$A$5:$A$1004,$AI22)="","",INDEX(입력_운동!$A$5:$A$1004,$AI22)))</f>
        <v/>
      </c>
      <c r="AC22" s="60" t="str">
        <f aca="false">IF($AJ22=0,"",IF(INDEX(입력_측정!$A$5:$A$1004,$AJ22)="","",INDEX(입력_측정!$A$5:$A$1004,$AJ22)))</f>
        <v/>
      </c>
      <c r="AD22" s="60" t="str">
        <f aca="false">IF($AK22=0,"",IF(INDEX(입력_상담!$A$5:$A$1004,$AK22)="","",INDEX(입력_상담!$A$5:$A$1004,$AK22)))</f>
        <v/>
      </c>
      <c r="AE22" s="25" t="str">
        <f aca="false">IF(AND(ISNUMBER(AB22),ISNUMBER(AC22)),IF(AC22&gt;=AB22,ROUND((AC22-AB22)*1440,0),""),"")</f>
        <v/>
      </c>
      <c r="AF22" s="25" t="str">
        <f aca="false">IF(AND(ISNUMBER(AC22),ISNUMBER(AD22)),IF(AD22&gt;=AC22,ROUND((AD22-AC22)*1440,0),""),"")</f>
        <v/>
      </c>
      <c r="AG22" s="25" t="str">
        <f aca="false">IF(AND(AA22="완료",ISNUMBER(AB22),ISNUMBER(AD22)),IF(AD22&gt;=AB22,ROUND((AD22-AB22)*1440,0),""),"")</f>
        <v/>
      </c>
      <c r="AH22" s="61" t="str">
        <f aca="false">IF(AND(AK22&gt;0,AJ22=0),"측정 기록 없음",IF(AND(AJ22&gt;0,AI22=0),"운동평가 기록 없음",IF(OR(COUNTIF(입력_운동!$B$5:$B$1004,$A22)&gt;1,COUNTIF(입력_측정!$B$5:$B$1004,$A22)&gt;1),"중복 입력","")))</f>
        <v/>
      </c>
      <c r="AI22" s="62" t="n">
        <f aca="false">SUMPRODUCT(MAX((입력_운동!$B$5:$B$1004=$A22)*(ROW(입력_운동!$B$5:$B$1004)-4)))</f>
        <v>0</v>
      </c>
      <c r="AJ22" s="62" t="n">
        <f aca="false">SUMPRODUCT(MAX((입력_측정!$B$5:$B$1004=$A22)*(ROW(입력_측정!$B$5:$B$1004)-4)))</f>
        <v>0</v>
      </c>
      <c r="AK22" s="62" t="n">
        <f aca="false">SUMPRODUCT(MAX((입력_상담!$B$5:$B$1004=$A22)*(ROW(입력_상담!$B$5:$B$1004)-4)))</f>
        <v>0</v>
      </c>
    </row>
    <row r="23" customFormat="false" ht="15" hidden="false" customHeight="false" outlineLevel="0" collapsed="false">
      <c r="A23" s="55" t="n">
        <v>19</v>
      </c>
      <c r="B23" s="56"/>
      <c r="C23" s="24"/>
      <c r="D23" s="24"/>
      <c r="E23" s="56"/>
      <c r="F23" s="57"/>
      <c r="G23" s="58"/>
      <c r="H23" s="56"/>
      <c r="I23" s="24"/>
      <c r="J23" s="24"/>
      <c r="K23" s="24"/>
      <c r="L23" s="24"/>
      <c r="M23" s="24"/>
      <c r="N23" s="56"/>
      <c r="O23" s="25" t="str">
        <f aca="false">IF($AI23=0,"",IF(INDEX(입력_운동!$C$5:$C$1004,$AI23)="","",INDEX(입력_운동!$C$5:$C$1004,$AI23)))</f>
        <v/>
      </c>
      <c r="P23" s="25" t="str">
        <f aca="false">IF($AI23=0,"",IF(INDEX(입력_운동!$D$5:$D$1004,$AI23)="","",INDEX(입력_운동!$D$5:$D$1004,$AI23)))</f>
        <v/>
      </c>
      <c r="Q23" s="25" t="str">
        <f aca="false">IF($AI23=0,"",IF(INDEX(입력_운동!$E$5:$E$1004,$AI23)="","",INDEX(입력_운동!$E$5:$E$1004,$AI23)))</f>
        <v/>
      </c>
      <c r="R23" s="25" t="str">
        <f aca="false">IF($AI23=0,"",IF(INDEX(입력_운동!$F$5:$F$1004,$AI23)="","",INDEX(입력_운동!$F$5:$F$1004,$AI23)))</f>
        <v/>
      </c>
      <c r="S23" s="25" t="str">
        <f aca="false">IF($AJ23=0,"",IF(INDEX(입력_측정!$C$5:$C$1004,$AJ23)="","",INDEX(입력_측정!$C$5:$C$1004,$AJ23)))</f>
        <v/>
      </c>
      <c r="T23" s="25" t="str">
        <f aca="false">IF($AJ23=0,"",IF(INDEX(입력_측정!$D$5:$D$1004,$AJ23)="","",INDEX(입력_측정!$D$5:$D$1004,$AJ23)))</f>
        <v/>
      </c>
      <c r="U23" s="25" t="str">
        <f aca="false">IF($AJ23=0,"",IF(INDEX(입력_측정!$E$5:$E$1004,$AJ23)="","",INDEX(입력_측정!$E$5:$E$1004,$AJ23)))</f>
        <v/>
      </c>
      <c r="V23" s="25" t="str">
        <f aca="false">IF($AJ23=0,"",IF(INDEX(입력_측정!$F$5:$F$1004,$AJ23)="","",INDEX(입력_측정!$F$5:$F$1004,$AJ23)))</f>
        <v/>
      </c>
      <c r="W23" s="25" t="str">
        <f aca="false">IF($AK23=0,"",IF(INDEX(입력_상담!$D$5:$D$1004,$AK23)="","",INDEX(입력_상담!$D$5:$D$1004,$AK23)))</f>
        <v/>
      </c>
      <c r="X23" s="25" t="str">
        <f aca="false">IF($AJ23=0,"",IF(INDEX(입력_측정!$I$5:$I$1004,$AJ23)="","",INDEX(입력_측정!$I$5:$I$1004,$AJ23)))</f>
        <v/>
      </c>
      <c r="Y23" s="25" t="str">
        <f aca="false">IF($AJ23=0,"",IF(INDEX(입력_측정!$J$5:$J$1004,$AJ23)="","",INDEX(입력_측정!$J$5:$J$1004,$AJ23)))</f>
        <v/>
      </c>
      <c r="Z23" s="25" t="str">
        <f aca="false">IF(OR(X23="긴급",LEFT(Y23,2)="긴급",W23="필요",W23="완료"),"대상","")</f>
        <v/>
      </c>
      <c r="AA23" s="59" t="str">
        <f aca="false">IF(M23&lt;&gt;"",M23,IF(AK23&gt;0,IF(W23="필요","추가상담 대기","완료"),IF(AJ23&gt;0,"결과상담 대기",IF(AI23&gt;0,"측정 대기","미방문"))))</f>
        <v>미방문</v>
      </c>
      <c r="AB23" s="60" t="str">
        <f aca="false">IF($AI23=0,"",IF(INDEX(입력_운동!$A$5:$A$1004,$AI23)="","",INDEX(입력_운동!$A$5:$A$1004,$AI23)))</f>
        <v/>
      </c>
      <c r="AC23" s="60" t="str">
        <f aca="false">IF($AJ23=0,"",IF(INDEX(입력_측정!$A$5:$A$1004,$AJ23)="","",INDEX(입력_측정!$A$5:$A$1004,$AJ23)))</f>
        <v/>
      </c>
      <c r="AD23" s="60" t="str">
        <f aca="false">IF($AK23=0,"",IF(INDEX(입력_상담!$A$5:$A$1004,$AK23)="","",INDEX(입력_상담!$A$5:$A$1004,$AK23)))</f>
        <v/>
      </c>
      <c r="AE23" s="25" t="str">
        <f aca="false">IF(AND(ISNUMBER(AB23),ISNUMBER(AC23)),IF(AC23&gt;=AB23,ROUND((AC23-AB23)*1440,0),""),"")</f>
        <v/>
      </c>
      <c r="AF23" s="25" t="str">
        <f aca="false">IF(AND(ISNUMBER(AC23),ISNUMBER(AD23)),IF(AD23&gt;=AC23,ROUND((AD23-AC23)*1440,0),""),"")</f>
        <v/>
      </c>
      <c r="AG23" s="25" t="str">
        <f aca="false">IF(AND(AA23="완료",ISNUMBER(AB23),ISNUMBER(AD23)),IF(AD23&gt;=AB23,ROUND((AD23-AB23)*1440,0),""),"")</f>
        <v/>
      </c>
      <c r="AH23" s="61" t="str">
        <f aca="false">IF(AND(AK23&gt;0,AJ23=0),"측정 기록 없음",IF(AND(AJ23&gt;0,AI23=0),"운동평가 기록 없음",IF(OR(COUNTIF(입력_운동!$B$5:$B$1004,$A23)&gt;1,COUNTIF(입력_측정!$B$5:$B$1004,$A23)&gt;1),"중복 입력","")))</f>
        <v/>
      </c>
      <c r="AI23" s="62" t="n">
        <f aca="false">SUMPRODUCT(MAX((입력_운동!$B$5:$B$1004=$A23)*(ROW(입력_운동!$B$5:$B$1004)-4)))</f>
        <v>0</v>
      </c>
      <c r="AJ23" s="62" t="n">
        <f aca="false">SUMPRODUCT(MAX((입력_측정!$B$5:$B$1004=$A23)*(ROW(입력_측정!$B$5:$B$1004)-4)))</f>
        <v>0</v>
      </c>
      <c r="AK23" s="62" t="n">
        <f aca="false">SUMPRODUCT(MAX((입력_상담!$B$5:$B$1004=$A23)*(ROW(입력_상담!$B$5:$B$1004)-4)))</f>
        <v>0</v>
      </c>
    </row>
    <row r="24" customFormat="false" ht="15" hidden="false" customHeight="false" outlineLevel="0" collapsed="false">
      <c r="A24" s="55" t="n">
        <v>20</v>
      </c>
      <c r="B24" s="56"/>
      <c r="C24" s="24"/>
      <c r="D24" s="24"/>
      <c r="E24" s="56"/>
      <c r="F24" s="57"/>
      <c r="G24" s="58"/>
      <c r="H24" s="56"/>
      <c r="I24" s="24"/>
      <c r="J24" s="24"/>
      <c r="K24" s="24"/>
      <c r="L24" s="24"/>
      <c r="M24" s="24"/>
      <c r="N24" s="56"/>
      <c r="O24" s="25" t="str">
        <f aca="false">IF($AI24=0,"",IF(INDEX(입력_운동!$C$5:$C$1004,$AI24)="","",INDEX(입력_운동!$C$5:$C$1004,$AI24)))</f>
        <v/>
      </c>
      <c r="P24" s="25" t="str">
        <f aca="false">IF($AI24=0,"",IF(INDEX(입력_운동!$D$5:$D$1004,$AI24)="","",INDEX(입력_운동!$D$5:$D$1004,$AI24)))</f>
        <v/>
      </c>
      <c r="Q24" s="25" t="str">
        <f aca="false">IF($AI24=0,"",IF(INDEX(입력_운동!$E$5:$E$1004,$AI24)="","",INDEX(입력_운동!$E$5:$E$1004,$AI24)))</f>
        <v/>
      </c>
      <c r="R24" s="25" t="str">
        <f aca="false">IF($AI24=0,"",IF(INDEX(입력_운동!$F$5:$F$1004,$AI24)="","",INDEX(입력_운동!$F$5:$F$1004,$AI24)))</f>
        <v/>
      </c>
      <c r="S24" s="25" t="str">
        <f aca="false">IF($AJ24=0,"",IF(INDEX(입력_측정!$C$5:$C$1004,$AJ24)="","",INDEX(입력_측정!$C$5:$C$1004,$AJ24)))</f>
        <v/>
      </c>
      <c r="T24" s="25" t="str">
        <f aca="false">IF($AJ24=0,"",IF(INDEX(입력_측정!$D$5:$D$1004,$AJ24)="","",INDEX(입력_측정!$D$5:$D$1004,$AJ24)))</f>
        <v/>
      </c>
      <c r="U24" s="25" t="str">
        <f aca="false">IF($AJ24=0,"",IF(INDEX(입력_측정!$E$5:$E$1004,$AJ24)="","",INDEX(입력_측정!$E$5:$E$1004,$AJ24)))</f>
        <v/>
      </c>
      <c r="V24" s="25" t="str">
        <f aca="false">IF($AJ24=0,"",IF(INDEX(입력_측정!$F$5:$F$1004,$AJ24)="","",INDEX(입력_측정!$F$5:$F$1004,$AJ24)))</f>
        <v/>
      </c>
      <c r="W24" s="25" t="str">
        <f aca="false">IF($AK24=0,"",IF(INDEX(입력_상담!$D$5:$D$1004,$AK24)="","",INDEX(입력_상담!$D$5:$D$1004,$AK24)))</f>
        <v/>
      </c>
      <c r="X24" s="25" t="str">
        <f aca="false">IF($AJ24=0,"",IF(INDEX(입력_측정!$I$5:$I$1004,$AJ24)="","",INDEX(입력_측정!$I$5:$I$1004,$AJ24)))</f>
        <v/>
      </c>
      <c r="Y24" s="25" t="str">
        <f aca="false">IF($AJ24=0,"",IF(INDEX(입력_측정!$J$5:$J$1004,$AJ24)="","",INDEX(입력_측정!$J$5:$J$1004,$AJ24)))</f>
        <v/>
      </c>
      <c r="Z24" s="25" t="str">
        <f aca="false">IF(OR(X24="긴급",LEFT(Y24,2)="긴급",W24="필요",W24="완료"),"대상","")</f>
        <v/>
      </c>
      <c r="AA24" s="59" t="str">
        <f aca="false">IF(M24&lt;&gt;"",M24,IF(AK24&gt;0,IF(W24="필요","추가상담 대기","완료"),IF(AJ24&gt;0,"결과상담 대기",IF(AI24&gt;0,"측정 대기","미방문"))))</f>
        <v>미방문</v>
      </c>
      <c r="AB24" s="60" t="str">
        <f aca="false">IF($AI24=0,"",IF(INDEX(입력_운동!$A$5:$A$1004,$AI24)="","",INDEX(입력_운동!$A$5:$A$1004,$AI24)))</f>
        <v/>
      </c>
      <c r="AC24" s="60" t="str">
        <f aca="false">IF($AJ24=0,"",IF(INDEX(입력_측정!$A$5:$A$1004,$AJ24)="","",INDEX(입력_측정!$A$5:$A$1004,$AJ24)))</f>
        <v/>
      </c>
      <c r="AD24" s="60" t="str">
        <f aca="false">IF($AK24=0,"",IF(INDEX(입력_상담!$A$5:$A$1004,$AK24)="","",INDEX(입력_상담!$A$5:$A$1004,$AK24)))</f>
        <v/>
      </c>
      <c r="AE24" s="25" t="str">
        <f aca="false">IF(AND(ISNUMBER(AB24),ISNUMBER(AC24)),IF(AC24&gt;=AB24,ROUND((AC24-AB24)*1440,0),""),"")</f>
        <v/>
      </c>
      <c r="AF24" s="25" t="str">
        <f aca="false">IF(AND(ISNUMBER(AC24),ISNUMBER(AD24)),IF(AD24&gt;=AC24,ROUND((AD24-AC24)*1440,0),""),"")</f>
        <v/>
      </c>
      <c r="AG24" s="25" t="str">
        <f aca="false">IF(AND(AA24="완료",ISNUMBER(AB24),ISNUMBER(AD24)),IF(AD24&gt;=AB24,ROUND((AD24-AB24)*1440,0),""),"")</f>
        <v/>
      </c>
      <c r="AH24" s="61" t="str">
        <f aca="false">IF(AND(AK24&gt;0,AJ24=0),"측정 기록 없음",IF(AND(AJ24&gt;0,AI24=0),"운동평가 기록 없음",IF(OR(COUNTIF(입력_운동!$B$5:$B$1004,$A24)&gt;1,COUNTIF(입력_측정!$B$5:$B$1004,$A24)&gt;1),"중복 입력","")))</f>
        <v/>
      </c>
      <c r="AI24" s="62" t="n">
        <f aca="false">SUMPRODUCT(MAX((입력_운동!$B$5:$B$1004=$A24)*(ROW(입력_운동!$B$5:$B$1004)-4)))</f>
        <v>0</v>
      </c>
      <c r="AJ24" s="62" t="n">
        <f aca="false">SUMPRODUCT(MAX((입력_측정!$B$5:$B$1004=$A24)*(ROW(입력_측정!$B$5:$B$1004)-4)))</f>
        <v>0</v>
      </c>
      <c r="AK24" s="62" t="n">
        <f aca="false">SUMPRODUCT(MAX((입력_상담!$B$5:$B$1004=$A24)*(ROW(입력_상담!$B$5:$B$1004)-4)))</f>
        <v>0</v>
      </c>
    </row>
    <row r="25" customFormat="false" ht="15" hidden="false" customHeight="false" outlineLevel="0" collapsed="false">
      <c r="A25" s="55" t="n">
        <v>21</v>
      </c>
      <c r="B25" s="56"/>
      <c r="C25" s="24"/>
      <c r="D25" s="24"/>
      <c r="E25" s="56"/>
      <c r="F25" s="57"/>
      <c r="G25" s="58"/>
      <c r="H25" s="56"/>
      <c r="I25" s="24"/>
      <c r="J25" s="24"/>
      <c r="K25" s="24"/>
      <c r="L25" s="24"/>
      <c r="M25" s="24"/>
      <c r="N25" s="56"/>
      <c r="O25" s="25" t="str">
        <f aca="false">IF($AI25=0,"",IF(INDEX(입력_운동!$C$5:$C$1004,$AI25)="","",INDEX(입력_운동!$C$5:$C$1004,$AI25)))</f>
        <v/>
      </c>
      <c r="P25" s="25" t="str">
        <f aca="false">IF($AI25=0,"",IF(INDEX(입력_운동!$D$5:$D$1004,$AI25)="","",INDEX(입력_운동!$D$5:$D$1004,$AI25)))</f>
        <v/>
      </c>
      <c r="Q25" s="25" t="str">
        <f aca="false">IF($AI25=0,"",IF(INDEX(입력_운동!$E$5:$E$1004,$AI25)="","",INDEX(입력_운동!$E$5:$E$1004,$AI25)))</f>
        <v/>
      </c>
      <c r="R25" s="25" t="str">
        <f aca="false">IF($AI25=0,"",IF(INDEX(입력_운동!$F$5:$F$1004,$AI25)="","",INDEX(입력_운동!$F$5:$F$1004,$AI25)))</f>
        <v/>
      </c>
      <c r="S25" s="25" t="str">
        <f aca="false">IF($AJ25=0,"",IF(INDEX(입력_측정!$C$5:$C$1004,$AJ25)="","",INDEX(입력_측정!$C$5:$C$1004,$AJ25)))</f>
        <v/>
      </c>
      <c r="T25" s="25" t="str">
        <f aca="false">IF($AJ25=0,"",IF(INDEX(입력_측정!$D$5:$D$1004,$AJ25)="","",INDEX(입력_측정!$D$5:$D$1004,$AJ25)))</f>
        <v/>
      </c>
      <c r="U25" s="25" t="str">
        <f aca="false">IF($AJ25=0,"",IF(INDEX(입력_측정!$E$5:$E$1004,$AJ25)="","",INDEX(입력_측정!$E$5:$E$1004,$AJ25)))</f>
        <v/>
      </c>
      <c r="V25" s="25" t="str">
        <f aca="false">IF($AJ25=0,"",IF(INDEX(입력_측정!$F$5:$F$1004,$AJ25)="","",INDEX(입력_측정!$F$5:$F$1004,$AJ25)))</f>
        <v/>
      </c>
      <c r="W25" s="25" t="str">
        <f aca="false">IF($AK25=0,"",IF(INDEX(입력_상담!$D$5:$D$1004,$AK25)="","",INDEX(입력_상담!$D$5:$D$1004,$AK25)))</f>
        <v/>
      </c>
      <c r="X25" s="25" t="str">
        <f aca="false">IF($AJ25=0,"",IF(INDEX(입력_측정!$I$5:$I$1004,$AJ25)="","",INDEX(입력_측정!$I$5:$I$1004,$AJ25)))</f>
        <v/>
      </c>
      <c r="Y25" s="25" t="str">
        <f aca="false">IF($AJ25=0,"",IF(INDEX(입력_측정!$J$5:$J$1004,$AJ25)="","",INDEX(입력_측정!$J$5:$J$1004,$AJ25)))</f>
        <v/>
      </c>
      <c r="Z25" s="25" t="str">
        <f aca="false">IF(OR(X25="긴급",LEFT(Y25,2)="긴급",W25="필요",W25="완료"),"대상","")</f>
        <v/>
      </c>
      <c r="AA25" s="59" t="str">
        <f aca="false">IF(M25&lt;&gt;"",M25,IF(AK25&gt;0,IF(W25="필요","추가상담 대기","완료"),IF(AJ25&gt;0,"결과상담 대기",IF(AI25&gt;0,"측정 대기","미방문"))))</f>
        <v>미방문</v>
      </c>
      <c r="AB25" s="60" t="str">
        <f aca="false">IF($AI25=0,"",IF(INDEX(입력_운동!$A$5:$A$1004,$AI25)="","",INDEX(입력_운동!$A$5:$A$1004,$AI25)))</f>
        <v/>
      </c>
      <c r="AC25" s="60" t="str">
        <f aca="false">IF($AJ25=0,"",IF(INDEX(입력_측정!$A$5:$A$1004,$AJ25)="","",INDEX(입력_측정!$A$5:$A$1004,$AJ25)))</f>
        <v/>
      </c>
      <c r="AD25" s="60" t="str">
        <f aca="false">IF($AK25=0,"",IF(INDEX(입력_상담!$A$5:$A$1004,$AK25)="","",INDEX(입력_상담!$A$5:$A$1004,$AK25)))</f>
        <v/>
      </c>
      <c r="AE25" s="25" t="str">
        <f aca="false">IF(AND(ISNUMBER(AB25),ISNUMBER(AC25)),IF(AC25&gt;=AB25,ROUND((AC25-AB25)*1440,0),""),"")</f>
        <v/>
      </c>
      <c r="AF25" s="25" t="str">
        <f aca="false">IF(AND(ISNUMBER(AC25),ISNUMBER(AD25)),IF(AD25&gt;=AC25,ROUND((AD25-AC25)*1440,0),""),"")</f>
        <v/>
      </c>
      <c r="AG25" s="25" t="str">
        <f aca="false">IF(AND(AA25="완료",ISNUMBER(AB25),ISNUMBER(AD25)),IF(AD25&gt;=AB25,ROUND((AD25-AB25)*1440,0),""),"")</f>
        <v/>
      </c>
      <c r="AH25" s="61" t="str">
        <f aca="false">IF(AND(AK25&gt;0,AJ25=0),"측정 기록 없음",IF(AND(AJ25&gt;0,AI25=0),"운동평가 기록 없음",IF(OR(COUNTIF(입력_운동!$B$5:$B$1004,$A25)&gt;1,COUNTIF(입력_측정!$B$5:$B$1004,$A25)&gt;1),"중복 입력","")))</f>
        <v/>
      </c>
      <c r="AI25" s="62" t="n">
        <f aca="false">SUMPRODUCT(MAX((입력_운동!$B$5:$B$1004=$A25)*(ROW(입력_운동!$B$5:$B$1004)-4)))</f>
        <v>0</v>
      </c>
      <c r="AJ25" s="62" t="n">
        <f aca="false">SUMPRODUCT(MAX((입력_측정!$B$5:$B$1004=$A25)*(ROW(입력_측정!$B$5:$B$1004)-4)))</f>
        <v>0</v>
      </c>
      <c r="AK25" s="62" t="n">
        <f aca="false">SUMPRODUCT(MAX((입력_상담!$B$5:$B$1004=$A25)*(ROW(입력_상담!$B$5:$B$1004)-4)))</f>
        <v>0</v>
      </c>
    </row>
    <row r="26" customFormat="false" ht="15" hidden="false" customHeight="false" outlineLevel="0" collapsed="false">
      <c r="A26" s="55" t="n">
        <v>22</v>
      </c>
      <c r="B26" s="56"/>
      <c r="C26" s="24"/>
      <c r="D26" s="24"/>
      <c r="E26" s="56"/>
      <c r="F26" s="57"/>
      <c r="G26" s="58"/>
      <c r="H26" s="56"/>
      <c r="I26" s="24"/>
      <c r="J26" s="24"/>
      <c r="K26" s="24"/>
      <c r="L26" s="24"/>
      <c r="M26" s="24"/>
      <c r="N26" s="56"/>
      <c r="O26" s="25" t="str">
        <f aca="false">IF($AI26=0,"",IF(INDEX(입력_운동!$C$5:$C$1004,$AI26)="","",INDEX(입력_운동!$C$5:$C$1004,$AI26)))</f>
        <v/>
      </c>
      <c r="P26" s="25" t="str">
        <f aca="false">IF($AI26=0,"",IF(INDEX(입력_운동!$D$5:$D$1004,$AI26)="","",INDEX(입력_운동!$D$5:$D$1004,$AI26)))</f>
        <v/>
      </c>
      <c r="Q26" s="25" t="str">
        <f aca="false">IF($AI26=0,"",IF(INDEX(입력_운동!$E$5:$E$1004,$AI26)="","",INDEX(입력_운동!$E$5:$E$1004,$AI26)))</f>
        <v/>
      </c>
      <c r="R26" s="25" t="str">
        <f aca="false">IF($AI26=0,"",IF(INDEX(입력_운동!$F$5:$F$1004,$AI26)="","",INDEX(입력_운동!$F$5:$F$1004,$AI26)))</f>
        <v/>
      </c>
      <c r="S26" s="25" t="str">
        <f aca="false">IF($AJ26=0,"",IF(INDEX(입력_측정!$C$5:$C$1004,$AJ26)="","",INDEX(입력_측정!$C$5:$C$1004,$AJ26)))</f>
        <v/>
      </c>
      <c r="T26" s="25" t="str">
        <f aca="false">IF($AJ26=0,"",IF(INDEX(입력_측정!$D$5:$D$1004,$AJ26)="","",INDEX(입력_측정!$D$5:$D$1004,$AJ26)))</f>
        <v/>
      </c>
      <c r="U26" s="25" t="str">
        <f aca="false">IF($AJ26=0,"",IF(INDEX(입력_측정!$E$5:$E$1004,$AJ26)="","",INDEX(입력_측정!$E$5:$E$1004,$AJ26)))</f>
        <v/>
      </c>
      <c r="V26" s="25" t="str">
        <f aca="false">IF($AJ26=0,"",IF(INDEX(입력_측정!$F$5:$F$1004,$AJ26)="","",INDEX(입력_측정!$F$5:$F$1004,$AJ26)))</f>
        <v/>
      </c>
      <c r="W26" s="25" t="str">
        <f aca="false">IF($AK26=0,"",IF(INDEX(입력_상담!$D$5:$D$1004,$AK26)="","",INDEX(입력_상담!$D$5:$D$1004,$AK26)))</f>
        <v/>
      </c>
      <c r="X26" s="25" t="str">
        <f aca="false">IF($AJ26=0,"",IF(INDEX(입력_측정!$I$5:$I$1004,$AJ26)="","",INDEX(입력_측정!$I$5:$I$1004,$AJ26)))</f>
        <v/>
      </c>
      <c r="Y26" s="25" t="str">
        <f aca="false">IF($AJ26=0,"",IF(INDEX(입력_측정!$J$5:$J$1004,$AJ26)="","",INDEX(입력_측정!$J$5:$J$1004,$AJ26)))</f>
        <v/>
      </c>
      <c r="Z26" s="25" t="str">
        <f aca="false">IF(OR(X26="긴급",LEFT(Y26,2)="긴급",W26="필요",W26="완료"),"대상","")</f>
        <v/>
      </c>
      <c r="AA26" s="59" t="str">
        <f aca="false">IF(M26&lt;&gt;"",M26,IF(AK26&gt;0,IF(W26="필요","추가상담 대기","완료"),IF(AJ26&gt;0,"결과상담 대기",IF(AI26&gt;0,"측정 대기","미방문"))))</f>
        <v>미방문</v>
      </c>
      <c r="AB26" s="60" t="str">
        <f aca="false">IF($AI26=0,"",IF(INDEX(입력_운동!$A$5:$A$1004,$AI26)="","",INDEX(입력_운동!$A$5:$A$1004,$AI26)))</f>
        <v/>
      </c>
      <c r="AC26" s="60" t="str">
        <f aca="false">IF($AJ26=0,"",IF(INDEX(입력_측정!$A$5:$A$1004,$AJ26)="","",INDEX(입력_측정!$A$5:$A$1004,$AJ26)))</f>
        <v/>
      </c>
      <c r="AD26" s="60" t="str">
        <f aca="false">IF($AK26=0,"",IF(INDEX(입력_상담!$A$5:$A$1004,$AK26)="","",INDEX(입력_상담!$A$5:$A$1004,$AK26)))</f>
        <v/>
      </c>
      <c r="AE26" s="25" t="str">
        <f aca="false">IF(AND(ISNUMBER(AB26),ISNUMBER(AC26)),IF(AC26&gt;=AB26,ROUND((AC26-AB26)*1440,0),""),"")</f>
        <v/>
      </c>
      <c r="AF26" s="25" t="str">
        <f aca="false">IF(AND(ISNUMBER(AC26),ISNUMBER(AD26)),IF(AD26&gt;=AC26,ROUND((AD26-AC26)*1440,0),""),"")</f>
        <v/>
      </c>
      <c r="AG26" s="25" t="str">
        <f aca="false">IF(AND(AA26="완료",ISNUMBER(AB26),ISNUMBER(AD26)),IF(AD26&gt;=AB26,ROUND((AD26-AB26)*1440,0),""),"")</f>
        <v/>
      </c>
      <c r="AH26" s="61" t="str">
        <f aca="false">IF(AND(AK26&gt;0,AJ26=0),"측정 기록 없음",IF(AND(AJ26&gt;0,AI26=0),"운동평가 기록 없음",IF(OR(COUNTIF(입력_운동!$B$5:$B$1004,$A26)&gt;1,COUNTIF(입력_측정!$B$5:$B$1004,$A26)&gt;1),"중복 입력","")))</f>
        <v/>
      </c>
      <c r="AI26" s="62" t="n">
        <f aca="false">SUMPRODUCT(MAX((입력_운동!$B$5:$B$1004=$A26)*(ROW(입력_운동!$B$5:$B$1004)-4)))</f>
        <v>0</v>
      </c>
      <c r="AJ26" s="62" t="n">
        <f aca="false">SUMPRODUCT(MAX((입력_측정!$B$5:$B$1004=$A26)*(ROW(입력_측정!$B$5:$B$1004)-4)))</f>
        <v>0</v>
      </c>
      <c r="AK26" s="62" t="n">
        <f aca="false">SUMPRODUCT(MAX((입력_상담!$B$5:$B$1004=$A26)*(ROW(입력_상담!$B$5:$B$1004)-4)))</f>
        <v>0</v>
      </c>
    </row>
    <row r="27" customFormat="false" ht="15" hidden="false" customHeight="false" outlineLevel="0" collapsed="false">
      <c r="A27" s="55" t="n">
        <v>23</v>
      </c>
      <c r="B27" s="56"/>
      <c r="C27" s="24"/>
      <c r="D27" s="24"/>
      <c r="E27" s="56"/>
      <c r="F27" s="57"/>
      <c r="G27" s="58"/>
      <c r="H27" s="56"/>
      <c r="I27" s="24"/>
      <c r="J27" s="24"/>
      <c r="K27" s="24"/>
      <c r="L27" s="24"/>
      <c r="M27" s="24"/>
      <c r="N27" s="56"/>
      <c r="O27" s="25" t="str">
        <f aca="false">IF($AI27=0,"",IF(INDEX(입력_운동!$C$5:$C$1004,$AI27)="","",INDEX(입력_운동!$C$5:$C$1004,$AI27)))</f>
        <v/>
      </c>
      <c r="P27" s="25" t="str">
        <f aca="false">IF($AI27=0,"",IF(INDEX(입력_운동!$D$5:$D$1004,$AI27)="","",INDEX(입력_운동!$D$5:$D$1004,$AI27)))</f>
        <v/>
      </c>
      <c r="Q27" s="25" t="str">
        <f aca="false">IF($AI27=0,"",IF(INDEX(입력_운동!$E$5:$E$1004,$AI27)="","",INDEX(입력_운동!$E$5:$E$1004,$AI27)))</f>
        <v/>
      </c>
      <c r="R27" s="25" t="str">
        <f aca="false">IF($AI27=0,"",IF(INDEX(입력_운동!$F$5:$F$1004,$AI27)="","",INDEX(입력_운동!$F$5:$F$1004,$AI27)))</f>
        <v/>
      </c>
      <c r="S27" s="25" t="str">
        <f aca="false">IF($AJ27=0,"",IF(INDEX(입력_측정!$C$5:$C$1004,$AJ27)="","",INDEX(입력_측정!$C$5:$C$1004,$AJ27)))</f>
        <v/>
      </c>
      <c r="T27" s="25" t="str">
        <f aca="false">IF($AJ27=0,"",IF(INDEX(입력_측정!$D$5:$D$1004,$AJ27)="","",INDEX(입력_측정!$D$5:$D$1004,$AJ27)))</f>
        <v/>
      </c>
      <c r="U27" s="25" t="str">
        <f aca="false">IF($AJ27=0,"",IF(INDEX(입력_측정!$E$5:$E$1004,$AJ27)="","",INDEX(입력_측정!$E$5:$E$1004,$AJ27)))</f>
        <v/>
      </c>
      <c r="V27" s="25" t="str">
        <f aca="false">IF($AJ27=0,"",IF(INDEX(입력_측정!$F$5:$F$1004,$AJ27)="","",INDEX(입력_측정!$F$5:$F$1004,$AJ27)))</f>
        <v/>
      </c>
      <c r="W27" s="25" t="str">
        <f aca="false">IF($AK27=0,"",IF(INDEX(입력_상담!$D$5:$D$1004,$AK27)="","",INDEX(입력_상담!$D$5:$D$1004,$AK27)))</f>
        <v/>
      </c>
      <c r="X27" s="25" t="str">
        <f aca="false">IF($AJ27=0,"",IF(INDEX(입력_측정!$I$5:$I$1004,$AJ27)="","",INDEX(입력_측정!$I$5:$I$1004,$AJ27)))</f>
        <v/>
      </c>
      <c r="Y27" s="25" t="str">
        <f aca="false">IF($AJ27=0,"",IF(INDEX(입력_측정!$J$5:$J$1004,$AJ27)="","",INDEX(입력_측정!$J$5:$J$1004,$AJ27)))</f>
        <v/>
      </c>
      <c r="Z27" s="25" t="str">
        <f aca="false">IF(OR(X27="긴급",LEFT(Y27,2)="긴급",W27="필요",W27="완료"),"대상","")</f>
        <v/>
      </c>
      <c r="AA27" s="59" t="str">
        <f aca="false">IF(M27&lt;&gt;"",M27,IF(AK27&gt;0,IF(W27="필요","추가상담 대기","완료"),IF(AJ27&gt;0,"결과상담 대기",IF(AI27&gt;0,"측정 대기","미방문"))))</f>
        <v>미방문</v>
      </c>
      <c r="AB27" s="60" t="str">
        <f aca="false">IF($AI27=0,"",IF(INDEX(입력_운동!$A$5:$A$1004,$AI27)="","",INDEX(입력_운동!$A$5:$A$1004,$AI27)))</f>
        <v/>
      </c>
      <c r="AC27" s="60" t="str">
        <f aca="false">IF($AJ27=0,"",IF(INDEX(입력_측정!$A$5:$A$1004,$AJ27)="","",INDEX(입력_측정!$A$5:$A$1004,$AJ27)))</f>
        <v/>
      </c>
      <c r="AD27" s="60" t="str">
        <f aca="false">IF($AK27=0,"",IF(INDEX(입력_상담!$A$5:$A$1004,$AK27)="","",INDEX(입력_상담!$A$5:$A$1004,$AK27)))</f>
        <v/>
      </c>
      <c r="AE27" s="25" t="str">
        <f aca="false">IF(AND(ISNUMBER(AB27),ISNUMBER(AC27)),IF(AC27&gt;=AB27,ROUND((AC27-AB27)*1440,0),""),"")</f>
        <v/>
      </c>
      <c r="AF27" s="25" t="str">
        <f aca="false">IF(AND(ISNUMBER(AC27),ISNUMBER(AD27)),IF(AD27&gt;=AC27,ROUND((AD27-AC27)*1440,0),""),"")</f>
        <v/>
      </c>
      <c r="AG27" s="25" t="str">
        <f aca="false">IF(AND(AA27="완료",ISNUMBER(AB27),ISNUMBER(AD27)),IF(AD27&gt;=AB27,ROUND((AD27-AB27)*1440,0),""),"")</f>
        <v/>
      </c>
      <c r="AH27" s="61" t="str">
        <f aca="false">IF(AND(AK27&gt;0,AJ27=0),"측정 기록 없음",IF(AND(AJ27&gt;0,AI27=0),"운동평가 기록 없음",IF(OR(COUNTIF(입력_운동!$B$5:$B$1004,$A27)&gt;1,COUNTIF(입력_측정!$B$5:$B$1004,$A27)&gt;1),"중복 입력","")))</f>
        <v/>
      </c>
      <c r="AI27" s="62" t="n">
        <f aca="false">SUMPRODUCT(MAX((입력_운동!$B$5:$B$1004=$A27)*(ROW(입력_운동!$B$5:$B$1004)-4)))</f>
        <v>0</v>
      </c>
      <c r="AJ27" s="62" t="n">
        <f aca="false">SUMPRODUCT(MAX((입력_측정!$B$5:$B$1004=$A27)*(ROW(입력_측정!$B$5:$B$1004)-4)))</f>
        <v>0</v>
      </c>
      <c r="AK27" s="62" t="n">
        <f aca="false">SUMPRODUCT(MAX((입력_상담!$B$5:$B$1004=$A27)*(ROW(입력_상담!$B$5:$B$1004)-4)))</f>
        <v>0</v>
      </c>
    </row>
    <row r="28" customFormat="false" ht="15" hidden="false" customHeight="false" outlineLevel="0" collapsed="false">
      <c r="A28" s="55" t="n">
        <v>24</v>
      </c>
      <c r="B28" s="56"/>
      <c r="C28" s="24"/>
      <c r="D28" s="24"/>
      <c r="E28" s="56"/>
      <c r="F28" s="57"/>
      <c r="G28" s="58"/>
      <c r="H28" s="56"/>
      <c r="I28" s="24"/>
      <c r="J28" s="24"/>
      <c r="K28" s="24"/>
      <c r="L28" s="24"/>
      <c r="M28" s="24"/>
      <c r="N28" s="56"/>
      <c r="O28" s="25" t="str">
        <f aca="false">IF($AI28=0,"",IF(INDEX(입력_운동!$C$5:$C$1004,$AI28)="","",INDEX(입력_운동!$C$5:$C$1004,$AI28)))</f>
        <v/>
      </c>
      <c r="P28" s="25" t="str">
        <f aca="false">IF($AI28=0,"",IF(INDEX(입력_운동!$D$5:$D$1004,$AI28)="","",INDEX(입력_운동!$D$5:$D$1004,$AI28)))</f>
        <v/>
      </c>
      <c r="Q28" s="25" t="str">
        <f aca="false">IF($AI28=0,"",IF(INDEX(입력_운동!$E$5:$E$1004,$AI28)="","",INDEX(입력_운동!$E$5:$E$1004,$AI28)))</f>
        <v/>
      </c>
      <c r="R28" s="25" t="str">
        <f aca="false">IF($AI28=0,"",IF(INDEX(입력_운동!$F$5:$F$1004,$AI28)="","",INDEX(입력_운동!$F$5:$F$1004,$AI28)))</f>
        <v/>
      </c>
      <c r="S28" s="25" t="str">
        <f aca="false">IF($AJ28=0,"",IF(INDEX(입력_측정!$C$5:$C$1004,$AJ28)="","",INDEX(입력_측정!$C$5:$C$1004,$AJ28)))</f>
        <v/>
      </c>
      <c r="T28" s="25" t="str">
        <f aca="false">IF($AJ28=0,"",IF(INDEX(입력_측정!$D$5:$D$1004,$AJ28)="","",INDEX(입력_측정!$D$5:$D$1004,$AJ28)))</f>
        <v/>
      </c>
      <c r="U28" s="25" t="str">
        <f aca="false">IF($AJ28=0,"",IF(INDEX(입력_측정!$E$5:$E$1004,$AJ28)="","",INDEX(입력_측정!$E$5:$E$1004,$AJ28)))</f>
        <v/>
      </c>
      <c r="V28" s="25" t="str">
        <f aca="false">IF($AJ28=0,"",IF(INDEX(입력_측정!$F$5:$F$1004,$AJ28)="","",INDEX(입력_측정!$F$5:$F$1004,$AJ28)))</f>
        <v/>
      </c>
      <c r="W28" s="25" t="str">
        <f aca="false">IF($AK28=0,"",IF(INDEX(입력_상담!$D$5:$D$1004,$AK28)="","",INDEX(입력_상담!$D$5:$D$1004,$AK28)))</f>
        <v/>
      </c>
      <c r="X28" s="25" t="str">
        <f aca="false">IF($AJ28=0,"",IF(INDEX(입력_측정!$I$5:$I$1004,$AJ28)="","",INDEX(입력_측정!$I$5:$I$1004,$AJ28)))</f>
        <v/>
      </c>
      <c r="Y28" s="25" t="str">
        <f aca="false">IF($AJ28=0,"",IF(INDEX(입력_측정!$J$5:$J$1004,$AJ28)="","",INDEX(입력_측정!$J$5:$J$1004,$AJ28)))</f>
        <v/>
      </c>
      <c r="Z28" s="25" t="str">
        <f aca="false">IF(OR(X28="긴급",LEFT(Y28,2)="긴급",W28="필요",W28="완료"),"대상","")</f>
        <v/>
      </c>
      <c r="AA28" s="59" t="str">
        <f aca="false">IF(M28&lt;&gt;"",M28,IF(AK28&gt;0,IF(W28="필요","추가상담 대기","완료"),IF(AJ28&gt;0,"결과상담 대기",IF(AI28&gt;0,"측정 대기","미방문"))))</f>
        <v>미방문</v>
      </c>
      <c r="AB28" s="60" t="str">
        <f aca="false">IF($AI28=0,"",IF(INDEX(입력_운동!$A$5:$A$1004,$AI28)="","",INDEX(입력_운동!$A$5:$A$1004,$AI28)))</f>
        <v/>
      </c>
      <c r="AC28" s="60" t="str">
        <f aca="false">IF($AJ28=0,"",IF(INDEX(입력_측정!$A$5:$A$1004,$AJ28)="","",INDEX(입력_측정!$A$5:$A$1004,$AJ28)))</f>
        <v/>
      </c>
      <c r="AD28" s="60" t="str">
        <f aca="false">IF($AK28=0,"",IF(INDEX(입력_상담!$A$5:$A$1004,$AK28)="","",INDEX(입력_상담!$A$5:$A$1004,$AK28)))</f>
        <v/>
      </c>
      <c r="AE28" s="25" t="str">
        <f aca="false">IF(AND(ISNUMBER(AB28),ISNUMBER(AC28)),IF(AC28&gt;=AB28,ROUND((AC28-AB28)*1440,0),""),"")</f>
        <v/>
      </c>
      <c r="AF28" s="25" t="str">
        <f aca="false">IF(AND(ISNUMBER(AC28),ISNUMBER(AD28)),IF(AD28&gt;=AC28,ROUND((AD28-AC28)*1440,0),""),"")</f>
        <v/>
      </c>
      <c r="AG28" s="25" t="str">
        <f aca="false">IF(AND(AA28="완료",ISNUMBER(AB28),ISNUMBER(AD28)),IF(AD28&gt;=AB28,ROUND((AD28-AB28)*1440,0),""),"")</f>
        <v/>
      </c>
      <c r="AH28" s="61" t="str">
        <f aca="false">IF(AND(AK28&gt;0,AJ28=0),"측정 기록 없음",IF(AND(AJ28&gt;0,AI28=0),"운동평가 기록 없음",IF(OR(COUNTIF(입력_운동!$B$5:$B$1004,$A28)&gt;1,COUNTIF(입력_측정!$B$5:$B$1004,$A28)&gt;1),"중복 입력","")))</f>
        <v/>
      </c>
      <c r="AI28" s="62" t="n">
        <f aca="false">SUMPRODUCT(MAX((입력_운동!$B$5:$B$1004=$A28)*(ROW(입력_운동!$B$5:$B$1004)-4)))</f>
        <v>0</v>
      </c>
      <c r="AJ28" s="62" t="n">
        <f aca="false">SUMPRODUCT(MAX((입력_측정!$B$5:$B$1004=$A28)*(ROW(입력_측정!$B$5:$B$1004)-4)))</f>
        <v>0</v>
      </c>
      <c r="AK28" s="62" t="n">
        <f aca="false">SUMPRODUCT(MAX((입력_상담!$B$5:$B$1004=$A28)*(ROW(입력_상담!$B$5:$B$1004)-4)))</f>
        <v>0</v>
      </c>
    </row>
    <row r="29" customFormat="false" ht="15" hidden="false" customHeight="false" outlineLevel="0" collapsed="false">
      <c r="A29" s="55" t="n">
        <v>25</v>
      </c>
      <c r="B29" s="56"/>
      <c r="C29" s="24"/>
      <c r="D29" s="24"/>
      <c r="E29" s="56"/>
      <c r="F29" s="57"/>
      <c r="G29" s="58"/>
      <c r="H29" s="56"/>
      <c r="I29" s="24"/>
      <c r="J29" s="24"/>
      <c r="K29" s="24"/>
      <c r="L29" s="24"/>
      <c r="M29" s="24"/>
      <c r="N29" s="56"/>
      <c r="O29" s="25" t="str">
        <f aca="false">IF($AI29=0,"",IF(INDEX(입력_운동!$C$5:$C$1004,$AI29)="","",INDEX(입력_운동!$C$5:$C$1004,$AI29)))</f>
        <v/>
      </c>
      <c r="P29" s="25" t="str">
        <f aca="false">IF($AI29=0,"",IF(INDEX(입력_운동!$D$5:$D$1004,$AI29)="","",INDEX(입력_운동!$D$5:$D$1004,$AI29)))</f>
        <v/>
      </c>
      <c r="Q29" s="25" t="str">
        <f aca="false">IF($AI29=0,"",IF(INDEX(입력_운동!$E$5:$E$1004,$AI29)="","",INDEX(입력_운동!$E$5:$E$1004,$AI29)))</f>
        <v/>
      </c>
      <c r="R29" s="25" t="str">
        <f aca="false">IF($AI29=0,"",IF(INDEX(입력_운동!$F$5:$F$1004,$AI29)="","",INDEX(입력_운동!$F$5:$F$1004,$AI29)))</f>
        <v/>
      </c>
      <c r="S29" s="25" t="str">
        <f aca="false">IF($AJ29=0,"",IF(INDEX(입력_측정!$C$5:$C$1004,$AJ29)="","",INDEX(입력_측정!$C$5:$C$1004,$AJ29)))</f>
        <v/>
      </c>
      <c r="T29" s="25" t="str">
        <f aca="false">IF($AJ29=0,"",IF(INDEX(입력_측정!$D$5:$D$1004,$AJ29)="","",INDEX(입력_측정!$D$5:$D$1004,$AJ29)))</f>
        <v/>
      </c>
      <c r="U29" s="25" t="str">
        <f aca="false">IF($AJ29=0,"",IF(INDEX(입력_측정!$E$5:$E$1004,$AJ29)="","",INDEX(입력_측정!$E$5:$E$1004,$AJ29)))</f>
        <v/>
      </c>
      <c r="V29" s="25" t="str">
        <f aca="false">IF($AJ29=0,"",IF(INDEX(입력_측정!$F$5:$F$1004,$AJ29)="","",INDEX(입력_측정!$F$5:$F$1004,$AJ29)))</f>
        <v/>
      </c>
      <c r="W29" s="25" t="str">
        <f aca="false">IF($AK29=0,"",IF(INDEX(입력_상담!$D$5:$D$1004,$AK29)="","",INDEX(입력_상담!$D$5:$D$1004,$AK29)))</f>
        <v/>
      </c>
      <c r="X29" s="25" t="str">
        <f aca="false">IF($AJ29=0,"",IF(INDEX(입력_측정!$I$5:$I$1004,$AJ29)="","",INDEX(입력_측정!$I$5:$I$1004,$AJ29)))</f>
        <v/>
      </c>
      <c r="Y29" s="25" t="str">
        <f aca="false">IF($AJ29=0,"",IF(INDEX(입력_측정!$J$5:$J$1004,$AJ29)="","",INDEX(입력_측정!$J$5:$J$1004,$AJ29)))</f>
        <v/>
      </c>
      <c r="Z29" s="25" t="str">
        <f aca="false">IF(OR(X29="긴급",LEFT(Y29,2)="긴급",W29="필요",W29="완료"),"대상","")</f>
        <v/>
      </c>
      <c r="AA29" s="59" t="str">
        <f aca="false">IF(M29&lt;&gt;"",M29,IF(AK29&gt;0,IF(W29="필요","추가상담 대기","완료"),IF(AJ29&gt;0,"결과상담 대기",IF(AI29&gt;0,"측정 대기","미방문"))))</f>
        <v>미방문</v>
      </c>
      <c r="AB29" s="60" t="str">
        <f aca="false">IF($AI29=0,"",IF(INDEX(입력_운동!$A$5:$A$1004,$AI29)="","",INDEX(입력_운동!$A$5:$A$1004,$AI29)))</f>
        <v/>
      </c>
      <c r="AC29" s="60" t="str">
        <f aca="false">IF($AJ29=0,"",IF(INDEX(입력_측정!$A$5:$A$1004,$AJ29)="","",INDEX(입력_측정!$A$5:$A$1004,$AJ29)))</f>
        <v/>
      </c>
      <c r="AD29" s="60" t="str">
        <f aca="false">IF($AK29=0,"",IF(INDEX(입력_상담!$A$5:$A$1004,$AK29)="","",INDEX(입력_상담!$A$5:$A$1004,$AK29)))</f>
        <v/>
      </c>
      <c r="AE29" s="25" t="str">
        <f aca="false">IF(AND(ISNUMBER(AB29),ISNUMBER(AC29)),IF(AC29&gt;=AB29,ROUND((AC29-AB29)*1440,0),""),"")</f>
        <v/>
      </c>
      <c r="AF29" s="25" t="str">
        <f aca="false">IF(AND(ISNUMBER(AC29),ISNUMBER(AD29)),IF(AD29&gt;=AC29,ROUND((AD29-AC29)*1440,0),""),"")</f>
        <v/>
      </c>
      <c r="AG29" s="25" t="str">
        <f aca="false">IF(AND(AA29="완료",ISNUMBER(AB29),ISNUMBER(AD29)),IF(AD29&gt;=AB29,ROUND((AD29-AB29)*1440,0),""),"")</f>
        <v/>
      </c>
      <c r="AH29" s="61" t="str">
        <f aca="false">IF(AND(AK29&gt;0,AJ29=0),"측정 기록 없음",IF(AND(AJ29&gt;0,AI29=0),"운동평가 기록 없음",IF(OR(COUNTIF(입력_운동!$B$5:$B$1004,$A29)&gt;1,COUNTIF(입력_측정!$B$5:$B$1004,$A29)&gt;1),"중복 입력","")))</f>
        <v/>
      </c>
      <c r="AI29" s="62" t="n">
        <f aca="false">SUMPRODUCT(MAX((입력_운동!$B$5:$B$1004=$A29)*(ROW(입력_운동!$B$5:$B$1004)-4)))</f>
        <v>0</v>
      </c>
      <c r="AJ29" s="62" t="n">
        <f aca="false">SUMPRODUCT(MAX((입력_측정!$B$5:$B$1004=$A29)*(ROW(입력_측정!$B$5:$B$1004)-4)))</f>
        <v>0</v>
      </c>
      <c r="AK29" s="62" t="n">
        <f aca="false">SUMPRODUCT(MAX((입력_상담!$B$5:$B$1004=$A29)*(ROW(입력_상담!$B$5:$B$1004)-4)))</f>
        <v>0</v>
      </c>
    </row>
    <row r="30" customFormat="false" ht="15" hidden="false" customHeight="false" outlineLevel="0" collapsed="false">
      <c r="A30" s="55" t="n">
        <v>26</v>
      </c>
      <c r="B30" s="56"/>
      <c r="C30" s="24"/>
      <c r="D30" s="24"/>
      <c r="E30" s="56"/>
      <c r="F30" s="57"/>
      <c r="G30" s="58"/>
      <c r="H30" s="56"/>
      <c r="I30" s="24"/>
      <c r="J30" s="24"/>
      <c r="K30" s="24"/>
      <c r="L30" s="24"/>
      <c r="M30" s="24"/>
      <c r="N30" s="56"/>
      <c r="O30" s="25" t="str">
        <f aca="false">IF($AI30=0,"",IF(INDEX(입력_운동!$C$5:$C$1004,$AI30)="","",INDEX(입력_운동!$C$5:$C$1004,$AI30)))</f>
        <v/>
      </c>
      <c r="P30" s="25" t="str">
        <f aca="false">IF($AI30=0,"",IF(INDEX(입력_운동!$D$5:$D$1004,$AI30)="","",INDEX(입력_운동!$D$5:$D$1004,$AI30)))</f>
        <v/>
      </c>
      <c r="Q30" s="25" t="str">
        <f aca="false">IF($AI30=0,"",IF(INDEX(입력_운동!$E$5:$E$1004,$AI30)="","",INDEX(입력_운동!$E$5:$E$1004,$AI30)))</f>
        <v/>
      </c>
      <c r="R30" s="25" t="str">
        <f aca="false">IF($AI30=0,"",IF(INDEX(입력_운동!$F$5:$F$1004,$AI30)="","",INDEX(입력_운동!$F$5:$F$1004,$AI30)))</f>
        <v/>
      </c>
      <c r="S30" s="25" t="str">
        <f aca="false">IF($AJ30=0,"",IF(INDEX(입력_측정!$C$5:$C$1004,$AJ30)="","",INDEX(입력_측정!$C$5:$C$1004,$AJ30)))</f>
        <v/>
      </c>
      <c r="T30" s="25" t="str">
        <f aca="false">IF($AJ30=0,"",IF(INDEX(입력_측정!$D$5:$D$1004,$AJ30)="","",INDEX(입력_측정!$D$5:$D$1004,$AJ30)))</f>
        <v/>
      </c>
      <c r="U30" s="25" t="str">
        <f aca="false">IF($AJ30=0,"",IF(INDEX(입력_측정!$E$5:$E$1004,$AJ30)="","",INDEX(입력_측정!$E$5:$E$1004,$AJ30)))</f>
        <v/>
      </c>
      <c r="V30" s="25" t="str">
        <f aca="false">IF($AJ30=0,"",IF(INDEX(입력_측정!$F$5:$F$1004,$AJ30)="","",INDEX(입력_측정!$F$5:$F$1004,$AJ30)))</f>
        <v/>
      </c>
      <c r="W30" s="25" t="str">
        <f aca="false">IF($AK30=0,"",IF(INDEX(입력_상담!$D$5:$D$1004,$AK30)="","",INDEX(입력_상담!$D$5:$D$1004,$AK30)))</f>
        <v/>
      </c>
      <c r="X30" s="25" t="str">
        <f aca="false">IF($AJ30=0,"",IF(INDEX(입력_측정!$I$5:$I$1004,$AJ30)="","",INDEX(입력_측정!$I$5:$I$1004,$AJ30)))</f>
        <v/>
      </c>
      <c r="Y30" s="25" t="str">
        <f aca="false">IF($AJ30=0,"",IF(INDEX(입력_측정!$J$5:$J$1004,$AJ30)="","",INDEX(입력_측정!$J$5:$J$1004,$AJ30)))</f>
        <v/>
      </c>
      <c r="Z30" s="25" t="str">
        <f aca="false">IF(OR(X30="긴급",LEFT(Y30,2)="긴급",W30="필요",W30="완료"),"대상","")</f>
        <v/>
      </c>
      <c r="AA30" s="59" t="str">
        <f aca="false">IF(M30&lt;&gt;"",M30,IF(AK30&gt;0,IF(W30="필요","추가상담 대기","완료"),IF(AJ30&gt;0,"결과상담 대기",IF(AI30&gt;0,"측정 대기","미방문"))))</f>
        <v>미방문</v>
      </c>
      <c r="AB30" s="60" t="str">
        <f aca="false">IF($AI30=0,"",IF(INDEX(입력_운동!$A$5:$A$1004,$AI30)="","",INDEX(입력_운동!$A$5:$A$1004,$AI30)))</f>
        <v/>
      </c>
      <c r="AC30" s="60" t="str">
        <f aca="false">IF($AJ30=0,"",IF(INDEX(입력_측정!$A$5:$A$1004,$AJ30)="","",INDEX(입력_측정!$A$5:$A$1004,$AJ30)))</f>
        <v/>
      </c>
      <c r="AD30" s="60" t="str">
        <f aca="false">IF($AK30=0,"",IF(INDEX(입력_상담!$A$5:$A$1004,$AK30)="","",INDEX(입력_상담!$A$5:$A$1004,$AK30)))</f>
        <v/>
      </c>
      <c r="AE30" s="25" t="str">
        <f aca="false">IF(AND(ISNUMBER(AB30),ISNUMBER(AC30)),IF(AC30&gt;=AB30,ROUND((AC30-AB30)*1440,0),""),"")</f>
        <v/>
      </c>
      <c r="AF30" s="25" t="str">
        <f aca="false">IF(AND(ISNUMBER(AC30),ISNUMBER(AD30)),IF(AD30&gt;=AC30,ROUND((AD30-AC30)*1440,0),""),"")</f>
        <v/>
      </c>
      <c r="AG30" s="25" t="str">
        <f aca="false">IF(AND(AA30="완료",ISNUMBER(AB30),ISNUMBER(AD30)),IF(AD30&gt;=AB30,ROUND((AD30-AB30)*1440,0),""),"")</f>
        <v/>
      </c>
      <c r="AH30" s="61" t="str">
        <f aca="false">IF(AND(AK30&gt;0,AJ30=0),"측정 기록 없음",IF(AND(AJ30&gt;0,AI30=0),"운동평가 기록 없음",IF(OR(COUNTIF(입력_운동!$B$5:$B$1004,$A30)&gt;1,COUNTIF(입력_측정!$B$5:$B$1004,$A30)&gt;1),"중복 입력","")))</f>
        <v/>
      </c>
      <c r="AI30" s="62" t="n">
        <f aca="false">SUMPRODUCT(MAX((입력_운동!$B$5:$B$1004=$A30)*(ROW(입력_운동!$B$5:$B$1004)-4)))</f>
        <v>0</v>
      </c>
      <c r="AJ30" s="62" t="n">
        <f aca="false">SUMPRODUCT(MAX((입력_측정!$B$5:$B$1004=$A30)*(ROW(입력_측정!$B$5:$B$1004)-4)))</f>
        <v>0</v>
      </c>
      <c r="AK30" s="62" t="n">
        <f aca="false">SUMPRODUCT(MAX((입력_상담!$B$5:$B$1004=$A30)*(ROW(입력_상담!$B$5:$B$1004)-4)))</f>
        <v>0</v>
      </c>
    </row>
    <row r="31" customFormat="false" ht="15" hidden="false" customHeight="false" outlineLevel="0" collapsed="false">
      <c r="A31" s="55" t="n">
        <v>27</v>
      </c>
      <c r="B31" s="56"/>
      <c r="C31" s="24"/>
      <c r="D31" s="24"/>
      <c r="E31" s="56"/>
      <c r="F31" s="57"/>
      <c r="G31" s="58"/>
      <c r="H31" s="56"/>
      <c r="I31" s="24"/>
      <c r="J31" s="24"/>
      <c r="K31" s="24"/>
      <c r="L31" s="24"/>
      <c r="M31" s="24"/>
      <c r="N31" s="56"/>
      <c r="O31" s="25" t="str">
        <f aca="false">IF($AI31=0,"",IF(INDEX(입력_운동!$C$5:$C$1004,$AI31)="","",INDEX(입력_운동!$C$5:$C$1004,$AI31)))</f>
        <v/>
      </c>
      <c r="P31" s="25" t="str">
        <f aca="false">IF($AI31=0,"",IF(INDEX(입력_운동!$D$5:$D$1004,$AI31)="","",INDEX(입력_운동!$D$5:$D$1004,$AI31)))</f>
        <v/>
      </c>
      <c r="Q31" s="25" t="str">
        <f aca="false">IF($AI31=0,"",IF(INDEX(입력_운동!$E$5:$E$1004,$AI31)="","",INDEX(입력_운동!$E$5:$E$1004,$AI31)))</f>
        <v/>
      </c>
      <c r="R31" s="25" t="str">
        <f aca="false">IF($AI31=0,"",IF(INDEX(입력_운동!$F$5:$F$1004,$AI31)="","",INDEX(입력_운동!$F$5:$F$1004,$AI31)))</f>
        <v/>
      </c>
      <c r="S31" s="25" t="str">
        <f aca="false">IF($AJ31=0,"",IF(INDEX(입력_측정!$C$5:$C$1004,$AJ31)="","",INDEX(입력_측정!$C$5:$C$1004,$AJ31)))</f>
        <v/>
      </c>
      <c r="T31" s="25" t="str">
        <f aca="false">IF($AJ31=0,"",IF(INDEX(입력_측정!$D$5:$D$1004,$AJ31)="","",INDEX(입력_측정!$D$5:$D$1004,$AJ31)))</f>
        <v/>
      </c>
      <c r="U31" s="25" t="str">
        <f aca="false">IF($AJ31=0,"",IF(INDEX(입력_측정!$E$5:$E$1004,$AJ31)="","",INDEX(입력_측정!$E$5:$E$1004,$AJ31)))</f>
        <v/>
      </c>
      <c r="V31" s="25" t="str">
        <f aca="false">IF($AJ31=0,"",IF(INDEX(입력_측정!$F$5:$F$1004,$AJ31)="","",INDEX(입력_측정!$F$5:$F$1004,$AJ31)))</f>
        <v/>
      </c>
      <c r="W31" s="25" t="str">
        <f aca="false">IF($AK31=0,"",IF(INDEX(입력_상담!$D$5:$D$1004,$AK31)="","",INDEX(입력_상담!$D$5:$D$1004,$AK31)))</f>
        <v/>
      </c>
      <c r="X31" s="25" t="str">
        <f aca="false">IF($AJ31=0,"",IF(INDEX(입력_측정!$I$5:$I$1004,$AJ31)="","",INDEX(입력_측정!$I$5:$I$1004,$AJ31)))</f>
        <v/>
      </c>
      <c r="Y31" s="25" t="str">
        <f aca="false">IF($AJ31=0,"",IF(INDEX(입력_측정!$J$5:$J$1004,$AJ31)="","",INDEX(입력_측정!$J$5:$J$1004,$AJ31)))</f>
        <v/>
      </c>
      <c r="Z31" s="25" t="str">
        <f aca="false">IF(OR(X31="긴급",LEFT(Y31,2)="긴급",W31="필요",W31="완료"),"대상","")</f>
        <v/>
      </c>
      <c r="AA31" s="59" t="str">
        <f aca="false">IF(M31&lt;&gt;"",M31,IF(AK31&gt;0,IF(W31="필요","추가상담 대기","완료"),IF(AJ31&gt;0,"결과상담 대기",IF(AI31&gt;0,"측정 대기","미방문"))))</f>
        <v>미방문</v>
      </c>
      <c r="AB31" s="60" t="str">
        <f aca="false">IF($AI31=0,"",IF(INDEX(입력_운동!$A$5:$A$1004,$AI31)="","",INDEX(입력_운동!$A$5:$A$1004,$AI31)))</f>
        <v/>
      </c>
      <c r="AC31" s="60" t="str">
        <f aca="false">IF($AJ31=0,"",IF(INDEX(입력_측정!$A$5:$A$1004,$AJ31)="","",INDEX(입력_측정!$A$5:$A$1004,$AJ31)))</f>
        <v/>
      </c>
      <c r="AD31" s="60" t="str">
        <f aca="false">IF($AK31=0,"",IF(INDEX(입력_상담!$A$5:$A$1004,$AK31)="","",INDEX(입력_상담!$A$5:$A$1004,$AK31)))</f>
        <v/>
      </c>
      <c r="AE31" s="25" t="str">
        <f aca="false">IF(AND(ISNUMBER(AB31),ISNUMBER(AC31)),IF(AC31&gt;=AB31,ROUND((AC31-AB31)*1440,0),""),"")</f>
        <v/>
      </c>
      <c r="AF31" s="25" t="str">
        <f aca="false">IF(AND(ISNUMBER(AC31),ISNUMBER(AD31)),IF(AD31&gt;=AC31,ROUND((AD31-AC31)*1440,0),""),"")</f>
        <v/>
      </c>
      <c r="AG31" s="25" t="str">
        <f aca="false">IF(AND(AA31="완료",ISNUMBER(AB31),ISNUMBER(AD31)),IF(AD31&gt;=AB31,ROUND((AD31-AB31)*1440,0),""),"")</f>
        <v/>
      </c>
      <c r="AH31" s="61" t="str">
        <f aca="false">IF(AND(AK31&gt;0,AJ31=0),"측정 기록 없음",IF(AND(AJ31&gt;0,AI31=0),"운동평가 기록 없음",IF(OR(COUNTIF(입력_운동!$B$5:$B$1004,$A31)&gt;1,COUNTIF(입력_측정!$B$5:$B$1004,$A31)&gt;1),"중복 입력","")))</f>
        <v/>
      </c>
      <c r="AI31" s="62" t="n">
        <f aca="false">SUMPRODUCT(MAX((입력_운동!$B$5:$B$1004=$A31)*(ROW(입력_운동!$B$5:$B$1004)-4)))</f>
        <v>0</v>
      </c>
      <c r="AJ31" s="62" t="n">
        <f aca="false">SUMPRODUCT(MAX((입력_측정!$B$5:$B$1004=$A31)*(ROW(입력_측정!$B$5:$B$1004)-4)))</f>
        <v>0</v>
      </c>
      <c r="AK31" s="62" t="n">
        <f aca="false">SUMPRODUCT(MAX((입력_상담!$B$5:$B$1004=$A31)*(ROW(입력_상담!$B$5:$B$1004)-4)))</f>
        <v>0</v>
      </c>
    </row>
    <row r="32" customFormat="false" ht="15" hidden="false" customHeight="false" outlineLevel="0" collapsed="false">
      <c r="A32" s="55" t="n">
        <v>28</v>
      </c>
      <c r="B32" s="56"/>
      <c r="C32" s="24"/>
      <c r="D32" s="24"/>
      <c r="E32" s="56"/>
      <c r="F32" s="57"/>
      <c r="G32" s="58"/>
      <c r="H32" s="56"/>
      <c r="I32" s="24"/>
      <c r="J32" s="24"/>
      <c r="K32" s="24"/>
      <c r="L32" s="24"/>
      <c r="M32" s="24"/>
      <c r="N32" s="56"/>
      <c r="O32" s="25" t="str">
        <f aca="false">IF($AI32=0,"",IF(INDEX(입력_운동!$C$5:$C$1004,$AI32)="","",INDEX(입력_운동!$C$5:$C$1004,$AI32)))</f>
        <v/>
      </c>
      <c r="P32" s="25" t="str">
        <f aca="false">IF($AI32=0,"",IF(INDEX(입력_운동!$D$5:$D$1004,$AI32)="","",INDEX(입력_운동!$D$5:$D$1004,$AI32)))</f>
        <v/>
      </c>
      <c r="Q32" s="25" t="str">
        <f aca="false">IF($AI32=0,"",IF(INDEX(입력_운동!$E$5:$E$1004,$AI32)="","",INDEX(입력_운동!$E$5:$E$1004,$AI32)))</f>
        <v/>
      </c>
      <c r="R32" s="25" t="str">
        <f aca="false">IF($AI32=0,"",IF(INDEX(입력_운동!$F$5:$F$1004,$AI32)="","",INDEX(입력_운동!$F$5:$F$1004,$AI32)))</f>
        <v/>
      </c>
      <c r="S32" s="25" t="str">
        <f aca="false">IF($AJ32=0,"",IF(INDEX(입력_측정!$C$5:$C$1004,$AJ32)="","",INDEX(입력_측정!$C$5:$C$1004,$AJ32)))</f>
        <v/>
      </c>
      <c r="T32" s="25" t="str">
        <f aca="false">IF($AJ32=0,"",IF(INDEX(입력_측정!$D$5:$D$1004,$AJ32)="","",INDEX(입력_측정!$D$5:$D$1004,$AJ32)))</f>
        <v/>
      </c>
      <c r="U32" s="25" t="str">
        <f aca="false">IF($AJ32=0,"",IF(INDEX(입력_측정!$E$5:$E$1004,$AJ32)="","",INDEX(입력_측정!$E$5:$E$1004,$AJ32)))</f>
        <v/>
      </c>
      <c r="V32" s="25" t="str">
        <f aca="false">IF($AJ32=0,"",IF(INDEX(입력_측정!$F$5:$F$1004,$AJ32)="","",INDEX(입력_측정!$F$5:$F$1004,$AJ32)))</f>
        <v/>
      </c>
      <c r="W32" s="25" t="str">
        <f aca="false">IF($AK32=0,"",IF(INDEX(입력_상담!$D$5:$D$1004,$AK32)="","",INDEX(입력_상담!$D$5:$D$1004,$AK32)))</f>
        <v/>
      </c>
      <c r="X32" s="25" t="str">
        <f aca="false">IF($AJ32=0,"",IF(INDEX(입력_측정!$I$5:$I$1004,$AJ32)="","",INDEX(입력_측정!$I$5:$I$1004,$AJ32)))</f>
        <v/>
      </c>
      <c r="Y32" s="25" t="str">
        <f aca="false">IF($AJ32=0,"",IF(INDEX(입력_측정!$J$5:$J$1004,$AJ32)="","",INDEX(입력_측정!$J$5:$J$1004,$AJ32)))</f>
        <v/>
      </c>
      <c r="Z32" s="25" t="str">
        <f aca="false">IF(OR(X32="긴급",LEFT(Y32,2)="긴급",W32="필요",W32="완료"),"대상","")</f>
        <v/>
      </c>
      <c r="AA32" s="59" t="str">
        <f aca="false">IF(M32&lt;&gt;"",M32,IF(AK32&gt;0,IF(W32="필요","추가상담 대기","완료"),IF(AJ32&gt;0,"결과상담 대기",IF(AI32&gt;0,"측정 대기","미방문"))))</f>
        <v>미방문</v>
      </c>
      <c r="AB32" s="60" t="str">
        <f aca="false">IF($AI32=0,"",IF(INDEX(입력_운동!$A$5:$A$1004,$AI32)="","",INDEX(입력_운동!$A$5:$A$1004,$AI32)))</f>
        <v/>
      </c>
      <c r="AC32" s="60" t="str">
        <f aca="false">IF($AJ32=0,"",IF(INDEX(입력_측정!$A$5:$A$1004,$AJ32)="","",INDEX(입력_측정!$A$5:$A$1004,$AJ32)))</f>
        <v/>
      </c>
      <c r="AD32" s="60" t="str">
        <f aca="false">IF($AK32=0,"",IF(INDEX(입력_상담!$A$5:$A$1004,$AK32)="","",INDEX(입력_상담!$A$5:$A$1004,$AK32)))</f>
        <v/>
      </c>
      <c r="AE32" s="25" t="str">
        <f aca="false">IF(AND(ISNUMBER(AB32),ISNUMBER(AC32)),IF(AC32&gt;=AB32,ROUND((AC32-AB32)*1440,0),""),"")</f>
        <v/>
      </c>
      <c r="AF32" s="25" t="str">
        <f aca="false">IF(AND(ISNUMBER(AC32),ISNUMBER(AD32)),IF(AD32&gt;=AC32,ROUND((AD32-AC32)*1440,0),""),"")</f>
        <v/>
      </c>
      <c r="AG32" s="25" t="str">
        <f aca="false">IF(AND(AA32="완료",ISNUMBER(AB32),ISNUMBER(AD32)),IF(AD32&gt;=AB32,ROUND((AD32-AB32)*1440,0),""),"")</f>
        <v/>
      </c>
      <c r="AH32" s="61" t="str">
        <f aca="false">IF(AND(AK32&gt;0,AJ32=0),"측정 기록 없음",IF(AND(AJ32&gt;0,AI32=0),"운동평가 기록 없음",IF(OR(COUNTIF(입력_운동!$B$5:$B$1004,$A32)&gt;1,COUNTIF(입력_측정!$B$5:$B$1004,$A32)&gt;1),"중복 입력","")))</f>
        <v/>
      </c>
      <c r="AI32" s="62" t="n">
        <f aca="false">SUMPRODUCT(MAX((입력_운동!$B$5:$B$1004=$A32)*(ROW(입력_운동!$B$5:$B$1004)-4)))</f>
        <v>0</v>
      </c>
      <c r="AJ32" s="62" t="n">
        <f aca="false">SUMPRODUCT(MAX((입력_측정!$B$5:$B$1004=$A32)*(ROW(입력_측정!$B$5:$B$1004)-4)))</f>
        <v>0</v>
      </c>
      <c r="AK32" s="62" t="n">
        <f aca="false">SUMPRODUCT(MAX((입력_상담!$B$5:$B$1004=$A32)*(ROW(입력_상담!$B$5:$B$1004)-4)))</f>
        <v>0</v>
      </c>
    </row>
    <row r="33" customFormat="false" ht="15" hidden="false" customHeight="false" outlineLevel="0" collapsed="false">
      <c r="A33" s="55" t="n">
        <v>29</v>
      </c>
      <c r="B33" s="56"/>
      <c r="C33" s="24"/>
      <c r="D33" s="24"/>
      <c r="E33" s="56"/>
      <c r="F33" s="57"/>
      <c r="G33" s="58"/>
      <c r="H33" s="56"/>
      <c r="I33" s="24"/>
      <c r="J33" s="24"/>
      <c r="K33" s="24"/>
      <c r="L33" s="24"/>
      <c r="M33" s="24"/>
      <c r="N33" s="56"/>
      <c r="O33" s="25" t="str">
        <f aca="false">IF($AI33=0,"",IF(INDEX(입력_운동!$C$5:$C$1004,$AI33)="","",INDEX(입력_운동!$C$5:$C$1004,$AI33)))</f>
        <v/>
      </c>
      <c r="P33" s="25" t="str">
        <f aca="false">IF($AI33=0,"",IF(INDEX(입력_운동!$D$5:$D$1004,$AI33)="","",INDEX(입력_운동!$D$5:$D$1004,$AI33)))</f>
        <v/>
      </c>
      <c r="Q33" s="25" t="str">
        <f aca="false">IF($AI33=0,"",IF(INDEX(입력_운동!$E$5:$E$1004,$AI33)="","",INDEX(입력_운동!$E$5:$E$1004,$AI33)))</f>
        <v/>
      </c>
      <c r="R33" s="25" t="str">
        <f aca="false">IF($AI33=0,"",IF(INDEX(입력_운동!$F$5:$F$1004,$AI33)="","",INDEX(입력_운동!$F$5:$F$1004,$AI33)))</f>
        <v/>
      </c>
      <c r="S33" s="25" t="str">
        <f aca="false">IF($AJ33=0,"",IF(INDEX(입력_측정!$C$5:$C$1004,$AJ33)="","",INDEX(입력_측정!$C$5:$C$1004,$AJ33)))</f>
        <v/>
      </c>
      <c r="T33" s="25" t="str">
        <f aca="false">IF($AJ33=0,"",IF(INDEX(입력_측정!$D$5:$D$1004,$AJ33)="","",INDEX(입력_측정!$D$5:$D$1004,$AJ33)))</f>
        <v/>
      </c>
      <c r="U33" s="25" t="str">
        <f aca="false">IF($AJ33=0,"",IF(INDEX(입력_측정!$E$5:$E$1004,$AJ33)="","",INDEX(입력_측정!$E$5:$E$1004,$AJ33)))</f>
        <v/>
      </c>
      <c r="V33" s="25" t="str">
        <f aca="false">IF($AJ33=0,"",IF(INDEX(입력_측정!$F$5:$F$1004,$AJ33)="","",INDEX(입력_측정!$F$5:$F$1004,$AJ33)))</f>
        <v/>
      </c>
      <c r="W33" s="25" t="str">
        <f aca="false">IF($AK33=0,"",IF(INDEX(입력_상담!$D$5:$D$1004,$AK33)="","",INDEX(입력_상담!$D$5:$D$1004,$AK33)))</f>
        <v/>
      </c>
      <c r="X33" s="25" t="str">
        <f aca="false">IF($AJ33=0,"",IF(INDEX(입력_측정!$I$5:$I$1004,$AJ33)="","",INDEX(입력_측정!$I$5:$I$1004,$AJ33)))</f>
        <v/>
      </c>
      <c r="Y33" s="25" t="str">
        <f aca="false">IF($AJ33=0,"",IF(INDEX(입력_측정!$J$5:$J$1004,$AJ33)="","",INDEX(입력_측정!$J$5:$J$1004,$AJ33)))</f>
        <v/>
      </c>
      <c r="Z33" s="25" t="str">
        <f aca="false">IF(OR(X33="긴급",LEFT(Y33,2)="긴급",W33="필요",W33="완료"),"대상","")</f>
        <v/>
      </c>
      <c r="AA33" s="59" t="str">
        <f aca="false">IF(M33&lt;&gt;"",M33,IF(AK33&gt;0,IF(W33="필요","추가상담 대기","완료"),IF(AJ33&gt;0,"결과상담 대기",IF(AI33&gt;0,"측정 대기","미방문"))))</f>
        <v>미방문</v>
      </c>
      <c r="AB33" s="60" t="str">
        <f aca="false">IF($AI33=0,"",IF(INDEX(입력_운동!$A$5:$A$1004,$AI33)="","",INDEX(입력_운동!$A$5:$A$1004,$AI33)))</f>
        <v/>
      </c>
      <c r="AC33" s="60" t="str">
        <f aca="false">IF($AJ33=0,"",IF(INDEX(입력_측정!$A$5:$A$1004,$AJ33)="","",INDEX(입력_측정!$A$5:$A$1004,$AJ33)))</f>
        <v/>
      </c>
      <c r="AD33" s="60" t="str">
        <f aca="false">IF($AK33=0,"",IF(INDEX(입력_상담!$A$5:$A$1004,$AK33)="","",INDEX(입력_상담!$A$5:$A$1004,$AK33)))</f>
        <v/>
      </c>
      <c r="AE33" s="25" t="str">
        <f aca="false">IF(AND(ISNUMBER(AB33),ISNUMBER(AC33)),IF(AC33&gt;=AB33,ROUND((AC33-AB33)*1440,0),""),"")</f>
        <v/>
      </c>
      <c r="AF33" s="25" t="str">
        <f aca="false">IF(AND(ISNUMBER(AC33),ISNUMBER(AD33)),IF(AD33&gt;=AC33,ROUND((AD33-AC33)*1440,0),""),"")</f>
        <v/>
      </c>
      <c r="AG33" s="25" t="str">
        <f aca="false">IF(AND(AA33="완료",ISNUMBER(AB33),ISNUMBER(AD33)),IF(AD33&gt;=AB33,ROUND((AD33-AB33)*1440,0),""),"")</f>
        <v/>
      </c>
      <c r="AH33" s="61" t="str">
        <f aca="false">IF(AND(AK33&gt;0,AJ33=0),"측정 기록 없음",IF(AND(AJ33&gt;0,AI33=0),"운동평가 기록 없음",IF(OR(COUNTIF(입력_운동!$B$5:$B$1004,$A33)&gt;1,COUNTIF(입력_측정!$B$5:$B$1004,$A33)&gt;1),"중복 입력","")))</f>
        <v/>
      </c>
      <c r="AI33" s="62" t="n">
        <f aca="false">SUMPRODUCT(MAX((입력_운동!$B$5:$B$1004=$A33)*(ROW(입력_운동!$B$5:$B$1004)-4)))</f>
        <v>0</v>
      </c>
      <c r="AJ33" s="62" t="n">
        <f aca="false">SUMPRODUCT(MAX((입력_측정!$B$5:$B$1004=$A33)*(ROW(입력_측정!$B$5:$B$1004)-4)))</f>
        <v>0</v>
      </c>
      <c r="AK33" s="62" t="n">
        <f aca="false">SUMPRODUCT(MAX((입력_상담!$B$5:$B$1004=$A33)*(ROW(입력_상담!$B$5:$B$1004)-4)))</f>
        <v>0</v>
      </c>
    </row>
    <row r="34" customFormat="false" ht="15" hidden="false" customHeight="false" outlineLevel="0" collapsed="false">
      <c r="A34" s="55" t="n">
        <v>30</v>
      </c>
      <c r="B34" s="56"/>
      <c r="C34" s="24"/>
      <c r="D34" s="24"/>
      <c r="E34" s="56"/>
      <c r="F34" s="57"/>
      <c r="G34" s="58"/>
      <c r="H34" s="56"/>
      <c r="I34" s="24"/>
      <c r="J34" s="24"/>
      <c r="K34" s="24"/>
      <c r="L34" s="24"/>
      <c r="M34" s="24"/>
      <c r="N34" s="56"/>
      <c r="O34" s="25" t="str">
        <f aca="false">IF($AI34=0,"",IF(INDEX(입력_운동!$C$5:$C$1004,$AI34)="","",INDEX(입력_운동!$C$5:$C$1004,$AI34)))</f>
        <v/>
      </c>
      <c r="P34" s="25" t="str">
        <f aca="false">IF($AI34=0,"",IF(INDEX(입력_운동!$D$5:$D$1004,$AI34)="","",INDEX(입력_운동!$D$5:$D$1004,$AI34)))</f>
        <v/>
      </c>
      <c r="Q34" s="25" t="str">
        <f aca="false">IF($AI34=0,"",IF(INDEX(입력_운동!$E$5:$E$1004,$AI34)="","",INDEX(입력_운동!$E$5:$E$1004,$AI34)))</f>
        <v/>
      </c>
      <c r="R34" s="25" t="str">
        <f aca="false">IF($AI34=0,"",IF(INDEX(입력_운동!$F$5:$F$1004,$AI34)="","",INDEX(입력_운동!$F$5:$F$1004,$AI34)))</f>
        <v/>
      </c>
      <c r="S34" s="25" t="str">
        <f aca="false">IF($AJ34=0,"",IF(INDEX(입력_측정!$C$5:$C$1004,$AJ34)="","",INDEX(입력_측정!$C$5:$C$1004,$AJ34)))</f>
        <v/>
      </c>
      <c r="T34" s="25" t="str">
        <f aca="false">IF($AJ34=0,"",IF(INDEX(입력_측정!$D$5:$D$1004,$AJ34)="","",INDEX(입력_측정!$D$5:$D$1004,$AJ34)))</f>
        <v/>
      </c>
      <c r="U34" s="25" t="str">
        <f aca="false">IF($AJ34=0,"",IF(INDEX(입력_측정!$E$5:$E$1004,$AJ34)="","",INDEX(입력_측정!$E$5:$E$1004,$AJ34)))</f>
        <v/>
      </c>
      <c r="V34" s="25" t="str">
        <f aca="false">IF($AJ34=0,"",IF(INDEX(입력_측정!$F$5:$F$1004,$AJ34)="","",INDEX(입력_측정!$F$5:$F$1004,$AJ34)))</f>
        <v/>
      </c>
      <c r="W34" s="25" t="str">
        <f aca="false">IF($AK34=0,"",IF(INDEX(입력_상담!$D$5:$D$1004,$AK34)="","",INDEX(입력_상담!$D$5:$D$1004,$AK34)))</f>
        <v/>
      </c>
      <c r="X34" s="25" t="str">
        <f aca="false">IF($AJ34=0,"",IF(INDEX(입력_측정!$I$5:$I$1004,$AJ34)="","",INDEX(입력_측정!$I$5:$I$1004,$AJ34)))</f>
        <v/>
      </c>
      <c r="Y34" s="25" t="str">
        <f aca="false">IF($AJ34=0,"",IF(INDEX(입력_측정!$J$5:$J$1004,$AJ34)="","",INDEX(입력_측정!$J$5:$J$1004,$AJ34)))</f>
        <v/>
      </c>
      <c r="Z34" s="25" t="str">
        <f aca="false">IF(OR(X34="긴급",LEFT(Y34,2)="긴급",W34="필요",W34="완료"),"대상","")</f>
        <v/>
      </c>
      <c r="AA34" s="59" t="str">
        <f aca="false">IF(M34&lt;&gt;"",M34,IF(AK34&gt;0,IF(W34="필요","추가상담 대기","완료"),IF(AJ34&gt;0,"결과상담 대기",IF(AI34&gt;0,"측정 대기","미방문"))))</f>
        <v>미방문</v>
      </c>
      <c r="AB34" s="60" t="str">
        <f aca="false">IF($AI34=0,"",IF(INDEX(입력_운동!$A$5:$A$1004,$AI34)="","",INDEX(입력_운동!$A$5:$A$1004,$AI34)))</f>
        <v/>
      </c>
      <c r="AC34" s="60" t="str">
        <f aca="false">IF($AJ34=0,"",IF(INDEX(입력_측정!$A$5:$A$1004,$AJ34)="","",INDEX(입력_측정!$A$5:$A$1004,$AJ34)))</f>
        <v/>
      </c>
      <c r="AD34" s="60" t="str">
        <f aca="false">IF($AK34=0,"",IF(INDEX(입력_상담!$A$5:$A$1004,$AK34)="","",INDEX(입력_상담!$A$5:$A$1004,$AK34)))</f>
        <v/>
      </c>
      <c r="AE34" s="25" t="str">
        <f aca="false">IF(AND(ISNUMBER(AB34),ISNUMBER(AC34)),IF(AC34&gt;=AB34,ROUND((AC34-AB34)*1440,0),""),"")</f>
        <v/>
      </c>
      <c r="AF34" s="25" t="str">
        <f aca="false">IF(AND(ISNUMBER(AC34),ISNUMBER(AD34)),IF(AD34&gt;=AC34,ROUND((AD34-AC34)*1440,0),""),"")</f>
        <v/>
      </c>
      <c r="AG34" s="25" t="str">
        <f aca="false">IF(AND(AA34="완료",ISNUMBER(AB34),ISNUMBER(AD34)),IF(AD34&gt;=AB34,ROUND((AD34-AB34)*1440,0),""),"")</f>
        <v/>
      </c>
      <c r="AH34" s="61" t="str">
        <f aca="false">IF(AND(AK34&gt;0,AJ34=0),"측정 기록 없음",IF(AND(AJ34&gt;0,AI34=0),"운동평가 기록 없음",IF(OR(COUNTIF(입력_운동!$B$5:$B$1004,$A34)&gt;1,COUNTIF(입력_측정!$B$5:$B$1004,$A34)&gt;1),"중복 입력","")))</f>
        <v/>
      </c>
      <c r="AI34" s="62" t="n">
        <f aca="false">SUMPRODUCT(MAX((입력_운동!$B$5:$B$1004=$A34)*(ROW(입력_운동!$B$5:$B$1004)-4)))</f>
        <v>0</v>
      </c>
      <c r="AJ34" s="62" t="n">
        <f aca="false">SUMPRODUCT(MAX((입력_측정!$B$5:$B$1004=$A34)*(ROW(입력_측정!$B$5:$B$1004)-4)))</f>
        <v>0</v>
      </c>
      <c r="AK34" s="62" t="n">
        <f aca="false">SUMPRODUCT(MAX((입력_상담!$B$5:$B$1004=$A34)*(ROW(입력_상담!$B$5:$B$1004)-4)))</f>
        <v>0</v>
      </c>
    </row>
    <row r="35" customFormat="false" ht="15" hidden="false" customHeight="false" outlineLevel="0" collapsed="false">
      <c r="A35" s="55" t="n">
        <v>31</v>
      </c>
      <c r="B35" s="56"/>
      <c r="C35" s="24"/>
      <c r="D35" s="24"/>
      <c r="E35" s="56"/>
      <c r="F35" s="57"/>
      <c r="G35" s="58"/>
      <c r="H35" s="56"/>
      <c r="I35" s="24"/>
      <c r="J35" s="24"/>
      <c r="K35" s="24"/>
      <c r="L35" s="24"/>
      <c r="M35" s="24"/>
      <c r="N35" s="56"/>
      <c r="O35" s="25" t="str">
        <f aca="false">IF($AI35=0,"",IF(INDEX(입력_운동!$C$5:$C$1004,$AI35)="","",INDEX(입력_운동!$C$5:$C$1004,$AI35)))</f>
        <v/>
      </c>
      <c r="P35" s="25" t="str">
        <f aca="false">IF($AI35=0,"",IF(INDEX(입력_운동!$D$5:$D$1004,$AI35)="","",INDEX(입력_운동!$D$5:$D$1004,$AI35)))</f>
        <v/>
      </c>
      <c r="Q35" s="25" t="str">
        <f aca="false">IF($AI35=0,"",IF(INDEX(입력_운동!$E$5:$E$1004,$AI35)="","",INDEX(입력_운동!$E$5:$E$1004,$AI35)))</f>
        <v/>
      </c>
      <c r="R35" s="25" t="str">
        <f aca="false">IF($AI35=0,"",IF(INDEX(입력_운동!$F$5:$F$1004,$AI35)="","",INDEX(입력_운동!$F$5:$F$1004,$AI35)))</f>
        <v/>
      </c>
      <c r="S35" s="25" t="str">
        <f aca="false">IF($AJ35=0,"",IF(INDEX(입력_측정!$C$5:$C$1004,$AJ35)="","",INDEX(입력_측정!$C$5:$C$1004,$AJ35)))</f>
        <v/>
      </c>
      <c r="T35" s="25" t="str">
        <f aca="false">IF($AJ35=0,"",IF(INDEX(입력_측정!$D$5:$D$1004,$AJ35)="","",INDEX(입력_측정!$D$5:$D$1004,$AJ35)))</f>
        <v/>
      </c>
      <c r="U35" s="25" t="str">
        <f aca="false">IF($AJ35=0,"",IF(INDEX(입력_측정!$E$5:$E$1004,$AJ35)="","",INDEX(입력_측정!$E$5:$E$1004,$AJ35)))</f>
        <v/>
      </c>
      <c r="V35" s="25" t="str">
        <f aca="false">IF($AJ35=0,"",IF(INDEX(입력_측정!$F$5:$F$1004,$AJ35)="","",INDEX(입력_측정!$F$5:$F$1004,$AJ35)))</f>
        <v/>
      </c>
      <c r="W35" s="25" t="str">
        <f aca="false">IF($AK35=0,"",IF(INDEX(입력_상담!$D$5:$D$1004,$AK35)="","",INDEX(입력_상담!$D$5:$D$1004,$AK35)))</f>
        <v/>
      </c>
      <c r="X35" s="25" t="str">
        <f aca="false">IF($AJ35=0,"",IF(INDEX(입력_측정!$I$5:$I$1004,$AJ35)="","",INDEX(입력_측정!$I$5:$I$1004,$AJ35)))</f>
        <v/>
      </c>
      <c r="Y35" s="25" t="str">
        <f aca="false">IF($AJ35=0,"",IF(INDEX(입력_측정!$J$5:$J$1004,$AJ35)="","",INDEX(입력_측정!$J$5:$J$1004,$AJ35)))</f>
        <v/>
      </c>
      <c r="Z35" s="25" t="str">
        <f aca="false">IF(OR(X35="긴급",LEFT(Y35,2)="긴급",W35="필요",W35="완료"),"대상","")</f>
        <v/>
      </c>
      <c r="AA35" s="59" t="str">
        <f aca="false">IF(M35&lt;&gt;"",M35,IF(AK35&gt;0,IF(W35="필요","추가상담 대기","완료"),IF(AJ35&gt;0,"결과상담 대기",IF(AI35&gt;0,"측정 대기","미방문"))))</f>
        <v>미방문</v>
      </c>
      <c r="AB35" s="60" t="str">
        <f aca="false">IF($AI35=0,"",IF(INDEX(입력_운동!$A$5:$A$1004,$AI35)="","",INDEX(입력_운동!$A$5:$A$1004,$AI35)))</f>
        <v/>
      </c>
      <c r="AC35" s="60" t="str">
        <f aca="false">IF($AJ35=0,"",IF(INDEX(입력_측정!$A$5:$A$1004,$AJ35)="","",INDEX(입력_측정!$A$5:$A$1004,$AJ35)))</f>
        <v/>
      </c>
      <c r="AD35" s="60" t="str">
        <f aca="false">IF($AK35=0,"",IF(INDEX(입력_상담!$A$5:$A$1004,$AK35)="","",INDEX(입력_상담!$A$5:$A$1004,$AK35)))</f>
        <v/>
      </c>
      <c r="AE35" s="25" t="str">
        <f aca="false">IF(AND(ISNUMBER(AB35),ISNUMBER(AC35)),IF(AC35&gt;=AB35,ROUND((AC35-AB35)*1440,0),""),"")</f>
        <v/>
      </c>
      <c r="AF35" s="25" t="str">
        <f aca="false">IF(AND(ISNUMBER(AC35),ISNUMBER(AD35)),IF(AD35&gt;=AC35,ROUND((AD35-AC35)*1440,0),""),"")</f>
        <v/>
      </c>
      <c r="AG35" s="25" t="str">
        <f aca="false">IF(AND(AA35="완료",ISNUMBER(AB35),ISNUMBER(AD35)),IF(AD35&gt;=AB35,ROUND((AD35-AB35)*1440,0),""),"")</f>
        <v/>
      </c>
      <c r="AH35" s="61" t="str">
        <f aca="false">IF(AND(AK35&gt;0,AJ35=0),"측정 기록 없음",IF(AND(AJ35&gt;0,AI35=0),"운동평가 기록 없음",IF(OR(COUNTIF(입력_운동!$B$5:$B$1004,$A35)&gt;1,COUNTIF(입력_측정!$B$5:$B$1004,$A35)&gt;1),"중복 입력","")))</f>
        <v/>
      </c>
      <c r="AI35" s="62" t="n">
        <f aca="false">SUMPRODUCT(MAX((입력_운동!$B$5:$B$1004=$A35)*(ROW(입력_운동!$B$5:$B$1004)-4)))</f>
        <v>0</v>
      </c>
      <c r="AJ35" s="62" t="n">
        <f aca="false">SUMPRODUCT(MAX((입력_측정!$B$5:$B$1004=$A35)*(ROW(입력_측정!$B$5:$B$1004)-4)))</f>
        <v>0</v>
      </c>
      <c r="AK35" s="62" t="n">
        <f aca="false">SUMPRODUCT(MAX((입력_상담!$B$5:$B$1004=$A35)*(ROW(입력_상담!$B$5:$B$1004)-4)))</f>
        <v>0</v>
      </c>
    </row>
    <row r="36" customFormat="false" ht="15" hidden="false" customHeight="false" outlineLevel="0" collapsed="false">
      <c r="A36" s="55" t="n">
        <v>32</v>
      </c>
      <c r="B36" s="56"/>
      <c r="C36" s="24"/>
      <c r="D36" s="24"/>
      <c r="E36" s="56"/>
      <c r="F36" s="57"/>
      <c r="G36" s="58"/>
      <c r="H36" s="56"/>
      <c r="I36" s="24"/>
      <c r="J36" s="24"/>
      <c r="K36" s="24"/>
      <c r="L36" s="24"/>
      <c r="M36" s="24"/>
      <c r="N36" s="56"/>
      <c r="O36" s="25" t="str">
        <f aca="false">IF($AI36=0,"",IF(INDEX(입력_운동!$C$5:$C$1004,$AI36)="","",INDEX(입력_운동!$C$5:$C$1004,$AI36)))</f>
        <v/>
      </c>
      <c r="P36" s="25" t="str">
        <f aca="false">IF($AI36=0,"",IF(INDEX(입력_운동!$D$5:$D$1004,$AI36)="","",INDEX(입력_운동!$D$5:$D$1004,$AI36)))</f>
        <v/>
      </c>
      <c r="Q36" s="25" t="str">
        <f aca="false">IF($AI36=0,"",IF(INDEX(입력_운동!$E$5:$E$1004,$AI36)="","",INDEX(입력_운동!$E$5:$E$1004,$AI36)))</f>
        <v/>
      </c>
      <c r="R36" s="25" t="str">
        <f aca="false">IF($AI36=0,"",IF(INDEX(입력_운동!$F$5:$F$1004,$AI36)="","",INDEX(입력_운동!$F$5:$F$1004,$AI36)))</f>
        <v/>
      </c>
      <c r="S36" s="25" t="str">
        <f aca="false">IF($AJ36=0,"",IF(INDEX(입력_측정!$C$5:$C$1004,$AJ36)="","",INDEX(입력_측정!$C$5:$C$1004,$AJ36)))</f>
        <v/>
      </c>
      <c r="T36" s="25" t="str">
        <f aca="false">IF($AJ36=0,"",IF(INDEX(입력_측정!$D$5:$D$1004,$AJ36)="","",INDEX(입력_측정!$D$5:$D$1004,$AJ36)))</f>
        <v/>
      </c>
      <c r="U36" s="25" t="str">
        <f aca="false">IF($AJ36=0,"",IF(INDEX(입력_측정!$E$5:$E$1004,$AJ36)="","",INDEX(입력_측정!$E$5:$E$1004,$AJ36)))</f>
        <v/>
      </c>
      <c r="V36" s="25" t="str">
        <f aca="false">IF($AJ36=0,"",IF(INDEX(입력_측정!$F$5:$F$1004,$AJ36)="","",INDEX(입력_측정!$F$5:$F$1004,$AJ36)))</f>
        <v/>
      </c>
      <c r="W36" s="25" t="str">
        <f aca="false">IF($AK36=0,"",IF(INDEX(입력_상담!$D$5:$D$1004,$AK36)="","",INDEX(입력_상담!$D$5:$D$1004,$AK36)))</f>
        <v/>
      </c>
      <c r="X36" s="25" t="str">
        <f aca="false">IF($AJ36=0,"",IF(INDEX(입력_측정!$I$5:$I$1004,$AJ36)="","",INDEX(입력_측정!$I$5:$I$1004,$AJ36)))</f>
        <v/>
      </c>
      <c r="Y36" s="25" t="str">
        <f aca="false">IF($AJ36=0,"",IF(INDEX(입력_측정!$J$5:$J$1004,$AJ36)="","",INDEX(입력_측정!$J$5:$J$1004,$AJ36)))</f>
        <v/>
      </c>
      <c r="Z36" s="25" t="str">
        <f aca="false">IF(OR(X36="긴급",LEFT(Y36,2)="긴급",W36="필요",W36="완료"),"대상","")</f>
        <v/>
      </c>
      <c r="AA36" s="59" t="str">
        <f aca="false">IF(M36&lt;&gt;"",M36,IF(AK36&gt;0,IF(W36="필요","추가상담 대기","완료"),IF(AJ36&gt;0,"결과상담 대기",IF(AI36&gt;0,"측정 대기","미방문"))))</f>
        <v>미방문</v>
      </c>
      <c r="AB36" s="60" t="str">
        <f aca="false">IF($AI36=0,"",IF(INDEX(입력_운동!$A$5:$A$1004,$AI36)="","",INDEX(입력_운동!$A$5:$A$1004,$AI36)))</f>
        <v/>
      </c>
      <c r="AC36" s="60" t="str">
        <f aca="false">IF($AJ36=0,"",IF(INDEX(입력_측정!$A$5:$A$1004,$AJ36)="","",INDEX(입력_측정!$A$5:$A$1004,$AJ36)))</f>
        <v/>
      </c>
      <c r="AD36" s="60" t="str">
        <f aca="false">IF($AK36=0,"",IF(INDEX(입력_상담!$A$5:$A$1004,$AK36)="","",INDEX(입력_상담!$A$5:$A$1004,$AK36)))</f>
        <v/>
      </c>
      <c r="AE36" s="25" t="str">
        <f aca="false">IF(AND(ISNUMBER(AB36),ISNUMBER(AC36)),IF(AC36&gt;=AB36,ROUND((AC36-AB36)*1440,0),""),"")</f>
        <v/>
      </c>
      <c r="AF36" s="25" t="str">
        <f aca="false">IF(AND(ISNUMBER(AC36),ISNUMBER(AD36)),IF(AD36&gt;=AC36,ROUND((AD36-AC36)*1440,0),""),"")</f>
        <v/>
      </c>
      <c r="AG36" s="25" t="str">
        <f aca="false">IF(AND(AA36="완료",ISNUMBER(AB36),ISNUMBER(AD36)),IF(AD36&gt;=AB36,ROUND((AD36-AB36)*1440,0),""),"")</f>
        <v/>
      </c>
      <c r="AH36" s="61" t="str">
        <f aca="false">IF(AND(AK36&gt;0,AJ36=0),"측정 기록 없음",IF(AND(AJ36&gt;0,AI36=0),"운동평가 기록 없음",IF(OR(COUNTIF(입력_운동!$B$5:$B$1004,$A36)&gt;1,COUNTIF(입력_측정!$B$5:$B$1004,$A36)&gt;1),"중복 입력","")))</f>
        <v/>
      </c>
      <c r="AI36" s="62" t="n">
        <f aca="false">SUMPRODUCT(MAX((입력_운동!$B$5:$B$1004=$A36)*(ROW(입력_운동!$B$5:$B$1004)-4)))</f>
        <v>0</v>
      </c>
      <c r="AJ36" s="62" t="n">
        <f aca="false">SUMPRODUCT(MAX((입력_측정!$B$5:$B$1004=$A36)*(ROW(입력_측정!$B$5:$B$1004)-4)))</f>
        <v>0</v>
      </c>
      <c r="AK36" s="62" t="n">
        <f aca="false">SUMPRODUCT(MAX((입력_상담!$B$5:$B$1004=$A36)*(ROW(입력_상담!$B$5:$B$1004)-4)))</f>
        <v>0</v>
      </c>
    </row>
    <row r="37" customFormat="false" ht="15" hidden="false" customHeight="false" outlineLevel="0" collapsed="false">
      <c r="A37" s="55" t="n">
        <v>33</v>
      </c>
      <c r="B37" s="56"/>
      <c r="C37" s="24"/>
      <c r="D37" s="24"/>
      <c r="E37" s="56"/>
      <c r="F37" s="57"/>
      <c r="G37" s="58"/>
      <c r="H37" s="56"/>
      <c r="I37" s="24"/>
      <c r="J37" s="24"/>
      <c r="K37" s="24"/>
      <c r="L37" s="24"/>
      <c r="M37" s="24"/>
      <c r="N37" s="56"/>
      <c r="O37" s="25" t="str">
        <f aca="false">IF($AI37=0,"",IF(INDEX(입력_운동!$C$5:$C$1004,$AI37)="","",INDEX(입력_운동!$C$5:$C$1004,$AI37)))</f>
        <v/>
      </c>
      <c r="P37" s="25" t="str">
        <f aca="false">IF($AI37=0,"",IF(INDEX(입력_운동!$D$5:$D$1004,$AI37)="","",INDEX(입력_운동!$D$5:$D$1004,$AI37)))</f>
        <v/>
      </c>
      <c r="Q37" s="25" t="str">
        <f aca="false">IF($AI37=0,"",IF(INDEX(입력_운동!$E$5:$E$1004,$AI37)="","",INDEX(입력_운동!$E$5:$E$1004,$AI37)))</f>
        <v/>
      </c>
      <c r="R37" s="25" t="str">
        <f aca="false">IF($AI37=0,"",IF(INDEX(입력_운동!$F$5:$F$1004,$AI37)="","",INDEX(입력_운동!$F$5:$F$1004,$AI37)))</f>
        <v/>
      </c>
      <c r="S37" s="25" t="str">
        <f aca="false">IF($AJ37=0,"",IF(INDEX(입력_측정!$C$5:$C$1004,$AJ37)="","",INDEX(입력_측정!$C$5:$C$1004,$AJ37)))</f>
        <v/>
      </c>
      <c r="T37" s="25" t="str">
        <f aca="false">IF($AJ37=0,"",IF(INDEX(입력_측정!$D$5:$D$1004,$AJ37)="","",INDEX(입력_측정!$D$5:$D$1004,$AJ37)))</f>
        <v/>
      </c>
      <c r="U37" s="25" t="str">
        <f aca="false">IF($AJ37=0,"",IF(INDEX(입력_측정!$E$5:$E$1004,$AJ37)="","",INDEX(입력_측정!$E$5:$E$1004,$AJ37)))</f>
        <v/>
      </c>
      <c r="V37" s="25" t="str">
        <f aca="false">IF($AJ37=0,"",IF(INDEX(입력_측정!$F$5:$F$1004,$AJ37)="","",INDEX(입력_측정!$F$5:$F$1004,$AJ37)))</f>
        <v/>
      </c>
      <c r="W37" s="25" t="str">
        <f aca="false">IF($AK37=0,"",IF(INDEX(입력_상담!$D$5:$D$1004,$AK37)="","",INDEX(입력_상담!$D$5:$D$1004,$AK37)))</f>
        <v/>
      </c>
      <c r="X37" s="25" t="str">
        <f aca="false">IF($AJ37=0,"",IF(INDEX(입력_측정!$I$5:$I$1004,$AJ37)="","",INDEX(입력_측정!$I$5:$I$1004,$AJ37)))</f>
        <v/>
      </c>
      <c r="Y37" s="25" t="str">
        <f aca="false">IF($AJ37=0,"",IF(INDEX(입력_측정!$J$5:$J$1004,$AJ37)="","",INDEX(입력_측정!$J$5:$J$1004,$AJ37)))</f>
        <v/>
      </c>
      <c r="Z37" s="25" t="str">
        <f aca="false">IF(OR(X37="긴급",LEFT(Y37,2)="긴급",W37="필요",W37="완료"),"대상","")</f>
        <v/>
      </c>
      <c r="AA37" s="59" t="str">
        <f aca="false">IF(M37&lt;&gt;"",M37,IF(AK37&gt;0,IF(W37="필요","추가상담 대기","완료"),IF(AJ37&gt;0,"결과상담 대기",IF(AI37&gt;0,"측정 대기","미방문"))))</f>
        <v>미방문</v>
      </c>
      <c r="AB37" s="60" t="str">
        <f aca="false">IF($AI37=0,"",IF(INDEX(입력_운동!$A$5:$A$1004,$AI37)="","",INDEX(입력_운동!$A$5:$A$1004,$AI37)))</f>
        <v/>
      </c>
      <c r="AC37" s="60" t="str">
        <f aca="false">IF($AJ37=0,"",IF(INDEX(입력_측정!$A$5:$A$1004,$AJ37)="","",INDEX(입력_측정!$A$5:$A$1004,$AJ37)))</f>
        <v/>
      </c>
      <c r="AD37" s="60" t="str">
        <f aca="false">IF($AK37=0,"",IF(INDEX(입력_상담!$A$5:$A$1004,$AK37)="","",INDEX(입력_상담!$A$5:$A$1004,$AK37)))</f>
        <v/>
      </c>
      <c r="AE37" s="25" t="str">
        <f aca="false">IF(AND(ISNUMBER(AB37),ISNUMBER(AC37)),IF(AC37&gt;=AB37,ROUND((AC37-AB37)*1440,0),""),"")</f>
        <v/>
      </c>
      <c r="AF37" s="25" t="str">
        <f aca="false">IF(AND(ISNUMBER(AC37),ISNUMBER(AD37)),IF(AD37&gt;=AC37,ROUND((AD37-AC37)*1440,0),""),"")</f>
        <v/>
      </c>
      <c r="AG37" s="25" t="str">
        <f aca="false">IF(AND(AA37="완료",ISNUMBER(AB37),ISNUMBER(AD37)),IF(AD37&gt;=AB37,ROUND((AD37-AB37)*1440,0),""),"")</f>
        <v/>
      </c>
      <c r="AH37" s="61" t="str">
        <f aca="false">IF(AND(AK37&gt;0,AJ37=0),"측정 기록 없음",IF(AND(AJ37&gt;0,AI37=0),"운동평가 기록 없음",IF(OR(COUNTIF(입력_운동!$B$5:$B$1004,$A37)&gt;1,COUNTIF(입력_측정!$B$5:$B$1004,$A37)&gt;1),"중복 입력","")))</f>
        <v/>
      </c>
      <c r="AI37" s="62" t="n">
        <f aca="false">SUMPRODUCT(MAX((입력_운동!$B$5:$B$1004=$A37)*(ROW(입력_운동!$B$5:$B$1004)-4)))</f>
        <v>0</v>
      </c>
      <c r="AJ37" s="62" t="n">
        <f aca="false">SUMPRODUCT(MAX((입력_측정!$B$5:$B$1004=$A37)*(ROW(입력_측정!$B$5:$B$1004)-4)))</f>
        <v>0</v>
      </c>
      <c r="AK37" s="62" t="n">
        <f aca="false">SUMPRODUCT(MAX((입력_상담!$B$5:$B$1004=$A37)*(ROW(입력_상담!$B$5:$B$1004)-4)))</f>
        <v>0</v>
      </c>
    </row>
    <row r="38" customFormat="false" ht="15" hidden="false" customHeight="false" outlineLevel="0" collapsed="false">
      <c r="A38" s="55" t="n">
        <v>34</v>
      </c>
      <c r="B38" s="56"/>
      <c r="C38" s="24"/>
      <c r="D38" s="24"/>
      <c r="E38" s="56"/>
      <c r="F38" s="57"/>
      <c r="G38" s="58"/>
      <c r="H38" s="56"/>
      <c r="I38" s="24"/>
      <c r="J38" s="24"/>
      <c r="K38" s="24"/>
      <c r="L38" s="24"/>
      <c r="M38" s="24"/>
      <c r="N38" s="56"/>
      <c r="O38" s="25" t="str">
        <f aca="false">IF($AI38=0,"",IF(INDEX(입력_운동!$C$5:$C$1004,$AI38)="","",INDEX(입력_운동!$C$5:$C$1004,$AI38)))</f>
        <v/>
      </c>
      <c r="P38" s="25" t="str">
        <f aca="false">IF($AI38=0,"",IF(INDEX(입력_운동!$D$5:$D$1004,$AI38)="","",INDEX(입력_운동!$D$5:$D$1004,$AI38)))</f>
        <v/>
      </c>
      <c r="Q38" s="25" t="str">
        <f aca="false">IF($AI38=0,"",IF(INDEX(입력_운동!$E$5:$E$1004,$AI38)="","",INDEX(입력_운동!$E$5:$E$1004,$AI38)))</f>
        <v/>
      </c>
      <c r="R38" s="25" t="str">
        <f aca="false">IF($AI38=0,"",IF(INDEX(입력_운동!$F$5:$F$1004,$AI38)="","",INDEX(입력_운동!$F$5:$F$1004,$AI38)))</f>
        <v/>
      </c>
      <c r="S38" s="25" t="str">
        <f aca="false">IF($AJ38=0,"",IF(INDEX(입력_측정!$C$5:$C$1004,$AJ38)="","",INDEX(입력_측정!$C$5:$C$1004,$AJ38)))</f>
        <v/>
      </c>
      <c r="T38" s="25" t="str">
        <f aca="false">IF($AJ38=0,"",IF(INDEX(입력_측정!$D$5:$D$1004,$AJ38)="","",INDEX(입력_측정!$D$5:$D$1004,$AJ38)))</f>
        <v/>
      </c>
      <c r="U38" s="25" t="str">
        <f aca="false">IF($AJ38=0,"",IF(INDEX(입력_측정!$E$5:$E$1004,$AJ38)="","",INDEX(입력_측정!$E$5:$E$1004,$AJ38)))</f>
        <v/>
      </c>
      <c r="V38" s="25" t="str">
        <f aca="false">IF($AJ38=0,"",IF(INDEX(입력_측정!$F$5:$F$1004,$AJ38)="","",INDEX(입력_측정!$F$5:$F$1004,$AJ38)))</f>
        <v/>
      </c>
      <c r="W38" s="25" t="str">
        <f aca="false">IF($AK38=0,"",IF(INDEX(입력_상담!$D$5:$D$1004,$AK38)="","",INDEX(입력_상담!$D$5:$D$1004,$AK38)))</f>
        <v/>
      </c>
      <c r="X38" s="25" t="str">
        <f aca="false">IF($AJ38=0,"",IF(INDEX(입력_측정!$I$5:$I$1004,$AJ38)="","",INDEX(입력_측정!$I$5:$I$1004,$AJ38)))</f>
        <v/>
      </c>
      <c r="Y38" s="25" t="str">
        <f aca="false">IF($AJ38=0,"",IF(INDEX(입력_측정!$J$5:$J$1004,$AJ38)="","",INDEX(입력_측정!$J$5:$J$1004,$AJ38)))</f>
        <v/>
      </c>
      <c r="Z38" s="25" t="str">
        <f aca="false">IF(OR(X38="긴급",LEFT(Y38,2)="긴급",W38="필요",W38="완료"),"대상","")</f>
        <v/>
      </c>
      <c r="AA38" s="59" t="str">
        <f aca="false">IF(M38&lt;&gt;"",M38,IF(AK38&gt;0,IF(W38="필요","추가상담 대기","완료"),IF(AJ38&gt;0,"결과상담 대기",IF(AI38&gt;0,"측정 대기","미방문"))))</f>
        <v>미방문</v>
      </c>
      <c r="AB38" s="60" t="str">
        <f aca="false">IF($AI38=0,"",IF(INDEX(입력_운동!$A$5:$A$1004,$AI38)="","",INDEX(입력_운동!$A$5:$A$1004,$AI38)))</f>
        <v/>
      </c>
      <c r="AC38" s="60" t="str">
        <f aca="false">IF($AJ38=0,"",IF(INDEX(입력_측정!$A$5:$A$1004,$AJ38)="","",INDEX(입력_측정!$A$5:$A$1004,$AJ38)))</f>
        <v/>
      </c>
      <c r="AD38" s="60" t="str">
        <f aca="false">IF($AK38=0,"",IF(INDEX(입력_상담!$A$5:$A$1004,$AK38)="","",INDEX(입력_상담!$A$5:$A$1004,$AK38)))</f>
        <v/>
      </c>
      <c r="AE38" s="25" t="str">
        <f aca="false">IF(AND(ISNUMBER(AB38),ISNUMBER(AC38)),IF(AC38&gt;=AB38,ROUND((AC38-AB38)*1440,0),""),"")</f>
        <v/>
      </c>
      <c r="AF38" s="25" t="str">
        <f aca="false">IF(AND(ISNUMBER(AC38),ISNUMBER(AD38)),IF(AD38&gt;=AC38,ROUND((AD38-AC38)*1440,0),""),"")</f>
        <v/>
      </c>
      <c r="AG38" s="25" t="str">
        <f aca="false">IF(AND(AA38="완료",ISNUMBER(AB38),ISNUMBER(AD38)),IF(AD38&gt;=AB38,ROUND((AD38-AB38)*1440,0),""),"")</f>
        <v/>
      </c>
      <c r="AH38" s="61" t="str">
        <f aca="false">IF(AND(AK38&gt;0,AJ38=0),"측정 기록 없음",IF(AND(AJ38&gt;0,AI38=0),"운동평가 기록 없음",IF(OR(COUNTIF(입력_운동!$B$5:$B$1004,$A38)&gt;1,COUNTIF(입력_측정!$B$5:$B$1004,$A38)&gt;1),"중복 입력","")))</f>
        <v/>
      </c>
      <c r="AI38" s="62" t="n">
        <f aca="false">SUMPRODUCT(MAX((입력_운동!$B$5:$B$1004=$A38)*(ROW(입력_운동!$B$5:$B$1004)-4)))</f>
        <v>0</v>
      </c>
      <c r="AJ38" s="62" t="n">
        <f aca="false">SUMPRODUCT(MAX((입력_측정!$B$5:$B$1004=$A38)*(ROW(입력_측정!$B$5:$B$1004)-4)))</f>
        <v>0</v>
      </c>
      <c r="AK38" s="62" t="n">
        <f aca="false">SUMPRODUCT(MAX((입력_상담!$B$5:$B$1004=$A38)*(ROW(입력_상담!$B$5:$B$1004)-4)))</f>
        <v>0</v>
      </c>
    </row>
    <row r="39" customFormat="false" ht="15" hidden="false" customHeight="false" outlineLevel="0" collapsed="false">
      <c r="A39" s="55" t="n">
        <v>35</v>
      </c>
      <c r="B39" s="56"/>
      <c r="C39" s="24"/>
      <c r="D39" s="24"/>
      <c r="E39" s="56"/>
      <c r="F39" s="57"/>
      <c r="G39" s="58"/>
      <c r="H39" s="56"/>
      <c r="I39" s="24"/>
      <c r="J39" s="24"/>
      <c r="K39" s="24"/>
      <c r="L39" s="24"/>
      <c r="M39" s="24"/>
      <c r="N39" s="56"/>
      <c r="O39" s="25" t="str">
        <f aca="false">IF($AI39=0,"",IF(INDEX(입력_운동!$C$5:$C$1004,$AI39)="","",INDEX(입력_운동!$C$5:$C$1004,$AI39)))</f>
        <v/>
      </c>
      <c r="P39" s="25" t="str">
        <f aca="false">IF($AI39=0,"",IF(INDEX(입력_운동!$D$5:$D$1004,$AI39)="","",INDEX(입력_운동!$D$5:$D$1004,$AI39)))</f>
        <v/>
      </c>
      <c r="Q39" s="25" t="str">
        <f aca="false">IF($AI39=0,"",IF(INDEX(입력_운동!$E$5:$E$1004,$AI39)="","",INDEX(입력_운동!$E$5:$E$1004,$AI39)))</f>
        <v/>
      </c>
      <c r="R39" s="25" t="str">
        <f aca="false">IF($AI39=0,"",IF(INDEX(입력_운동!$F$5:$F$1004,$AI39)="","",INDEX(입력_운동!$F$5:$F$1004,$AI39)))</f>
        <v/>
      </c>
      <c r="S39" s="25" t="str">
        <f aca="false">IF($AJ39=0,"",IF(INDEX(입력_측정!$C$5:$C$1004,$AJ39)="","",INDEX(입력_측정!$C$5:$C$1004,$AJ39)))</f>
        <v/>
      </c>
      <c r="T39" s="25" t="str">
        <f aca="false">IF($AJ39=0,"",IF(INDEX(입력_측정!$D$5:$D$1004,$AJ39)="","",INDEX(입력_측정!$D$5:$D$1004,$AJ39)))</f>
        <v/>
      </c>
      <c r="U39" s="25" t="str">
        <f aca="false">IF($AJ39=0,"",IF(INDEX(입력_측정!$E$5:$E$1004,$AJ39)="","",INDEX(입력_측정!$E$5:$E$1004,$AJ39)))</f>
        <v/>
      </c>
      <c r="V39" s="25" t="str">
        <f aca="false">IF($AJ39=0,"",IF(INDEX(입력_측정!$F$5:$F$1004,$AJ39)="","",INDEX(입력_측정!$F$5:$F$1004,$AJ39)))</f>
        <v/>
      </c>
      <c r="W39" s="25" t="str">
        <f aca="false">IF($AK39=0,"",IF(INDEX(입력_상담!$D$5:$D$1004,$AK39)="","",INDEX(입력_상담!$D$5:$D$1004,$AK39)))</f>
        <v/>
      </c>
      <c r="X39" s="25" t="str">
        <f aca="false">IF($AJ39=0,"",IF(INDEX(입력_측정!$I$5:$I$1004,$AJ39)="","",INDEX(입력_측정!$I$5:$I$1004,$AJ39)))</f>
        <v/>
      </c>
      <c r="Y39" s="25" t="str">
        <f aca="false">IF($AJ39=0,"",IF(INDEX(입력_측정!$J$5:$J$1004,$AJ39)="","",INDEX(입력_측정!$J$5:$J$1004,$AJ39)))</f>
        <v/>
      </c>
      <c r="Z39" s="25" t="str">
        <f aca="false">IF(OR(X39="긴급",LEFT(Y39,2)="긴급",W39="필요",W39="완료"),"대상","")</f>
        <v/>
      </c>
      <c r="AA39" s="59" t="str">
        <f aca="false">IF(M39&lt;&gt;"",M39,IF(AK39&gt;0,IF(W39="필요","추가상담 대기","완료"),IF(AJ39&gt;0,"결과상담 대기",IF(AI39&gt;0,"측정 대기","미방문"))))</f>
        <v>미방문</v>
      </c>
      <c r="AB39" s="60" t="str">
        <f aca="false">IF($AI39=0,"",IF(INDEX(입력_운동!$A$5:$A$1004,$AI39)="","",INDEX(입력_운동!$A$5:$A$1004,$AI39)))</f>
        <v/>
      </c>
      <c r="AC39" s="60" t="str">
        <f aca="false">IF($AJ39=0,"",IF(INDEX(입력_측정!$A$5:$A$1004,$AJ39)="","",INDEX(입력_측정!$A$5:$A$1004,$AJ39)))</f>
        <v/>
      </c>
      <c r="AD39" s="60" t="str">
        <f aca="false">IF($AK39=0,"",IF(INDEX(입력_상담!$A$5:$A$1004,$AK39)="","",INDEX(입력_상담!$A$5:$A$1004,$AK39)))</f>
        <v/>
      </c>
      <c r="AE39" s="25" t="str">
        <f aca="false">IF(AND(ISNUMBER(AB39),ISNUMBER(AC39)),IF(AC39&gt;=AB39,ROUND((AC39-AB39)*1440,0),""),"")</f>
        <v/>
      </c>
      <c r="AF39" s="25" t="str">
        <f aca="false">IF(AND(ISNUMBER(AC39),ISNUMBER(AD39)),IF(AD39&gt;=AC39,ROUND((AD39-AC39)*1440,0),""),"")</f>
        <v/>
      </c>
      <c r="AG39" s="25" t="str">
        <f aca="false">IF(AND(AA39="완료",ISNUMBER(AB39),ISNUMBER(AD39)),IF(AD39&gt;=AB39,ROUND((AD39-AB39)*1440,0),""),"")</f>
        <v/>
      </c>
      <c r="AH39" s="61" t="str">
        <f aca="false">IF(AND(AK39&gt;0,AJ39=0),"측정 기록 없음",IF(AND(AJ39&gt;0,AI39=0),"운동평가 기록 없음",IF(OR(COUNTIF(입력_운동!$B$5:$B$1004,$A39)&gt;1,COUNTIF(입력_측정!$B$5:$B$1004,$A39)&gt;1),"중복 입력","")))</f>
        <v/>
      </c>
      <c r="AI39" s="62" t="n">
        <f aca="false">SUMPRODUCT(MAX((입력_운동!$B$5:$B$1004=$A39)*(ROW(입력_운동!$B$5:$B$1004)-4)))</f>
        <v>0</v>
      </c>
      <c r="AJ39" s="62" t="n">
        <f aca="false">SUMPRODUCT(MAX((입력_측정!$B$5:$B$1004=$A39)*(ROW(입력_측정!$B$5:$B$1004)-4)))</f>
        <v>0</v>
      </c>
      <c r="AK39" s="62" t="n">
        <f aca="false">SUMPRODUCT(MAX((입력_상담!$B$5:$B$1004=$A39)*(ROW(입력_상담!$B$5:$B$1004)-4)))</f>
        <v>0</v>
      </c>
    </row>
    <row r="40" customFormat="false" ht="15" hidden="false" customHeight="false" outlineLevel="0" collapsed="false">
      <c r="A40" s="55" t="n">
        <v>36</v>
      </c>
      <c r="B40" s="56"/>
      <c r="C40" s="24"/>
      <c r="D40" s="24"/>
      <c r="E40" s="56"/>
      <c r="F40" s="57"/>
      <c r="G40" s="58"/>
      <c r="H40" s="56"/>
      <c r="I40" s="24"/>
      <c r="J40" s="24"/>
      <c r="K40" s="24"/>
      <c r="L40" s="24"/>
      <c r="M40" s="24"/>
      <c r="N40" s="56"/>
      <c r="O40" s="25" t="str">
        <f aca="false">IF($AI40=0,"",IF(INDEX(입력_운동!$C$5:$C$1004,$AI40)="","",INDEX(입력_운동!$C$5:$C$1004,$AI40)))</f>
        <v/>
      </c>
      <c r="P40" s="25" t="str">
        <f aca="false">IF($AI40=0,"",IF(INDEX(입력_운동!$D$5:$D$1004,$AI40)="","",INDEX(입력_운동!$D$5:$D$1004,$AI40)))</f>
        <v/>
      </c>
      <c r="Q40" s="25" t="str">
        <f aca="false">IF($AI40=0,"",IF(INDEX(입력_운동!$E$5:$E$1004,$AI40)="","",INDEX(입력_운동!$E$5:$E$1004,$AI40)))</f>
        <v/>
      </c>
      <c r="R40" s="25" t="str">
        <f aca="false">IF($AI40=0,"",IF(INDEX(입력_운동!$F$5:$F$1004,$AI40)="","",INDEX(입력_운동!$F$5:$F$1004,$AI40)))</f>
        <v/>
      </c>
      <c r="S40" s="25" t="str">
        <f aca="false">IF($AJ40=0,"",IF(INDEX(입력_측정!$C$5:$C$1004,$AJ40)="","",INDEX(입력_측정!$C$5:$C$1004,$AJ40)))</f>
        <v/>
      </c>
      <c r="T40" s="25" t="str">
        <f aca="false">IF($AJ40=0,"",IF(INDEX(입력_측정!$D$5:$D$1004,$AJ40)="","",INDEX(입력_측정!$D$5:$D$1004,$AJ40)))</f>
        <v/>
      </c>
      <c r="U40" s="25" t="str">
        <f aca="false">IF($AJ40=0,"",IF(INDEX(입력_측정!$E$5:$E$1004,$AJ40)="","",INDEX(입력_측정!$E$5:$E$1004,$AJ40)))</f>
        <v/>
      </c>
      <c r="V40" s="25" t="str">
        <f aca="false">IF($AJ40=0,"",IF(INDEX(입력_측정!$F$5:$F$1004,$AJ40)="","",INDEX(입력_측정!$F$5:$F$1004,$AJ40)))</f>
        <v/>
      </c>
      <c r="W40" s="25" t="str">
        <f aca="false">IF($AK40=0,"",IF(INDEX(입력_상담!$D$5:$D$1004,$AK40)="","",INDEX(입력_상담!$D$5:$D$1004,$AK40)))</f>
        <v/>
      </c>
      <c r="X40" s="25" t="str">
        <f aca="false">IF($AJ40=0,"",IF(INDEX(입력_측정!$I$5:$I$1004,$AJ40)="","",INDEX(입력_측정!$I$5:$I$1004,$AJ40)))</f>
        <v/>
      </c>
      <c r="Y40" s="25" t="str">
        <f aca="false">IF($AJ40=0,"",IF(INDEX(입력_측정!$J$5:$J$1004,$AJ40)="","",INDEX(입력_측정!$J$5:$J$1004,$AJ40)))</f>
        <v/>
      </c>
      <c r="Z40" s="25" t="str">
        <f aca="false">IF(OR(X40="긴급",LEFT(Y40,2)="긴급",W40="필요",W40="완료"),"대상","")</f>
        <v/>
      </c>
      <c r="AA40" s="59" t="str">
        <f aca="false">IF(M40&lt;&gt;"",M40,IF(AK40&gt;0,IF(W40="필요","추가상담 대기","완료"),IF(AJ40&gt;0,"결과상담 대기",IF(AI40&gt;0,"측정 대기","미방문"))))</f>
        <v>미방문</v>
      </c>
      <c r="AB40" s="60" t="str">
        <f aca="false">IF($AI40=0,"",IF(INDEX(입력_운동!$A$5:$A$1004,$AI40)="","",INDEX(입력_운동!$A$5:$A$1004,$AI40)))</f>
        <v/>
      </c>
      <c r="AC40" s="60" t="str">
        <f aca="false">IF($AJ40=0,"",IF(INDEX(입력_측정!$A$5:$A$1004,$AJ40)="","",INDEX(입력_측정!$A$5:$A$1004,$AJ40)))</f>
        <v/>
      </c>
      <c r="AD40" s="60" t="str">
        <f aca="false">IF($AK40=0,"",IF(INDEX(입력_상담!$A$5:$A$1004,$AK40)="","",INDEX(입력_상담!$A$5:$A$1004,$AK40)))</f>
        <v/>
      </c>
      <c r="AE40" s="25" t="str">
        <f aca="false">IF(AND(ISNUMBER(AB40),ISNUMBER(AC40)),IF(AC40&gt;=AB40,ROUND((AC40-AB40)*1440,0),""),"")</f>
        <v/>
      </c>
      <c r="AF40" s="25" t="str">
        <f aca="false">IF(AND(ISNUMBER(AC40),ISNUMBER(AD40)),IF(AD40&gt;=AC40,ROUND((AD40-AC40)*1440,0),""),"")</f>
        <v/>
      </c>
      <c r="AG40" s="25" t="str">
        <f aca="false">IF(AND(AA40="완료",ISNUMBER(AB40),ISNUMBER(AD40)),IF(AD40&gt;=AB40,ROUND((AD40-AB40)*1440,0),""),"")</f>
        <v/>
      </c>
      <c r="AH40" s="61" t="str">
        <f aca="false">IF(AND(AK40&gt;0,AJ40=0),"측정 기록 없음",IF(AND(AJ40&gt;0,AI40=0),"운동평가 기록 없음",IF(OR(COUNTIF(입력_운동!$B$5:$B$1004,$A40)&gt;1,COUNTIF(입력_측정!$B$5:$B$1004,$A40)&gt;1),"중복 입력","")))</f>
        <v/>
      </c>
      <c r="AI40" s="62" t="n">
        <f aca="false">SUMPRODUCT(MAX((입력_운동!$B$5:$B$1004=$A40)*(ROW(입력_운동!$B$5:$B$1004)-4)))</f>
        <v>0</v>
      </c>
      <c r="AJ40" s="62" t="n">
        <f aca="false">SUMPRODUCT(MAX((입력_측정!$B$5:$B$1004=$A40)*(ROW(입력_측정!$B$5:$B$1004)-4)))</f>
        <v>0</v>
      </c>
      <c r="AK40" s="62" t="n">
        <f aca="false">SUMPRODUCT(MAX((입력_상담!$B$5:$B$1004=$A40)*(ROW(입력_상담!$B$5:$B$1004)-4)))</f>
        <v>0</v>
      </c>
    </row>
    <row r="41" customFormat="false" ht="15" hidden="false" customHeight="false" outlineLevel="0" collapsed="false">
      <c r="A41" s="55" t="n">
        <v>37</v>
      </c>
      <c r="B41" s="56"/>
      <c r="C41" s="24"/>
      <c r="D41" s="24"/>
      <c r="E41" s="56"/>
      <c r="F41" s="57"/>
      <c r="G41" s="58"/>
      <c r="H41" s="56"/>
      <c r="I41" s="24"/>
      <c r="J41" s="24"/>
      <c r="K41" s="24"/>
      <c r="L41" s="24"/>
      <c r="M41" s="24"/>
      <c r="N41" s="56"/>
      <c r="O41" s="25" t="str">
        <f aca="false">IF($AI41=0,"",IF(INDEX(입력_운동!$C$5:$C$1004,$AI41)="","",INDEX(입력_운동!$C$5:$C$1004,$AI41)))</f>
        <v/>
      </c>
      <c r="P41" s="25" t="str">
        <f aca="false">IF($AI41=0,"",IF(INDEX(입력_운동!$D$5:$D$1004,$AI41)="","",INDEX(입력_운동!$D$5:$D$1004,$AI41)))</f>
        <v/>
      </c>
      <c r="Q41" s="25" t="str">
        <f aca="false">IF($AI41=0,"",IF(INDEX(입력_운동!$E$5:$E$1004,$AI41)="","",INDEX(입력_운동!$E$5:$E$1004,$AI41)))</f>
        <v/>
      </c>
      <c r="R41" s="25" t="str">
        <f aca="false">IF($AI41=0,"",IF(INDEX(입력_운동!$F$5:$F$1004,$AI41)="","",INDEX(입력_운동!$F$5:$F$1004,$AI41)))</f>
        <v/>
      </c>
      <c r="S41" s="25" t="str">
        <f aca="false">IF($AJ41=0,"",IF(INDEX(입력_측정!$C$5:$C$1004,$AJ41)="","",INDEX(입력_측정!$C$5:$C$1004,$AJ41)))</f>
        <v/>
      </c>
      <c r="T41" s="25" t="str">
        <f aca="false">IF($AJ41=0,"",IF(INDEX(입력_측정!$D$5:$D$1004,$AJ41)="","",INDEX(입력_측정!$D$5:$D$1004,$AJ41)))</f>
        <v/>
      </c>
      <c r="U41" s="25" t="str">
        <f aca="false">IF($AJ41=0,"",IF(INDEX(입력_측정!$E$5:$E$1004,$AJ41)="","",INDEX(입력_측정!$E$5:$E$1004,$AJ41)))</f>
        <v/>
      </c>
      <c r="V41" s="25" t="str">
        <f aca="false">IF($AJ41=0,"",IF(INDEX(입력_측정!$F$5:$F$1004,$AJ41)="","",INDEX(입력_측정!$F$5:$F$1004,$AJ41)))</f>
        <v/>
      </c>
      <c r="W41" s="25" t="str">
        <f aca="false">IF($AK41=0,"",IF(INDEX(입력_상담!$D$5:$D$1004,$AK41)="","",INDEX(입력_상담!$D$5:$D$1004,$AK41)))</f>
        <v/>
      </c>
      <c r="X41" s="25" t="str">
        <f aca="false">IF($AJ41=0,"",IF(INDEX(입력_측정!$I$5:$I$1004,$AJ41)="","",INDEX(입력_측정!$I$5:$I$1004,$AJ41)))</f>
        <v/>
      </c>
      <c r="Y41" s="25" t="str">
        <f aca="false">IF($AJ41=0,"",IF(INDEX(입력_측정!$J$5:$J$1004,$AJ41)="","",INDEX(입력_측정!$J$5:$J$1004,$AJ41)))</f>
        <v/>
      </c>
      <c r="Z41" s="25" t="str">
        <f aca="false">IF(OR(X41="긴급",LEFT(Y41,2)="긴급",W41="필요",W41="완료"),"대상","")</f>
        <v/>
      </c>
      <c r="AA41" s="59" t="str">
        <f aca="false">IF(M41&lt;&gt;"",M41,IF(AK41&gt;0,IF(W41="필요","추가상담 대기","완료"),IF(AJ41&gt;0,"결과상담 대기",IF(AI41&gt;0,"측정 대기","미방문"))))</f>
        <v>미방문</v>
      </c>
      <c r="AB41" s="60" t="str">
        <f aca="false">IF($AI41=0,"",IF(INDEX(입력_운동!$A$5:$A$1004,$AI41)="","",INDEX(입력_운동!$A$5:$A$1004,$AI41)))</f>
        <v/>
      </c>
      <c r="AC41" s="60" t="str">
        <f aca="false">IF($AJ41=0,"",IF(INDEX(입력_측정!$A$5:$A$1004,$AJ41)="","",INDEX(입력_측정!$A$5:$A$1004,$AJ41)))</f>
        <v/>
      </c>
      <c r="AD41" s="60" t="str">
        <f aca="false">IF($AK41=0,"",IF(INDEX(입력_상담!$A$5:$A$1004,$AK41)="","",INDEX(입력_상담!$A$5:$A$1004,$AK41)))</f>
        <v/>
      </c>
      <c r="AE41" s="25" t="str">
        <f aca="false">IF(AND(ISNUMBER(AB41),ISNUMBER(AC41)),IF(AC41&gt;=AB41,ROUND((AC41-AB41)*1440,0),""),"")</f>
        <v/>
      </c>
      <c r="AF41" s="25" t="str">
        <f aca="false">IF(AND(ISNUMBER(AC41),ISNUMBER(AD41)),IF(AD41&gt;=AC41,ROUND((AD41-AC41)*1440,0),""),"")</f>
        <v/>
      </c>
      <c r="AG41" s="25" t="str">
        <f aca="false">IF(AND(AA41="완료",ISNUMBER(AB41),ISNUMBER(AD41)),IF(AD41&gt;=AB41,ROUND((AD41-AB41)*1440,0),""),"")</f>
        <v/>
      </c>
      <c r="AH41" s="61" t="str">
        <f aca="false">IF(AND(AK41&gt;0,AJ41=0),"측정 기록 없음",IF(AND(AJ41&gt;0,AI41=0),"운동평가 기록 없음",IF(OR(COUNTIF(입력_운동!$B$5:$B$1004,$A41)&gt;1,COUNTIF(입력_측정!$B$5:$B$1004,$A41)&gt;1),"중복 입력","")))</f>
        <v/>
      </c>
      <c r="AI41" s="62" t="n">
        <f aca="false">SUMPRODUCT(MAX((입력_운동!$B$5:$B$1004=$A41)*(ROW(입력_운동!$B$5:$B$1004)-4)))</f>
        <v>0</v>
      </c>
      <c r="AJ41" s="62" t="n">
        <f aca="false">SUMPRODUCT(MAX((입력_측정!$B$5:$B$1004=$A41)*(ROW(입력_측정!$B$5:$B$1004)-4)))</f>
        <v>0</v>
      </c>
      <c r="AK41" s="62" t="n">
        <f aca="false">SUMPRODUCT(MAX((입력_상담!$B$5:$B$1004=$A41)*(ROW(입력_상담!$B$5:$B$1004)-4)))</f>
        <v>0</v>
      </c>
    </row>
    <row r="42" customFormat="false" ht="15" hidden="false" customHeight="false" outlineLevel="0" collapsed="false">
      <c r="A42" s="55" t="n">
        <v>38</v>
      </c>
      <c r="B42" s="56"/>
      <c r="C42" s="24"/>
      <c r="D42" s="24"/>
      <c r="E42" s="56"/>
      <c r="F42" s="57"/>
      <c r="G42" s="58"/>
      <c r="H42" s="56"/>
      <c r="I42" s="24"/>
      <c r="J42" s="24"/>
      <c r="K42" s="24"/>
      <c r="L42" s="24"/>
      <c r="M42" s="24"/>
      <c r="N42" s="56"/>
      <c r="O42" s="25" t="str">
        <f aca="false">IF($AI42=0,"",IF(INDEX(입력_운동!$C$5:$C$1004,$AI42)="","",INDEX(입력_운동!$C$5:$C$1004,$AI42)))</f>
        <v/>
      </c>
      <c r="P42" s="25" t="str">
        <f aca="false">IF($AI42=0,"",IF(INDEX(입력_운동!$D$5:$D$1004,$AI42)="","",INDEX(입력_운동!$D$5:$D$1004,$AI42)))</f>
        <v/>
      </c>
      <c r="Q42" s="25" t="str">
        <f aca="false">IF($AI42=0,"",IF(INDEX(입력_운동!$E$5:$E$1004,$AI42)="","",INDEX(입력_운동!$E$5:$E$1004,$AI42)))</f>
        <v/>
      </c>
      <c r="R42" s="25" t="str">
        <f aca="false">IF($AI42=0,"",IF(INDEX(입력_운동!$F$5:$F$1004,$AI42)="","",INDEX(입력_운동!$F$5:$F$1004,$AI42)))</f>
        <v/>
      </c>
      <c r="S42" s="25" t="str">
        <f aca="false">IF($AJ42=0,"",IF(INDEX(입력_측정!$C$5:$C$1004,$AJ42)="","",INDEX(입력_측정!$C$5:$C$1004,$AJ42)))</f>
        <v/>
      </c>
      <c r="T42" s="25" t="str">
        <f aca="false">IF($AJ42=0,"",IF(INDEX(입력_측정!$D$5:$D$1004,$AJ42)="","",INDEX(입력_측정!$D$5:$D$1004,$AJ42)))</f>
        <v/>
      </c>
      <c r="U42" s="25" t="str">
        <f aca="false">IF($AJ42=0,"",IF(INDEX(입력_측정!$E$5:$E$1004,$AJ42)="","",INDEX(입력_측정!$E$5:$E$1004,$AJ42)))</f>
        <v/>
      </c>
      <c r="V42" s="25" t="str">
        <f aca="false">IF($AJ42=0,"",IF(INDEX(입력_측정!$F$5:$F$1004,$AJ42)="","",INDEX(입력_측정!$F$5:$F$1004,$AJ42)))</f>
        <v/>
      </c>
      <c r="W42" s="25" t="str">
        <f aca="false">IF($AK42=0,"",IF(INDEX(입력_상담!$D$5:$D$1004,$AK42)="","",INDEX(입력_상담!$D$5:$D$1004,$AK42)))</f>
        <v/>
      </c>
      <c r="X42" s="25" t="str">
        <f aca="false">IF($AJ42=0,"",IF(INDEX(입력_측정!$I$5:$I$1004,$AJ42)="","",INDEX(입력_측정!$I$5:$I$1004,$AJ42)))</f>
        <v/>
      </c>
      <c r="Y42" s="25" t="str">
        <f aca="false">IF($AJ42=0,"",IF(INDEX(입력_측정!$J$5:$J$1004,$AJ42)="","",INDEX(입력_측정!$J$5:$J$1004,$AJ42)))</f>
        <v/>
      </c>
      <c r="Z42" s="25" t="str">
        <f aca="false">IF(OR(X42="긴급",LEFT(Y42,2)="긴급",W42="필요",W42="완료"),"대상","")</f>
        <v/>
      </c>
      <c r="AA42" s="59" t="str">
        <f aca="false">IF(M42&lt;&gt;"",M42,IF(AK42&gt;0,IF(W42="필요","추가상담 대기","완료"),IF(AJ42&gt;0,"결과상담 대기",IF(AI42&gt;0,"측정 대기","미방문"))))</f>
        <v>미방문</v>
      </c>
      <c r="AB42" s="60" t="str">
        <f aca="false">IF($AI42=0,"",IF(INDEX(입력_운동!$A$5:$A$1004,$AI42)="","",INDEX(입력_운동!$A$5:$A$1004,$AI42)))</f>
        <v/>
      </c>
      <c r="AC42" s="60" t="str">
        <f aca="false">IF($AJ42=0,"",IF(INDEX(입력_측정!$A$5:$A$1004,$AJ42)="","",INDEX(입력_측정!$A$5:$A$1004,$AJ42)))</f>
        <v/>
      </c>
      <c r="AD42" s="60" t="str">
        <f aca="false">IF($AK42=0,"",IF(INDEX(입력_상담!$A$5:$A$1004,$AK42)="","",INDEX(입력_상담!$A$5:$A$1004,$AK42)))</f>
        <v/>
      </c>
      <c r="AE42" s="25" t="str">
        <f aca="false">IF(AND(ISNUMBER(AB42),ISNUMBER(AC42)),IF(AC42&gt;=AB42,ROUND((AC42-AB42)*1440,0),""),"")</f>
        <v/>
      </c>
      <c r="AF42" s="25" t="str">
        <f aca="false">IF(AND(ISNUMBER(AC42),ISNUMBER(AD42)),IF(AD42&gt;=AC42,ROUND((AD42-AC42)*1440,0),""),"")</f>
        <v/>
      </c>
      <c r="AG42" s="25" t="str">
        <f aca="false">IF(AND(AA42="완료",ISNUMBER(AB42),ISNUMBER(AD42)),IF(AD42&gt;=AB42,ROUND((AD42-AB42)*1440,0),""),"")</f>
        <v/>
      </c>
      <c r="AH42" s="61" t="str">
        <f aca="false">IF(AND(AK42&gt;0,AJ42=0),"측정 기록 없음",IF(AND(AJ42&gt;0,AI42=0),"운동평가 기록 없음",IF(OR(COUNTIF(입력_운동!$B$5:$B$1004,$A42)&gt;1,COUNTIF(입력_측정!$B$5:$B$1004,$A42)&gt;1),"중복 입력","")))</f>
        <v/>
      </c>
      <c r="AI42" s="62" t="n">
        <f aca="false">SUMPRODUCT(MAX((입력_운동!$B$5:$B$1004=$A42)*(ROW(입력_운동!$B$5:$B$1004)-4)))</f>
        <v>0</v>
      </c>
      <c r="AJ42" s="62" t="n">
        <f aca="false">SUMPRODUCT(MAX((입력_측정!$B$5:$B$1004=$A42)*(ROW(입력_측정!$B$5:$B$1004)-4)))</f>
        <v>0</v>
      </c>
      <c r="AK42" s="62" t="n">
        <f aca="false">SUMPRODUCT(MAX((입력_상담!$B$5:$B$1004=$A42)*(ROW(입력_상담!$B$5:$B$1004)-4)))</f>
        <v>0</v>
      </c>
    </row>
    <row r="43" customFormat="false" ht="15" hidden="false" customHeight="false" outlineLevel="0" collapsed="false">
      <c r="A43" s="55" t="n">
        <v>39</v>
      </c>
      <c r="B43" s="56"/>
      <c r="C43" s="24"/>
      <c r="D43" s="24"/>
      <c r="E43" s="56"/>
      <c r="F43" s="57"/>
      <c r="G43" s="58"/>
      <c r="H43" s="56"/>
      <c r="I43" s="24"/>
      <c r="J43" s="24"/>
      <c r="K43" s="24"/>
      <c r="L43" s="24"/>
      <c r="M43" s="24"/>
      <c r="N43" s="56"/>
      <c r="O43" s="25" t="str">
        <f aca="false">IF($AI43=0,"",IF(INDEX(입력_운동!$C$5:$C$1004,$AI43)="","",INDEX(입력_운동!$C$5:$C$1004,$AI43)))</f>
        <v/>
      </c>
      <c r="P43" s="25" t="str">
        <f aca="false">IF($AI43=0,"",IF(INDEX(입력_운동!$D$5:$D$1004,$AI43)="","",INDEX(입력_운동!$D$5:$D$1004,$AI43)))</f>
        <v/>
      </c>
      <c r="Q43" s="25" t="str">
        <f aca="false">IF($AI43=0,"",IF(INDEX(입력_운동!$E$5:$E$1004,$AI43)="","",INDEX(입력_운동!$E$5:$E$1004,$AI43)))</f>
        <v/>
      </c>
      <c r="R43" s="25" t="str">
        <f aca="false">IF($AI43=0,"",IF(INDEX(입력_운동!$F$5:$F$1004,$AI43)="","",INDEX(입력_운동!$F$5:$F$1004,$AI43)))</f>
        <v/>
      </c>
      <c r="S43" s="25" t="str">
        <f aca="false">IF($AJ43=0,"",IF(INDEX(입력_측정!$C$5:$C$1004,$AJ43)="","",INDEX(입력_측정!$C$5:$C$1004,$AJ43)))</f>
        <v/>
      </c>
      <c r="T43" s="25" t="str">
        <f aca="false">IF($AJ43=0,"",IF(INDEX(입력_측정!$D$5:$D$1004,$AJ43)="","",INDEX(입력_측정!$D$5:$D$1004,$AJ43)))</f>
        <v/>
      </c>
      <c r="U43" s="25" t="str">
        <f aca="false">IF($AJ43=0,"",IF(INDEX(입력_측정!$E$5:$E$1004,$AJ43)="","",INDEX(입력_측정!$E$5:$E$1004,$AJ43)))</f>
        <v/>
      </c>
      <c r="V43" s="25" t="str">
        <f aca="false">IF($AJ43=0,"",IF(INDEX(입력_측정!$F$5:$F$1004,$AJ43)="","",INDEX(입력_측정!$F$5:$F$1004,$AJ43)))</f>
        <v/>
      </c>
      <c r="W43" s="25" t="str">
        <f aca="false">IF($AK43=0,"",IF(INDEX(입력_상담!$D$5:$D$1004,$AK43)="","",INDEX(입력_상담!$D$5:$D$1004,$AK43)))</f>
        <v/>
      </c>
      <c r="X43" s="25" t="str">
        <f aca="false">IF($AJ43=0,"",IF(INDEX(입력_측정!$I$5:$I$1004,$AJ43)="","",INDEX(입력_측정!$I$5:$I$1004,$AJ43)))</f>
        <v/>
      </c>
      <c r="Y43" s="25" t="str">
        <f aca="false">IF($AJ43=0,"",IF(INDEX(입력_측정!$J$5:$J$1004,$AJ43)="","",INDEX(입력_측정!$J$5:$J$1004,$AJ43)))</f>
        <v/>
      </c>
      <c r="Z43" s="25" t="str">
        <f aca="false">IF(OR(X43="긴급",LEFT(Y43,2)="긴급",W43="필요",W43="완료"),"대상","")</f>
        <v/>
      </c>
      <c r="AA43" s="59" t="str">
        <f aca="false">IF(M43&lt;&gt;"",M43,IF(AK43&gt;0,IF(W43="필요","추가상담 대기","완료"),IF(AJ43&gt;0,"결과상담 대기",IF(AI43&gt;0,"측정 대기","미방문"))))</f>
        <v>미방문</v>
      </c>
      <c r="AB43" s="60" t="str">
        <f aca="false">IF($AI43=0,"",IF(INDEX(입력_운동!$A$5:$A$1004,$AI43)="","",INDEX(입력_운동!$A$5:$A$1004,$AI43)))</f>
        <v/>
      </c>
      <c r="AC43" s="60" t="str">
        <f aca="false">IF($AJ43=0,"",IF(INDEX(입력_측정!$A$5:$A$1004,$AJ43)="","",INDEX(입력_측정!$A$5:$A$1004,$AJ43)))</f>
        <v/>
      </c>
      <c r="AD43" s="60" t="str">
        <f aca="false">IF($AK43=0,"",IF(INDEX(입력_상담!$A$5:$A$1004,$AK43)="","",INDEX(입력_상담!$A$5:$A$1004,$AK43)))</f>
        <v/>
      </c>
      <c r="AE43" s="25" t="str">
        <f aca="false">IF(AND(ISNUMBER(AB43),ISNUMBER(AC43)),IF(AC43&gt;=AB43,ROUND((AC43-AB43)*1440,0),""),"")</f>
        <v/>
      </c>
      <c r="AF43" s="25" t="str">
        <f aca="false">IF(AND(ISNUMBER(AC43),ISNUMBER(AD43)),IF(AD43&gt;=AC43,ROUND((AD43-AC43)*1440,0),""),"")</f>
        <v/>
      </c>
      <c r="AG43" s="25" t="str">
        <f aca="false">IF(AND(AA43="완료",ISNUMBER(AB43),ISNUMBER(AD43)),IF(AD43&gt;=AB43,ROUND((AD43-AB43)*1440,0),""),"")</f>
        <v/>
      </c>
      <c r="AH43" s="61" t="str">
        <f aca="false">IF(AND(AK43&gt;0,AJ43=0),"측정 기록 없음",IF(AND(AJ43&gt;0,AI43=0),"운동평가 기록 없음",IF(OR(COUNTIF(입력_운동!$B$5:$B$1004,$A43)&gt;1,COUNTIF(입력_측정!$B$5:$B$1004,$A43)&gt;1),"중복 입력","")))</f>
        <v/>
      </c>
      <c r="AI43" s="62" t="n">
        <f aca="false">SUMPRODUCT(MAX((입력_운동!$B$5:$B$1004=$A43)*(ROW(입력_운동!$B$5:$B$1004)-4)))</f>
        <v>0</v>
      </c>
      <c r="AJ43" s="62" t="n">
        <f aca="false">SUMPRODUCT(MAX((입력_측정!$B$5:$B$1004=$A43)*(ROW(입력_측정!$B$5:$B$1004)-4)))</f>
        <v>0</v>
      </c>
      <c r="AK43" s="62" t="n">
        <f aca="false">SUMPRODUCT(MAX((입력_상담!$B$5:$B$1004=$A43)*(ROW(입력_상담!$B$5:$B$1004)-4)))</f>
        <v>0</v>
      </c>
    </row>
    <row r="44" customFormat="false" ht="15" hidden="false" customHeight="false" outlineLevel="0" collapsed="false">
      <c r="A44" s="55" t="n">
        <v>40</v>
      </c>
      <c r="B44" s="56"/>
      <c r="C44" s="24"/>
      <c r="D44" s="24"/>
      <c r="E44" s="56"/>
      <c r="F44" s="57"/>
      <c r="G44" s="58"/>
      <c r="H44" s="56"/>
      <c r="I44" s="24"/>
      <c r="J44" s="24"/>
      <c r="K44" s="24"/>
      <c r="L44" s="24"/>
      <c r="M44" s="24"/>
      <c r="N44" s="56"/>
      <c r="O44" s="25" t="str">
        <f aca="false">IF($AI44=0,"",IF(INDEX(입력_운동!$C$5:$C$1004,$AI44)="","",INDEX(입력_운동!$C$5:$C$1004,$AI44)))</f>
        <v/>
      </c>
      <c r="P44" s="25" t="str">
        <f aca="false">IF($AI44=0,"",IF(INDEX(입력_운동!$D$5:$D$1004,$AI44)="","",INDEX(입력_운동!$D$5:$D$1004,$AI44)))</f>
        <v/>
      </c>
      <c r="Q44" s="25" t="str">
        <f aca="false">IF($AI44=0,"",IF(INDEX(입력_운동!$E$5:$E$1004,$AI44)="","",INDEX(입력_운동!$E$5:$E$1004,$AI44)))</f>
        <v/>
      </c>
      <c r="R44" s="25" t="str">
        <f aca="false">IF($AI44=0,"",IF(INDEX(입력_운동!$F$5:$F$1004,$AI44)="","",INDEX(입력_운동!$F$5:$F$1004,$AI44)))</f>
        <v/>
      </c>
      <c r="S44" s="25" t="str">
        <f aca="false">IF($AJ44=0,"",IF(INDEX(입력_측정!$C$5:$C$1004,$AJ44)="","",INDEX(입력_측정!$C$5:$C$1004,$AJ44)))</f>
        <v/>
      </c>
      <c r="T44" s="25" t="str">
        <f aca="false">IF($AJ44=0,"",IF(INDEX(입력_측정!$D$5:$D$1004,$AJ44)="","",INDEX(입력_측정!$D$5:$D$1004,$AJ44)))</f>
        <v/>
      </c>
      <c r="U44" s="25" t="str">
        <f aca="false">IF($AJ44=0,"",IF(INDEX(입력_측정!$E$5:$E$1004,$AJ44)="","",INDEX(입력_측정!$E$5:$E$1004,$AJ44)))</f>
        <v/>
      </c>
      <c r="V44" s="25" t="str">
        <f aca="false">IF($AJ44=0,"",IF(INDEX(입력_측정!$F$5:$F$1004,$AJ44)="","",INDEX(입력_측정!$F$5:$F$1004,$AJ44)))</f>
        <v/>
      </c>
      <c r="W44" s="25" t="str">
        <f aca="false">IF($AK44=0,"",IF(INDEX(입력_상담!$D$5:$D$1004,$AK44)="","",INDEX(입력_상담!$D$5:$D$1004,$AK44)))</f>
        <v/>
      </c>
      <c r="X44" s="25" t="str">
        <f aca="false">IF($AJ44=0,"",IF(INDEX(입력_측정!$I$5:$I$1004,$AJ44)="","",INDEX(입력_측정!$I$5:$I$1004,$AJ44)))</f>
        <v/>
      </c>
      <c r="Y44" s="25" t="str">
        <f aca="false">IF($AJ44=0,"",IF(INDEX(입력_측정!$J$5:$J$1004,$AJ44)="","",INDEX(입력_측정!$J$5:$J$1004,$AJ44)))</f>
        <v/>
      </c>
      <c r="Z44" s="25" t="str">
        <f aca="false">IF(OR(X44="긴급",LEFT(Y44,2)="긴급",W44="필요",W44="완료"),"대상","")</f>
        <v/>
      </c>
      <c r="AA44" s="59" t="str">
        <f aca="false">IF(M44&lt;&gt;"",M44,IF(AK44&gt;0,IF(W44="필요","추가상담 대기","완료"),IF(AJ44&gt;0,"결과상담 대기",IF(AI44&gt;0,"측정 대기","미방문"))))</f>
        <v>미방문</v>
      </c>
      <c r="AB44" s="60" t="str">
        <f aca="false">IF($AI44=0,"",IF(INDEX(입력_운동!$A$5:$A$1004,$AI44)="","",INDEX(입력_운동!$A$5:$A$1004,$AI44)))</f>
        <v/>
      </c>
      <c r="AC44" s="60" t="str">
        <f aca="false">IF($AJ44=0,"",IF(INDEX(입력_측정!$A$5:$A$1004,$AJ44)="","",INDEX(입력_측정!$A$5:$A$1004,$AJ44)))</f>
        <v/>
      </c>
      <c r="AD44" s="60" t="str">
        <f aca="false">IF($AK44=0,"",IF(INDEX(입력_상담!$A$5:$A$1004,$AK44)="","",INDEX(입력_상담!$A$5:$A$1004,$AK44)))</f>
        <v/>
      </c>
      <c r="AE44" s="25" t="str">
        <f aca="false">IF(AND(ISNUMBER(AB44),ISNUMBER(AC44)),IF(AC44&gt;=AB44,ROUND((AC44-AB44)*1440,0),""),"")</f>
        <v/>
      </c>
      <c r="AF44" s="25" t="str">
        <f aca="false">IF(AND(ISNUMBER(AC44),ISNUMBER(AD44)),IF(AD44&gt;=AC44,ROUND((AD44-AC44)*1440,0),""),"")</f>
        <v/>
      </c>
      <c r="AG44" s="25" t="str">
        <f aca="false">IF(AND(AA44="완료",ISNUMBER(AB44),ISNUMBER(AD44)),IF(AD44&gt;=AB44,ROUND((AD44-AB44)*1440,0),""),"")</f>
        <v/>
      </c>
      <c r="AH44" s="61" t="str">
        <f aca="false">IF(AND(AK44&gt;0,AJ44=0),"측정 기록 없음",IF(AND(AJ44&gt;0,AI44=0),"운동평가 기록 없음",IF(OR(COUNTIF(입력_운동!$B$5:$B$1004,$A44)&gt;1,COUNTIF(입력_측정!$B$5:$B$1004,$A44)&gt;1),"중복 입력","")))</f>
        <v/>
      </c>
      <c r="AI44" s="62" t="n">
        <f aca="false">SUMPRODUCT(MAX((입력_운동!$B$5:$B$1004=$A44)*(ROW(입력_운동!$B$5:$B$1004)-4)))</f>
        <v>0</v>
      </c>
      <c r="AJ44" s="62" t="n">
        <f aca="false">SUMPRODUCT(MAX((입력_측정!$B$5:$B$1004=$A44)*(ROW(입력_측정!$B$5:$B$1004)-4)))</f>
        <v>0</v>
      </c>
      <c r="AK44" s="62" t="n">
        <f aca="false">SUMPRODUCT(MAX((입력_상담!$B$5:$B$1004=$A44)*(ROW(입력_상담!$B$5:$B$1004)-4)))</f>
        <v>0</v>
      </c>
    </row>
    <row r="45" customFormat="false" ht="15" hidden="false" customHeight="false" outlineLevel="0" collapsed="false">
      <c r="A45" s="55" t="n">
        <v>41</v>
      </c>
      <c r="B45" s="56"/>
      <c r="C45" s="24"/>
      <c r="D45" s="24"/>
      <c r="E45" s="56"/>
      <c r="F45" s="57"/>
      <c r="G45" s="58"/>
      <c r="H45" s="56"/>
      <c r="I45" s="24"/>
      <c r="J45" s="24"/>
      <c r="K45" s="24"/>
      <c r="L45" s="24"/>
      <c r="M45" s="24"/>
      <c r="N45" s="56"/>
      <c r="O45" s="25" t="str">
        <f aca="false">IF($AI45=0,"",IF(INDEX(입력_운동!$C$5:$C$1004,$AI45)="","",INDEX(입력_운동!$C$5:$C$1004,$AI45)))</f>
        <v/>
      </c>
      <c r="P45" s="25" t="str">
        <f aca="false">IF($AI45=0,"",IF(INDEX(입력_운동!$D$5:$D$1004,$AI45)="","",INDEX(입력_운동!$D$5:$D$1004,$AI45)))</f>
        <v/>
      </c>
      <c r="Q45" s="25" t="str">
        <f aca="false">IF($AI45=0,"",IF(INDEX(입력_운동!$E$5:$E$1004,$AI45)="","",INDEX(입력_운동!$E$5:$E$1004,$AI45)))</f>
        <v/>
      </c>
      <c r="R45" s="25" t="str">
        <f aca="false">IF($AI45=0,"",IF(INDEX(입력_운동!$F$5:$F$1004,$AI45)="","",INDEX(입력_운동!$F$5:$F$1004,$AI45)))</f>
        <v/>
      </c>
      <c r="S45" s="25" t="str">
        <f aca="false">IF($AJ45=0,"",IF(INDEX(입력_측정!$C$5:$C$1004,$AJ45)="","",INDEX(입력_측정!$C$5:$C$1004,$AJ45)))</f>
        <v/>
      </c>
      <c r="T45" s="25" t="str">
        <f aca="false">IF($AJ45=0,"",IF(INDEX(입력_측정!$D$5:$D$1004,$AJ45)="","",INDEX(입력_측정!$D$5:$D$1004,$AJ45)))</f>
        <v/>
      </c>
      <c r="U45" s="25" t="str">
        <f aca="false">IF($AJ45=0,"",IF(INDEX(입력_측정!$E$5:$E$1004,$AJ45)="","",INDEX(입력_측정!$E$5:$E$1004,$AJ45)))</f>
        <v/>
      </c>
      <c r="V45" s="25" t="str">
        <f aca="false">IF($AJ45=0,"",IF(INDEX(입력_측정!$F$5:$F$1004,$AJ45)="","",INDEX(입력_측정!$F$5:$F$1004,$AJ45)))</f>
        <v/>
      </c>
      <c r="W45" s="25" t="str">
        <f aca="false">IF($AK45=0,"",IF(INDEX(입력_상담!$D$5:$D$1004,$AK45)="","",INDEX(입력_상담!$D$5:$D$1004,$AK45)))</f>
        <v/>
      </c>
      <c r="X45" s="25" t="str">
        <f aca="false">IF($AJ45=0,"",IF(INDEX(입력_측정!$I$5:$I$1004,$AJ45)="","",INDEX(입력_측정!$I$5:$I$1004,$AJ45)))</f>
        <v/>
      </c>
      <c r="Y45" s="25" t="str">
        <f aca="false">IF($AJ45=0,"",IF(INDEX(입력_측정!$J$5:$J$1004,$AJ45)="","",INDEX(입력_측정!$J$5:$J$1004,$AJ45)))</f>
        <v/>
      </c>
      <c r="Z45" s="25" t="str">
        <f aca="false">IF(OR(X45="긴급",LEFT(Y45,2)="긴급",W45="필요",W45="완료"),"대상","")</f>
        <v/>
      </c>
      <c r="AA45" s="59" t="str">
        <f aca="false">IF(M45&lt;&gt;"",M45,IF(AK45&gt;0,IF(W45="필요","추가상담 대기","완료"),IF(AJ45&gt;0,"결과상담 대기",IF(AI45&gt;0,"측정 대기","미방문"))))</f>
        <v>미방문</v>
      </c>
      <c r="AB45" s="60" t="str">
        <f aca="false">IF($AI45=0,"",IF(INDEX(입력_운동!$A$5:$A$1004,$AI45)="","",INDEX(입력_운동!$A$5:$A$1004,$AI45)))</f>
        <v/>
      </c>
      <c r="AC45" s="60" t="str">
        <f aca="false">IF($AJ45=0,"",IF(INDEX(입력_측정!$A$5:$A$1004,$AJ45)="","",INDEX(입력_측정!$A$5:$A$1004,$AJ45)))</f>
        <v/>
      </c>
      <c r="AD45" s="60" t="str">
        <f aca="false">IF($AK45=0,"",IF(INDEX(입력_상담!$A$5:$A$1004,$AK45)="","",INDEX(입력_상담!$A$5:$A$1004,$AK45)))</f>
        <v/>
      </c>
      <c r="AE45" s="25" t="str">
        <f aca="false">IF(AND(ISNUMBER(AB45),ISNUMBER(AC45)),IF(AC45&gt;=AB45,ROUND((AC45-AB45)*1440,0),""),"")</f>
        <v/>
      </c>
      <c r="AF45" s="25" t="str">
        <f aca="false">IF(AND(ISNUMBER(AC45),ISNUMBER(AD45)),IF(AD45&gt;=AC45,ROUND((AD45-AC45)*1440,0),""),"")</f>
        <v/>
      </c>
      <c r="AG45" s="25" t="str">
        <f aca="false">IF(AND(AA45="완료",ISNUMBER(AB45),ISNUMBER(AD45)),IF(AD45&gt;=AB45,ROUND((AD45-AB45)*1440,0),""),"")</f>
        <v/>
      </c>
      <c r="AH45" s="61" t="str">
        <f aca="false">IF(AND(AK45&gt;0,AJ45=0),"측정 기록 없음",IF(AND(AJ45&gt;0,AI45=0),"운동평가 기록 없음",IF(OR(COUNTIF(입력_운동!$B$5:$B$1004,$A45)&gt;1,COUNTIF(입력_측정!$B$5:$B$1004,$A45)&gt;1),"중복 입력","")))</f>
        <v/>
      </c>
      <c r="AI45" s="62" t="n">
        <f aca="false">SUMPRODUCT(MAX((입력_운동!$B$5:$B$1004=$A45)*(ROW(입력_운동!$B$5:$B$1004)-4)))</f>
        <v>0</v>
      </c>
      <c r="AJ45" s="62" t="n">
        <f aca="false">SUMPRODUCT(MAX((입력_측정!$B$5:$B$1004=$A45)*(ROW(입력_측정!$B$5:$B$1004)-4)))</f>
        <v>0</v>
      </c>
      <c r="AK45" s="62" t="n">
        <f aca="false">SUMPRODUCT(MAX((입력_상담!$B$5:$B$1004=$A45)*(ROW(입력_상담!$B$5:$B$1004)-4)))</f>
        <v>0</v>
      </c>
    </row>
    <row r="46" customFormat="false" ht="15" hidden="false" customHeight="false" outlineLevel="0" collapsed="false">
      <c r="A46" s="55" t="n">
        <v>42</v>
      </c>
      <c r="B46" s="56"/>
      <c r="C46" s="24"/>
      <c r="D46" s="24"/>
      <c r="E46" s="56"/>
      <c r="F46" s="57"/>
      <c r="G46" s="58"/>
      <c r="H46" s="56"/>
      <c r="I46" s="24"/>
      <c r="J46" s="24"/>
      <c r="K46" s="24"/>
      <c r="L46" s="24"/>
      <c r="M46" s="24"/>
      <c r="N46" s="56"/>
      <c r="O46" s="25" t="str">
        <f aca="false">IF($AI46=0,"",IF(INDEX(입력_운동!$C$5:$C$1004,$AI46)="","",INDEX(입력_운동!$C$5:$C$1004,$AI46)))</f>
        <v/>
      </c>
      <c r="P46" s="25" t="str">
        <f aca="false">IF($AI46=0,"",IF(INDEX(입력_운동!$D$5:$D$1004,$AI46)="","",INDEX(입력_운동!$D$5:$D$1004,$AI46)))</f>
        <v/>
      </c>
      <c r="Q46" s="25" t="str">
        <f aca="false">IF($AI46=0,"",IF(INDEX(입력_운동!$E$5:$E$1004,$AI46)="","",INDEX(입력_운동!$E$5:$E$1004,$AI46)))</f>
        <v/>
      </c>
      <c r="R46" s="25" t="str">
        <f aca="false">IF($AI46=0,"",IF(INDEX(입력_운동!$F$5:$F$1004,$AI46)="","",INDEX(입력_운동!$F$5:$F$1004,$AI46)))</f>
        <v/>
      </c>
      <c r="S46" s="25" t="str">
        <f aca="false">IF($AJ46=0,"",IF(INDEX(입력_측정!$C$5:$C$1004,$AJ46)="","",INDEX(입력_측정!$C$5:$C$1004,$AJ46)))</f>
        <v/>
      </c>
      <c r="T46" s="25" t="str">
        <f aca="false">IF($AJ46=0,"",IF(INDEX(입력_측정!$D$5:$D$1004,$AJ46)="","",INDEX(입력_측정!$D$5:$D$1004,$AJ46)))</f>
        <v/>
      </c>
      <c r="U46" s="25" t="str">
        <f aca="false">IF($AJ46=0,"",IF(INDEX(입력_측정!$E$5:$E$1004,$AJ46)="","",INDEX(입력_측정!$E$5:$E$1004,$AJ46)))</f>
        <v/>
      </c>
      <c r="V46" s="25" t="str">
        <f aca="false">IF($AJ46=0,"",IF(INDEX(입력_측정!$F$5:$F$1004,$AJ46)="","",INDEX(입력_측정!$F$5:$F$1004,$AJ46)))</f>
        <v/>
      </c>
      <c r="W46" s="25" t="str">
        <f aca="false">IF($AK46=0,"",IF(INDEX(입력_상담!$D$5:$D$1004,$AK46)="","",INDEX(입력_상담!$D$5:$D$1004,$AK46)))</f>
        <v/>
      </c>
      <c r="X46" s="25" t="str">
        <f aca="false">IF($AJ46=0,"",IF(INDEX(입력_측정!$I$5:$I$1004,$AJ46)="","",INDEX(입력_측정!$I$5:$I$1004,$AJ46)))</f>
        <v/>
      </c>
      <c r="Y46" s="25" t="str">
        <f aca="false">IF($AJ46=0,"",IF(INDEX(입력_측정!$J$5:$J$1004,$AJ46)="","",INDEX(입력_측정!$J$5:$J$1004,$AJ46)))</f>
        <v/>
      </c>
      <c r="Z46" s="25" t="str">
        <f aca="false">IF(OR(X46="긴급",LEFT(Y46,2)="긴급",W46="필요",W46="완료"),"대상","")</f>
        <v/>
      </c>
      <c r="AA46" s="59" t="str">
        <f aca="false">IF(M46&lt;&gt;"",M46,IF(AK46&gt;0,IF(W46="필요","추가상담 대기","완료"),IF(AJ46&gt;0,"결과상담 대기",IF(AI46&gt;0,"측정 대기","미방문"))))</f>
        <v>미방문</v>
      </c>
      <c r="AB46" s="60" t="str">
        <f aca="false">IF($AI46=0,"",IF(INDEX(입력_운동!$A$5:$A$1004,$AI46)="","",INDEX(입력_운동!$A$5:$A$1004,$AI46)))</f>
        <v/>
      </c>
      <c r="AC46" s="60" t="str">
        <f aca="false">IF($AJ46=0,"",IF(INDEX(입력_측정!$A$5:$A$1004,$AJ46)="","",INDEX(입력_측정!$A$5:$A$1004,$AJ46)))</f>
        <v/>
      </c>
      <c r="AD46" s="60" t="str">
        <f aca="false">IF($AK46=0,"",IF(INDEX(입력_상담!$A$5:$A$1004,$AK46)="","",INDEX(입력_상담!$A$5:$A$1004,$AK46)))</f>
        <v/>
      </c>
      <c r="AE46" s="25" t="str">
        <f aca="false">IF(AND(ISNUMBER(AB46),ISNUMBER(AC46)),IF(AC46&gt;=AB46,ROUND((AC46-AB46)*1440,0),""),"")</f>
        <v/>
      </c>
      <c r="AF46" s="25" t="str">
        <f aca="false">IF(AND(ISNUMBER(AC46),ISNUMBER(AD46)),IF(AD46&gt;=AC46,ROUND((AD46-AC46)*1440,0),""),"")</f>
        <v/>
      </c>
      <c r="AG46" s="25" t="str">
        <f aca="false">IF(AND(AA46="완료",ISNUMBER(AB46),ISNUMBER(AD46)),IF(AD46&gt;=AB46,ROUND((AD46-AB46)*1440,0),""),"")</f>
        <v/>
      </c>
      <c r="AH46" s="61" t="str">
        <f aca="false">IF(AND(AK46&gt;0,AJ46=0),"측정 기록 없음",IF(AND(AJ46&gt;0,AI46=0),"운동평가 기록 없음",IF(OR(COUNTIF(입력_운동!$B$5:$B$1004,$A46)&gt;1,COUNTIF(입력_측정!$B$5:$B$1004,$A46)&gt;1),"중복 입력","")))</f>
        <v/>
      </c>
      <c r="AI46" s="62" t="n">
        <f aca="false">SUMPRODUCT(MAX((입력_운동!$B$5:$B$1004=$A46)*(ROW(입력_운동!$B$5:$B$1004)-4)))</f>
        <v>0</v>
      </c>
      <c r="AJ46" s="62" t="n">
        <f aca="false">SUMPRODUCT(MAX((입력_측정!$B$5:$B$1004=$A46)*(ROW(입력_측정!$B$5:$B$1004)-4)))</f>
        <v>0</v>
      </c>
      <c r="AK46" s="62" t="n">
        <f aca="false">SUMPRODUCT(MAX((입력_상담!$B$5:$B$1004=$A46)*(ROW(입력_상담!$B$5:$B$1004)-4)))</f>
        <v>0</v>
      </c>
    </row>
    <row r="47" customFormat="false" ht="15" hidden="false" customHeight="false" outlineLevel="0" collapsed="false">
      <c r="A47" s="55" t="n">
        <v>43</v>
      </c>
      <c r="B47" s="56"/>
      <c r="C47" s="24"/>
      <c r="D47" s="24"/>
      <c r="E47" s="56"/>
      <c r="F47" s="57"/>
      <c r="G47" s="58"/>
      <c r="H47" s="56"/>
      <c r="I47" s="24"/>
      <c r="J47" s="24"/>
      <c r="K47" s="24"/>
      <c r="L47" s="24"/>
      <c r="M47" s="24"/>
      <c r="N47" s="56"/>
      <c r="O47" s="25" t="str">
        <f aca="false">IF($AI47=0,"",IF(INDEX(입력_운동!$C$5:$C$1004,$AI47)="","",INDEX(입력_운동!$C$5:$C$1004,$AI47)))</f>
        <v/>
      </c>
      <c r="P47" s="25" t="str">
        <f aca="false">IF($AI47=0,"",IF(INDEX(입력_운동!$D$5:$D$1004,$AI47)="","",INDEX(입력_운동!$D$5:$D$1004,$AI47)))</f>
        <v/>
      </c>
      <c r="Q47" s="25" t="str">
        <f aca="false">IF($AI47=0,"",IF(INDEX(입력_운동!$E$5:$E$1004,$AI47)="","",INDEX(입력_운동!$E$5:$E$1004,$AI47)))</f>
        <v/>
      </c>
      <c r="R47" s="25" t="str">
        <f aca="false">IF($AI47=0,"",IF(INDEX(입력_운동!$F$5:$F$1004,$AI47)="","",INDEX(입력_운동!$F$5:$F$1004,$AI47)))</f>
        <v/>
      </c>
      <c r="S47" s="25" t="str">
        <f aca="false">IF($AJ47=0,"",IF(INDEX(입력_측정!$C$5:$C$1004,$AJ47)="","",INDEX(입력_측정!$C$5:$C$1004,$AJ47)))</f>
        <v/>
      </c>
      <c r="T47" s="25" t="str">
        <f aca="false">IF($AJ47=0,"",IF(INDEX(입력_측정!$D$5:$D$1004,$AJ47)="","",INDEX(입력_측정!$D$5:$D$1004,$AJ47)))</f>
        <v/>
      </c>
      <c r="U47" s="25" t="str">
        <f aca="false">IF($AJ47=0,"",IF(INDEX(입력_측정!$E$5:$E$1004,$AJ47)="","",INDEX(입력_측정!$E$5:$E$1004,$AJ47)))</f>
        <v/>
      </c>
      <c r="V47" s="25" t="str">
        <f aca="false">IF($AJ47=0,"",IF(INDEX(입력_측정!$F$5:$F$1004,$AJ47)="","",INDEX(입력_측정!$F$5:$F$1004,$AJ47)))</f>
        <v/>
      </c>
      <c r="W47" s="25" t="str">
        <f aca="false">IF($AK47=0,"",IF(INDEX(입력_상담!$D$5:$D$1004,$AK47)="","",INDEX(입력_상담!$D$5:$D$1004,$AK47)))</f>
        <v/>
      </c>
      <c r="X47" s="25" t="str">
        <f aca="false">IF($AJ47=0,"",IF(INDEX(입력_측정!$I$5:$I$1004,$AJ47)="","",INDEX(입력_측정!$I$5:$I$1004,$AJ47)))</f>
        <v/>
      </c>
      <c r="Y47" s="25" t="str">
        <f aca="false">IF($AJ47=0,"",IF(INDEX(입력_측정!$J$5:$J$1004,$AJ47)="","",INDEX(입력_측정!$J$5:$J$1004,$AJ47)))</f>
        <v/>
      </c>
      <c r="Z47" s="25" t="str">
        <f aca="false">IF(OR(X47="긴급",LEFT(Y47,2)="긴급",W47="필요",W47="완료"),"대상","")</f>
        <v/>
      </c>
      <c r="AA47" s="59" t="str">
        <f aca="false">IF(M47&lt;&gt;"",M47,IF(AK47&gt;0,IF(W47="필요","추가상담 대기","완료"),IF(AJ47&gt;0,"결과상담 대기",IF(AI47&gt;0,"측정 대기","미방문"))))</f>
        <v>미방문</v>
      </c>
      <c r="AB47" s="60" t="str">
        <f aca="false">IF($AI47=0,"",IF(INDEX(입력_운동!$A$5:$A$1004,$AI47)="","",INDEX(입력_운동!$A$5:$A$1004,$AI47)))</f>
        <v/>
      </c>
      <c r="AC47" s="60" t="str">
        <f aca="false">IF($AJ47=0,"",IF(INDEX(입력_측정!$A$5:$A$1004,$AJ47)="","",INDEX(입력_측정!$A$5:$A$1004,$AJ47)))</f>
        <v/>
      </c>
      <c r="AD47" s="60" t="str">
        <f aca="false">IF($AK47=0,"",IF(INDEX(입력_상담!$A$5:$A$1004,$AK47)="","",INDEX(입력_상담!$A$5:$A$1004,$AK47)))</f>
        <v/>
      </c>
      <c r="AE47" s="25" t="str">
        <f aca="false">IF(AND(ISNUMBER(AB47),ISNUMBER(AC47)),IF(AC47&gt;=AB47,ROUND((AC47-AB47)*1440,0),""),"")</f>
        <v/>
      </c>
      <c r="AF47" s="25" t="str">
        <f aca="false">IF(AND(ISNUMBER(AC47),ISNUMBER(AD47)),IF(AD47&gt;=AC47,ROUND((AD47-AC47)*1440,0),""),"")</f>
        <v/>
      </c>
      <c r="AG47" s="25" t="str">
        <f aca="false">IF(AND(AA47="완료",ISNUMBER(AB47),ISNUMBER(AD47)),IF(AD47&gt;=AB47,ROUND((AD47-AB47)*1440,0),""),"")</f>
        <v/>
      </c>
      <c r="AH47" s="61" t="str">
        <f aca="false">IF(AND(AK47&gt;0,AJ47=0),"측정 기록 없음",IF(AND(AJ47&gt;0,AI47=0),"운동평가 기록 없음",IF(OR(COUNTIF(입력_운동!$B$5:$B$1004,$A47)&gt;1,COUNTIF(입력_측정!$B$5:$B$1004,$A47)&gt;1),"중복 입력","")))</f>
        <v/>
      </c>
      <c r="AI47" s="62" t="n">
        <f aca="false">SUMPRODUCT(MAX((입력_운동!$B$5:$B$1004=$A47)*(ROW(입력_운동!$B$5:$B$1004)-4)))</f>
        <v>0</v>
      </c>
      <c r="AJ47" s="62" t="n">
        <f aca="false">SUMPRODUCT(MAX((입력_측정!$B$5:$B$1004=$A47)*(ROW(입력_측정!$B$5:$B$1004)-4)))</f>
        <v>0</v>
      </c>
      <c r="AK47" s="62" t="n">
        <f aca="false">SUMPRODUCT(MAX((입력_상담!$B$5:$B$1004=$A47)*(ROW(입력_상담!$B$5:$B$1004)-4)))</f>
        <v>0</v>
      </c>
    </row>
    <row r="48" customFormat="false" ht="15" hidden="false" customHeight="false" outlineLevel="0" collapsed="false">
      <c r="A48" s="55" t="n">
        <v>44</v>
      </c>
      <c r="B48" s="56"/>
      <c r="C48" s="24"/>
      <c r="D48" s="24"/>
      <c r="E48" s="56"/>
      <c r="F48" s="57"/>
      <c r="G48" s="58"/>
      <c r="H48" s="56"/>
      <c r="I48" s="24"/>
      <c r="J48" s="24"/>
      <c r="K48" s="24"/>
      <c r="L48" s="24"/>
      <c r="M48" s="24"/>
      <c r="N48" s="56"/>
      <c r="O48" s="25" t="str">
        <f aca="false">IF($AI48=0,"",IF(INDEX(입력_운동!$C$5:$C$1004,$AI48)="","",INDEX(입력_운동!$C$5:$C$1004,$AI48)))</f>
        <v/>
      </c>
      <c r="P48" s="25" t="str">
        <f aca="false">IF($AI48=0,"",IF(INDEX(입력_운동!$D$5:$D$1004,$AI48)="","",INDEX(입력_운동!$D$5:$D$1004,$AI48)))</f>
        <v/>
      </c>
      <c r="Q48" s="25" t="str">
        <f aca="false">IF($AI48=0,"",IF(INDEX(입력_운동!$E$5:$E$1004,$AI48)="","",INDEX(입력_운동!$E$5:$E$1004,$AI48)))</f>
        <v/>
      </c>
      <c r="R48" s="25" t="str">
        <f aca="false">IF($AI48=0,"",IF(INDEX(입력_운동!$F$5:$F$1004,$AI48)="","",INDEX(입력_운동!$F$5:$F$1004,$AI48)))</f>
        <v/>
      </c>
      <c r="S48" s="25" t="str">
        <f aca="false">IF($AJ48=0,"",IF(INDEX(입력_측정!$C$5:$C$1004,$AJ48)="","",INDEX(입력_측정!$C$5:$C$1004,$AJ48)))</f>
        <v/>
      </c>
      <c r="T48" s="25" t="str">
        <f aca="false">IF($AJ48=0,"",IF(INDEX(입력_측정!$D$5:$D$1004,$AJ48)="","",INDEX(입력_측정!$D$5:$D$1004,$AJ48)))</f>
        <v/>
      </c>
      <c r="U48" s="25" t="str">
        <f aca="false">IF($AJ48=0,"",IF(INDEX(입력_측정!$E$5:$E$1004,$AJ48)="","",INDEX(입력_측정!$E$5:$E$1004,$AJ48)))</f>
        <v/>
      </c>
      <c r="V48" s="25" t="str">
        <f aca="false">IF($AJ48=0,"",IF(INDEX(입력_측정!$F$5:$F$1004,$AJ48)="","",INDEX(입력_측정!$F$5:$F$1004,$AJ48)))</f>
        <v/>
      </c>
      <c r="W48" s="25" t="str">
        <f aca="false">IF($AK48=0,"",IF(INDEX(입력_상담!$D$5:$D$1004,$AK48)="","",INDEX(입력_상담!$D$5:$D$1004,$AK48)))</f>
        <v/>
      </c>
      <c r="X48" s="25" t="str">
        <f aca="false">IF($AJ48=0,"",IF(INDEX(입력_측정!$I$5:$I$1004,$AJ48)="","",INDEX(입력_측정!$I$5:$I$1004,$AJ48)))</f>
        <v/>
      </c>
      <c r="Y48" s="25" t="str">
        <f aca="false">IF($AJ48=0,"",IF(INDEX(입력_측정!$J$5:$J$1004,$AJ48)="","",INDEX(입력_측정!$J$5:$J$1004,$AJ48)))</f>
        <v/>
      </c>
      <c r="Z48" s="25" t="str">
        <f aca="false">IF(OR(X48="긴급",LEFT(Y48,2)="긴급",W48="필요",W48="완료"),"대상","")</f>
        <v/>
      </c>
      <c r="AA48" s="59" t="str">
        <f aca="false">IF(M48&lt;&gt;"",M48,IF(AK48&gt;0,IF(W48="필요","추가상담 대기","완료"),IF(AJ48&gt;0,"결과상담 대기",IF(AI48&gt;0,"측정 대기","미방문"))))</f>
        <v>미방문</v>
      </c>
      <c r="AB48" s="60" t="str">
        <f aca="false">IF($AI48=0,"",IF(INDEX(입력_운동!$A$5:$A$1004,$AI48)="","",INDEX(입력_운동!$A$5:$A$1004,$AI48)))</f>
        <v/>
      </c>
      <c r="AC48" s="60" t="str">
        <f aca="false">IF($AJ48=0,"",IF(INDEX(입력_측정!$A$5:$A$1004,$AJ48)="","",INDEX(입력_측정!$A$5:$A$1004,$AJ48)))</f>
        <v/>
      </c>
      <c r="AD48" s="60" t="str">
        <f aca="false">IF($AK48=0,"",IF(INDEX(입력_상담!$A$5:$A$1004,$AK48)="","",INDEX(입력_상담!$A$5:$A$1004,$AK48)))</f>
        <v/>
      </c>
      <c r="AE48" s="25" t="str">
        <f aca="false">IF(AND(ISNUMBER(AB48),ISNUMBER(AC48)),IF(AC48&gt;=AB48,ROUND((AC48-AB48)*1440,0),""),"")</f>
        <v/>
      </c>
      <c r="AF48" s="25" t="str">
        <f aca="false">IF(AND(ISNUMBER(AC48),ISNUMBER(AD48)),IF(AD48&gt;=AC48,ROUND((AD48-AC48)*1440,0),""),"")</f>
        <v/>
      </c>
      <c r="AG48" s="25" t="str">
        <f aca="false">IF(AND(AA48="완료",ISNUMBER(AB48),ISNUMBER(AD48)),IF(AD48&gt;=AB48,ROUND((AD48-AB48)*1440,0),""),"")</f>
        <v/>
      </c>
      <c r="AH48" s="61" t="str">
        <f aca="false">IF(AND(AK48&gt;0,AJ48=0),"측정 기록 없음",IF(AND(AJ48&gt;0,AI48=0),"운동평가 기록 없음",IF(OR(COUNTIF(입력_운동!$B$5:$B$1004,$A48)&gt;1,COUNTIF(입력_측정!$B$5:$B$1004,$A48)&gt;1),"중복 입력","")))</f>
        <v/>
      </c>
      <c r="AI48" s="62" t="n">
        <f aca="false">SUMPRODUCT(MAX((입력_운동!$B$5:$B$1004=$A48)*(ROW(입력_운동!$B$5:$B$1004)-4)))</f>
        <v>0</v>
      </c>
      <c r="AJ48" s="62" t="n">
        <f aca="false">SUMPRODUCT(MAX((입력_측정!$B$5:$B$1004=$A48)*(ROW(입력_측정!$B$5:$B$1004)-4)))</f>
        <v>0</v>
      </c>
      <c r="AK48" s="62" t="n">
        <f aca="false">SUMPRODUCT(MAX((입력_상담!$B$5:$B$1004=$A48)*(ROW(입력_상담!$B$5:$B$1004)-4)))</f>
        <v>0</v>
      </c>
    </row>
    <row r="49" customFormat="false" ht="15" hidden="false" customHeight="false" outlineLevel="0" collapsed="false">
      <c r="A49" s="55" t="n">
        <v>45</v>
      </c>
      <c r="B49" s="56"/>
      <c r="C49" s="24"/>
      <c r="D49" s="24"/>
      <c r="E49" s="56"/>
      <c r="F49" s="57"/>
      <c r="G49" s="58"/>
      <c r="H49" s="56"/>
      <c r="I49" s="24"/>
      <c r="J49" s="24"/>
      <c r="K49" s="24"/>
      <c r="L49" s="24"/>
      <c r="M49" s="24"/>
      <c r="N49" s="56"/>
      <c r="O49" s="25" t="str">
        <f aca="false">IF($AI49=0,"",IF(INDEX(입력_운동!$C$5:$C$1004,$AI49)="","",INDEX(입력_운동!$C$5:$C$1004,$AI49)))</f>
        <v/>
      </c>
      <c r="P49" s="25" t="str">
        <f aca="false">IF($AI49=0,"",IF(INDEX(입력_운동!$D$5:$D$1004,$AI49)="","",INDEX(입력_운동!$D$5:$D$1004,$AI49)))</f>
        <v/>
      </c>
      <c r="Q49" s="25" t="str">
        <f aca="false">IF($AI49=0,"",IF(INDEX(입력_운동!$E$5:$E$1004,$AI49)="","",INDEX(입력_운동!$E$5:$E$1004,$AI49)))</f>
        <v/>
      </c>
      <c r="R49" s="25" t="str">
        <f aca="false">IF($AI49=0,"",IF(INDEX(입력_운동!$F$5:$F$1004,$AI49)="","",INDEX(입력_운동!$F$5:$F$1004,$AI49)))</f>
        <v/>
      </c>
      <c r="S49" s="25" t="str">
        <f aca="false">IF($AJ49=0,"",IF(INDEX(입력_측정!$C$5:$C$1004,$AJ49)="","",INDEX(입력_측정!$C$5:$C$1004,$AJ49)))</f>
        <v/>
      </c>
      <c r="T49" s="25" t="str">
        <f aca="false">IF($AJ49=0,"",IF(INDEX(입력_측정!$D$5:$D$1004,$AJ49)="","",INDEX(입력_측정!$D$5:$D$1004,$AJ49)))</f>
        <v/>
      </c>
      <c r="U49" s="25" t="str">
        <f aca="false">IF($AJ49=0,"",IF(INDEX(입력_측정!$E$5:$E$1004,$AJ49)="","",INDEX(입력_측정!$E$5:$E$1004,$AJ49)))</f>
        <v/>
      </c>
      <c r="V49" s="25" t="str">
        <f aca="false">IF($AJ49=0,"",IF(INDEX(입력_측정!$F$5:$F$1004,$AJ49)="","",INDEX(입력_측정!$F$5:$F$1004,$AJ49)))</f>
        <v/>
      </c>
      <c r="W49" s="25" t="str">
        <f aca="false">IF($AK49=0,"",IF(INDEX(입력_상담!$D$5:$D$1004,$AK49)="","",INDEX(입력_상담!$D$5:$D$1004,$AK49)))</f>
        <v/>
      </c>
      <c r="X49" s="25" t="str">
        <f aca="false">IF($AJ49=0,"",IF(INDEX(입력_측정!$I$5:$I$1004,$AJ49)="","",INDEX(입력_측정!$I$5:$I$1004,$AJ49)))</f>
        <v/>
      </c>
      <c r="Y49" s="25" t="str">
        <f aca="false">IF($AJ49=0,"",IF(INDEX(입력_측정!$J$5:$J$1004,$AJ49)="","",INDEX(입력_측정!$J$5:$J$1004,$AJ49)))</f>
        <v/>
      </c>
      <c r="Z49" s="25" t="str">
        <f aca="false">IF(OR(X49="긴급",LEFT(Y49,2)="긴급",W49="필요",W49="완료"),"대상","")</f>
        <v/>
      </c>
      <c r="AA49" s="59" t="str">
        <f aca="false">IF(M49&lt;&gt;"",M49,IF(AK49&gt;0,IF(W49="필요","추가상담 대기","완료"),IF(AJ49&gt;0,"결과상담 대기",IF(AI49&gt;0,"측정 대기","미방문"))))</f>
        <v>미방문</v>
      </c>
      <c r="AB49" s="60" t="str">
        <f aca="false">IF($AI49=0,"",IF(INDEX(입력_운동!$A$5:$A$1004,$AI49)="","",INDEX(입력_운동!$A$5:$A$1004,$AI49)))</f>
        <v/>
      </c>
      <c r="AC49" s="60" t="str">
        <f aca="false">IF($AJ49=0,"",IF(INDEX(입력_측정!$A$5:$A$1004,$AJ49)="","",INDEX(입력_측정!$A$5:$A$1004,$AJ49)))</f>
        <v/>
      </c>
      <c r="AD49" s="60" t="str">
        <f aca="false">IF($AK49=0,"",IF(INDEX(입력_상담!$A$5:$A$1004,$AK49)="","",INDEX(입력_상담!$A$5:$A$1004,$AK49)))</f>
        <v/>
      </c>
      <c r="AE49" s="25" t="str">
        <f aca="false">IF(AND(ISNUMBER(AB49),ISNUMBER(AC49)),IF(AC49&gt;=AB49,ROUND((AC49-AB49)*1440,0),""),"")</f>
        <v/>
      </c>
      <c r="AF49" s="25" t="str">
        <f aca="false">IF(AND(ISNUMBER(AC49),ISNUMBER(AD49)),IF(AD49&gt;=AC49,ROUND((AD49-AC49)*1440,0),""),"")</f>
        <v/>
      </c>
      <c r="AG49" s="25" t="str">
        <f aca="false">IF(AND(AA49="완료",ISNUMBER(AB49),ISNUMBER(AD49)),IF(AD49&gt;=AB49,ROUND((AD49-AB49)*1440,0),""),"")</f>
        <v/>
      </c>
      <c r="AH49" s="61" t="str">
        <f aca="false">IF(AND(AK49&gt;0,AJ49=0),"측정 기록 없음",IF(AND(AJ49&gt;0,AI49=0),"운동평가 기록 없음",IF(OR(COUNTIF(입력_운동!$B$5:$B$1004,$A49)&gt;1,COUNTIF(입력_측정!$B$5:$B$1004,$A49)&gt;1),"중복 입력","")))</f>
        <v/>
      </c>
      <c r="AI49" s="62" t="n">
        <f aca="false">SUMPRODUCT(MAX((입력_운동!$B$5:$B$1004=$A49)*(ROW(입력_운동!$B$5:$B$1004)-4)))</f>
        <v>0</v>
      </c>
      <c r="AJ49" s="62" t="n">
        <f aca="false">SUMPRODUCT(MAX((입력_측정!$B$5:$B$1004=$A49)*(ROW(입력_측정!$B$5:$B$1004)-4)))</f>
        <v>0</v>
      </c>
      <c r="AK49" s="62" t="n">
        <f aca="false">SUMPRODUCT(MAX((입력_상담!$B$5:$B$1004=$A49)*(ROW(입력_상담!$B$5:$B$1004)-4)))</f>
        <v>0</v>
      </c>
    </row>
    <row r="50" customFormat="false" ht="15" hidden="false" customHeight="false" outlineLevel="0" collapsed="false">
      <c r="A50" s="55" t="n">
        <v>46</v>
      </c>
      <c r="B50" s="56"/>
      <c r="C50" s="24"/>
      <c r="D50" s="24"/>
      <c r="E50" s="56"/>
      <c r="F50" s="57"/>
      <c r="G50" s="58"/>
      <c r="H50" s="56"/>
      <c r="I50" s="24"/>
      <c r="J50" s="24"/>
      <c r="K50" s="24"/>
      <c r="L50" s="24"/>
      <c r="M50" s="24"/>
      <c r="N50" s="56"/>
      <c r="O50" s="25" t="str">
        <f aca="false">IF($AI50=0,"",IF(INDEX(입력_운동!$C$5:$C$1004,$AI50)="","",INDEX(입력_운동!$C$5:$C$1004,$AI50)))</f>
        <v/>
      </c>
      <c r="P50" s="25" t="str">
        <f aca="false">IF($AI50=0,"",IF(INDEX(입력_운동!$D$5:$D$1004,$AI50)="","",INDEX(입력_운동!$D$5:$D$1004,$AI50)))</f>
        <v/>
      </c>
      <c r="Q50" s="25" t="str">
        <f aca="false">IF($AI50=0,"",IF(INDEX(입력_운동!$E$5:$E$1004,$AI50)="","",INDEX(입력_운동!$E$5:$E$1004,$AI50)))</f>
        <v/>
      </c>
      <c r="R50" s="25" t="str">
        <f aca="false">IF($AI50=0,"",IF(INDEX(입력_운동!$F$5:$F$1004,$AI50)="","",INDEX(입력_운동!$F$5:$F$1004,$AI50)))</f>
        <v/>
      </c>
      <c r="S50" s="25" t="str">
        <f aca="false">IF($AJ50=0,"",IF(INDEX(입력_측정!$C$5:$C$1004,$AJ50)="","",INDEX(입력_측정!$C$5:$C$1004,$AJ50)))</f>
        <v/>
      </c>
      <c r="T50" s="25" t="str">
        <f aca="false">IF($AJ50=0,"",IF(INDEX(입력_측정!$D$5:$D$1004,$AJ50)="","",INDEX(입력_측정!$D$5:$D$1004,$AJ50)))</f>
        <v/>
      </c>
      <c r="U50" s="25" t="str">
        <f aca="false">IF($AJ50=0,"",IF(INDEX(입력_측정!$E$5:$E$1004,$AJ50)="","",INDEX(입력_측정!$E$5:$E$1004,$AJ50)))</f>
        <v/>
      </c>
      <c r="V50" s="25" t="str">
        <f aca="false">IF($AJ50=0,"",IF(INDEX(입력_측정!$F$5:$F$1004,$AJ50)="","",INDEX(입력_측정!$F$5:$F$1004,$AJ50)))</f>
        <v/>
      </c>
      <c r="W50" s="25" t="str">
        <f aca="false">IF($AK50=0,"",IF(INDEX(입력_상담!$D$5:$D$1004,$AK50)="","",INDEX(입력_상담!$D$5:$D$1004,$AK50)))</f>
        <v/>
      </c>
      <c r="X50" s="25" t="str">
        <f aca="false">IF($AJ50=0,"",IF(INDEX(입력_측정!$I$5:$I$1004,$AJ50)="","",INDEX(입력_측정!$I$5:$I$1004,$AJ50)))</f>
        <v/>
      </c>
      <c r="Y50" s="25" t="str">
        <f aca="false">IF($AJ50=0,"",IF(INDEX(입력_측정!$J$5:$J$1004,$AJ50)="","",INDEX(입력_측정!$J$5:$J$1004,$AJ50)))</f>
        <v/>
      </c>
      <c r="Z50" s="25" t="str">
        <f aca="false">IF(OR(X50="긴급",LEFT(Y50,2)="긴급",W50="필요",W50="완료"),"대상","")</f>
        <v/>
      </c>
      <c r="AA50" s="59" t="str">
        <f aca="false">IF(M50&lt;&gt;"",M50,IF(AK50&gt;0,IF(W50="필요","추가상담 대기","완료"),IF(AJ50&gt;0,"결과상담 대기",IF(AI50&gt;0,"측정 대기","미방문"))))</f>
        <v>미방문</v>
      </c>
      <c r="AB50" s="60" t="str">
        <f aca="false">IF($AI50=0,"",IF(INDEX(입력_운동!$A$5:$A$1004,$AI50)="","",INDEX(입력_운동!$A$5:$A$1004,$AI50)))</f>
        <v/>
      </c>
      <c r="AC50" s="60" t="str">
        <f aca="false">IF($AJ50=0,"",IF(INDEX(입력_측정!$A$5:$A$1004,$AJ50)="","",INDEX(입력_측정!$A$5:$A$1004,$AJ50)))</f>
        <v/>
      </c>
      <c r="AD50" s="60" t="str">
        <f aca="false">IF($AK50=0,"",IF(INDEX(입력_상담!$A$5:$A$1004,$AK50)="","",INDEX(입력_상담!$A$5:$A$1004,$AK50)))</f>
        <v/>
      </c>
      <c r="AE50" s="25" t="str">
        <f aca="false">IF(AND(ISNUMBER(AB50),ISNUMBER(AC50)),IF(AC50&gt;=AB50,ROUND((AC50-AB50)*1440,0),""),"")</f>
        <v/>
      </c>
      <c r="AF50" s="25" t="str">
        <f aca="false">IF(AND(ISNUMBER(AC50),ISNUMBER(AD50)),IF(AD50&gt;=AC50,ROUND((AD50-AC50)*1440,0),""),"")</f>
        <v/>
      </c>
      <c r="AG50" s="25" t="str">
        <f aca="false">IF(AND(AA50="완료",ISNUMBER(AB50),ISNUMBER(AD50)),IF(AD50&gt;=AB50,ROUND((AD50-AB50)*1440,0),""),"")</f>
        <v/>
      </c>
      <c r="AH50" s="61" t="str">
        <f aca="false">IF(AND(AK50&gt;0,AJ50=0),"측정 기록 없음",IF(AND(AJ50&gt;0,AI50=0),"운동평가 기록 없음",IF(OR(COUNTIF(입력_운동!$B$5:$B$1004,$A50)&gt;1,COUNTIF(입력_측정!$B$5:$B$1004,$A50)&gt;1),"중복 입력","")))</f>
        <v/>
      </c>
      <c r="AI50" s="62" t="n">
        <f aca="false">SUMPRODUCT(MAX((입력_운동!$B$5:$B$1004=$A50)*(ROW(입력_운동!$B$5:$B$1004)-4)))</f>
        <v>0</v>
      </c>
      <c r="AJ50" s="62" t="n">
        <f aca="false">SUMPRODUCT(MAX((입력_측정!$B$5:$B$1004=$A50)*(ROW(입력_측정!$B$5:$B$1004)-4)))</f>
        <v>0</v>
      </c>
      <c r="AK50" s="62" t="n">
        <f aca="false">SUMPRODUCT(MAX((입력_상담!$B$5:$B$1004=$A50)*(ROW(입력_상담!$B$5:$B$1004)-4)))</f>
        <v>0</v>
      </c>
    </row>
    <row r="51" customFormat="false" ht="15" hidden="false" customHeight="false" outlineLevel="0" collapsed="false">
      <c r="A51" s="55" t="n">
        <v>47</v>
      </c>
      <c r="B51" s="56"/>
      <c r="C51" s="24"/>
      <c r="D51" s="24"/>
      <c r="E51" s="56"/>
      <c r="F51" s="57"/>
      <c r="G51" s="58"/>
      <c r="H51" s="56"/>
      <c r="I51" s="24"/>
      <c r="J51" s="24"/>
      <c r="K51" s="24"/>
      <c r="L51" s="24"/>
      <c r="M51" s="24"/>
      <c r="N51" s="56"/>
      <c r="O51" s="25" t="str">
        <f aca="false">IF($AI51=0,"",IF(INDEX(입력_운동!$C$5:$C$1004,$AI51)="","",INDEX(입력_운동!$C$5:$C$1004,$AI51)))</f>
        <v/>
      </c>
      <c r="P51" s="25" t="str">
        <f aca="false">IF($AI51=0,"",IF(INDEX(입력_운동!$D$5:$D$1004,$AI51)="","",INDEX(입력_운동!$D$5:$D$1004,$AI51)))</f>
        <v/>
      </c>
      <c r="Q51" s="25" t="str">
        <f aca="false">IF($AI51=0,"",IF(INDEX(입력_운동!$E$5:$E$1004,$AI51)="","",INDEX(입력_운동!$E$5:$E$1004,$AI51)))</f>
        <v/>
      </c>
      <c r="R51" s="25" t="str">
        <f aca="false">IF($AI51=0,"",IF(INDEX(입력_운동!$F$5:$F$1004,$AI51)="","",INDEX(입력_운동!$F$5:$F$1004,$AI51)))</f>
        <v/>
      </c>
      <c r="S51" s="25" t="str">
        <f aca="false">IF($AJ51=0,"",IF(INDEX(입력_측정!$C$5:$C$1004,$AJ51)="","",INDEX(입력_측정!$C$5:$C$1004,$AJ51)))</f>
        <v/>
      </c>
      <c r="T51" s="25" t="str">
        <f aca="false">IF($AJ51=0,"",IF(INDEX(입력_측정!$D$5:$D$1004,$AJ51)="","",INDEX(입력_측정!$D$5:$D$1004,$AJ51)))</f>
        <v/>
      </c>
      <c r="U51" s="25" t="str">
        <f aca="false">IF($AJ51=0,"",IF(INDEX(입력_측정!$E$5:$E$1004,$AJ51)="","",INDEX(입력_측정!$E$5:$E$1004,$AJ51)))</f>
        <v/>
      </c>
      <c r="V51" s="25" t="str">
        <f aca="false">IF($AJ51=0,"",IF(INDEX(입력_측정!$F$5:$F$1004,$AJ51)="","",INDEX(입력_측정!$F$5:$F$1004,$AJ51)))</f>
        <v/>
      </c>
      <c r="W51" s="25" t="str">
        <f aca="false">IF($AK51=0,"",IF(INDEX(입력_상담!$D$5:$D$1004,$AK51)="","",INDEX(입력_상담!$D$5:$D$1004,$AK51)))</f>
        <v/>
      </c>
      <c r="X51" s="25" t="str">
        <f aca="false">IF($AJ51=0,"",IF(INDEX(입력_측정!$I$5:$I$1004,$AJ51)="","",INDEX(입력_측정!$I$5:$I$1004,$AJ51)))</f>
        <v/>
      </c>
      <c r="Y51" s="25" t="str">
        <f aca="false">IF($AJ51=0,"",IF(INDEX(입력_측정!$J$5:$J$1004,$AJ51)="","",INDEX(입력_측정!$J$5:$J$1004,$AJ51)))</f>
        <v/>
      </c>
      <c r="Z51" s="25" t="str">
        <f aca="false">IF(OR(X51="긴급",LEFT(Y51,2)="긴급",W51="필요",W51="완료"),"대상","")</f>
        <v/>
      </c>
      <c r="AA51" s="59" t="str">
        <f aca="false">IF(M51&lt;&gt;"",M51,IF(AK51&gt;0,IF(W51="필요","추가상담 대기","완료"),IF(AJ51&gt;0,"결과상담 대기",IF(AI51&gt;0,"측정 대기","미방문"))))</f>
        <v>미방문</v>
      </c>
      <c r="AB51" s="60" t="str">
        <f aca="false">IF($AI51=0,"",IF(INDEX(입력_운동!$A$5:$A$1004,$AI51)="","",INDEX(입력_운동!$A$5:$A$1004,$AI51)))</f>
        <v/>
      </c>
      <c r="AC51" s="60" t="str">
        <f aca="false">IF($AJ51=0,"",IF(INDEX(입력_측정!$A$5:$A$1004,$AJ51)="","",INDEX(입력_측정!$A$5:$A$1004,$AJ51)))</f>
        <v/>
      </c>
      <c r="AD51" s="60" t="str">
        <f aca="false">IF($AK51=0,"",IF(INDEX(입력_상담!$A$5:$A$1004,$AK51)="","",INDEX(입력_상담!$A$5:$A$1004,$AK51)))</f>
        <v/>
      </c>
      <c r="AE51" s="25" t="str">
        <f aca="false">IF(AND(ISNUMBER(AB51),ISNUMBER(AC51)),IF(AC51&gt;=AB51,ROUND((AC51-AB51)*1440,0),""),"")</f>
        <v/>
      </c>
      <c r="AF51" s="25" t="str">
        <f aca="false">IF(AND(ISNUMBER(AC51),ISNUMBER(AD51)),IF(AD51&gt;=AC51,ROUND((AD51-AC51)*1440,0),""),"")</f>
        <v/>
      </c>
      <c r="AG51" s="25" t="str">
        <f aca="false">IF(AND(AA51="완료",ISNUMBER(AB51),ISNUMBER(AD51)),IF(AD51&gt;=AB51,ROUND((AD51-AB51)*1440,0),""),"")</f>
        <v/>
      </c>
      <c r="AH51" s="61" t="str">
        <f aca="false">IF(AND(AK51&gt;0,AJ51=0),"측정 기록 없음",IF(AND(AJ51&gt;0,AI51=0),"운동평가 기록 없음",IF(OR(COUNTIF(입력_운동!$B$5:$B$1004,$A51)&gt;1,COUNTIF(입력_측정!$B$5:$B$1004,$A51)&gt;1),"중복 입력","")))</f>
        <v/>
      </c>
      <c r="AI51" s="62" t="n">
        <f aca="false">SUMPRODUCT(MAX((입력_운동!$B$5:$B$1004=$A51)*(ROW(입력_운동!$B$5:$B$1004)-4)))</f>
        <v>0</v>
      </c>
      <c r="AJ51" s="62" t="n">
        <f aca="false">SUMPRODUCT(MAX((입력_측정!$B$5:$B$1004=$A51)*(ROW(입력_측정!$B$5:$B$1004)-4)))</f>
        <v>0</v>
      </c>
      <c r="AK51" s="62" t="n">
        <f aca="false">SUMPRODUCT(MAX((입력_상담!$B$5:$B$1004=$A51)*(ROW(입력_상담!$B$5:$B$1004)-4)))</f>
        <v>0</v>
      </c>
    </row>
    <row r="52" customFormat="false" ht="15" hidden="false" customHeight="false" outlineLevel="0" collapsed="false">
      <c r="A52" s="55" t="n">
        <v>48</v>
      </c>
      <c r="B52" s="56"/>
      <c r="C52" s="24"/>
      <c r="D52" s="24"/>
      <c r="E52" s="56"/>
      <c r="F52" s="57"/>
      <c r="G52" s="58"/>
      <c r="H52" s="56"/>
      <c r="I52" s="24"/>
      <c r="J52" s="24"/>
      <c r="K52" s="24"/>
      <c r="L52" s="24"/>
      <c r="M52" s="24"/>
      <c r="N52" s="56"/>
      <c r="O52" s="25" t="str">
        <f aca="false">IF($AI52=0,"",IF(INDEX(입력_운동!$C$5:$C$1004,$AI52)="","",INDEX(입력_운동!$C$5:$C$1004,$AI52)))</f>
        <v/>
      </c>
      <c r="P52" s="25" t="str">
        <f aca="false">IF($AI52=0,"",IF(INDEX(입력_운동!$D$5:$D$1004,$AI52)="","",INDEX(입력_운동!$D$5:$D$1004,$AI52)))</f>
        <v/>
      </c>
      <c r="Q52" s="25" t="str">
        <f aca="false">IF($AI52=0,"",IF(INDEX(입력_운동!$E$5:$E$1004,$AI52)="","",INDEX(입력_운동!$E$5:$E$1004,$AI52)))</f>
        <v/>
      </c>
      <c r="R52" s="25" t="str">
        <f aca="false">IF($AI52=0,"",IF(INDEX(입력_운동!$F$5:$F$1004,$AI52)="","",INDEX(입력_운동!$F$5:$F$1004,$AI52)))</f>
        <v/>
      </c>
      <c r="S52" s="25" t="str">
        <f aca="false">IF($AJ52=0,"",IF(INDEX(입력_측정!$C$5:$C$1004,$AJ52)="","",INDEX(입력_측정!$C$5:$C$1004,$AJ52)))</f>
        <v/>
      </c>
      <c r="T52" s="25" t="str">
        <f aca="false">IF($AJ52=0,"",IF(INDEX(입력_측정!$D$5:$D$1004,$AJ52)="","",INDEX(입력_측정!$D$5:$D$1004,$AJ52)))</f>
        <v/>
      </c>
      <c r="U52" s="25" t="str">
        <f aca="false">IF($AJ52=0,"",IF(INDEX(입력_측정!$E$5:$E$1004,$AJ52)="","",INDEX(입력_측정!$E$5:$E$1004,$AJ52)))</f>
        <v/>
      </c>
      <c r="V52" s="25" t="str">
        <f aca="false">IF($AJ52=0,"",IF(INDEX(입력_측정!$F$5:$F$1004,$AJ52)="","",INDEX(입력_측정!$F$5:$F$1004,$AJ52)))</f>
        <v/>
      </c>
      <c r="W52" s="25" t="str">
        <f aca="false">IF($AK52=0,"",IF(INDEX(입력_상담!$D$5:$D$1004,$AK52)="","",INDEX(입력_상담!$D$5:$D$1004,$AK52)))</f>
        <v/>
      </c>
      <c r="X52" s="25" t="str">
        <f aca="false">IF($AJ52=0,"",IF(INDEX(입력_측정!$I$5:$I$1004,$AJ52)="","",INDEX(입력_측정!$I$5:$I$1004,$AJ52)))</f>
        <v/>
      </c>
      <c r="Y52" s="25" t="str">
        <f aca="false">IF($AJ52=0,"",IF(INDEX(입력_측정!$J$5:$J$1004,$AJ52)="","",INDEX(입력_측정!$J$5:$J$1004,$AJ52)))</f>
        <v/>
      </c>
      <c r="Z52" s="25" t="str">
        <f aca="false">IF(OR(X52="긴급",LEFT(Y52,2)="긴급",W52="필요",W52="완료"),"대상","")</f>
        <v/>
      </c>
      <c r="AA52" s="59" t="str">
        <f aca="false">IF(M52&lt;&gt;"",M52,IF(AK52&gt;0,IF(W52="필요","추가상담 대기","완료"),IF(AJ52&gt;0,"결과상담 대기",IF(AI52&gt;0,"측정 대기","미방문"))))</f>
        <v>미방문</v>
      </c>
      <c r="AB52" s="60" t="str">
        <f aca="false">IF($AI52=0,"",IF(INDEX(입력_운동!$A$5:$A$1004,$AI52)="","",INDEX(입력_운동!$A$5:$A$1004,$AI52)))</f>
        <v/>
      </c>
      <c r="AC52" s="60" t="str">
        <f aca="false">IF($AJ52=0,"",IF(INDEX(입력_측정!$A$5:$A$1004,$AJ52)="","",INDEX(입력_측정!$A$5:$A$1004,$AJ52)))</f>
        <v/>
      </c>
      <c r="AD52" s="60" t="str">
        <f aca="false">IF($AK52=0,"",IF(INDEX(입력_상담!$A$5:$A$1004,$AK52)="","",INDEX(입력_상담!$A$5:$A$1004,$AK52)))</f>
        <v/>
      </c>
      <c r="AE52" s="25" t="str">
        <f aca="false">IF(AND(ISNUMBER(AB52),ISNUMBER(AC52)),IF(AC52&gt;=AB52,ROUND((AC52-AB52)*1440,0),""),"")</f>
        <v/>
      </c>
      <c r="AF52" s="25" t="str">
        <f aca="false">IF(AND(ISNUMBER(AC52),ISNUMBER(AD52)),IF(AD52&gt;=AC52,ROUND((AD52-AC52)*1440,0),""),"")</f>
        <v/>
      </c>
      <c r="AG52" s="25" t="str">
        <f aca="false">IF(AND(AA52="완료",ISNUMBER(AB52),ISNUMBER(AD52)),IF(AD52&gt;=AB52,ROUND((AD52-AB52)*1440,0),""),"")</f>
        <v/>
      </c>
      <c r="AH52" s="61" t="str">
        <f aca="false">IF(AND(AK52&gt;0,AJ52=0),"측정 기록 없음",IF(AND(AJ52&gt;0,AI52=0),"운동평가 기록 없음",IF(OR(COUNTIF(입력_운동!$B$5:$B$1004,$A52)&gt;1,COUNTIF(입력_측정!$B$5:$B$1004,$A52)&gt;1),"중복 입력","")))</f>
        <v/>
      </c>
      <c r="AI52" s="62" t="n">
        <f aca="false">SUMPRODUCT(MAX((입력_운동!$B$5:$B$1004=$A52)*(ROW(입력_운동!$B$5:$B$1004)-4)))</f>
        <v>0</v>
      </c>
      <c r="AJ52" s="62" t="n">
        <f aca="false">SUMPRODUCT(MAX((입력_측정!$B$5:$B$1004=$A52)*(ROW(입력_측정!$B$5:$B$1004)-4)))</f>
        <v>0</v>
      </c>
      <c r="AK52" s="62" t="n">
        <f aca="false">SUMPRODUCT(MAX((입력_상담!$B$5:$B$1004=$A52)*(ROW(입력_상담!$B$5:$B$1004)-4)))</f>
        <v>0</v>
      </c>
    </row>
    <row r="53" customFormat="false" ht="15" hidden="false" customHeight="false" outlineLevel="0" collapsed="false">
      <c r="A53" s="55" t="n">
        <v>49</v>
      </c>
      <c r="B53" s="56"/>
      <c r="C53" s="24"/>
      <c r="D53" s="24"/>
      <c r="E53" s="56"/>
      <c r="F53" s="57"/>
      <c r="G53" s="58"/>
      <c r="H53" s="56"/>
      <c r="I53" s="24"/>
      <c r="J53" s="24"/>
      <c r="K53" s="24"/>
      <c r="L53" s="24"/>
      <c r="M53" s="24"/>
      <c r="N53" s="56"/>
      <c r="O53" s="25" t="str">
        <f aca="false">IF($AI53=0,"",IF(INDEX(입력_운동!$C$5:$C$1004,$AI53)="","",INDEX(입력_운동!$C$5:$C$1004,$AI53)))</f>
        <v/>
      </c>
      <c r="P53" s="25" t="str">
        <f aca="false">IF($AI53=0,"",IF(INDEX(입력_운동!$D$5:$D$1004,$AI53)="","",INDEX(입력_운동!$D$5:$D$1004,$AI53)))</f>
        <v/>
      </c>
      <c r="Q53" s="25" t="str">
        <f aca="false">IF($AI53=0,"",IF(INDEX(입력_운동!$E$5:$E$1004,$AI53)="","",INDEX(입력_운동!$E$5:$E$1004,$AI53)))</f>
        <v/>
      </c>
      <c r="R53" s="25" t="str">
        <f aca="false">IF($AI53=0,"",IF(INDEX(입력_운동!$F$5:$F$1004,$AI53)="","",INDEX(입력_운동!$F$5:$F$1004,$AI53)))</f>
        <v/>
      </c>
      <c r="S53" s="25" t="str">
        <f aca="false">IF($AJ53=0,"",IF(INDEX(입력_측정!$C$5:$C$1004,$AJ53)="","",INDEX(입력_측정!$C$5:$C$1004,$AJ53)))</f>
        <v/>
      </c>
      <c r="T53" s="25" t="str">
        <f aca="false">IF($AJ53=0,"",IF(INDEX(입력_측정!$D$5:$D$1004,$AJ53)="","",INDEX(입력_측정!$D$5:$D$1004,$AJ53)))</f>
        <v/>
      </c>
      <c r="U53" s="25" t="str">
        <f aca="false">IF($AJ53=0,"",IF(INDEX(입력_측정!$E$5:$E$1004,$AJ53)="","",INDEX(입력_측정!$E$5:$E$1004,$AJ53)))</f>
        <v/>
      </c>
      <c r="V53" s="25" t="str">
        <f aca="false">IF($AJ53=0,"",IF(INDEX(입력_측정!$F$5:$F$1004,$AJ53)="","",INDEX(입력_측정!$F$5:$F$1004,$AJ53)))</f>
        <v/>
      </c>
      <c r="W53" s="25" t="str">
        <f aca="false">IF($AK53=0,"",IF(INDEX(입력_상담!$D$5:$D$1004,$AK53)="","",INDEX(입력_상담!$D$5:$D$1004,$AK53)))</f>
        <v/>
      </c>
      <c r="X53" s="25" t="str">
        <f aca="false">IF($AJ53=0,"",IF(INDEX(입력_측정!$I$5:$I$1004,$AJ53)="","",INDEX(입력_측정!$I$5:$I$1004,$AJ53)))</f>
        <v/>
      </c>
      <c r="Y53" s="25" t="str">
        <f aca="false">IF($AJ53=0,"",IF(INDEX(입력_측정!$J$5:$J$1004,$AJ53)="","",INDEX(입력_측정!$J$5:$J$1004,$AJ53)))</f>
        <v/>
      </c>
      <c r="Z53" s="25" t="str">
        <f aca="false">IF(OR(X53="긴급",LEFT(Y53,2)="긴급",W53="필요",W53="완료"),"대상","")</f>
        <v/>
      </c>
      <c r="AA53" s="59" t="str">
        <f aca="false">IF(M53&lt;&gt;"",M53,IF(AK53&gt;0,IF(W53="필요","추가상담 대기","완료"),IF(AJ53&gt;0,"결과상담 대기",IF(AI53&gt;0,"측정 대기","미방문"))))</f>
        <v>미방문</v>
      </c>
      <c r="AB53" s="60" t="str">
        <f aca="false">IF($AI53=0,"",IF(INDEX(입력_운동!$A$5:$A$1004,$AI53)="","",INDEX(입력_운동!$A$5:$A$1004,$AI53)))</f>
        <v/>
      </c>
      <c r="AC53" s="60" t="str">
        <f aca="false">IF($AJ53=0,"",IF(INDEX(입력_측정!$A$5:$A$1004,$AJ53)="","",INDEX(입력_측정!$A$5:$A$1004,$AJ53)))</f>
        <v/>
      </c>
      <c r="AD53" s="60" t="str">
        <f aca="false">IF($AK53=0,"",IF(INDEX(입력_상담!$A$5:$A$1004,$AK53)="","",INDEX(입력_상담!$A$5:$A$1004,$AK53)))</f>
        <v/>
      </c>
      <c r="AE53" s="25" t="str">
        <f aca="false">IF(AND(ISNUMBER(AB53),ISNUMBER(AC53)),IF(AC53&gt;=AB53,ROUND((AC53-AB53)*1440,0),""),"")</f>
        <v/>
      </c>
      <c r="AF53" s="25" t="str">
        <f aca="false">IF(AND(ISNUMBER(AC53),ISNUMBER(AD53)),IF(AD53&gt;=AC53,ROUND((AD53-AC53)*1440,0),""),"")</f>
        <v/>
      </c>
      <c r="AG53" s="25" t="str">
        <f aca="false">IF(AND(AA53="완료",ISNUMBER(AB53),ISNUMBER(AD53)),IF(AD53&gt;=AB53,ROUND((AD53-AB53)*1440,0),""),"")</f>
        <v/>
      </c>
      <c r="AH53" s="61" t="str">
        <f aca="false">IF(AND(AK53&gt;0,AJ53=0),"측정 기록 없음",IF(AND(AJ53&gt;0,AI53=0),"운동평가 기록 없음",IF(OR(COUNTIF(입력_운동!$B$5:$B$1004,$A53)&gt;1,COUNTIF(입력_측정!$B$5:$B$1004,$A53)&gt;1),"중복 입력","")))</f>
        <v/>
      </c>
      <c r="AI53" s="62" t="n">
        <f aca="false">SUMPRODUCT(MAX((입력_운동!$B$5:$B$1004=$A53)*(ROW(입력_운동!$B$5:$B$1004)-4)))</f>
        <v>0</v>
      </c>
      <c r="AJ53" s="62" t="n">
        <f aca="false">SUMPRODUCT(MAX((입력_측정!$B$5:$B$1004=$A53)*(ROW(입력_측정!$B$5:$B$1004)-4)))</f>
        <v>0</v>
      </c>
      <c r="AK53" s="62" t="n">
        <f aca="false">SUMPRODUCT(MAX((입력_상담!$B$5:$B$1004=$A53)*(ROW(입력_상담!$B$5:$B$1004)-4)))</f>
        <v>0</v>
      </c>
    </row>
    <row r="54" customFormat="false" ht="15" hidden="false" customHeight="false" outlineLevel="0" collapsed="false">
      <c r="A54" s="55" t="n">
        <v>50</v>
      </c>
      <c r="B54" s="56"/>
      <c r="C54" s="24"/>
      <c r="D54" s="24"/>
      <c r="E54" s="56"/>
      <c r="F54" s="57"/>
      <c r="G54" s="58"/>
      <c r="H54" s="56"/>
      <c r="I54" s="24"/>
      <c r="J54" s="24"/>
      <c r="K54" s="24"/>
      <c r="L54" s="24"/>
      <c r="M54" s="24"/>
      <c r="N54" s="56"/>
      <c r="O54" s="25" t="str">
        <f aca="false">IF($AI54=0,"",IF(INDEX(입력_운동!$C$5:$C$1004,$AI54)="","",INDEX(입력_운동!$C$5:$C$1004,$AI54)))</f>
        <v/>
      </c>
      <c r="P54" s="25" t="str">
        <f aca="false">IF($AI54=0,"",IF(INDEX(입력_운동!$D$5:$D$1004,$AI54)="","",INDEX(입력_운동!$D$5:$D$1004,$AI54)))</f>
        <v/>
      </c>
      <c r="Q54" s="25" t="str">
        <f aca="false">IF($AI54=0,"",IF(INDEX(입력_운동!$E$5:$E$1004,$AI54)="","",INDEX(입력_운동!$E$5:$E$1004,$AI54)))</f>
        <v/>
      </c>
      <c r="R54" s="25" t="str">
        <f aca="false">IF($AI54=0,"",IF(INDEX(입력_운동!$F$5:$F$1004,$AI54)="","",INDEX(입력_운동!$F$5:$F$1004,$AI54)))</f>
        <v/>
      </c>
      <c r="S54" s="25" t="str">
        <f aca="false">IF($AJ54=0,"",IF(INDEX(입력_측정!$C$5:$C$1004,$AJ54)="","",INDEX(입력_측정!$C$5:$C$1004,$AJ54)))</f>
        <v/>
      </c>
      <c r="T54" s="25" t="str">
        <f aca="false">IF($AJ54=0,"",IF(INDEX(입력_측정!$D$5:$D$1004,$AJ54)="","",INDEX(입력_측정!$D$5:$D$1004,$AJ54)))</f>
        <v/>
      </c>
      <c r="U54" s="25" t="str">
        <f aca="false">IF($AJ54=0,"",IF(INDEX(입력_측정!$E$5:$E$1004,$AJ54)="","",INDEX(입력_측정!$E$5:$E$1004,$AJ54)))</f>
        <v/>
      </c>
      <c r="V54" s="25" t="str">
        <f aca="false">IF($AJ54=0,"",IF(INDEX(입력_측정!$F$5:$F$1004,$AJ54)="","",INDEX(입력_측정!$F$5:$F$1004,$AJ54)))</f>
        <v/>
      </c>
      <c r="W54" s="25" t="str">
        <f aca="false">IF($AK54=0,"",IF(INDEX(입력_상담!$D$5:$D$1004,$AK54)="","",INDEX(입력_상담!$D$5:$D$1004,$AK54)))</f>
        <v/>
      </c>
      <c r="X54" s="25" t="str">
        <f aca="false">IF($AJ54=0,"",IF(INDEX(입력_측정!$I$5:$I$1004,$AJ54)="","",INDEX(입력_측정!$I$5:$I$1004,$AJ54)))</f>
        <v/>
      </c>
      <c r="Y54" s="25" t="str">
        <f aca="false">IF($AJ54=0,"",IF(INDEX(입력_측정!$J$5:$J$1004,$AJ54)="","",INDEX(입력_측정!$J$5:$J$1004,$AJ54)))</f>
        <v/>
      </c>
      <c r="Z54" s="25" t="str">
        <f aca="false">IF(OR(X54="긴급",LEFT(Y54,2)="긴급",W54="필요",W54="완료"),"대상","")</f>
        <v/>
      </c>
      <c r="AA54" s="59" t="str">
        <f aca="false">IF(M54&lt;&gt;"",M54,IF(AK54&gt;0,IF(W54="필요","추가상담 대기","완료"),IF(AJ54&gt;0,"결과상담 대기",IF(AI54&gt;0,"측정 대기","미방문"))))</f>
        <v>미방문</v>
      </c>
      <c r="AB54" s="60" t="str">
        <f aca="false">IF($AI54=0,"",IF(INDEX(입력_운동!$A$5:$A$1004,$AI54)="","",INDEX(입력_운동!$A$5:$A$1004,$AI54)))</f>
        <v/>
      </c>
      <c r="AC54" s="60" t="str">
        <f aca="false">IF($AJ54=0,"",IF(INDEX(입력_측정!$A$5:$A$1004,$AJ54)="","",INDEX(입력_측정!$A$5:$A$1004,$AJ54)))</f>
        <v/>
      </c>
      <c r="AD54" s="60" t="str">
        <f aca="false">IF($AK54=0,"",IF(INDEX(입력_상담!$A$5:$A$1004,$AK54)="","",INDEX(입력_상담!$A$5:$A$1004,$AK54)))</f>
        <v/>
      </c>
      <c r="AE54" s="25" t="str">
        <f aca="false">IF(AND(ISNUMBER(AB54),ISNUMBER(AC54)),IF(AC54&gt;=AB54,ROUND((AC54-AB54)*1440,0),""),"")</f>
        <v/>
      </c>
      <c r="AF54" s="25" t="str">
        <f aca="false">IF(AND(ISNUMBER(AC54),ISNUMBER(AD54)),IF(AD54&gt;=AC54,ROUND((AD54-AC54)*1440,0),""),"")</f>
        <v/>
      </c>
      <c r="AG54" s="25" t="str">
        <f aca="false">IF(AND(AA54="완료",ISNUMBER(AB54),ISNUMBER(AD54)),IF(AD54&gt;=AB54,ROUND((AD54-AB54)*1440,0),""),"")</f>
        <v/>
      </c>
      <c r="AH54" s="61" t="str">
        <f aca="false">IF(AND(AK54&gt;0,AJ54=0),"측정 기록 없음",IF(AND(AJ54&gt;0,AI54=0),"운동평가 기록 없음",IF(OR(COUNTIF(입력_운동!$B$5:$B$1004,$A54)&gt;1,COUNTIF(입력_측정!$B$5:$B$1004,$A54)&gt;1),"중복 입력","")))</f>
        <v/>
      </c>
      <c r="AI54" s="62" t="n">
        <f aca="false">SUMPRODUCT(MAX((입력_운동!$B$5:$B$1004=$A54)*(ROW(입력_운동!$B$5:$B$1004)-4)))</f>
        <v>0</v>
      </c>
      <c r="AJ54" s="62" t="n">
        <f aca="false">SUMPRODUCT(MAX((입력_측정!$B$5:$B$1004=$A54)*(ROW(입력_측정!$B$5:$B$1004)-4)))</f>
        <v>0</v>
      </c>
      <c r="AK54" s="62" t="n">
        <f aca="false">SUMPRODUCT(MAX((입력_상담!$B$5:$B$1004=$A54)*(ROW(입력_상담!$B$5:$B$1004)-4)))</f>
        <v>0</v>
      </c>
    </row>
    <row r="55" customFormat="false" ht="15" hidden="false" customHeight="false" outlineLevel="0" collapsed="false">
      <c r="A55" s="55" t="n">
        <v>51</v>
      </c>
      <c r="B55" s="56"/>
      <c r="C55" s="24"/>
      <c r="D55" s="24"/>
      <c r="E55" s="56"/>
      <c r="F55" s="57"/>
      <c r="G55" s="58"/>
      <c r="H55" s="56"/>
      <c r="I55" s="24"/>
      <c r="J55" s="24"/>
      <c r="K55" s="24"/>
      <c r="L55" s="24"/>
      <c r="M55" s="24"/>
      <c r="N55" s="56"/>
      <c r="O55" s="25" t="str">
        <f aca="false">IF($AI55=0,"",IF(INDEX(입력_운동!$C$5:$C$1004,$AI55)="","",INDEX(입력_운동!$C$5:$C$1004,$AI55)))</f>
        <v/>
      </c>
      <c r="P55" s="25" t="str">
        <f aca="false">IF($AI55=0,"",IF(INDEX(입력_운동!$D$5:$D$1004,$AI55)="","",INDEX(입력_운동!$D$5:$D$1004,$AI55)))</f>
        <v/>
      </c>
      <c r="Q55" s="25" t="str">
        <f aca="false">IF($AI55=0,"",IF(INDEX(입력_운동!$E$5:$E$1004,$AI55)="","",INDEX(입력_운동!$E$5:$E$1004,$AI55)))</f>
        <v/>
      </c>
      <c r="R55" s="25" t="str">
        <f aca="false">IF($AI55=0,"",IF(INDEX(입력_운동!$F$5:$F$1004,$AI55)="","",INDEX(입력_운동!$F$5:$F$1004,$AI55)))</f>
        <v/>
      </c>
      <c r="S55" s="25" t="str">
        <f aca="false">IF($AJ55=0,"",IF(INDEX(입력_측정!$C$5:$C$1004,$AJ55)="","",INDEX(입력_측정!$C$5:$C$1004,$AJ55)))</f>
        <v/>
      </c>
      <c r="T55" s="25" t="str">
        <f aca="false">IF($AJ55=0,"",IF(INDEX(입력_측정!$D$5:$D$1004,$AJ55)="","",INDEX(입력_측정!$D$5:$D$1004,$AJ55)))</f>
        <v/>
      </c>
      <c r="U55" s="25" t="str">
        <f aca="false">IF($AJ55=0,"",IF(INDEX(입력_측정!$E$5:$E$1004,$AJ55)="","",INDEX(입력_측정!$E$5:$E$1004,$AJ55)))</f>
        <v/>
      </c>
      <c r="V55" s="25" t="str">
        <f aca="false">IF($AJ55=0,"",IF(INDEX(입력_측정!$F$5:$F$1004,$AJ55)="","",INDEX(입력_측정!$F$5:$F$1004,$AJ55)))</f>
        <v/>
      </c>
      <c r="W55" s="25" t="str">
        <f aca="false">IF($AK55=0,"",IF(INDEX(입력_상담!$D$5:$D$1004,$AK55)="","",INDEX(입력_상담!$D$5:$D$1004,$AK55)))</f>
        <v/>
      </c>
      <c r="X55" s="25" t="str">
        <f aca="false">IF($AJ55=0,"",IF(INDEX(입력_측정!$I$5:$I$1004,$AJ55)="","",INDEX(입력_측정!$I$5:$I$1004,$AJ55)))</f>
        <v/>
      </c>
      <c r="Y55" s="25" t="str">
        <f aca="false">IF($AJ55=0,"",IF(INDEX(입력_측정!$J$5:$J$1004,$AJ55)="","",INDEX(입력_측정!$J$5:$J$1004,$AJ55)))</f>
        <v/>
      </c>
      <c r="Z55" s="25" t="str">
        <f aca="false">IF(OR(X55="긴급",LEFT(Y55,2)="긴급",W55="필요",W55="완료"),"대상","")</f>
        <v/>
      </c>
      <c r="AA55" s="59" t="str">
        <f aca="false">IF(M55&lt;&gt;"",M55,IF(AK55&gt;0,IF(W55="필요","추가상담 대기","완료"),IF(AJ55&gt;0,"결과상담 대기",IF(AI55&gt;0,"측정 대기","미방문"))))</f>
        <v>미방문</v>
      </c>
      <c r="AB55" s="60" t="str">
        <f aca="false">IF($AI55=0,"",IF(INDEX(입력_운동!$A$5:$A$1004,$AI55)="","",INDEX(입력_운동!$A$5:$A$1004,$AI55)))</f>
        <v/>
      </c>
      <c r="AC55" s="60" t="str">
        <f aca="false">IF($AJ55=0,"",IF(INDEX(입력_측정!$A$5:$A$1004,$AJ55)="","",INDEX(입력_측정!$A$5:$A$1004,$AJ55)))</f>
        <v/>
      </c>
      <c r="AD55" s="60" t="str">
        <f aca="false">IF($AK55=0,"",IF(INDEX(입력_상담!$A$5:$A$1004,$AK55)="","",INDEX(입력_상담!$A$5:$A$1004,$AK55)))</f>
        <v/>
      </c>
      <c r="AE55" s="25" t="str">
        <f aca="false">IF(AND(ISNUMBER(AB55),ISNUMBER(AC55)),IF(AC55&gt;=AB55,ROUND((AC55-AB55)*1440,0),""),"")</f>
        <v/>
      </c>
      <c r="AF55" s="25" t="str">
        <f aca="false">IF(AND(ISNUMBER(AC55),ISNUMBER(AD55)),IF(AD55&gt;=AC55,ROUND((AD55-AC55)*1440,0),""),"")</f>
        <v/>
      </c>
      <c r="AG55" s="25" t="str">
        <f aca="false">IF(AND(AA55="완료",ISNUMBER(AB55),ISNUMBER(AD55)),IF(AD55&gt;=AB55,ROUND((AD55-AB55)*1440,0),""),"")</f>
        <v/>
      </c>
      <c r="AH55" s="61" t="str">
        <f aca="false">IF(AND(AK55&gt;0,AJ55=0),"측정 기록 없음",IF(AND(AJ55&gt;0,AI55=0),"운동평가 기록 없음",IF(OR(COUNTIF(입력_운동!$B$5:$B$1004,$A55)&gt;1,COUNTIF(입력_측정!$B$5:$B$1004,$A55)&gt;1),"중복 입력","")))</f>
        <v/>
      </c>
      <c r="AI55" s="62" t="n">
        <f aca="false">SUMPRODUCT(MAX((입력_운동!$B$5:$B$1004=$A55)*(ROW(입력_운동!$B$5:$B$1004)-4)))</f>
        <v>0</v>
      </c>
      <c r="AJ55" s="62" t="n">
        <f aca="false">SUMPRODUCT(MAX((입력_측정!$B$5:$B$1004=$A55)*(ROW(입력_측정!$B$5:$B$1004)-4)))</f>
        <v>0</v>
      </c>
      <c r="AK55" s="62" t="n">
        <f aca="false">SUMPRODUCT(MAX((입력_상담!$B$5:$B$1004=$A55)*(ROW(입력_상담!$B$5:$B$1004)-4)))</f>
        <v>0</v>
      </c>
    </row>
    <row r="56" customFormat="false" ht="15" hidden="false" customHeight="false" outlineLevel="0" collapsed="false">
      <c r="A56" s="55" t="n">
        <v>52</v>
      </c>
      <c r="B56" s="56"/>
      <c r="C56" s="24"/>
      <c r="D56" s="24"/>
      <c r="E56" s="56"/>
      <c r="F56" s="57"/>
      <c r="G56" s="58"/>
      <c r="H56" s="56"/>
      <c r="I56" s="24"/>
      <c r="J56" s="24"/>
      <c r="K56" s="24"/>
      <c r="L56" s="24"/>
      <c r="M56" s="24"/>
      <c r="N56" s="56"/>
      <c r="O56" s="25" t="str">
        <f aca="false">IF($AI56=0,"",IF(INDEX(입력_운동!$C$5:$C$1004,$AI56)="","",INDEX(입력_운동!$C$5:$C$1004,$AI56)))</f>
        <v/>
      </c>
      <c r="P56" s="25" t="str">
        <f aca="false">IF($AI56=0,"",IF(INDEX(입력_운동!$D$5:$D$1004,$AI56)="","",INDEX(입력_운동!$D$5:$D$1004,$AI56)))</f>
        <v/>
      </c>
      <c r="Q56" s="25" t="str">
        <f aca="false">IF($AI56=0,"",IF(INDEX(입력_운동!$E$5:$E$1004,$AI56)="","",INDEX(입력_운동!$E$5:$E$1004,$AI56)))</f>
        <v/>
      </c>
      <c r="R56" s="25" t="str">
        <f aca="false">IF($AI56=0,"",IF(INDEX(입력_운동!$F$5:$F$1004,$AI56)="","",INDEX(입력_운동!$F$5:$F$1004,$AI56)))</f>
        <v/>
      </c>
      <c r="S56" s="25" t="str">
        <f aca="false">IF($AJ56=0,"",IF(INDEX(입력_측정!$C$5:$C$1004,$AJ56)="","",INDEX(입력_측정!$C$5:$C$1004,$AJ56)))</f>
        <v/>
      </c>
      <c r="T56" s="25" t="str">
        <f aca="false">IF($AJ56=0,"",IF(INDEX(입력_측정!$D$5:$D$1004,$AJ56)="","",INDEX(입력_측정!$D$5:$D$1004,$AJ56)))</f>
        <v/>
      </c>
      <c r="U56" s="25" t="str">
        <f aca="false">IF($AJ56=0,"",IF(INDEX(입력_측정!$E$5:$E$1004,$AJ56)="","",INDEX(입력_측정!$E$5:$E$1004,$AJ56)))</f>
        <v/>
      </c>
      <c r="V56" s="25" t="str">
        <f aca="false">IF($AJ56=0,"",IF(INDEX(입력_측정!$F$5:$F$1004,$AJ56)="","",INDEX(입력_측정!$F$5:$F$1004,$AJ56)))</f>
        <v/>
      </c>
      <c r="W56" s="25" t="str">
        <f aca="false">IF($AK56=0,"",IF(INDEX(입력_상담!$D$5:$D$1004,$AK56)="","",INDEX(입력_상담!$D$5:$D$1004,$AK56)))</f>
        <v/>
      </c>
      <c r="X56" s="25" t="str">
        <f aca="false">IF($AJ56=0,"",IF(INDEX(입력_측정!$I$5:$I$1004,$AJ56)="","",INDEX(입력_측정!$I$5:$I$1004,$AJ56)))</f>
        <v/>
      </c>
      <c r="Y56" s="25" t="str">
        <f aca="false">IF($AJ56=0,"",IF(INDEX(입력_측정!$J$5:$J$1004,$AJ56)="","",INDEX(입력_측정!$J$5:$J$1004,$AJ56)))</f>
        <v/>
      </c>
      <c r="Z56" s="25" t="str">
        <f aca="false">IF(OR(X56="긴급",LEFT(Y56,2)="긴급",W56="필요",W56="완료"),"대상","")</f>
        <v/>
      </c>
      <c r="AA56" s="59" t="str">
        <f aca="false">IF(M56&lt;&gt;"",M56,IF(AK56&gt;0,IF(W56="필요","추가상담 대기","완료"),IF(AJ56&gt;0,"결과상담 대기",IF(AI56&gt;0,"측정 대기","미방문"))))</f>
        <v>미방문</v>
      </c>
      <c r="AB56" s="60" t="str">
        <f aca="false">IF($AI56=0,"",IF(INDEX(입력_운동!$A$5:$A$1004,$AI56)="","",INDEX(입력_운동!$A$5:$A$1004,$AI56)))</f>
        <v/>
      </c>
      <c r="AC56" s="60" t="str">
        <f aca="false">IF($AJ56=0,"",IF(INDEX(입력_측정!$A$5:$A$1004,$AJ56)="","",INDEX(입력_측정!$A$5:$A$1004,$AJ56)))</f>
        <v/>
      </c>
      <c r="AD56" s="60" t="str">
        <f aca="false">IF($AK56=0,"",IF(INDEX(입력_상담!$A$5:$A$1004,$AK56)="","",INDEX(입력_상담!$A$5:$A$1004,$AK56)))</f>
        <v/>
      </c>
      <c r="AE56" s="25" t="str">
        <f aca="false">IF(AND(ISNUMBER(AB56),ISNUMBER(AC56)),IF(AC56&gt;=AB56,ROUND((AC56-AB56)*1440,0),""),"")</f>
        <v/>
      </c>
      <c r="AF56" s="25" t="str">
        <f aca="false">IF(AND(ISNUMBER(AC56),ISNUMBER(AD56)),IF(AD56&gt;=AC56,ROUND((AD56-AC56)*1440,0),""),"")</f>
        <v/>
      </c>
      <c r="AG56" s="25" t="str">
        <f aca="false">IF(AND(AA56="완료",ISNUMBER(AB56),ISNUMBER(AD56)),IF(AD56&gt;=AB56,ROUND((AD56-AB56)*1440,0),""),"")</f>
        <v/>
      </c>
      <c r="AH56" s="61" t="str">
        <f aca="false">IF(AND(AK56&gt;0,AJ56=0),"측정 기록 없음",IF(AND(AJ56&gt;0,AI56=0),"운동평가 기록 없음",IF(OR(COUNTIF(입력_운동!$B$5:$B$1004,$A56)&gt;1,COUNTIF(입력_측정!$B$5:$B$1004,$A56)&gt;1),"중복 입력","")))</f>
        <v/>
      </c>
      <c r="AI56" s="62" t="n">
        <f aca="false">SUMPRODUCT(MAX((입력_운동!$B$5:$B$1004=$A56)*(ROW(입력_운동!$B$5:$B$1004)-4)))</f>
        <v>0</v>
      </c>
      <c r="AJ56" s="62" t="n">
        <f aca="false">SUMPRODUCT(MAX((입력_측정!$B$5:$B$1004=$A56)*(ROW(입력_측정!$B$5:$B$1004)-4)))</f>
        <v>0</v>
      </c>
      <c r="AK56" s="62" t="n">
        <f aca="false">SUMPRODUCT(MAX((입력_상담!$B$5:$B$1004=$A56)*(ROW(입력_상담!$B$5:$B$1004)-4)))</f>
        <v>0</v>
      </c>
    </row>
    <row r="57" customFormat="false" ht="15" hidden="false" customHeight="false" outlineLevel="0" collapsed="false">
      <c r="A57" s="55" t="n">
        <v>53</v>
      </c>
      <c r="B57" s="56"/>
      <c r="C57" s="24"/>
      <c r="D57" s="24"/>
      <c r="E57" s="56"/>
      <c r="F57" s="57"/>
      <c r="G57" s="58"/>
      <c r="H57" s="56"/>
      <c r="I57" s="24"/>
      <c r="J57" s="24"/>
      <c r="K57" s="24"/>
      <c r="L57" s="24"/>
      <c r="M57" s="24"/>
      <c r="N57" s="56"/>
      <c r="O57" s="25" t="str">
        <f aca="false">IF($AI57=0,"",IF(INDEX(입력_운동!$C$5:$C$1004,$AI57)="","",INDEX(입력_운동!$C$5:$C$1004,$AI57)))</f>
        <v/>
      </c>
      <c r="P57" s="25" t="str">
        <f aca="false">IF($AI57=0,"",IF(INDEX(입력_운동!$D$5:$D$1004,$AI57)="","",INDEX(입력_운동!$D$5:$D$1004,$AI57)))</f>
        <v/>
      </c>
      <c r="Q57" s="25" t="str">
        <f aca="false">IF($AI57=0,"",IF(INDEX(입력_운동!$E$5:$E$1004,$AI57)="","",INDEX(입력_운동!$E$5:$E$1004,$AI57)))</f>
        <v/>
      </c>
      <c r="R57" s="25" t="str">
        <f aca="false">IF($AI57=0,"",IF(INDEX(입력_운동!$F$5:$F$1004,$AI57)="","",INDEX(입력_운동!$F$5:$F$1004,$AI57)))</f>
        <v/>
      </c>
      <c r="S57" s="25" t="str">
        <f aca="false">IF($AJ57=0,"",IF(INDEX(입력_측정!$C$5:$C$1004,$AJ57)="","",INDEX(입력_측정!$C$5:$C$1004,$AJ57)))</f>
        <v/>
      </c>
      <c r="T57" s="25" t="str">
        <f aca="false">IF($AJ57=0,"",IF(INDEX(입력_측정!$D$5:$D$1004,$AJ57)="","",INDEX(입력_측정!$D$5:$D$1004,$AJ57)))</f>
        <v/>
      </c>
      <c r="U57" s="25" t="str">
        <f aca="false">IF($AJ57=0,"",IF(INDEX(입력_측정!$E$5:$E$1004,$AJ57)="","",INDEX(입력_측정!$E$5:$E$1004,$AJ57)))</f>
        <v/>
      </c>
      <c r="V57" s="25" t="str">
        <f aca="false">IF($AJ57=0,"",IF(INDEX(입력_측정!$F$5:$F$1004,$AJ57)="","",INDEX(입력_측정!$F$5:$F$1004,$AJ57)))</f>
        <v/>
      </c>
      <c r="W57" s="25" t="str">
        <f aca="false">IF($AK57=0,"",IF(INDEX(입력_상담!$D$5:$D$1004,$AK57)="","",INDEX(입력_상담!$D$5:$D$1004,$AK57)))</f>
        <v/>
      </c>
      <c r="X57" s="25" t="str">
        <f aca="false">IF($AJ57=0,"",IF(INDEX(입력_측정!$I$5:$I$1004,$AJ57)="","",INDEX(입력_측정!$I$5:$I$1004,$AJ57)))</f>
        <v/>
      </c>
      <c r="Y57" s="25" t="str">
        <f aca="false">IF($AJ57=0,"",IF(INDEX(입력_측정!$J$5:$J$1004,$AJ57)="","",INDEX(입력_측정!$J$5:$J$1004,$AJ57)))</f>
        <v/>
      </c>
      <c r="Z57" s="25" t="str">
        <f aca="false">IF(OR(X57="긴급",LEFT(Y57,2)="긴급",W57="필요",W57="완료"),"대상","")</f>
        <v/>
      </c>
      <c r="AA57" s="59" t="str">
        <f aca="false">IF(M57&lt;&gt;"",M57,IF(AK57&gt;0,IF(W57="필요","추가상담 대기","완료"),IF(AJ57&gt;0,"결과상담 대기",IF(AI57&gt;0,"측정 대기","미방문"))))</f>
        <v>미방문</v>
      </c>
      <c r="AB57" s="60" t="str">
        <f aca="false">IF($AI57=0,"",IF(INDEX(입력_운동!$A$5:$A$1004,$AI57)="","",INDEX(입력_운동!$A$5:$A$1004,$AI57)))</f>
        <v/>
      </c>
      <c r="AC57" s="60" t="str">
        <f aca="false">IF($AJ57=0,"",IF(INDEX(입력_측정!$A$5:$A$1004,$AJ57)="","",INDEX(입력_측정!$A$5:$A$1004,$AJ57)))</f>
        <v/>
      </c>
      <c r="AD57" s="60" t="str">
        <f aca="false">IF($AK57=0,"",IF(INDEX(입력_상담!$A$5:$A$1004,$AK57)="","",INDEX(입력_상담!$A$5:$A$1004,$AK57)))</f>
        <v/>
      </c>
      <c r="AE57" s="25" t="str">
        <f aca="false">IF(AND(ISNUMBER(AB57),ISNUMBER(AC57)),IF(AC57&gt;=AB57,ROUND((AC57-AB57)*1440,0),""),"")</f>
        <v/>
      </c>
      <c r="AF57" s="25" t="str">
        <f aca="false">IF(AND(ISNUMBER(AC57),ISNUMBER(AD57)),IF(AD57&gt;=AC57,ROUND((AD57-AC57)*1440,0),""),"")</f>
        <v/>
      </c>
      <c r="AG57" s="25" t="str">
        <f aca="false">IF(AND(AA57="완료",ISNUMBER(AB57),ISNUMBER(AD57)),IF(AD57&gt;=AB57,ROUND((AD57-AB57)*1440,0),""),"")</f>
        <v/>
      </c>
      <c r="AH57" s="61" t="str">
        <f aca="false">IF(AND(AK57&gt;0,AJ57=0),"측정 기록 없음",IF(AND(AJ57&gt;0,AI57=0),"운동평가 기록 없음",IF(OR(COUNTIF(입력_운동!$B$5:$B$1004,$A57)&gt;1,COUNTIF(입력_측정!$B$5:$B$1004,$A57)&gt;1),"중복 입력","")))</f>
        <v/>
      </c>
      <c r="AI57" s="62" t="n">
        <f aca="false">SUMPRODUCT(MAX((입력_운동!$B$5:$B$1004=$A57)*(ROW(입력_운동!$B$5:$B$1004)-4)))</f>
        <v>0</v>
      </c>
      <c r="AJ57" s="62" t="n">
        <f aca="false">SUMPRODUCT(MAX((입력_측정!$B$5:$B$1004=$A57)*(ROW(입력_측정!$B$5:$B$1004)-4)))</f>
        <v>0</v>
      </c>
      <c r="AK57" s="62" t="n">
        <f aca="false">SUMPRODUCT(MAX((입력_상담!$B$5:$B$1004=$A57)*(ROW(입력_상담!$B$5:$B$1004)-4)))</f>
        <v>0</v>
      </c>
    </row>
    <row r="58" customFormat="false" ht="15" hidden="false" customHeight="false" outlineLevel="0" collapsed="false">
      <c r="A58" s="55" t="n">
        <v>54</v>
      </c>
      <c r="B58" s="56"/>
      <c r="C58" s="24"/>
      <c r="D58" s="24"/>
      <c r="E58" s="56"/>
      <c r="F58" s="57"/>
      <c r="G58" s="58"/>
      <c r="H58" s="56"/>
      <c r="I58" s="24"/>
      <c r="J58" s="24"/>
      <c r="K58" s="24"/>
      <c r="L58" s="24"/>
      <c r="M58" s="24"/>
      <c r="N58" s="56"/>
      <c r="O58" s="25" t="str">
        <f aca="false">IF($AI58=0,"",IF(INDEX(입력_운동!$C$5:$C$1004,$AI58)="","",INDEX(입력_운동!$C$5:$C$1004,$AI58)))</f>
        <v/>
      </c>
      <c r="P58" s="25" t="str">
        <f aca="false">IF($AI58=0,"",IF(INDEX(입력_운동!$D$5:$D$1004,$AI58)="","",INDEX(입력_운동!$D$5:$D$1004,$AI58)))</f>
        <v/>
      </c>
      <c r="Q58" s="25" t="str">
        <f aca="false">IF($AI58=0,"",IF(INDEX(입력_운동!$E$5:$E$1004,$AI58)="","",INDEX(입력_운동!$E$5:$E$1004,$AI58)))</f>
        <v/>
      </c>
      <c r="R58" s="25" t="str">
        <f aca="false">IF($AI58=0,"",IF(INDEX(입력_운동!$F$5:$F$1004,$AI58)="","",INDEX(입력_운동!$F$5:$F$1004,$AI58)))</f>
        <v/>
      </c>
      <c r="S58" s="25" t="str">
        <f aca="false">IF($AJ58=0,"",IF(INDEX(입력_측정!$C$5:$C$1004,$AJ58)="","",INDEX(입력_측정!$C$5:$C$1004,$AJ58)))</f>
        <v/>
      </c>
      <c r="T58" s="25" t="str">
        <f aca="false">IF($AJ58=0,"",IF(INDEX(입력_측정!$D$5:$D$1004,$AJ58)="","",INDEX(입력_측정!$D$5:$D$1004,$AJ58)))</f>
        <v/>
      </c>
      <c r="U58" s="25" t="str">
        <f aca="false">IF($AJ58=0,"",IF(INDEX(입력_측정!$E$5:$E$1004,$AJ58)="","",INDEX(입력_측정!$E$5:$E$1004,$AJ58)))</f>
        <v/>
      </c>
      <c r="V58" s="25" t="str">
        <f aca="false">IF($AJ58=0,"",IF(INDEX(입력_측정!$F$5:$F$1004,$AJ58)="","",INDEX(입력_측정!$F$5:$F$1004,$AJ58)))</f>
        <v/>
      </c>
      <c r="W58" s="25" t="str">
        <f aca="false">IF($AK58=0,"",IF(INDEX(입력_상담!$D$5:$D$1004,$AK58)="","",INDEX(입력_상담!$D$5:$D$1004,$AK58)))</f>
        <v/>
      </c>
      <c r="X58" s="25" t="str">
        <f aca="false">IF($AJ58=0,"",IF(INDEX(입력_측정!$I$5:$I$1004,$AJ58)="","",INDEX(입력_측정!$I$5:$I$1004,$AJ58)))</f>
        <v/>
      </c>
      <c r="Y58" s="25" t="str">
        <f aca="false">IF($AJ58=0,"",IF(INDEX(입력_측정!$J$5:$J$1004,$AJ58)="","",INDEX(입력_측정!$J$5:$J$1004,$AJ58)))</f>
        <v/>
      </c>
      <c r="Z58" s="25" t="str">
        <f aca="false">IF(OR(X58="긴급",LEFT(Y58,2)="긴급",W58="필요",W58="완료"),"대상","")</f>
        <v/>
      </c>
      <c r="AA58" s="59" t="str">
        <f aca="false">IF(M58&lt;&gt;"",M58,IF(AK58&gt;0,IF(W58="필요","추가상담 대기","완료"),IF(AJ58&gt;0,"결과상담 대기",IF(AI58&gt;0,"측정 대기","미방문"))))</f>
        <v>미방문</v>
      </c>
      <c r="AB58" s="60" t="str">
        <f aca="false">IF($AI58=0,"",IF(INDEX(입력_운동!$A$5:$A$1004,$AI58)="","",INDEX(입력_운동!$A$5:$A$1004,$AI58)))</f>
        <v/>
      </c>
      <c r="AC58" s="60" t="str">
        <f aca="false">IF($AJ58=0,"",IF(INDEX(입력_측정!$A$5:$A$1004,$AJ58)="","",INDEX(입력_측정!$A$5:$A$1004,$AJ58)))</f>
        <v/>
      </c>
      <c r="AD58" s="60" t="str">
        <f aca="false">IF($AK58=0,"",IF(INDEX(입력_상담!$A$5:$A$1004,$AK58)="","",INDEX(입력_상담!$A$5:$A$1004,$AK58)))</f>
        <v/>
      </c>
      <c r="AE58" s="25" t="str">
        <f aca="false">IF(AND(ISNUMBER(AB58),ISNUMBER(AC58)),IF(AC58&gt;=AB58,ROUND((AC58-AB58)*1440,0),""),"")</f>
        <v/>
      </c>
      <c r="AF58" s="25" t="str">
        <f aca="false">IF(AND(ISNUMBER(AC58),ISNUMBER(AD58)),IF(AD58&gt;=AC58,ROUND((AD58-AC58)*1440,0),""),"")</f>
        <v/>
      </c>
      <c r="AG58" s="25" t="str">
        <f aca="false">IF(AND(AA58="완료",ISNUMBER(AB58),ISNUMBER(AD58)),IF(AD58&gt;=AB58,ROUND((AD58-AB58)*1440,0),""),"")</f>
        <v/>
      </c>
      <c r="AH58" s="61" t="str">
        <f aca="false">IF(AND(AK58&gt;0,AJ58=0),"측정 기록 없음",IF(AND(AJ58&gt;0,AI58=0),"운동평가 기록 없음",IF(OR(COUNTIF(입력_운동!$B$5:$B$1004,$A58)&gt;1,COUNTIF(입력_측정!$B$5:$B$1004,$A58)&gt;1),"중복 입력","")))</f>
        <v/>
      </c>
      <c r="AI58" s="62" t="n">
        <f aca="false">SUMPRODUCT(MAX((입력_운동!$B$5:$B$1004=$A58)*(ROW(입력_운동!$B$5:$B$1004)-4)))</f>
        <v>0</v>
      </c>
      <c r="AJ58" s="62" t="n">
        <f aca="false">SUMPRODUCT(MAX((입력_측정!$B$5:$B$1004=$A58)*(ROW(입력_측정!$B$5:$B$1004)-4)))</f>
        <v>0</v>
      </c>
      <c r="AK58" s="62" t="n">
        <f aca="false">SUMPRODUCT(MAX((입력_상담!$B$5:$B$1004=$A58)*(ROW(입력_상담!$B$5:$B$1004)-4)))</f>
        <v>0</v>
      </c>
    </row>
    <row r="59" customFormat="false" ht="15" hidden="false" customHeight="false" outlineLevel="0" collapsed="false">
      <c r="A59" s="55" t="n">
        <v>55</v>
      </c>
      <c r="B59" s="56"/>
      <c r="C59" s="24"/>
      <c r="D59" s="24"/>
      <c r="E59" s="56"/>
      <c r="F59" s="57"/>
      <c r="G59" s="58"/>
      <c r="H59" s="56"/>
      <c r="I59" s="24"/>
      <c r="J59" s="24"/>
      <c r="K59" s="24"/>
      <c r="L59" s="24"/>
      <c r="M59" s="24"/>
      <c r="N59" s="56"/>
      <c r="O59" s="25" t="str">
        <f aca="false">IF($AI59=0,"",IF(INDEX(입력_운동!$C$5:$C$1004,$AI59)="","",INDEX(입력_운동!$C$5:$C$1004,$AI59)))</f>
        <v/>
      </c>
      <c r="P59" s="25" t="str">
        <f aca="false">IF($AI59=0,"",IF(INDEX(입력_운동!$D$5:$D$1004,$AI59)="","",INDEX(입력_운동!$D$5:$D$1004,$AI59)))</f>
        <v/>
      </c>
      <c r="Q59" s="25" t="str">
        <f aca="false">IF($AI59=0,"",IF(INDEX(입력_운동!$E$5:$E$1004,$AI59)="","",INDEX(입력_운동!$E$5:$E$1004,$AI59)))</f>
        <v/>
      </c>
      <c r="R59" s="25" t="str">
        <f aca="false">IF($AI59=0,"",IF(INDEX(입력_운동!$F$5:$F$1004,$AI59)="","",INDEX(입력_운동!$F$5:$F$1004,$AI59)))</f>
        <v/>
      </c>
      <c r="S59" s="25" t="str">
        <f aca="false">IF($AJ59=0,"",IF(INDEX(입력_측정!$C$5:$C$1004,$AJ59)="","",INDEX(입력_측정!$C$5:$C$1004,$AJ59)))</f>
        <v/>
      </c>
      <c r="T59" s="25" t="str">
        <f aca="false">IF($AJ59=0,"",IF(INDEX(입력_측정!$D$5:$D$1004,$AJ59)="","",INDEX(입력_측정!$D$5:$D$1004,$AJ59)))</f>
        <v/>
      </c>
      <c r="U59" s="25" t="str">
        <f aca="false">IF($AJ59=0,"",IF(INDEX(입력_측정!$E$5:$E$1004,$AJ59)="","",INDEX(입력_측정!$E$5:$E$1004,$AJ59)))</f>
        <v/>
      </c>
      <c r="V59" s="25" t="str">
        <f aca="false">IF($AJ59=0,"",IF(INDEX(입력_측정!$F$5:$F$1004,$AJ59)="","",INDEX(입력_측정!$F$5:$F$1004,$AJ59)))</f>
        <v/>
      </c>
      <c r="W59" s="25" t="str">
        <f aca="false">IF($AK59=0,"",IF(INDEX(입력_상담!$D$5:$D$1004,$AK59)="","",INDEX(입력_상담!$D$5:$D$1004,$AK59)))</f>
        <v/>
      </c>
      <c r="X59" s="25" t="str">
        <f aca="false">IF($AJ59=0,"",IF(INDEX(입력_측정!$I$5:$I$1004,$AJ59)="","",INDEX(입력_측정!$I$5:$I$1004,$AJ59)))</f>
        <v/>
      </c>
      <c r="Y59" s="25" t="str">
        <f aca="false">IF($AJ59=0,"",IF(INDEX(입력_측정!$J$5:$J$1004,$AJ59)="","",INDEX(입력_측정!$J$5:$J$1004,$AJ59)))</f>
        <v/>
      </c>
      <c r="Z59" s="25" t="str">
        <f aca="false">IF(OR(X59="긴급",LEFT(Y59,2)="긴급",W59="필요",W59="완료"),"대상","")</f>
        <v/>
      </c>
      <c r="AA59" s="59" t="str">
        <f aca="false">IF(M59&lt;&gt;"",M59,IF(AK59&gt;0,IF(W59="필요","추가상담 대기","완료"),IF(AJ59&gt;0,"결과상담 대기",IF(AI59&gt;0,"측정 대기","미방문"))))</f>
        <v>미방문</v>
      </c>
      <c r="AB59" s="60" t="str">
        <f aca="false">IF($AI59=0,"",IF(INDEX(입력_운동!$A$5:$A$1004,$AI59)="","",INDEX(입력_운동!$A$5:$A$1004,$AI59)))</f>
        <v/>
      </c>
      <c r="AC59" s="60" t="str">
        <f aca="false">IF($AJ59=0,"",IF(INDEX(입력_측정!$A$5:$A$1004,$AJ59)="","",INDEX(입력_측정!$A$5:$A$1004,$AJ59)))</f>
        <v/>
      </c>
      <c r="AD59" s="60" t="str">
        <f aca="false">IF($AK59=0,"",IF(INDEX(입력_상담!$A$5:$A$1004,$AK59)="","",INDEX(입력_상담!$A$5:$A$1004,$AK59)))</f>
        <v/>
      </c>
      <c r="AE59" s="25" t="str">
        <f aca="false">IF(AND(ISNUMBER(AB59),ISNUMBER(AC59)),IF(AC59&gt;=AB59,ROUND((AC59-AB59)*1440,0),""),"")</f>
        <v/>
      </c>
      <c r="AF59" s="25" t="str">
        <f aca="false">IF(AND(ISNUMBER(AC59),ISNUMBER(AD59)),IF(AD59&gt;=AC59,ROUND((AD59-AC59)*1440,0),""),"")</f>
        <v/>
      </c>
      <c r="AG59" s="25" t="str">
        <f aca="false">IF(AND(AA59="완료",ISNUMBER(AB59),ISNUMBER(AD59)),IF(AD59&gt;=AB59,ROUND((AD59-AB59)*1440,0),""),"")</f>
        <v/>
      </c>
      <c r="AH59" s="61" t="str">
        <f aca="false">IF(AND(AK59&gt;0,AJ59=0),"측정 기록 없음",IF(AND(AJ59&gt;0,AI59=0),"운동평가 기록 없음",IF(OR(COUNTIF(입력_운동!$B$5:$B$1004,$A59)&gt;1,COUNTIF(입력_측정!$B$5:$B$1004,$A59)&gt;1),"중복 입력","")))</f>
        <v/>
      </c>
      <c r="AI59" s="62" t="n">
        <f aca="false">SUMPRODUCT(MAX((입력_운동!$B$5:$B$1004=$A59)*(ROW(입력_운동!$B$5:$B$1004)-4)))</f>
        <v>0</v>
      </c>
      <c r="AJ59" s="62" t="n">
        <f aca="false">SUMPRODUCT(MAX((입력_측정!$B$5:$B$1004=$A59)*(ROW(입력_측정!$B$5:$B$1004)-4)))</f>
        <v>0</v>
      </c>
      <c r="AK59" s="62" t="n">
        <f aca="false">SUMPRODUCT(MAX((입력_상담!$B$5:$B$1004=$A59)*(ROW(입력_상담!$B$5:$B$1004)-4)))</f>
        <v>0</v>
      </c>
    </row>
    <row r="60" customFormat="false" ht="15" hidden="false" customHeight="false" outlineLevel="0" collapsed="false">
      <c r="A60" s="55" t="n">
        <v>56</v>
      </c>
      <c r="B60" s="56"/>
      <c r="C60" s="24"/>
      <c r="D60" s="24"/>
      <c r="E60" s="56"/>
      <c r="F60" s="57"/>
      <c r="G60" s="58"/>
      <c r="H60" s="56"/>
      <c r="I60" s="24"/>
      <c r="J60" s="24"/>
      <c r="K60" s="24"/>
      <c r="L60" s="24"/>
      <c r="M60" s="24"/>
      <c r="N60" s="56"/>
      <c r="O60" s="25" t="str">
        <f aca="false">IF($AI60=0,"",IF(INDEX(입력_운동!$C$5:$C$1004,$AI60)="","",INDEX(입력_운동!$C$5:$C$1004,$AI60)))</f>
        <v/>
      </c>
      <c r="P60" s="25" t="str">
        <f aca="false">IF($AI60=0,"",IF(INDEX(입력_운동!$D$5:$D$1004,$AI60)="","",INDEX(입력_운동!$D$5:$D$1004,$AI60)))</f>
        <v/>
      </c>
      <c r="Q60" s="25" t="str">
        <f aca="false">IF($AI60=0,"",IF(INDEX(입력_운동!$E$5:$E$1004,$AI60)="","",INDEX(입력_운동!$E$5:$E$1004,$AI60)))</f>
        <v/>
      </c>
      <c r="R60" s="25" t="str">
        <f aca="false">IF($AI60=0,"",IF(INDEX(입력_운동!$F$5:$F$1004,$AI60)="","",INDEX(입력_운동!$F$5:$F$1004,$AI60)))</f>
        <v/>
      </c>
      <c r="S60" s="25" t="str">
        <f aca="false">IF($AJ60=0,"",IF(INDEX(입력_측정!$C$5:$C$1004,$AJ60)="","",INDEX(입력_측정!$C$5:$C$1004,$AJ60)))</f>
        <v/>
      </c>
      <c r="T60" s="25" t="str">
        <f aca="false">IF($AJ60=0,"",IF(INDEX(입력_측정!$D$5:$D$1004,$AJ60)="","",INDEX(입력_측정!$D$5:$D$1004,$AJ60)))</f>
        <v/>
      </c>
      <c r="U60" s="25" t="str">
        <f aca="false">IF($AJ60=0,"",IF(INDEX(입력_측정!$E$5:$E$1004,$AJ60)="","",INDEX(입력_측정!$E$5:$E$1004,$AJ60)))</f>
        <v/>
      </c>
      <c r="V60" s="25" t="str">
        <f aca="false">IF($AJ60=0,"",IF(INDEX(입력_측정!$F$5:$F$1004,$AJ60)="","",INDEX(입력_측정!$F$5:$F$1004,$AJ60)))</f>
        <v/>
      </c>
      <c r="W60" s="25" t="str">
        <f aca="false">IF($AK60=0,"",IF(INDEX(입력_상담!$D$5:$D$1004,$AK60)="","",INDEX(입력_상담!$D$5:$D$1004,$AK60)))</f>
        <v/>
      </c>
      <c r="X60" s="25" t="str">
        <f aca="false">IF($AJ60=0,"",IF(INDEX(입력_측정!$I$5:$I$1004,$AJ60)="","",INDEX(입력_측정!$I$5:$I$1004,$AJ60)))</f>
        <v/>
      </c>
      <c r="Y60" s="25" t="str">
        <f aca="false">IF($AJ60=0,"",IF(INDEX(입력_측정!$J$5:$J$1004,$AJ60)="","",INDEX(입력_측정!$J$5:$J$1004,$AJ60)))</f>
        <v/>
      </c>
      <c r="Z60" s="25" t="str">
        <f aca="false">IF(OR(X60="긴급",LEFT(Y60,2)="긴급",W60="필요",W60="완료"),"대상","")</f>
        <v/>
      </c>
      <c r="AA60" s="59" t="str">
        <f aca="false">IF(M60&lt;&gt;"",M60,IF(AK60&gt;0,IF(W60="필요","추가상담 대기","완료"),IF(AJ60&gt;0,"결과상담 대기",IF(AI60&gt;0,"측정 대기","미방문"))))</f>
        <v>미방문</v>
      </c>
      <c r="AB60" s="60" t="str">
        <f aca="false">IF($AI60=0,"",IF(INDEX(입력_운동!$A$5:$A$1004,$AI60)="","",INDEX(입력_운동!$A$5:$A$1004,$AI60)))</f>
        <v/>
      </c>
      <c r="AC60" s="60" t="str">
        <f aca="false">IF($AJ60=0,"",IF(INDEX(입력_측정!$A$5:$A$1004,$AJ60)="","",INDEX(입력_측정!$A$5:$A$1004,$AJ60)))</f>
        <v/>
      </c>
      <c r="AD60" s="60" t="str">
        <f aca="false">IF($AK60=0,"",IF(INDEX(입력_상담!$A$5:$A$1004,$AK60)="","",INDEX(입력_상담!$A$5:$A$1004,$AK60)))</f>
        <v/>
      </c>
      <c r="AE60" s="25" t="str">
        <f aca="false">IF(AND(ISNUMBER(AB60),ISNUMBER(AC60)),IF(AC60&gt;=AB60,ROUND((AC60-AB60)*1440,0),""),"")</f>
        <v/>
      </c>
      <c r="AF60" s="25" t="str">
        <f aca="false">IF(AND(ISNUMBER(AC60),ISNUMBER(AD60)),IF(AD60&gt;=AC60,ROUND((AD60-AC60)*1440,0),""),"")</f>
        <v/>
      </c>
      <c r="AG60" s="25" t="str">
        <f aca="false">IF(AND(AA60="완료",ISNUMBER(AB60),ISNUMBER(AD60)),IF(AD60&gt;=AB60,ROUND((AD60-AB60)*1440,0),""),"")</f>
        <v/>
      </c>
      <c r="AH60" s="61" t="str">
        <f aca="false">IF(AND(AK60&gt;0,AJ60=0),"측정 기록 없음",IF(AND(AJ60&gt;0,AI60=0),"운동평가 기록 없음",IF(OR(COUNTIF(입력_운동!$B$5:$B$1004,$A60)&gt;1,COUNTIF(입력_측정!$B$5:$B$1004,$A60)&gt;1),"중복 입력","")))</f>
        <v/>
      </c>
      <c r="AI60" s="62" t="n">
        <f aca="false">SUMPRODUCT(MAX((입력_운동!$B$5:$B$1004=$A60)*(ROW(입력_운동!$B$5:$B$1004)-4)))</f>
        <v>0</v>
      </c>
      <c r="AJ60" s="62" t="n">
        <f aca="false">SUMPRODUCT(MAX((입력_측정!$B$5:$B$1004=$A60)*(ROW(입력_측정!$B$5:$B$1004)-4)))</f>
        <v>0</v>
      </c>
      <c r="AK60" s="62" t="n">
        <f aca="false">SUMPRODUCT(MAX((입력_상담!$B$5:$B$1004=$A60)*(ROW(입력_상담!$B$5:$B$1004)-4)))</f>
        <v>0</v>
      </c>
    </row>
    <row r="61" customFormat="false" ht="15" hidden="false" customHeight="false" outlineLevel="0" collapsed="false">
      <c r="A61" s="55" t="n">
        <v>57</v>
      </c>
      <c r="B61" s="56"/>
      <c r="C61" s="24"/>
      <c r="D61" s="24"/>
      <c r="E61" s="56"/>
      <c r="F61" s="57"/>
      <c r="G61" s="58"/>
      <c r="H61" s="56"/>
      <c r="I61" s="24"/>
      <c r="J61" s="24"/>
      <c r="K61" s="24"/>
      <c r="L61" s="24"/>
      <c r="M61" s="24"/>
      <c r="N61" s="56"/>
      <c r="O61" s="25" t="str">
        <f aca="false">IF($AI61=0,"",IF(INDEX(입력_운동!$C$5:$C$1004,$AI61)="","",INDEX(입력_운동!$C$5:$C$1004,$AI61)))</f>
        <v/>
      </c>
      <c r="P61" s="25" t="str">
        <f aca="false">IF($AI61=0,"",IF(INDEX(입력_운동!$D$5:$D$1004,$AI61)="","",INDEX(입력_운동!$D$5:$D$1004,$AI61)))</f>
        <v/>
      </c>
      <c r="Q61" s="25" t="str">
        <f aca="false">IF($AI61=0,"",IF(INDEX(입력_운동!$E$5:$E$1004,$AI61)="","",INDEX(입력_운동!$E$5:$E$1004,$AI61)))</f>
        <v/>
      </c>
      <c r="R61" s="25" t="str">
        <f aca="false">IF($AI61=0,"",IF(INDEX(입력_운동!$F$5:$F$1004,$AI61)="","",INDEX(입력_운동!$F$5:$F$1004,$AI61)))</f>
        <v/>
      </c>
      <c r="S61" s="25" t="str">
        <f aca="false">IF($AJ61=0,"",IF(INDEX(입력_측정!$C$5:$C$1004,$AJ61)="","",INDEX(입력_측정!$C$5:$C$1004,$AJ61)))</f>
        <v/>
      </c>
      <c r="T61" s="25" t="str">
        <f aca="false">IF($AJ61=0,"",IF(INDEX(입력_측정!$D$5:$D$1004,$AJ61)="","",INDEX(입력_측정!$D$5:$D$1004,$AJ61)))</f>
        <v/>
      </c>
      <c r="U61" s="25" t="str">
        <f aca="false">IF($AJ61=0,"",IF(INDEX(입력_측정!$E$5:$E$1004,$AJ61)="","",INDEX(입력_측정!$E$5:$E$1004,$AJ61)))</f>
        <v/>
      </c>
      <c r="V61" s="25" t="str">
        <f aca="false">IF($AJ61=0,"",IF(INDEX(입력_측정!$F$5:$F$1004,$AJ61)="","",INDEX(입력_측정!$F$5:$F$1004,$AJ61)))</f>
        <v/>
      </c>
      <c r="W61" s="25" t="str">
        <f aca="false">IF($AK61=0,"",IF(INDEX(입력_상담!$D$5:$D$1004,$AK61)="","",INDEX(입력_상담!$D$5:$D$1004,$AK61)))</f>
        <v/>
      </c>
      <c r="X61" s="25" t="str">
        <f aca="false">IF($AJ61=0,"",IF(INDEX(입력_측정!$I$5:$I$1004,$AJ61)="","",INDEX(입력_측정!$I$5:$I$1004,$AJ61)))</f>
        <v/>
      </c>
      <c r="Y61" s="25" t="str">
        <f aca="false">IF($AJ61=0,"",IF(INDEX(입력_측정!$J$5:$J$1004,$AJ61)="","",INDEX(입력_측정!$J$5:$J$1004,$AJ61)))</f>
        <v/>
      </c>
      <c r="Z61" s="25" t="str">
        <f aca="false">IF(OR(X61="긴급",LEFT(Y61,2)="긴급",W61="필요",W61="완료"),"대상","")</f>
        <v/>
      </c>
      <c r="AA61" s="59" t="str">
        <f aca="false">IF(M61&lt;&gt;"",M61,IF(AK61&gt;0,IF(W61="필요","추가상담 대기","완료"),IF(AJ61&gt;0,"결과상담 대기",IF(AI61&gt;0,"측정 대기","미방문"))))</f>
        <v>미방문</v>
      </c>
      <c r="AB61" s="60" t="str">
        <f aca="false">IF($AI61=0,"",IF(INDEX(입력_운동!$A$5:$A$1004,$AI61)="","",INDEX(입력_운동!$A$5:$A$1004,$AI61)))</f>
        <v/>
      </c>
      <c r="AC61" s="60" t="str">
        <f aca="false">IF($AJ61=0,"",IF(INDEX(입력_측정!$A$5:$A$1004,$AJ61)="","",INDEX(입력_측정!$A$5:$A$1004,$AJ61)))</f>
        <v/>
      </c>
      <c r="AD61" s="60" t="str">
        <f aca="false">IF($AK61=0,"",IF(INDEX(입력_상담!$A$5:$A$1004,$AK61)="","",INDEX(입력_상담!$A$5:$A$1004,$AK61)))</f>
        <v/>
      </c>
      <c r="AE61" s="25" t="str">
        <f aca="false">IF(AND(ISNUMBER(AB61),ISNUMBER(AC61)),IF(AC61&gt;=AB61,ROUND((AC61-AB61)*1440,0),""),"")</f>
        <v/>
      </c>
      <c r="AF61" s="25" t="str">
        <f aca="false">IF(AND(ISNUMBER(AC61),ISNUMBER(AD61)),IF(AD61&gt;=AC61,ROUND((AD61-AC61)*1440,0),""),"")</f>
        <v/>
      </c>
      <c r="AG61" s="25" t="str">
        <f aca="false">IF(AND(AA61="완료",ISNUMBER(AB61),ISNUMBER(AD61)),IF(AD61&gt;=AB61,ROUND((AD61-AB61)*1440,0),""),"")</f>
        <v/>
      </c>
      <c r="AH61" s="61" t="str">
        <f aca="false">IF(AND(AK61&gt;0,AJ61=0),"측정 기록 없음",IF(AND(AJ61&gt;0,AI61=0),"운동평가 기록 없음",IF(OR(COUNTIF(입력_운동!$B$5:$B$1004,$A61)&gt;1,COUNTIF(입력_측정!$B$5:$B$1004,$A61)&gt;1),"중복 입력","")))</f>
        <v/>
      </c>
      <c r="AI61" s="62" t="n">
        <f aca="false">SUMPRODUCT(MAX((입력_운동!$B$5:$B$1004=$A61)*(ROW(입력_운동!$B$5:$B$1004)-4)))</f>
        <v>0</v>
      </c>
      <c r="AJ61" s="62" t="n">
        <f aca="false">SUMPRODUCT(MAX((입력_측정!$B$5:$B$1004=$A61)*(ROW(입력_측정!$B$5:$B$1004)-4)))</f>
        <v>0</v>
      </c>
      <c r="AK61" s="62" t="n">
        <f aca="false">SUMPRODUCT(MAX((입력_상담!$B$5:$B$1004=$A61)*(ROW(입력_상담!$B$5:$B$1004)-4)))</f>
        <v>0</v>
      </c>
    </row>
    <row r="62" customFormat="false" ht="15" hidden="false" customHeight="false" outlineLevel="0" collapsed="false">
      <c r="A62" s="55" t="n">
        <v>58</v>
      </c>
      <c r="B62" s="56"/>
      <c r="C62" s="24"/>
      <c r="D62" s="24"/>
      <c r="E62" s="56"/>
      <c r="F62" s="57"/>
      <c r="G62" s="58"/>
      <c r="H62" s="56"/>
      <c r="I62" s="24"/>
      <c r="J62" s="24"/>
      <c r="K62" s="24"/>
      <c r="L62" s="24"/>
      <c r="M62" s="24"/>
      <c r="N62" s="56"/>
      <c r="O62" s="25" t="str">
        <f aca="false">IF($AI62=0,"",IF(INDEX(입력_운동!$C$5:$C$1004,$AI62)="","",INDEX(입력_운동!$C$5:$C$1004,$AI62)))</f>
        <v/>
      </c>
      <c r="P62" s="25" t="str">
        <f aca="false">IF($AI62=0,"",IF(INDEX(입력_운동!$D$5:$D$1004,$AI62)="","",INDEX(입력_운동!$D$5:$D$1004,$AI62)))</f>
        <v/>
      </c>
      <c r="Q62" s="25" t="str">
        <f aca="false">IF($AI62=0,"",IF(INDEX(입력_운동!$E$5:$E$1004,$AI62)="","",INDEX(입력_운동!$E$5:$E$1004,$AI62)))</f>
        <v/>
      </c>
      <c r="R62" s="25" t="str">
        <f aca="false">IF($AI62=0,"",IF(INDEX(입력_운동!$F$5:$F$1004,$AI62)="","",INDEX(입력_운동!$F$5:$F$1004,$AI62)))</f>
        <v/>
      </c>
      <c r="S62" s="25" t="str">
        <f aca="false">IF($AJ62=0,"",IF(INDEX(입력_측정!$C$5:$C$1004,$AJ62)="","",INDEX(입력_측정!$C$5:$C$1004,$AJ62)))</f>
        <v/>
      </c>
      <c r="T62" s="25" t="str">
        <f aca="false">IF($AJ62=0,"",IF(INDEX(입력_측정!$D$5:$D$1004,$AJ62)="","",INDEX(입력_측정!$D$5:$D$1004,$AJ62)))</f>
        <v/>
      </c>
      <c r="U62" s="25" t="str">
        <f aca="false">IF($AJ62=0,"",IF(INDEX(입력_측정!$E$5:$E$1004,$AJ62)="","",INDEX(입력_측정!$E$5:$E$1004,$AJ62)))</f>
        <v/>
      </c>
      <c r="V62" s="25" t="str">
        <f aca="false">IF($AJ62=0,"",IF(INDEX(입력_측정!$F$5:$F$1004,$AJ62)="","",INDEX(입력_측정!$F$5:$F$1004,$AJ62)))</f>
        <v/>
      </c>
      <c r="W62" s="25" t="str">
        <f aca="false">IF($AK62=0,"",IF(INDEX(입력_상담!$D$5:$D$1004,$AK62)="","",INDEX(입력_상담!$D$5:$D$1004,$AK62)))</f>
        <v/>
      </c>
      <c r="X62" s="25" t="str">
        <f aca="false">IF($AJ62=0,"",IF(INDEX(입력_측정!$I$5:$I$1004,$AJ62)="","",INDEX(입력_측정!$I$5:$I$1004,$AJ62)))</f>
        <v/>
      </c>
      <c r="Y62" s="25" t="str">
        <f aca="false">IF($AJ62=0,"",IF(INDEX(입력_측정!$J$5:$J$1004,$AJ62)="","",INDEX(입력_측정!$J$5:$J$1004,$AJ62)))</f>
        <v/>
      </c>
      <c r="Z62" s="25" t="str">
        <f aca="false">IF(OR(X62="긴급",LEFT(Y62,2)="긴급",W62="필요",W62="완료"),"대상","")</f>
        <v/>
      </c>
      <c r="AA62" s="59" t="str">
        <f aca="false">IF(M62&lt;&gt;"",M62,IF(AK62&gt;0,IF(W62="필요","추가상담 대기","완료"),IF(AJ62&gt;0,"결과상담 대기",IF(AI62&gt;0,"측정 대기","미방문"))))</f>
        <v>미방문</v>
      </c>
      <c r="AB62" s="60" t="str">
        <f aca="false">IF($AI62=0,"",IF(INDEX(입력_운동!$A$5:$A$1004,$AI62)="","",INDEX(입력_운동!$A$5:$A$1004,$AI62)))</f>
        <v/>
      </c>
      <c r="AC62" s="60" t="str">
        <f aca="false">IF($AJ62=0,"",IF(INDEX(입력_측정!$A$5:$A$1004,$AJ62)="","",INDEX(입력_측정!$A$5:$A$1004,$AJ62)))</f>
        <v/>
      </c>
      <c r="AD62" s="60" t="str">
        <f aca="false">IF($AK62=0,"",IF(INDEX(입력_상담!$A$5:$A$1004,$AK62)="","",INDEX(입력_상담!$A$5:$A$1004,$AK62)))</f>
        <v/>
      </c>
      <c r="AE62" s="25" t="str">
        <f aca="false">IF(AND(ISNUMBER(AB62),ISNUMBER(AC62)),IF(AC62&gt;=AB62,ROUND((AC62-AB62)*1440,0),""),"")</f>
        <v/>
      </c>
      <c r="AF62" s="25" t="str">
        <f aca="false">IF(AND(ISNUMBER(AC62),ISNUMBER(AD62)),IF(AD62&gt;=AC62,ROUND((AD62-AC62)*1440,0),""),"")</f>
        <v/>
      </c>
      <c r="AG62" s="25" t="str">
        <f aca="false">IF(AND(AA62="완료",ISNUMBER(AB62),ISNUMBER(AD62)),IF(AD62&gt;=AB62,ROUND((AD62-AB62)*1440,0),""),"")</f>
        <v/>
      </c>
      <c r="AH62" s="61" t="str">
        <f aca="false">IF(AND(AK62&gt;0,AJ62=0),"측정 기록 없음",IF(AND(AJ62&gt;0,AI62=0),"운동평가 기록 없음",IF(OR(COUNTIF(입력_운동!$B$5:$B$1004,$A62)&gt;1,COUNTIF(입력_측정!$B$5:$B$1004,$A62)&gt;1),"중복 입력","")))</f>
        <v/>
      </c>
      <c r="AI62" s="62" t="n">
        <f aca="false">SUMPRODUCT(MAX((입력_운동!$B$5:$B$1004=$A62)*(ROW(입력_운동!$B$5:$B$1004)-4)))</f>
        <v>0</v>
      </c>
      <c r="AJ62" s="62" t="n">
        <f aca="false">SUMPRODUCT(MAX((입력_측정!$B$5:$B$1004=$A62)*(ROW(입력_측정!$B$5:$B$1004)-4)))</f>
        <v>0</v>
      </c>
      <c r="AK62" s="62" t="n">
        <f aca="false">SUMPRODUCT(MAX((입력_상담!$B$5:$B$1004=$A62)*(ROW(입력_상담!$B$5:$B$1004)-4)))</f>
        <v>0</v>
      </c>
    </row>
    <row r="63" customFormat="false" ht="15" hidden="false" customHeight="false" outlineLevel="0" collapsed="false">
      <c r="A63" s="55" t="n">
        <v>59</v>
      </c>
      <c r="B63" s="56"/>
      <c r="C63" s="24"/>
      <c r="D63" s="24"/>
      <c r="E63" s="56"/>
      <c r="F63" s="57"/>
      <c r="G63" s="58"/>
      <c r="H63" s="56"/>
      <c r="I63" s="24"/>
      <c r="J63" s="24"/>
      <c r="K63" s="24"/>
      <c r="L63" s="24"/>
      <c r="M63" s="24"/>
      <c r="N63" s="56"/>
      <c r="O63" s="25" t="str">
        <f aca="false">IF($AI63=0,"",IF(INDEX(입력_운동!$C$5:$C$1004,$AI63)="","",INDEX(입력_운동!$C$5:$C$1004,$AI63)))</f>
        <v/>
      </c>
      <c r="P63" s="25" t="str">
        <f aca="false">IF($AI63=0,"",IF(INDEX(입력_운동!$D$5:$D$1004,$AI63)="","",INDEX(입력_운동!$D$5:$D$1004,$AI63)))</f>
        <v/>
      </c>
      <c r="Q63" s="25" t="str">
        <f aca="false">IF($AI63=0,"",IF(INDEX(입력_운동!$E$5:$E$1004,$AI63)="","",INDEX(입력_운동!$E$5:$E$1004,$AI63)))</f>
        <v/>
      </c>
      <c r="R63" s="25" t="str">
        <f aca="false">IF($AI63=0,"",IF(INDEX(입력_운동!$F$5:$F$1004,$AI63)="","",INDEX(입력_운동!$F$5:$F$1004,$AI63)))</f>
        <v/>
      </c>
      <c r="S63" s="25" t="str">
        <f aca="false">IF($AJ63=0,"",IF(INDEX(입력_측정!$C$5:$C$1004,$AJ63)="","",INDEX(입력_측정!$C$5:$C$1004,$AJ63)))</f>
        <v/>
      </c>
      <c r="T63" s="25" t="str">
        <f aca="false">IF($AJ63=0,"",IF(INDEX(입력_측정!$D$5:$D$1004,$AJ63)="","",INDEX(입력_측정!$D$5:$D$1004,$AJ63)))</f>
        <v/>
      </c>
      <c r="U63" s="25" t="str">
        <f aca="false">IF($AJ63=0,"",IF(INDEX(입력_측정!$E$5:$E$1004,$AJ63)="","",INDEX(입력_측정!$E$5:$E$1004,$AJ63)))</f>
        <v/>
      </c>
      <c r="V63" s="25" t="str">
        <f aca="false">IF($AJ63=0,"",IF(INDEX(입력_측정!$F$5:$F$1004,$AJ63)="","",INDEX(입력_측정!$F$5:$F$1004,$AJ63)))</f>
        <v/>
      </c>
      <c r="W63" s="25" t="str">
        <f aca="false">IF($AK63=0,"",IF(INDEX(입력_상담!$D$5:$D$1004,$AK63)="","",INDEX(입력_상담!$D$5:$D$1004,$AK63)))</f>
        <v/>
      </c>
      <c r="X63" s="25" t="str">
        <f aca="false">IF($AJ63=0,"",IF(INDEX(입력_측정!$I$5:$I$1004,$AJ63)="","",INDEX(입력_측정!$I$5:$I$1004,$AJ63)))</f>
        <v/>
      </c>
      <c r="Y63" s="25" t="str">
        <f aca="false">IF($AJ63=0,"",IF(INDEX(입력_측정!$J$5:$J$1004,$AJ63)="","",INDEX(입력_측정!$J$5:$J$1004,$AJ63)))</f>
        <v/>
      </c>
      <c r="Z63" s="25" t="str">
        <f aca="false">IF(OR(X63="긴급",LEFT(Y63,2)="긴급",W63="필요",W63="완료"),"대상","")</f>
        <v/>
      </c>
      <c r="AA63" s="59" t="str">
        <f aca="false">IF(M63&lt;&gt;"",M63,IF(AK63&gt;0,IF(W63="필요","추가상담 대기","완료"),IF(AJ63&gt;0,"결과상담 대기",IF(AI63&gt;0,"측정 대기","미방문"))))</f>
        <v>미방문</v>
      </c>
      <c r="AB63" s="60" t="str">
        <f aca="false">IF($AI63=0,"",IF(INDEX(입력_운동!$A$5:$A$1004,$AI63)="","",INDEX(입력_운동!$A$5:$A$1004,$AI63)))</f>
        <v/>
      </c>
      <c r="AC63" s="60" t="str">
        <f aca="false">IF($AJ63=0,"",IF(INDEX(입력_측정!$A$5:$A$1004,$AJ63)="","",INDEX(입력_측정!$A$5:$A$1004,$AJ63)))</f>
        <v/>
      </c>
      <c r="AD63" s="60" t="str">
        <f aca="false">IF($AK63=0,"",IF(INDEX(입력_상담!$A$5:$A$1004,$AK63)="","",INDEX(입력_상담!$A$5:$A$1004,$AK63)))</f>
        <v/>
      </c>
      <c r="AE63" s="25" t="str">
        <f aca="false">IF(AND(ISNUMBER(AB63),ISNUMBER(AC63)),IF(AC63&gt;=AB63,ROUND((AC63-AB63)*1440,0),""),"")</f>
        <v/>
      </c>
      <c r="AF63" s="25" t="str">
        <f aca="false">IF(AND(ISNUMBER(AC63),ISNUMBER(AD63)),IF(AD63&gt;=AC63,ROUND((AD63-AC63)*1440,0),""),"")</f>
        <v/>
      </c>
      <c r="AG63" s="25" t="str">
        <f aca="false">IF(AND(AA63="완료",ISNUMBER(AB63),ISNUMBER(AD63)),IF(AD63&gt;=AB63,ROUND((AD63-AB63)*1440,0),""),"")</f>
        <v/>
      </c>
      <c r="AH63" s="61" t="str">
        <f aca="false">IF(AND(AK63&gt;0,AJ63=0),"측정 기록 없음",IF(AND(AJ63&gt;0,AI63=0),"운동평가 기록 없음",IF(OR(COUNTIF(입력_운동!$B$5:$B$1004,$A63)&gt;1,COUNTIF(입력_측정!$B$5:$B$1004,$A63)&gt;1),"중복 입력","")))</f>
        <v/>
      </c>
      <c r="AI63" s="62" t="n">
        <f aca="false">SUMPRODUCT(MAX((입력_운동!$B$5:$B$1004=$A63)*(ROW(입력_운동!$B$5:$B$1004)-4)))</f>
        <v>0</v>
      </c>
      <c r="AJ63" s="62" t="n">
        <f aca="false">SUMPRODUCT(MAX((입력_측정!$B$5:$B$1004=$A63)*(ROW(입력_측정!$B$5:$B$1004)-4)))</f>
        <v>0</v>
      </c>
      <c r="AK63" s="62" t="n">
        <f aca="false">SUMPRODUCT(MAX((입력_상담!$B$5:$B$1004=$A63)*(ROW(입력_상담!$B$5:$B$1004)-4)))</f>
        <v>0</v>
      </c>
    </row>
    <row r="64" customFormat="false" ht="15" hidden="false" customHeight="false" outlineLevel="0" collapsed="false">
      <c r="A64" s="55" t="n">
        <v>60</v>
      </c>
      <c r="B64" s="56"/>
      <c r="C64" s="24"/>
      <c r="D64" s="24"/>
      <c r="E64" s="56"/>
      <c r="F64" s="57"/>
      <c r="G64" s="58"/>
      <c r="H64" s="56"/>
      <c r="I64" s="24"/>
      <c r="J64" s="24"/>
      <c r="K64" s="24"/>
      <c r="L64" s="24"/>
      <c r="M64" s="24"/>
      <c r="N64" s="56"/>
      <c r="O64" s="25" t="str">
        <f aca="false">IF($AI64=0,"",IF(INDEX(입력_운동!$C$5:$C$1004,$AI64)="","",INDEX(입력_운동!$C$5:$C$1004,$AI64)))</f>
        <v/>
      </c>
      <c r="P64" s="25" t="str">
        <f aca="false">IF($AI64=0,"",IF(INDEX(입력_운동!$D$5:$D$1004,$AI64)="","",INDEX(입력_운동!$D$5:$D$1004,$AI64)))</f>
        <v/>
      </c>
      <c r="Q64" s="25" t="str">
        <f aca="false">IF($AI64=0,"",IF(INDEX(입력_운동!$E$5:$E$1004,$AI64)="","",INDEX(입력_운동!$E$5:$E$1004,$AI64)))</f>
        <v/>
      </c>
      <c r="R64" s="25" t="str">
        <f aca="false">IF($AI64=0,"",IF(INDEX(입력_운동!$F$5:$F$1004,$AI64)="","",INDEX(입력_운동!$F$5:$F$1004,$AI64)))</f>
        <v/>
      </c>
      <c r="S64" s="25" t="str">
        <f aca="false">IF($AJ64=0,"",IF(INDEX(입력_측정!$C$5:$C$1004,$AJ64)="","",INDEX(입력_측정!$C$5:$C$1004,$AJ64)))</f>
        <v/>
      </c>
      <c r="T64" s="25" t="str">
        <f aca="false">IF($AJ64=0,"",IF(INDEX(입력_측정!$D$5:$D$1004,$AJ64)="","",INDEX(입력_측정!$D$5:$D$1004,$AJ64)))</f>
        <v/>
      </c>
      <c r="U64" s="25" t="str">
        <f aca="false">IF($AJ64=0,"",IF(INDEX(입력_측정!$E$5:$E$1004,$AJ64)="","",INDEX(입력_측정!$E$5:$E$1004,$AJ64)))</f>
        <v/>
      </c>
      <c r="V64" s="25" t="str">
        <f aca="false">IF($AJ64=0,"",IF(INDEX(입력_측정!$F$5:$F$1004,$AJ64)="","",INDEX(입력_측정!$F$5:$F$1004,$AJ64)))</f>
        <v/>
      </c>
      <c r="W64" s="25" t="str">
        <f aca="false">IF($AK64=0,"",IF(INDEX(입력_상담!$D$5:$D$1004,$AK64)="","",INDEX(입력_상담!$D$5:$D$1004,$AK64)))</f>
        <v/>
      </c>
      <c r="X64" s="25" t="str">
        <f aca="false">IF($AJ64=0,"",IF(INDEX(입력_측정!$I$5:$I$1004,$AJ64)="","",INDEX(입력_측정!$I$5:$I$1004,$AJ64)))</f>
        <v/>
      </c>
      <c r="Y64" s="25" t="str">
        <f aca="false">IF($AJ64=0,"",IF(INDEX(입력_측정!$J$5:$J$1004,$AJ64)="","",INDEX(입력_측정!$J$5:$J$1004,$AJ64)))</f>
        <v/>
      </c>
      <c r="Z64" s="25" t="str">
        <f aca="false">IF(OR(X64="긴급",LEFT(Y64,2)="긴급",W64="필요",W64="완료"),"대상","")</f>
        <v/>
      </c>
      <c r="AA64" s="59" t="str">
        <f aca="false">IF(M64&lt;&gt;"",M64,IF(AK64&gt;0,IF(W64="필요","추가상담 대기","완료"),IF(AJ64&gt;0,"결과상담 대기",IF(AI64&gt;0,"측정 대기","미방문"))))</f>
        <v>미방문</v>
      </c>
      <c r="AB64" s="60" t="str">
        <f aca="false">IF($AI64=0,"",IF(INDEX(입력_운동!$A$5:$A$1004,$AI64)="","",INDEX(입력_운동!$A$5:$A$1004,$AI64)))</f>
        <v/>
      </c>
      <c r="AC64" s="60" t="str">
        <f aca="false">IF($AJ64=0,"",IF(INDEX(입력_측정!$A$5:$A$1004,$AJ64)="","",INDEX(입력_측정!$A$5:$A$1004,$AJ64)))</f>
        <v/>
      </c>
      <c r="AD64" s="60" t="str">
        <f aca="false">IF($AK64=0,"",IF(INDEX(입력_상담!$A$5:$A$1004,$AK64)="","",INDEX(입력_상담!$A$5:$A$1004,$AK64)))</f>
        <v/>
      </c>
      <c r="AE64" s="25" t="str">
        <f aca="false">IF(AND(ISNUMBER(AB64),ISNUMBER(AC64)),IF(AC64&gt;=AB64,ROUND((AC64-AB64)*1440,0),""),"")</f>
        <v/>
      </c>
      <c r="AF64" s="25" t="str">
        <f aca="false">IF(AND(ISNUMBER(AC64),ISNUMBER(AD64)),IF(AD64&gt;=AC64,ROUND((AD64-AC64)*1440,0),""),"")</f>
        <v/>
      </c>
      <c r="AG64" s="25" t="str">
        <f aca="false">IF(AND(AA64="완료",ISNUMBER(AB64),ISNUMBER(AD64)),IF(AD64&gt;=AB64,ROUND((AD64-AB64)*1440,0),""),"")</f>
        <v/>
      </c>
      <c r="AH64" s="61" t="str">
        <f aca="false">IF(AND(AK64&gt;0,AJ64=0),"측정 기록 없음",IF(AND(AJ64&gt;0,AI64=0),"운동평가 기록 없음",IF(OR(COUNTIF(입력_운동!$B$5:$B$1004,$A64)&gt;1,COUNTIF(입력_측정!$B$5:$B$1004,$A64)&gt;1),"중복 입력","")))</f>
        <v/>
      </c>
      <c r="AI64" s="62" t="n">
        <f aca="false">SUMPRODUCT(MAX((입력_운동!$B$5:$B$1004=$A64)*(ROW(입력_운동!$B$5:$B$1004)-4)))</f>
        <v>0</v>
      </c>
      <c r="AJ64" s="62" t="n">
        <f aca="false">SUMPRODUCT(MAX((입력_측정!$B$5:$B$1004=$A64)*(ROW(입력_측정!$B$5:$B$1004)-4)))</f>
        <v>0</v>
      </c>
      <c r="AK64" s="62" t="n">
        <f aca="false">SUMPRODUCT(MAX((입력_상담!$B$5:$B$1004=$A64)*(ROW(입력_상담!$B$5:$B$1004)-4)))</f>
        <v>0</v>
      </c>
    </row>
    <row r="65" customFormat="false" ht="15" hidden="false" customHeight="false" outlineLevel="0" collapsed="false">
      <c r="A65" s="55" t="n">
        <v>61</v>
      </c>
      <c r="B65" s="56"/>
      <c r="C65" s="24"/>
      <c r="D65" s="24"/>
      <c r="E65" s="56"/>
      <c r="F65" s="57"/>
      <c r="G65" s="58"/>
      <c r="H65" s="56"/>
      <c r="I65" s="24"/>
      <c r="J65" s="24"/>
      <c r="K65" s="24"/>
      <c r="L65" s="24"/>
      <c r="M65" s="24"/>
      <c r="N65" s="56"/>
      <c r="O65" s="25" t="str">
        <f aca="false">IF($AI65=0,"",IF(INDEX(입력_운동!$C$5:$C$1004,$AI65)="","",INDEX(입력_운동!$C$5:$C$1004,$AI65)))</f>
        <v/>
      </c>
      <c r="P65" s="25" t="str">
        <f aca="false">IF($AI65=0,"",IF(INDEX(입력_운동!$D$5:$D$1004,$AI65)="","",INDEX(입력_운동!$D$5:$D$1004,$AI65)))</f>
        <v/>
      </c>
      <c r="Q65" s="25" t="str">
        <f aca="false">IF($AI65=0,"",IF(INDEX(입력_운동!$E$5:$E$1004,$AI65)="","",INDEX(입력_운동!$E$5:$E$1004,$AI65)))</f>
        <v/>
      </c>
      <c r="R65" s="25" t="str">
        <f aca="false">IF($AI65=0,"",IF(INDEX(입력_운동!$F$5:$F$1004,$AI65)="","",INDEX(입력_운동!$F$5:$F$1004,$AI65)))</f>
        <v/>
      </c>
      <c r="S65" s="25" t="str">
        <f aca="false">IF($AJ65=0,"",IF(INDEX(입력_측정!$C$5:$C$1004,$AJ65)="","",INDEX(입력_측정!$C$5:$C$1004,$AJ65)))</f>
        <v/>
      </c>
      <c r="T65" s="25" t="str">
        <f aca="false">IF($AJ65=0,"",IF(INDEX(입력_측정!$D$5:$D$1004,$AJ65)="","",INDEX(입력_측정!$D$5:$D$1004,$AJ65)))</f>
        <v/>
      </c>
      <c r="U65" s="25" t="str">
        <f aca="false">IF($AJ65=0,"",IF(INDEX(입력_측정!$E$5:$E$1004,$AJ65)="","",INDEX(입력_측정!$E$5:$E$1004,$AJ65)))</f>
        <v/>
      </c>
      <c r="V65" s="25" t="str">
        <f aca="false">IF($AJ65=0,"",IF(INDEX(입력_측정!$F$5:$F$1004,$AJ65)="","",INDEX(입력_측정!$F$5:$F$1004,$AJ65)))</f>
        <v/>
      </c>
      <c r="W65" s="25" t="str">
        <f aca="false">IF($AK65=0,"",IF(INDEX(입력_상담!$D$5:$D$1004,$AK65)="","",INDEX(입력_상담!$D$5:$D$1004,$AK65)))</f>
        <v/>
      </c>
      <c r="X65" s="25" t="str">
        <f aca="false">IF($AJ65=0,"",IF(INDEX(입력_측정!$I$5:$I$1004,$AJ65)="","",INDEX(입력_측정!$I$5:$I$1004,$AJ65)))</f>
        <v/>
      </c>
      <c r="Y65" s="25" t="str">
        <f aca="false">IF($AJ65=0,"",IF(INDEX(입력_측정!$J$5:$J$1004,$AJ65)="","",INDEX(입력_측정!$J$5:$J$1004,$AJ65)))</f>
        <v/>
      </c>
      <c r="Z65" s="25" t="str">
        <f aca="false">IF(OR(X65="긴급",LEFT(Y65,2)="긴급",W65="필요",W65="완료"),"대상","")</f>
        <v/>
      </c>
      <c r="AA65" s="59" t="str">
        <f aca="false">IF(M65&lt;&gt;"",M65,IF(AK65&gt;0,IF(W65="필요","추가상담 대기","완료"),IF(AJ65&gt;0,"결과상담 대기",IF(AI65&gt;0,"측정 대기","미방문"))))</f>
        <v>미방문</v>
      </c>
      <c r="AB65" s="60" t="str">
        <f aca="false">IF($AI65=0,"",IF(INDEX(입력_운동!$A$5:$A$1004,$AI65)="","",INDEX(입력_운동!$A$5:$A$1004,$AI65)))</f>
        <v/>
      </c>
      <c r="AC65" s="60" t="str">
        <f aca="false">IF($AJ65=0,"",IF(INDEX(입력_측정!$A$5:$A$1004,$AJ65)="","",INDEX(입력_측정!$A$5:$A$1004,$AJ65)))</f>
        <v/>
      </c>
      <c r="AD65" s="60" t="str">
        <f aca="false">IF($AK65=0,"",IF(INDEX(입력_상담!$A$5:$A$1004,$AK65)="","",INDEX(입력_상담!$A$5:$A$1004,$AK65)))</f>
        <v/>
      </c>
      <c r="AE65" s="25" t="str">
        <f aca="false">IF(AND(ISNUMBER(AB65),ISNUMBER(AC65)),IF(AC65&gt;=AB65,ROUND((AC65-AB65)*1440,0),""),"")</f>
        <v/>
      </c>
      <c r="AF65" s="25" t="str">
        <f aca="false">IF(AND(ISNUMBER(AC65),ISNUMBER(AD65)),IF(AD65&gt;=AC65,ROUND((AD65-AC65)*1440,0),""),"")</f>
        <v/>
      </c>
      <c r="AG65" s="25" t="str">
        <f aca="false">IF(AND(AA65="완료",ISNUMBER(AB65),ISNUMBER(AD65)),IF(AD65&gt;=AB65,ROUND((AD65-AB65)*1440,0),""),"")</f>
        <v/>
      </c>
      <c r="AH65" s="61" t="str">
        <f aca="false">IF(AND(AK65&gt;0,AJ65=0),"측정 기록 없음",IF(AND(AJ65&gt;0,AI65=0),"운동평가 기록 없음",IF(OR(COUNTIF(입력_운동!$B$5:$B$1004,$A65)&gt;1,COUNTIF(입력_측정!$B$5:$B$1004,$A65)&gt;1),"중복 입력","")))</f>
        <v/>
      </c>
      <c r="AI65" s="62" t="n">
        <f aca="false">SUMPRODUCT(MAX((입력_운동!$B$5:$B$1004=$A65)*(ROW(입력_운동!$B$5:$B$1004)-4)))</f>
        <v>0</v>
      </c>
      <c r="AJ65" s="62" t="n">
        <f aca="false">SUMPRODUCT(MAX((입력_측정!$B$5:$B$1004=$A65)*(ROW(입력_측정!$B$5:$B$1004)-4)))</f>
        <v>0</v>
      </c>
      <c r="AK65" s="62" t="n">
        <f aca="false">SUMPRODUCT(MAX((입력_상담!$B$5:$B$1004=$A65)*(ROW(입력_상담!$B$5:$B$1004)-4)))</f>
        <v>0</v>
      </c>
    </row>
    <row r="66" customFormat="false" ht="15" hidden="false" customHeight="false" outlineLevel="0" collapsed="false">
      <c r="A66" s="55" t="n">
        <v>62</v>
      </c>
      <c r="B66" s="56"/>
      <c r="C66" s="24"/>
      <c r="D66" s="24"/>
      <c r="E66" s="56"/>
      <c r="F66" s="57"/>
      <c r="G66" s="58"/>
      <c r="H66" s="56"/>
      <c r="I66" s="24"/>
      <c r="J66" s="24"/>
      <c r="K66" s="24"/>
      <c r="L66" s="24"/>
      <c r="M66" s="24"/>
      <c r="N66" s="56"/>
      <c r="O66" s="25" t="str">
        <f aca="false">IF($AI66=0,"",IF(INDEX(입력_운동!$C$5:$C$1004,$AI66)="","",INDEX(입력_운동!$C$5:$C$1004,$AI66)))</f>
        <v/>
      </c>
      <c r="P66" s="25" t="str">
        <f aca="false">IF($AI66=0,"",IF(INDEX(입력_운동!$D$5:$D$1004,$AI66)="","",INDEX(입력_운동!$D$5:$D$1004,$AI66)))</f>
        <v/>
      </c>
      <c r="Q66" s="25" t="str">
        <f aca="false">IF($AI66=0,"",IF(INDEX(입력_운동!$E$5:$E$1004,$AI66)="","",INDEX(입력_운동!$E$5:$E$1004,$AI66)))</f>
        <v/>
      </c>
      <c r="R66" s="25" t="str">
        <f aca="false">IF($AI66=0,"",IF(INDEX(입력_운동!$F$5:$F$1004,$AI66)="","",INDEX(입력_운동!$F$5:$F$1004,$AI66)))</f>
        <v/>
      </c>
      <c r="S66" s="25" t="str">
        <f aca="false">IF($AJ66=0,"",IF(INDEX(입력_측정!$C$5:$C$1004,$AJ66)="","",INDEX(입력_측정!$C$5:$C$1004,$AJ66)))</f>
        <v/>
      </c>
      <c r="T66" s="25" t="str">
        <f aca="false">IF($AJ66=0,"",IF(INDEX(입력_측정!$D$5:$D$1004,$AJ66)="","",INDEX(입력_측정!$D$5:$D$1004,$AJ66)))</f>
        <v/>
      </c>
      <c r="U66" s="25" t="str">
        <f aca="false">IF($AJ66=0,"",IF(INDEX(입력_측정!$E$5:$E$1004,$AJ66)="","",INDEX(입력_측정!$E$5:$E$1004,$AJ66)))</f>
        <v/>
      </c>
      <c r="V66" s="25" t="str">
        <f aca="false">IF($AJ66=0,"",IF(INDEX(입력_측정!$F$5:$F$1004,$AJ66)="","",INDEX(입력_측정!$F$5:$F$1004,$AJ66)))</f>
        <v/>
      </c>
      <c r="W66" s="25" t="str">
        <f aca="false">IF($AK66=0,"",IF(INDEX(입력_상담!$D$5:$D$1004,$AK66)="","",INDEX(입력_상담!$D$5:$D$1004,$AK66)))</f>
        <v/>
      </c>
      <c r="X66" s="25" t="str">
        <f aca="false">IF($AJ66=0,"",IF(INDEX(입력_측정!$I$5:$I$1004,$AJ66)="","",INDEX(입력_측정!$I$5:$I$1004,$AJ66)))</f>
        <v/>
      </c>
      <c r="Y66" s="25" t="str">
        <f aca="false">IF($AJ66=0,"",IF(INDEX(입력_측정!$J$5:$J$1004,$AJ66)="","",INDEX(입력_측정!$J$5:$J$1004,$AJ66)))</f>
        <v/>
      </c>
      <c r="Z66" s="25" t="str">
        <f aca="false">IF(OR(X66="긴급",LEFT(Y66,2)="긴급",W66="필요",W66="완료"),"대상","")</f>
        <v/>
      </c>
      <c r="AA66" s="59" t="str">
        <f aca="false">IF(M66&lt;&gt;"",M66,IF(AK66&gt;0,IF(W66="필요","추가상담 대기","완료"),IF(AJ66&gt;0,"결과상담 대기",IF(AI66&gt;0,"측정 대기","미방문"))))</f>
        <v>미방문</v>
      </c>
      <c r="AB66" s="60" t="str">
        <f aca="false">IF($AI66=0,"",IF(INDEX(입력_운동!$A$5:$A$1004,$AI66)="","",INDEX(입력_운동!$A$5:$A$1004,$AI66)))</f>
        <v/>
      </c>
      <c r="AC66" s="60" t="str">
        <f aca="false">IF($AJ66=0,"",IF(INDEX(입력_측정!$A$5:$A$1004,$AJ66)="","",INDEX(입력_측정!$A$5:$A$1004,$AJ66)))</f>
        <v/>
      </c>
      <c r="AD66" s="60" t="str">
        <f aca="false">IF($AK66=0,"",IF(INDEX(입력_상담!$A$5:$A$1004,$AK66)="","",INDEX(입력_상담!$A$5:$A$1004,$AK66)))</f>
        <v/>
      </c>
      <c r="AE66" s="25" t="str">
        <f aca="false">IF(AND(ISNUMBER(AB66),ISNUMBER(AC66)),IF(AC66&gt;=AB66,ROUND((AC66-AB66)*1440,0),""),"")</f>
        <v/>
      </c>
      <c r="AF66" s="25" t="str">
        <f aca="false">IF(AND(ISNUMBER(AC66),ISNUMBER(AD66)),IF(AD66&gt;=AC66,ROUND((AD66-AC66)*1440,0),""),"")</f>
        <v/>
      </c>
      <c r="AG66" s="25" t="str">
        <f aca="false">IF(AND(AA66="완료",ISNUMBER(AB66),ISNUMBER(AD66)),IF(AD66&gt;=AB66,ROUND((AD66-AB66)*1440,0),""),"")</f>
        <v/>
      </c>
      <c r="AH66" s="61" t="str">
        <f aca="false">IF(AND(AK66&gt;0,AJ66=0),"측정 기록 없음",IF(AND(AJ66&gt;0,AI66=0),"운동평가 기록 없음",IF(OR(COUNTIF(입력_운동!$B$5:$B$1004,$A66)&gt;1,COUNTIF(입력_측정!$B$5:$B$1004,$A66)&gt;1),"중복 입력","")))</f>
        <v/>
      </c>
      <c r="AI66" s="62" t="n">
        <f aca="false">SUMPRODUCT(MAX((입력_운동!$B$5:$B$1004=$A66)*(ROW(입력_운동!$B$5:$B$1004)-4)))</f>
        <v>0</v>
      </c>
      <c r="AJ66" s="62" t="n">
        <f aca="false">SUMPRODUCT(MAX((입력_측정!$B$5:$B$1004=$A66)*(ROW(입력_측정!$B$5:$B$1004)-4)))</f>
        <v>0</v>
      </c>
      <c r="AK66" s="62" t="n">
        <f aca="false">SUMPRODUCT(MAX((입력_상담!$B$5:$B$1004=$A66)*(ROW(입력_상담!$B$5:$B$1004)-4)))</f>
        <v>0</v>
      </c>
    </row>
    <row r="67" customFormat="false" ht="15" hidden="false" customHeight="false" outlineLevel="0" collapsed="false">
      <c r="A67" s="55" t="n">
        <v>63</v>
      </c>
      <c r="B67" s="56"/>
      <c r="C67" s="24"/>
      <c r="D67" s="24"/>
      <c r="E67" s="56"/>
      <c r="F67" s="57"/>
      <c r="G67" s="58"/>
      <c r="H67" s="56"/>
      <c r="I67" s="24"/>
      <c r="J67" s="24"/>
      <c r="K67" s="24"/>
      <c r="L67" s="24"/>
      <c r="M67" s="24"/>
      <c r="N67" s="56"/>
      <c r="O67" s="25" t="str">
        <f aca="false">IF($AI67=0,"",IF(INDEX(입력_운동!$C$5:$C$1004,$AI67)="","",INDEX(입력_운동!$C$5:$C$1004,$AI67)))</f>
        <v/>
      </c>
      <c r="P67" s="25" t="str">
        <f aca="false">IF($AI67=0,"",IF(INDEX(입력_운동!$D$5:$D$1004,$AI67)="","",INDEX(입력_운동!$D$5:$D$1004,$AI67)))</f>
        <v/>
      </c>
      <c r="Q67" s="25" t="str">
        <f aca="false">IF($AI67=0,"",IF(INDEX(입력_운동!$E$5:$E$1004,$AI67)="","",INDEX(입력_운동!$E$5:$E$1004,$AI67)))</f>
        <v/>
      </c>
      <c r="R67" s="25" t="str">
        <f aca="false">IF($AI67=0,"",IF(INDEX(입력_운동!$F$5:$F$1004,$AI67)="","",INDEX(입력_운동!$F$5:$F$1004,$AI67)))</f>
        <v/>
      </c>
      <c r="S67" s="25" t="str">
        <f aca="false">IF($AJ67=0,"",IF(INDEX(입력_측정!$C$5:$C$1004,$AJ67)="","",INDEX(입력_측정!$C$5:$C$1004,$AJ67)))</f>
        <v/>
      </c>
      <c r="T67" s="25" t="str">
        <f aca="false">IF($AJ67=0,"",IF(INDEX(입력_측정!$D$5:$D$1004,$AJ67)="","",INDEX(입력_측정!$D$5:$D$1004,$AJ67)))</f>
        <v/>
      </c>
      <c r="U67" s="25" t="str">
        <f aca="false">IF($AJ67=0,"",IF(INDEX(입력_측정!$E$5:$E$1004,$AJ67)="","",INDEX(입력_측정!$E$5:$E$1004,$AJ67)))</f>
        <v/>
      </c>
      <c r="V67" s="25" t="str">
        <f aca="false">IF($AJ67=0,"",IF(INDEX(입력_측정!$F$5:$F$1004,$AJ67)="","",INDEX(입력_측정!$F$5:$F$1004,$AJ67)))</f>
        <v/>
      </c>
      <c r="W67" s="25" t="str">
        <f aca="false">IF($AK67=0,"",IF(INDEX(입력_상담!$D$5:$D$1004,$AK67)="","",INDEX(입력_상담!$D$5:$D$1004,$AK67)))</f>
        <v/>
      </c>
      <c r="X67" s="25" t="str">
        <f aca="false">IF($AJ67=0,"",IF(INDEX(입력_측정!$I$5:$I$1004,$AJ67)="","",INDEX(입력_측정!$I$5:$I$1004,$AJ67)))</f>
        <v/>
      </c>
      <c r="Y67" s="25" t="str">
        <f aca="false">IF($AJ67=0,"",IF(INDEX(입력_측정!$J$5:$J$1004,$AJ67)="","",INDEX(입력_측정!$J$5:$J$1004,$AJ67)))</f>
        <v/>
      </c>
      <c r="Z67" s="25" t="str">
        <f aca="false">IF(OR(X67="긴급",LEFT(Y67,2)="긴급",W67="필요",W67="완료"),"대상","")</f>
        <v/>
      </c>
      <c r="AA67" s="59" t="str">
        <f aca="false">IF(M67&lt;&gt;"",M67,IF(AK67&gt;0,IF(W67="필요","추가상담 대기","완료"),IF(AJ67&gt;0,"결과상담 대기",IF(AI67&gt;0,"측정 대기","미방문"))))</f>
        <v>미방문</v>
      </c>
      <c r="AB67" s="60" t="str">
        <f aca="false">IF($AI67=0,"",IF(INDEX(입력_운동!$A$5:$A$1004,$AI67)="","",INDEX(입력_운동!$A$5:$A$1004,$AI67)))</f>
        <v/>
      </c>
      <c r="AC67" s="60" t="str">
        <f aca="false">IF($AJ67=0,"",IF(INDEX(입력_측정!$A$5:$A$1004,$AJ67)="","",INDEX(입력_측정!$A$5:$A$1004,$AJ67)))</f>
        <v/>
      </c>
      <c r="AD67" s="60" t="str">
        <f aca="false">IF($AK67=0,"",IF(INDEX(입력_상담!$A$5:$A$1004,$AK67)="","",INDEX(입력_상담!$A$5:$A$1004,$AK67)))</f>
        <v/>
      </c>
      <c r="AE67" s="25" t="str">
        <f aca="false">IF(AND(ISNUMBER(AB67),ISNUMBER(AC67)),IF(AC67&gt;=AB67,ROUND((AC67-AB67)*1440,0),""),"")</f>
        <v/>
      </c>
      <c r="AF67" s="25" t="str">
        <f aca="false">IF(AND(ISNUMBER(AC67),ISNUMBER(AD67)),IF(AD67&gt;=AC67,ROUND((AD67-AC67)*1440,0),""),"")</f>
        <v/>
      </c>
      <c r="AG67" s="25" t="str">
        <f aca="false">IF(AND(AA67="완료",ISNUMBER(AB67),ISNUMBER(AD67)),IF(AD67&gt;=AB67,ROUND((AD67-AB67)*1440,0),""),"")</f>
        <v/>
      </c>
      <c r="AH67" s="61" t="str">
        <f aca="false">IF(AND(AK67&gt;0,AJ67=0),"측정 기록 없음",IF(AND(AJ67&gt;0,AI67=0),"운동평가 기록 없음",IF(OR(COUNTIF(입력_운동!$B$5:$B$1004,$A67)&gt;1,COUNTIF(입력_측정!$B$5:$B$1004,$A67)&gt;1),"중복 입력","")))</f>
        <v/>
      </c>
      <c r="AI67" s="62" t="n">
        <f aca="false">SUMPRODUCT(MAX((입력_운동!$B$5:$B$1004=$A67)*(ROW(입력_운동!$B$5:$B$1004)-4)))</f>
        <v>0</v>
      </c>
      <c r="AJ67" s="62" t="n">
        <f aca="false">SUMPRODUCT(MAX((입력_측정!$B$5:$B$1004=$A67)*(ROW(입력_측정!$B$5:$B$1004)-4)))</f>
        <v>0</v>
      </c>
      <c r="AK67" s="62" t="n">
        <f aca="false">SUMPRODUCT(MAX((입력_상담!$B$5:$B$1004=$A67)*(ROW(입력_상담!$B$5:$B$1004)-4)))</f>
        <v>0</v>
      </c>
    </row>
    <row r="68" customFormat="false" ht="15" hidden="false" customHeight="false" outlineLevel="0" collapsed="false">
      <c r="A68" s="55" t="n">
        <v>64</v>
      </c>
      <c r="B68" s="56"/>
      <c r="C68" s="24"/>
      <c r="D68" s="24"/>
      <c r="E68" s="56"/>
      <c r="F68" s="57"/>
      <c r="G68" s="58"/>
      <c r="H68" s="56"/>
      <c r="I68" s="24"/>
      <c r="J68" s="24"/>
      <c r="K68" s="24"/>
      <c r="L68" s="24"/>
      <c r="M68" s="24"/>
      <c r="N68" s="56"/>
      <c r="O68" s="25" t="str">
        <f aca="false">IF($AI68=0,"",IF(INDEX(입력_운동!$C$5:$C$1004,$AI68)="","",INDEX(입력_운동!$C$5:$C$1004,$AI68)))</f>
        <v/>
      </c>
      <c r="P68" s="25" t="str">
        <f aca="false">IF($AI68=0,"",IF(INDEX(입력_운동!$D$5:$D$1004,$AI68)="","",INDEX(입력_운동!$D$5:$D$1004,$AI68)))</f>
        <v/>
      </c>
      <c r="Q68" s="25" t="str">
        <f aca="false">IF($AI68=0,"",IF(INDEX(입력_운동!$E$5:$E$1004,$AI68)="","",INDEX(입력_운동!$E$5:$E$1004,$AI68)))</f>
        <v/>
      </c>
      <c r="R68" s="25" t="str">
        <f aca="false">IF($AI68=0,"",IF(INDEX(입력_운동!$F$5:$F$1004,$AI68)="","",INDEX(입력_운동!$F$5:$F$1004,$AI68)))</f>
        <v/>
      </c>
      <c r="S68" s="25" t="str">
        <f aca="false">IF($AJ68=0,"",IF(INDEX(입력_측정!$C$5:$C$1004,$AJ68)="","",INDEX(입력_측정!$C$5:$C$1004,$AJ68)))</f>
        <v/>
      </c>
      <c r="T68" s="25" t="str">
        <f aca="false">IF($AJ68=0,"",IF(INDEX(입력_측정!$D$5:$D$1004,$AJ68)="","",INDEX(입력_측정!$D$5:$D$1004,$AJ68)))</f>
        <v/>
      </c>
      <c r="U68" s="25" t="str">
        <f aca="false">IF($AJ68=0,"",IF(INDEX(입력_측정!$E$5:$E$1004,$AJ68)="","",INDEX(입력_측정!$E$5:$E$1004,$AJ68)))</f>
        <v/>
      </c>
      <c r="V68" s="25" t="str">
        <f aca="false">IF($AJ68=0,"",IF(INDEX(입력_측정!$F$5:$F$1004,$AJ68)="","",INDEX(입력_측정!$F$5:$F$1004,$AJ68)))</f>
        <v/>
      </c>
      <c r="W68" s="25" t="str">
        <f aca="false">IF($AK68=0,"",IF(INDEX(입력_상담!$D$5:$D$1004,$AK68)="","",INDEX(입력_상담!$D$5:$D$1004,$AK68)))</f>
        <v/>
      </c>
      <c r="X68" s="25" t="str">
        <f aca="false">IF($AJ68=0,"",IF(INDEX(입력_측정!$I$5:$I$1004,$AJ68)="","",INDEX(입력_측정!$I$5:$I$1004,$AJ68)))</f>
        <v/>
      </c>
      <c r="Y68" s="25" t="str">
        <f aca="false">IF($AJ68=0,"",IF(INDEX(입력_측정!$J$5:$J$1004,$AJ68)="","",INDEX(입력_측정!$J$5:$J$1004,$AJ68)))</f>
        <v/>
      </c>
      <c r="Z68" s="25" t="str">
        <f aca="false">IF(OR(X68="긴급",LEFT(Y68,2)="긴급",W68="필요",W68="완료"),"대상","")</f>
        <v/>
      </c>
      <c r="AA68" s="59" t="str">
        <f aca="false">IF(M68&lt;&gt;"",M68,IF(AK68&gt;0,IF(W68="필요","추가상담 대기","완료"),IF(AJ68&gt;0,"결과상담 대기",IF(AI68&gt;0,"측정 대기","미방문"))))</f>
        <v>미방문</v>
      </c>
      <c r="AB68" s="60" t="str">
        <f aca="false">IF($AI68=0,"",IF(INDEX(입력_운동!$A$5:$A$1004,$AI68)="","",INDEX(입력_운동!$A$5:$A$1004,$AI68)))</f>
        <v/>
      </c>
      <c r="AC68" s="60" t="str">
        <f aca="false">IF($AJ68=0,"",IF(INDEX(입력_측정!$A$5:$A$1004,$AJ68)="","",INDEX(입력_측정!$A$5:$A$1004,$AJ68)))</f>
        <v/>
      </c>
      <c r="AD68" s="60" t="str">
        <f aca="false">IF($AK68=0,"",IF(INDEX(입력_상담!$A$5:$A$1004,$AK68)="","",INDEX(입력_상담!$A$5:$A$1004,$AK68)))</f>
        <v/>
      </c>
      <c r="AE68" s="25" t="str">
        <f aca="false">IF(AND(ISNUMBER(AB68),ISNUMBER(AC68)),IF(AC68&gt;=AB68,ROUND((AC68-AB68)*1440,0),""),"")</f>
        <v/>
      </c>
      <c r="AF68" s="25" t="str">
        <f aca="false">IF(AND(ISNUMBER(AC68),ISNUMBER(AD68)),IF(AD68&gt;=AC68,ROUND((AD68-AC68)*1440,0),""),"")</f>
        <v/>
      </c>
      <c r="AG68" s="25" t="str">
        <f aca="false">IF(AND(AA68="완료",ISNUMBER(AB68),ISNUMBER(AD68)),IF(AD68&gt;=AB68,ROUND((AD68-AB68)*1440,0),""),"")</f>
        <v/>
      </c>
      <c r="AH68" s="61" t="str">
        <f aca="false">IF(AND(AK68&gt;0,AJ68=0),"측정 기록 없음",IF(AND(AJ68&gt;0,AI68=0),"운동평가 기록 없음",IF(OR(COUNTIF(입력_운동!$B$5:$B$1004,$A68)&gt;1,COUNTIF(입력_측정!$B$5:$B$1004,$A68)&gt;1),"중복 입력","")))</f>
        <v/>
      </c>
      <c r="AI68" s="62" t="n">
        <f aca="false">SUMPRODUCT(MAX((입력_운동!$B$5:$B$1004=$A68)*(ROW(입력_운동!$B$5:$B$1004)-4)))</f>
        <v>0</v>
      </c>
      <c r="AJ68" s="62" t="n">
        <f aca="false">SUMPRODUCT(MAX((입력_측정!$B$5:$B$1004=$A68)*(ROW(입력_측정!$B$5:$B$1004)-4)))</f>
        <v>0</v>
      </c>
      <c r="AK68" s="62" t="n">
        <f aca="false">SUMPRODUCT(MAX((입력_상담!$B$5:$B$1004=$A68)*(ROW(입력_상담!$B$5:$B$1004)-4)))</f>
        <v>0</v>
      </c>
    </row>
    <row r="69" customFormat="false" ht="15" hidden="false" customHeight="false" outlineLevel="0" collapsed="false">
      <c r="A69" s="55" t="n">
        <v>65</v>
      </c>
      <c r="B69" s="56"/>
      <c r="C69" s="24"/>
      <c r="D69" s="24"/>
      <c r="E69" s="56"/>
      <c r="F69" s="57"/>
      <c r="G69" s="58"/>
      <c r="H69" s="56"/>
      <c r="I69" s="24"/>
      <c r="J69" s="24"/>
      <c r="K69" s="24"/>
      <c r="L69" s="24"/>
      <c r="M69" s="24"/>
      <c r="N69" s="56"/>
      <c r="O69" s="25" t="str">
        <f aca="false">IF($AI69=0,"",IF(INDEX(입력_운동!$C$5:$C$1004,$AI69)="","",INDEX(입력_운동!$C$5:$C$1004,$AI69)))</f>
        <v/>
      </c>
      <c r="P69" s="25" t="str">
        <f aca="false">IF($AI69=0,"",IF(INDEX(입력_운동!$D$5:$D$1004,$AI69)="","",INDEX(입력_운동!$D$5:$D$1004,$AI69)))</f>
        <v/>
      </c>
      <c r="Q69" s="25" t="str">
        <f aca="false">IF($AI69=0,"",IF(INDEX(입력_운동!$E$5:$E$1004,$AI69)="","",INDEX(입력_운동!$E$5:$E$1004,$AI69)))</f>
        <v/>
      </c>
      <c r="R69" s="25" t="str">
        <f aca="false">IF($AI69=0,"",IF(INDEX(입력_운동!$F$5:$F$1004,$AI69)="","",INDEX(입력_운동!$F$5:$F$1004,$AI69)))</f>
        <v/>
      </c>
      <c r="S69" s="25" t="str">
        <f aca="false">IF($AJ69=0,"",IF(INDEX(입력_측정!$C$5:$C$1004,$AJ69)="","",INDEX(입력_측정!$C$5:$C$1004,$AJ69)))</f>
        <v/>
      </c>
      <c r="T69" s="25" t="str">
        <f aca="false">IF($AJ69=0,"",IF(INDEX(입력_측정!$D$5:$D$1004,$AJ69)="","",INDEX(입력_측정!$D$5:$D$1004,$AJ69)))</f>
        <v/>
      </c>
      <c r="U69" s="25" t="str">
        <f aca="false">IF($AJ69=0,"",IF(INDEX(입력_측정!$E$5:$E$1004,$AJ69)="","",INDEX(입력_측정!$E$5:$E$1004,$AJ69)))</f>
        <v/>
      </c>
      <c r="V69" s="25" t="str">
        <f aca="false">IF($AJ69=0,"",IF(INDEX(입력_측정!$F$5:$F$1004,$AJ69)="","",INDEX(입력_측정!$F$5:$F$1004,$AJ69)))</f>
        <v/>
      </c>
      <c r="W69" s="25" t="str">
        <f aca="false">IF($AK69=0,"",IF(INDEX(입력_상담!$D$5:$D$1004,$AK69)="","",INDEX(입력_상담!$D$5:$D$1004,$AK69)))</f>
        <v/>
      </c>
      <c r="X69" s="25" t="str">
        <f aca="false">IF($AJ69=0,"",IF(INDEX(입력_측정!$I$5:$I$1004,$AJ69)="","",INDEX(입력_측정!$I$5:$I$1004,$AJ69)))</f>
        <v/>
      </c>
      <c r="Y69" s="25" t="str">
        <f aca="false">IF($AJ69=0,"",IF(INDEX(입력_측정!$J$5:$J$1004,$AJ69)="","",INDEX(입력_측정!$J$5:$J$1004,$AJ69)))</f>
        <v/>
      </c>
      <c r="Z69" s="25" t="str">
        <f aca="false">IF(OR(X69="긴급",LEFT(Y69,2)="긴급",W69="필요",W69="완료"),"대상","")</f>
        <v/>
      </c>
      <c r="AA69" s="59" t="str">
        <f aca="false">IF(M69&lt;&gt;"",M69,IF(AK69&gt;0,IF(W69="필요","추가상담 대기","완료"),IF(AJ69&gt;0,"결과상담 대기",IF(AI69&gt;0,"측정 대기","미방문"))))</f>
        <v>미방문</v>
      </c>
      <c r="AB69" s="60" t="str">
        <f aca="false">IF($AI69=0,"",IF(INDEX(입력_운동!$A$5:$A$1004,$AI69)="","",INDEX(입력_운동!$A$5:$A$1004,$AI69)))</f>
        <v/>
      </c>
      <c r="AC69" s="60" t="str">
        <f aca="false">IF($AJ69=0,"",IF(INDEX(입력_측정!$A$5:$A$1004,$AJ69)="","",INDEX(입력_측정!$A$5:$A$1004,$AJ69)))</f>
        <v/>
      </c>
      <c r="AD69" s="60" t="str">
        <f aca="false">IF($AK69=0,"",IF(INDEX(입력_상담!$A$5:$A$1004,$AK69)="","",INDEX(입력_상담!$A$5:$A$1004,$AK69)))</f>
        <v/>
      </c>
      <c r="AE69" s="25" t="str">
        <f aca="false">IF(AND(ISNUMBER(AB69),ISNUMBER(AC69)),IF(AC69&gt;=AB69,ROUND((AC69-AB69)*1440,0),""),"")</f>
        <v/>
      </c>
      <c r="AF69" s="25" t="str">
        <f aca="false">IF(AND(ISNUMBER(AC69),ISNUMBER(AD69)),IF(AD69&gt;=AC69,ROUND((AD69-AC69)*1440,0),""),"")</f>
        <v/>
      </c>
      <c r="AG69" s="25" t="str">
        <f aca="false">IF(AND(AA69="완료",ISNUMBER(AB69),ISNUMBER(AD69)),IF(AD69&gt;=AB69,ROUND((AD69-AB69)*1440,0),""),"")</f>
        <v/>
      </c>
      <c r="AH69" s="61" t="str">
        <f aca="false">IF(AND(AK69&gt;0,AJ69=0),"측정 기록 없음",IF(AND(AJ69&gt;0,AI69=0),"운동평가 기록 없음",IF(OR(COUNTIF(입력_운동!$B$5:$B$1004,$A69)&gt;1,COUNTIF(입력_측정!$B$5:$B$1004,$A69)&gt;1),"중복 입력","")))</f>
        <v/>
      </c>
      <c r="AI69" s="62" t="n">
        <f aca="false">SUMPRODUCT(MAX((입력_운동!$B$5:$B$1004=$A69)*(ROW(입력_운동!$B$5:$B$1004)-4)))</f>
        <v>0</v>
      </c>
      <c r="AJ69" s="62" t="n">
        <f aca="false">SUMPRODUCT(MAX((입력_측정!$B$5:$B$1004=$A69)*(ROW(입력_측정!$B$5:$B$1004)-4)))</f>
        <v>0</v>
      </c>
      <c r="AK69" s="62" t="n">
        <f aca="false">SUMPRODUCT(MAX((입력_상담!$B$5:$B$1004=$A69)*(ROW(입력_상담!$B$5:$B$1004)-4)))</f>
        <v>0</v>
      </c>
    </row>
    <row r="70" customFormat="false" ht="15" hidden="false" customHeight="false" outlineLevel="0" collapsed="false">
      <c r="A70" s="55" t="n">
        <v>66</v>
      </c>
      <c r="B70" s="56"/>
      <c r="C70" s="24"/>
      <c r="D70" s="24"/>
      <c r="E70" s="56"/>
      <c r="F70" s="57"/>
      <c r="G70" s="58"/>
      <c r="H70" s="56"/>
      <c r="I70" s="24"/>
      <c r="J70" s="24"/>
      <c r="K70" s="24"/>
      <c r="L70" s="24"/>
      <c r="M70" s="24"/>
      <c r="N70" s="56"/>
      <c r="O70" s="25" t="str">
        <f aca="false">IF($AI70=0,"",IF(INDEX(입력_운동!$C$5:$C$1004,$AI70)="","",INDEX(입력_운동!$C$5:$C$1004,$AI70)))</f>
        <v/>
      </c>
      <c r="P70" s="25" t="str">
        <f aca="false">IF($AI70=0,"",IF(INDEX(입력_운동!$D$5:$D$1004,$AI70)="","",INDEX(입력_운동!$D$5:$D$1004,$AI70)))</f>
        <v/>
      </c>
      <c r="Q70" s="25" t="str">
        <f aca="false">IF($AI70=0,"",IF(INDEX(입력_운동!$E$5:$E$1004,$AI70)="","",INDEX(입력_운동!$E$5:$E$1004,$AI70)))</f>
        <v/>
      </c>
      <c r="R70" s="25" t="str">
        <f aca="false">IF($AI70=0,"",IF(INDEX(입력_운동!$F$5:$F$1004,$AI70)="","",INDEX(입력_운동!$F$5:$F$1004,$AI70)))</f>
        <v/>
      </c>
      <c r="S70" s="25" t="str">
        <f aca="false">IF($AJ70=0,"",IF(INDEX(입력_측정!$C$5:$C$1004,$AJ70)="","",INDEX(입력_측정!$C$5:$C$1004,$AJ70)))</f>
        <v/>
      </c>
      <c r="T70" s="25" t="str">
        <f aca="false">IF($AJ70=0,"",IF(INDEX(입력_측정!$D$5:$D$1004,$AJ70)="","",INDEX(입력_측정!$D$5:$D$1004,$AJ70)))</f>
        <v/>
      </c>
      <c r="U70" s="25" t="str">
        <f aca="false">IF($AJ70=0,"",IF(INDEX(입력_측정!$E$5:$E$1004,$AJ70)="","",INDEX(입력_측정!$E$5:$E$1004,$AJ70)))</f>
        <v/>
      </c>
      <c r="V70" s="25" t="str">
        <f aca="false">IF($AJ70=0,"",IF(INDEX(입력_측정!$F$5:$F$1004,$AJ70)="","",INDEX(입력_측정!$F$5:$F$1004,$AJ70)))</f>
        <v/>
      </c>
      <c r="W70" s="25" t="str">
        <f aca="false">IF($AK70=0,"",IF(INDEX(입력_상담!$D$5:$D$1004,$AK70)="","",INDEX(입력_상담!$D$5:$D$1004,$AK70)))</f>
        <v/>
      </c>
      <c r="X70" s="25" t="str">
        <f aca="false">IF($AJ70=0,"",IF(INDEX(입력_측정!$I$5:$I$1004,$AJ70)="","",INDEX(입력_측정!$I$5:$I$1004,$AJ70)))</f>
        <v/>
      </c>
      <c r="Y70" s="25" t="str">
        <f aca="false">IF($AJ70=0,"",IF(INDEX(입력_측정!$J$5:$J$1004,$AJ70)="","",INDEX(입력_측정!$J$5:$J$1004,$AJ70)))</f>
        <v/>
      </c>
      <c r="Z70" s="25" t="str">
        <f aca="false">IF(OR(X70="긴급",LEFT(Y70,2)="긴급",W70="필요",W70="완료"),"대상","")</f>
        <v/>
      </c>
      <c r="AA70" s="59" t="str">
        <f aca="false">IF(M70&lt;&gt;"",M70,IF(AK70&gt;0,IF(W70="필요","추가상담 대기","완료"),IF(AJ70&gt;0,"결과상담 대기",IF(AI70&gt;0,"측정 대기","미방문"))))</f>
        <v>미방문</v>
      </c>
      <c r="AB70" s="60" t="str">
        <f aca="false">IF($AI70=0,"",IF(INDEX(입력_운동!$A$5:$A$1004,$AI70)="","",INDEX(입력_운동!$A$5:$A$1004,$AI70)))</f>
        <v/>
      </c>
      <c r="AC70" s="60" t="str">
        <f aca="false">IF($AJ70=0,"",IF(INDEX(입력_측정!$A$5:$A$1004,$AJ70)="","",INDEX(입력_측정!$A$5:$A$1004,$AJ70)))</f>
        <v/>
      </c>
      <c r="AD70" s="60" t="str">
        <f aca="false">IF($AK70=0,"",IF(INDEX(입력_상담!$A$5:$A$1004,$AK70)="","",INDEX(입력_상담!$A$5:$A$1004,$AK70)))</f>
        <v/>
      </c>
      <c r="AE70" s="25" t="str">
        <f aca="false">IF(AND(ISNUMBER(AB70),ISNUMBER(AC70)),IF(AC70&gt;=AB70,ROUND((AC70-AB70)*1440,0),""),"")</f>
        <v/>
      </c>
      <c r="AF70" s="25" t="str">
        <f aca="false">IF(AND(ISNUMBER(AC70),ISNUMBER(AD70)),IF(AD70&gt;=AC70,ROUND((AD70-AC70)*1440,0),""),"")</f>
        <v/>
      </c>
      <c r="AG70" s="25" t="str">
        <f aca="false">IF(AND(AA70="완료",ISNUMBER(AB70),ISNUMBER(AD70)),IF(AD70&gt;=AB70,ROUND((AD70-AB70)*1440,0),""),"")</f>
        <v/>
      </c>
      <c r="AH70" s="61" t="str">
        <f aca="false">IF(AND(AK70&gt;0,AJ70=0),"측정 기록 없음",IF(AND(AJ70&gt;0,AI70=0),"운동평가 기록 없음",IF(OR(COUNTIF(입력_운동!$B$5:$B$1004,$A70)&gt;1,COUNTIF(입력_측정!$B$5:$B$1004,$A70)&gt;1),"중복 입력","")))</f>
        <v/>
      </c>
      <c r="AI70" s="62" t="n">
        <f aca="false">SUMPRODUCT(MAX((입력_운동!$B$5:$B$1004=$A70)*(ROW(입력_운동!$B$5:$B$1004)-4)))</f>
        <v>0</v>
      </c>
      <c r="AJ70" s="62" t="n">
        <f aca="false">SUMPRODUCT(MAX((입력_측정!$B$5:$B$1004=$A70)*(ROW(입력_측정!$B$5:$B$1004)-4)))</f>
        <v>0</v>
      </c>
      <c r="AK70" s="62" t="n">
        <f aca="false">SUMPRODUCT(MAX((입력_상담!$B$5:$B$1004=$A70)*(ROW(입력_상담!$B$5:$B$1004)-4)))</f>
        <v>0</v>
      </c>
    </row>
    <row r="71" customFormat="false" ht="15" hidden="false" customHeight="false" outlineLevel="0" collapsed="false">
      <c r="A71" s="55" t="n">
        <v>67</v>
      </c>
      <c r="B71" s="56"/>
      <c r="C71" s="24"/>
      <c r="D71" s="24"/>
      <c r="E71" s="56"/>
      <c r="F71" s="57"/>
      <c r="G71" s="58"/>
      <c r="H71" s="56"/>
      <c r="I71" s="24"/>
      <c r="J71" s="24"/>
      <c r="K71" s="24"/>
      <c r="L71" s="24"/>
      <c r="M71" s="24"/>
      <c r="N71" s="56"/>
      <c r="O71" s="25" t="str">
        <f aca="false">IF($AI71=0,"",IF(INDEX(입력_운동!$C$5:$C$1004,$AI71)="","",INDEX(입력_운동!$C$5:$C$1004,$AI71)))</f>
        <v/>
      </c>
      <c r="P71" s="25" t="str">
        <f aca="false">IF($AI71=0,"",IF(INDEX(입력_운동!$D$5:$D$1004,$AI71)="","",INDEX(입력_운동!$D$5:$D$1004,$AI71)))</f>
        <v/>
      </c>
      <c r="Q71" s="25" t="str">
        <f aca="false">IF($AI71=0,"",IF(INDEX(입력_운동!$E$5:$E$1004,$AI71)="","",INDEX(입력_운동!$E$5:$E$1004,$AI71)))</f>
        <v/>
      </c>
      <c r="R71" s="25" t="str">
        <f aca="false">IF($AI71=0,"",IF(INDEX(입력_운동!$F$5:$F$1004,$AI71)="","",INDEX(입력_운동!$F$5:$F$1004,$AI71)))</f>
        <v/>
      </c>
      <c r="S71" s="25" t="str">
        <f aca="false">IF($AJ71=0,"",IF(INDEX(입력_측정!$C$5:$C$1004,$AJ71)="","",INDEX(입력_측정!$C$5:$C$1004,$AJ71)))</f>
        <v/>
      </c>
      <c r="T71" s="25" t="str">
        <f aca="false">IF($AJ71=0,"",IF(INDEX(입력_측정!$D$5:$D$1004,$AJ71)="","",INDEX(입력_측정!$D$5:$D$1004,$AJ71)))</f>
        <v/>
      </c>
      <c r="U71" s="25" t="str">
        <f aca="false">IF($AJ71=0,"",IF(INDEX(입력_측정!$E$5:$E$1004,$AJ71)="","",INDEX(입력_측정!$E$5:$E$1004,$AJ71)))</f>
        <v/>
      </c>
      <c r="V71" s="25" t="str">
        <f aca="false">IF($AJ71=0,"",IF(INDEX(입력_측정!$F$5:$F$1004,$AJ71)="","",INDEX(입력_측정!$F$5:$F$1004,$AJ71)))</f>
        <v/>
      </c>
      <c r="W71" s="25" t="str">
        <f aca="false">IF($AK71=0,"",IF(INDEX(입력_상담!$D$5:$D$1004,$AK71)="","",INDEX(입력_상담!$D$5:$D$1004,$AK71)))</f>
        <v/>
      </c>
      <c r="X71" s="25" t="str">
        <f aca="false">IF($AJ71=0,"",IF(INDEX(입력_측정!$I$5:$I$1004,$AJ71)="","",INDEX(입력_측정!$I$5:$I$1004,$AJ71)))</f>
        <v/>
      </c>
      <c r="Y71" s="25" t="str">
        <f aca="false">IF($AJ71=0,"",IF(INDEX(입력_측정!$J$5:$J$1004,$AJ71)="","",INDEX(입력_측정!$J$5:$J$1004,$AJ71)))</f>
        <v/>
      </c>
      <c r="Z71" s="25" t="str">
        <f aca="false">IF(OR(X71="긴급",LEFT(Y71,2)="긴급",W71="필요",W71="완료"),"대상","")</f>
        <v/>
      </c>
      <c r="AA71" s="59" t="str">
        <f aca="false">IF(M71&lt;&gt;"",M71,IF(AK71&gt;0,IF(W71="필요","추가상담 대기","완료"),IF(AJ71&gt;0,"결과상담 대기",IF(AI71&gt;0,"측정 대기","미방문"))))</f>
        <v>미방문</v>
      </c>
      <c r="AB71" s="60" t="str">
        <f aca="false">IF($AI71=0,"",IF(INDEX(입력_운동!$A$5:$A$1004,$AI71)="","",INDEX(입력_운동!$A$5:$A$1004,$AI71)))</f>
        <v/>
      </c>
      <c r="AC71" s="60" t="str">
        <f aca="false">IF($AJ71=0,"",IF(INDEX(입력_측정!$A$5:$A$1004,$AJ71)="","",INDEX(입력_측정!$A$5:$A$1004,$AJ71)))</f>
        <v/>
      </c>
      <c r="AD71" s="60" t="str">
        <f aca="false">IF($AK71=0,"",IF(INDEX(입력_상담!$A$5:$A$1004,$AK71)="","",INDEX(입력_상담!$A$5:$A$1004,$AK71)))</f>
        <v/>
      </c>
      <c r="AE71" s="25" t="str">
        <f aca="false">IF(AND(ISNUMBER(AB71),ISNUMBER(AC71)),IF(AC71&gt;=AB71,ROUND((AC71-AB71)*1440,0),""),"")</f>
        <v/>
      </c>
      <c r="AF71" s="25" t="str">
        <f aca="false">IF(AND(ISNUMBER(AC71),ISNUMBER(AD71)),IF(AD71&gt;=AC71,ROUND((AD71-AC71)*1440,0),""),"")</f>
        <v/>
      </c>
      <c r="AG71" s="25" t="str">
        <f aca="false">IF(AND(AA71="완료",ISNUMBER(AB71),ISNUMBER(AD71)),IF(AD71&gt;=AB71,ROUND((AD71-AB71)*1440,0),""),"")</f>
        <v/>
      </c>
      <c r="AH71" s="61" t="str">
        <f aca="false">IF(AND(AK71&gt;0,AJ71=0),"측정 기록 없음",IF(AND(AJ71&gt;0,AI71=0),"운동평가 기록 없음",IF(OR(COUNTIF(입력_운동!$B$5:$B$1004,$A71)&gt;1,COUNTIF(입력_측정!$B$5:$B$1004,$A71)&gt;1),"중복 입력","")))</f>
        <v/>
      </c>
      <c r="AI71" s="62" t="n">
        <f aca="false">SUMPRODUCT(MAX((입력_운동!$B$5:$B$1004=$A71)*(ROW(입력_운동!$B$5:$B$1004)-4)))</f>
        <v>0</v>
      </c>
      <c r="AJ71" s="62" t="n">
        <f aca="false">SUMPRODUCT(MAX((입력_측정!$B$5:$B$1004=$A71)*(ROW(입력_측정!$B$5:$B$1004)-4)))</f>
        <v>0</v>
      </c>
      <c r="AK71" s="62" t="n">
        <f aca="false">SUMPRODUCT(MAX((입력_상담!$B$5:$B$1004=$A71)*(ROW(입력_상담!$B$5:$B$1004)-4)))</f>
        <v>0</v>
      </c>
    </row>
    <row r="72" customFormat="false" ht="15" hidden="false" customHeight="false" outlineLevel="0" collapsed="false">
      <c r="A72" s="55" t="n">
        <v>68</v>
      </c>
      <c r="B72" s="56"/>
      <c r="C72" s="24"/>
      <c r="D72" s="24"/>
      <c r="E72" s="56"/>
      <c r="F72" s="57"/>
      <c r="G72" s="58"/>
      <c r="H72" s="56"/>
      <c r="I72" s="24"/>
      <c r="J72" s="24"/>
      <c r="K72" s="24"/>
      <c r="L72" s="24"/>
      <c r="M72" s="24"/>
      <c r="N72" s="56"/>
      <c r="O72" s="25" t="str">
        <f aca="false">IF($AI72=0,"",IF(INDEX(입력_운동!$C$5:$C$1004,$AI72)="","",INDEX(입력_운동!$C$5:$C$1004,$AI72)))</f>
        <v/>
      </c>
      <c r="P72" s="25" t="str">
        <f aca="false">IF($AI72=0,"",IF(INDEX(입력_운동!$D$5:$D$1004,$AI72)="","",INDEX(입력_운동!$D$5:$D$1004,$AI72)))</f>
        <v/>
      </c>
      <c r="Q72" s="25" t="str">
        <f aca="false">IF($AI72=0,"",IF(INDEX(입력_운동!$E$5:$E$1004,$AI72)="","",INDEX(입력_운동!$E$5:$E$1004,$AI72)))</f>
        <v/>
      </c>
      <c r="R72" s="25" t="str">
        <f aca="false">IF($AI72=0,"",IF(INDEX(입력_운동!$F$5:$F$1004,$AI72)="","",INDEX(입력_운동!$F$5:$F$1004,$AI72)))</f>
        <v/>
      </c>
      <c r="S72" s="25" t="str">
        <f aca="false">IF($AJ72=0,"",IF(INDEX(입력_측정!$C$5:$C$1004,$AJ72)="","",INDEX(입력_측정!$C$5:$C$1004,$AJ72)))</f>
        <v/>
      </c>
      <c r="T72" s="25" t="str">
        <f aca="false">IF($AJ72=0,"",IF(INDEX(입력_측정!$D$5:$D$1004,$AJ72)="","",INDEX(입력_측정!$D$5:$D$1004,$AJ72)))</f>
        <v/>
      </c>
      <c r="U72" s="25" t="str">
        <f aca="false">IF($AJ72=0,"",IF(INDEX(입력_측정!$E$5:$E$1004,$AJ72)="","",INDEX(입력_측정!$E$5:$E$1004,$AJ72)))</f>
        <v/>
      </c>
      <c r="V72" s="25" t="str">
        <f aca="false">IF($AJ72=0,"",IF(INDEX(입력_측정!$F$5:$F$1004,$AJ72)="","",INDEX(입력_측정!$F$5:$F$1004,$AJ72)))</f>
        <v/>
      </c>
      <c r="W72" s="25" t="str">
        <f aca="false">IF($AK72=0,"",IF(INDEX(입력_상담!$D$5:$D$1004,$AK72)="","",INDEX(입력_상담!$D$5:$D$1004,$AK72)))</f>
        <v/>
      </c>
      <c r="X72" s="25" t="str">
        <f aca="false">IF($AJ72=0,"",IF(INDEX(입력_측정!$I$5:$I$1004,$AJ72)="","",INDEX(입력_측정!$I$5:$I$1004,$AJ72)))</f>
        <v/>
      </c>
      <c r="Y72" s="25" t="str">
        <f aca="false">IF($AJ72=0,"",IF(INDEX(입력_측정!$J$5:$J$1004,$AJ72)="","",INDEX(입력_측정!$J$5:$J$1004,$AJ72)))</f>
        <v/>
      </c>
      <c r="Z72" s="25" t="str">
        <f aca="false">IF(OR(X72="긴급",LEFT(Y72,2)="긴급",W72="필요",W72="완료"),"대상","")</f>
        <v/>
      </c>
      <c r="AA72" s="59" t="str">
        <f aca="false">IF(M72&lt;&gt;"",M72,IF(AK72&gt;0,IF(W72="필요","추가상담 대기","완료"),IF(AJ72&gt;0,"결과상담 대기",IF(AI72&gt;0,"측정 대기","미방문"))))</f>
        <v>미방문</v>
      </c>
      <c r="AB72" s="60" t="str">
        <f aca="false">IF($AI72=0,"",IF(INDEX(입력_운동!$A$5:$A$1004,$AI72)="","",INDEX(입력_운동!$A$5:$A$1004,$AI72)))</f>
        <v/>
      </c>
      <c r="AC72" s="60" t="str">
        <f aca="false">IF($AJ72=0,"",IF(INDEX(입력_측정!$A$5:$A$1004,$AJ72)="","",INDEX(입력_측정!$A$5:$A$1004,$AJ72)))</f>
        <v/>
      </c>
      <c r="AD72" s="60" t="str">
        <f aca="false">IF($AK72=0,"",IF(INDEX(입력_상담!$A$5:$A$1004,$AK72)="","",INDEX(입력_상담!$A$5:$A$1004,$AK72)))</f>
        <v/>
      </c>
      <c r="AE72" s="25" t="str">
        <f aca="false">IF(AND(ISNUMBER(AB72),ISNUMBER(AC72)),IF(AC72&gt;=AB72,ROUND((AC72-AB72)*1440,0),""),"")</f>
        <v/>
      </c>
      <c r="AF72" s="25" t="str">
        <f aca="false">IF(AND(ISNUMBER(AC72),ISNUMBER(AD72)),IF(AD72&gt;=AC72,ROUND((AD72-AC72)*1440,0),""),"")</f>
        <v/>
      </c>
      <c r="AG72" s="25" t="str">
        <f aca="false">IF(AND(AA72="완료",ISNUMBER(AB72),ISNUMBER(AD72)),IF(AD72&gt;=AB72,ROUND((AD72-AB72)*1440,0),""),"")</f>
        <v/>
      </c>
      <c r="AH72" s="61" t="str">
        <f aca="false">IF(AND(AK72&gt;0,AJ72=0),"측정 기록 없음",IF(AND(AJ72&gt;0,AI72=0),"운동평가 기록 없음",IF(OR(COUNTIF(입력_운동!$B$5:$B$1004,$A72)&gt;1,COUNTIF(입력_측정!$B$5:$B$1004,$A72)&gt;1),"중복 입력","")))</f>
        <v/>
      </c>
      <c r="AI72" s="62" t="n">
        <f aca="false">SUMPRODUCT(MAX((입력_운동!$B$5:$B$1004=$A72)*(ROW(입력_운동!$B$5:$B$1004)-4)))</f>
        <v>0</v>
      </c>
      <c r="AJ72" s="62" t="n">
        <f aca="false">SUMPRODUCT(MAX((입력_측정!$B$5:$B$1004=$A72)*(ROW(입력_측정!$B$5:$B$1004)-4)))</f>
        <v>0</v>
      </c>
      <c r="AK72" s="62" t="n">
        <f aca="false">SUMPRODUCT(MAX((입력_상담!$B$5:$B$1004=$A72)*(ROW(입력_상담!$B$5:$B$1004)-4)))</f>
        <v>0</v>
      </c>
    </row>
    <row r="73" customFormat="false" ht="15" hidden="false" customHeight="false" outlineLevel="0" collapsed="false">
      <c r="A73" s="55" t="n">
        <v>69</v>
      </c>
      <c r="B73" s="56"/>
      <c r="C73" s="24"/>
      <c r="D73" s="24"/>
      <c r="E73" s="56"/>
      <c r="F73" s="57"/>
      <c r="G73" s="58"/>
      <c r="H73" s="56"/>
      <c r="I73" s="24"/>
      <c r="J73" s="24"/>
      <c r="K73" s="24"/>
      <c r="L73" s="24"/>
      <c r="M73" s="24"/>
      <c r="N73" s="56"/>
      <c r="O73" s="25" t="str">
        <f aca="false">IF($AI73=0,"",IF(INDEX(입력_운동!$C$5:$C$1004,$AI73)="","",INDEX(입력_운동!$C$5:$C$1004,$AI73)))</f>
        <v/>
      </c>
      <c r="P73" s="25" t="str">
        <f aca="false">IF($AI73=0,"",IF(INDEX(입력_운동!$D$5:$D$1004,$AI73)="","",INDEX(입력_운동!$D$5:$D$1004,$AI73)))</f>
        <v/>
      </c>
      <c r="Q73" s="25" t="str">
        <f aca="false">IF($AI73=0,"",IF(INDEX(입력_운동!$E$5:$E$1004,$AI73)="","",INDEX(입력_운동!$E$5:$E$1004,$AI73)))</f>
        <v/>
      </c>
      <c r="R73" s="25" t="str">
        <f aca="false">IF($AI73=0,"",IF(INDEX(입력_운동!$F$5:$F$1004,$AI73)="","",INDEX(입력_운동!$F$5:$F$1004,$AI73)))</f>
        <v/>
      </c>
      <c r="S73" s="25" t="str">
        <f aca="false">IF($AJ73=0,"",IF(INDEX(입력_측정!$C$5:$C$1004,$AJ73)="","",INDEX(입력_측정!$C$5:$C$1004,$AJ73)))</f>
        <v/>
      </c>
      <c r="T73" s="25" t="str">
        <f aca="false">IF($AJ73=0,"",IF(INDEX(입력_측정!$D$5:$D$1004,$AJ73)="","",INDEX(입력_측정!$D$5:$D$1004,$AJ73)))</f>
        <v/>
      </c>
      <c r="U73" s="25" t="str">
        <f aca="false">IF($AJ73=0,"",IF(INDEX(입력_측정!$E$5:$E$1004,$AJ73)="","",INDEX(입력_측정!$E$5:$E$1004,$AJ73)))</f>
        <v/>
      </c>
      <c r="V73" s="25" t="str">
        <f aca="false">IF($AJ73=0,"",IF(INDEX(입력_측정!$F$5:$F$1004,$AJ73)="","",INDEX(입력_측정!$F$5:$F$1004,$AJ73)))</f>
        <v/>
      </c>
      <c r="W73" s="25" t="str">
        <f aca="false">IF($AK73=0,"",IF(INDEX(입력_상담!$D$5:$D$1004,$AK73)="","",INDEX(입력_상담!$D$5:$D$1004,$AK73)))</f>
        <v/>
      </c>
      <c r="X73" s="25" t="str">
        <f aca="false">IF($AJ73=0,"",IF(INDEX(입력_측정!$I$5:$I$1004,$AJ73)="","",INDEX(입력_측정!$I$5:$I$1004,$AJ73)))</f>
        <v/>
      </c>
      <c r="Y73" s="25" t="str">
        <f aca="false">IF($AJ73=0,"",IF(INDEX(입력_측정!$J$5:$J$1004,$AJ73)="","",INDEX(입력_측정!$J$5:$J$1004,$AJ73)))</f>
        <v/>
      </c>
      <c r="Z73" s="25" t="str">
        <f aca="false">IF(OR(X73="긴급",LEFT(Y73,2)="긴급",W73="필요",W73="완료"),"대상","")</f>
        <v/>
      </c>
      <c r="AA73" s="59" t="str">
        <f aca="false">IF(M73&lt;&gt;"",M73,IF(AK73&gt;0,IF(W73="필요","추가상담 대기","완료"),IF(AJ73&gt;0,"결과상담 대기",IF(AI73&gt;0,"측정 대기","미방문"))))</f>
        <v>미방문</v>
      </c>
      <c r="AB73" s="60" t="str">
        <f aca="false">IF($AI73=0,"",IF(INDEX(입력_운동!$A$5:$A$1004,$AI73)="","",INDEX(입력_운동!$A$5:$A$1004,$AI73)))</f>
        <v/>
      </c>
      <c r="AC73" s="60" t="str">
        <f aca="false">IF($AJ73=0,"",IF(INDEX(입력_측정!$A$5:$A$1004,$AJ73)="","",INDEX(입력_측정!$A$5:$A$1004,$AJ73)))</f>
        <v/>
      </c>
      <c r="AD73" s="60" t="str">
        <f aca="false">IF($AK73=0,"",IF(INDEX(입력_상담!$A$5:$A$1004,$AK73)="","",INDEX(입력_상담!$A$5:$A$1004,$AK73)))</f>
        <v/>
      </c>
      <c r="AE73" s="25" t="str">
        <f aca="false">IF(AND(ISNUMBER(AB73),ISNUMBER(AC73)),IF(AC73&gt;=AB73,ROUND((AC73-AB73)*1440,0),""),"")</f>
        <v/>
      </c>
      <c r="AF73" s="25" t="str">
        <f aca="false">IF(AND(ISNUMBER(AC73),ISNUMBER(AD73)),IF(AD73&gt;=AC73,ROUND((AD73-AC73)*1440,0),""),"")</f>
        <v/>
      </c>
      <c r="AG73" s="25" t="str">
        <f aca="false">IF(AND(AA73="완료",ISNUMBER(AB73),ISNUMBER(AD73)),IF(AD73&gt;=AB73,ROUND((AD73-AB73)*1440,0),""),"")</f>
        <v/>
      </c>
      <c r="AH73" s="61" t="str">
        <f aca="false">IF(AND(AK73&gt;0,AJ73=0),"측정 기록 없음",IF(AND(AJ73&gt;0,AI73=0),"운동평가 기록 없음",IF(OR(COUNTIF(입력_운동!$B$5:$B$1004,$A73)&gt;1,COUNTIF(입력_측정!$B$5:$B$1004,$A73)&gt;1),"중복 입력","")))</f>
        <v/>
      </c>
      <c r="AI73" s="62" t="n">
        <f aca="false">SUMPRODUCT(MAX((입력_운동!$B$5:$B$1004=$A73)*(ROW(입력_운동!$B$5:$B$1004)-4)))</f>
        <v>0</v>
      </c>
      <c r="AJ73" s="62" t="n">
        <f aca="false">SUMPRODUCT(MAX((입력_측정!$B$5:$B$1004=$A73)*(ROW(입력_측정!$B$5:$B$1004)-4)))</f>
        <v>0</v>
      </c>
      <c r="AK73" s="62" t="n">
        <f aca="false">SUMPRODUCT(MAX((입력_상담!$B$5:$B$1004=$A73)*(ROW(입력_상담!$B$5:$B$1004)-4)))</f>
        <v>0</v>
      </c>
    </row>
    <row r="74" customFormat="false" ht="15" hidden="false" customHeight="false" outlineLevel="0" collapsed="false">
      <c r="A74" s="55" t="n">
        <v>70</v>
      </c>
      <c r="B74" s="56"/>
      <c r="C74" s="24"/>
      <c r="D74" s="24"/>
      <c r="E74" s="56"/>
      <c r="F74" s="57"/>
      <c r="G74" s="58"/>
      <c r="H74" s="56"/>
      <c r="I74" s="24"/>
      <c r="J74" s="24"/>
      <c r="K74" s="24"/>
      <c r="L74" s="24"/>
      <c r="M74" s="24"/>
      <c r="N74" s="56"/>
      <c r="O74" s="25" t="str">
        <f aca="false">IF($AI74=0,"",IF(INDEX(입력_운동!$C$5:$C$1004,$AI74)="","",INDEX(입력_운동!$C$5:$C$1004,$AI74)))</f>
        <v/>
      </c>
      <c r="P74" s="25" t="str">
        <f aca="false">IF($AI74=0,"",IF(INDEX(입력_운동!$D$5:$D$1004,$AI74)="","",INDEX(입력_운동!$D$5:$D$1004,$AI74)))</f>
        <v/>
      </c>
      <c r="Q74" s="25" t="str">
        <f aca="false">IF($AI74=0,"",IF(INDEX(입력_운동!$E$5:$E$1004,$AI74)="","",INDEX(입력_운동!$E$5:$E$1004,$AI74)))</f>
        <v/>
      </c>
      <c r="R74" s="25" t="str">
        <f aca="false">IF($AI74=0,"",IF(INDEX(입력_운동!$F$5:$F$1004,$AI74)="","",INDEX(입력_운동!$F$5:$F$1004,$AI74)))</f>
        <v/>
      </c>
      <c r="S74" s="25" t="str">
        <f aca="false">IF($AJ74=0,"",IF(INDEX(입력_측정!$C$5:$C$1004,$AJ74)="","",INDEX(입력_측정!$C$5:$C$1004,$AJ74)))</f>
        <v/>
      </c>
      <c r="T74" s="25" t="str">
        <f aca="false">IF($AJ74=0,"",IF(INDEX(입력_측정!$D$5:$D$1004,$AJ74)="","",INDEX(입력_측정!$D$5:$D$1004,$AJ74)))</f>
        <v/>
      </c>
      <c r="U74" s="25" t="str">
        <f aca="false">IF($AJ74=0,"",IF(INDEX(입력_측정!$E$5:$E$1004,$AJ74)="","",INDEX(입력_측정!$E$5:$E$1004,$AJ74)))</f>
        <v/>
      </c>
      <c r="V74" s="25" t="str">
        <f aca="false">IF($AJ74=0,"",IF(INDEX(입력_측정!$F$5:$F$1004,$AJ74)="","",INDEX(입력_측정!$F$5:$F$1004,$AJ74)))</f>
        <v/>
      </c>
      <c r="W74" s="25" t="str">
        <f aca="false">IF($AK74=0,"",IF(INDEX(입력_상담!$D$5:$D$1004,$AK74)="","",INDEX(입력_상담!$D$5:$D$1004,$AK74)))</f>
        <v/>
      </c>
      <c r="X74" s="25" t="str">
        <f aca="false">IF($AJ74=0,"",IF(INDEX(입력_측정!$I$5:$I$1004,$AJ74)="","",INDEX(입력_측정!$I$5:$I$1004,$AJ74)))</f>
        <v/>
      </c>
      <c r="Y74" s="25" t="str">
        <f aca="false">IF($AJ74=0,"",IF(INDEX(입력_측정!$J$5:$J$1004,$AJ74)="","",INDEX(입력_측정!$J$5:$J$1004,$AJ74)))</f>
        <v/>
      </c>
      <c r="Z74" s="25" t="str">
        <f aca="false">IF(OR(X74="긴급",LEFT(Y74,2)="긴급",W74="필요",W74="완료"),"대상","")</f>
        <v/>
      </c>
      <c r="AA74" s="59" t="str">
        <f aca="false">IF(M74&lt;&gt;"",M74,IF(AK74&gt;0,IF(W74="필요","추가상담 대기","완료"),IF(AJ74&gt;0,"결과상담 대기",IF(AI74&gt;0,"측정 대기","미방문"))))</f>
        <v>미방문</v>
      </c>
      <c r="AB74" s="60" t="str">
        <f aca="false">IF($AI74=0,"",IF(INDEX(입력_운동!$A$5:$A$1004,$AI74)="","",INDEX(입력_운동!$A$5:$A$1004,$AI74)))</f>
        <v/>
      </c>
      <c r="AC74" s="60" t="str">
        <f aca="false">IF($AJ74=0,"",IF(INDEX(입력_측정!$A$5:$A$1004,$AJ74)="","",INDEX(입력_측정!$A$5:$A$1004,$AJ74)))</f>
        <v/>
      </c>
      <c r="AD74" s="60" t="str">
        <f aca="false">IF($AK74=0,"",IF(INDEX(입력_상담!$A$5:$A$1004,$AK74)="","",INDEX(입력_상담!$A$5:$A$1004,$AK74)))</f>
        <v/>
      </c>
      <c r="AE74" s="25" t="str">
        <f aca="false">IF(AND(ISNUMBER(AB74),ISNUMBER(AC74)),IF(AC74&gt;=AB74,ROUND((AC74-AB74)*1440,0),""),"")</f>
        <v/>
      </c>
      <c r="AF74" s="25" t="str">
        <f aca="false">IF(AND(ISNUMBER(AC74),ISNUMBER(AD74)),IF(AD74&gt;=AC74,ROUND((AD74-AC74)*1440,0),""),"")</f>
        <v/>
      </c>
      <c r="AG74" s="25" t="str">
        <f aca="false">IF(AND(AA74="완료",ISNUMBER(AB74),ISNUMBER(AD74)),IF(AD74&gt;=AB74,ROUND((AD74-AB74)*1440,0),""),"")</f>
        <v/>
      </c>
      <c r="AH74" s="61" t="str">
        <f aca="false">IF(AND(AK74&gt;0,AJ74=0),"측정 기록 없음",IF(AND(AJ74&gt;0,AI74=0),"운동평가 기록 없음",IF(OR(COUNTIF(입력_운동!$B$5:$B$1004,$A74)&gt;1,COUNTIF(입력_측정!$B$5:$B$1004,$A74)&gt;1),"중복 입력","")))</f>
        <v/>
      </c>
      <c r="AI74" s="62" t="n">
        <f aca="false">SUMPRODUCT(MAX((입력_운동!$B$5:$B$1004=$A74)*(ROW(입력_운동!$B$5:$B$1004)-4)))</f>
        <v>0</v>
      </c>
      <c r="AJ74" s="62" t="n">
        <f aca="false">SUMPRODUCT(MAX((입력_측정!$B$5:$B$1004=$A74)*(ROW(입력_측정!$B$5:$B$1004)-4)))</f>
        <v>0</v>
      </c>
      <c r="AK74" s="62" t="n">
        <f aca="false">SUMPRODUCT(MAX((입력_상담!$B$5:$B$1004=$A74)*(ROW(입력_상담!$B$5:$B$1004)-4)))</f>
        <v>0</v>
      </c>
    </row>
    <row r="75" customFormat="false" ht="15" hidden="false" customHeight="false" outlineLevel="0" collapsed="false">
      <c r="A75" s="55" t="n">
        <v>71</v>
      </c>
      <c r="B75" s="56"/>
      <c r="C75" s="24"/>
      <c r="D75" s="24"/>
      <c r="E75" s="56"/>
      <c r="F75" s="57"/>
      <c r="G75" s="58"/>
      <c r="H75" s="56"/>
      <c r="I75" s="24"/>
      <c r="J75" s="24"/>
      <c r="K75" s="24"/>
      <c r="L75" s="24"/>
      <c r="M75" s="24"/>
      <c r="N75" s="56"/>
      <c r="O75" s="25" t="str">
        <f aca="false">IF($AI75=0,"",IF(INDEX(입력_운동!$C$5:$C$1004,$AI75)="","",INDEX(입력_운동!$C$5:$C$1004,$AI75)))</f>
        <v/>
      </c>
      <c r="P75" s="25" t="str">
        <f aca="false">IF($AI75=0,"",IF(INDEX(입력_운동!$D$5:$D$1004,$AI75)="","",INDEX(입력_운동!$D$5:$D$1004,$AI75)))</f>
        <v/>
      </c>
      <c r="Q75" s="25" t="str">
        <f aca="false">IF($AI75=0,"",IF(INDEX(입력_운동!$E$5:$E$1004,$AI75)="","",INDEX(입력_운동!$E$5:$E$1004,$AI75)))</f>
        <v/>
      </c>
      <c r="R75" s="25" t="str">
        <f aca="false">IF($AI75=0,"",IF(INDEX(입력_운동!$F$5:$F$1004,$AI75)="","",INDEX(입력_운동!$F$5:$F$1004,$AI75)))</f>
        <v/>
      </c>
      <c r="S75" s="25" t="str">
        <f aca="false">IF($AJ75=0,"",IF(INDEX(입력_측정!$C$5:$C$1004,$AJ75)="","",INDEX(입력_측정!$C$5:$C$1004,$AJ75)))</f>
        <v/>
      </c>
      <c r="T75" s="25" t="str">
        <f aca="false">IF($AJ75=0,"",IF(INDEX(입력_측정!$D$5:$D$1004,$AJ75)="","",INDEX(입력_측정!$D$5:$D$1004,$AJ75)))</f>
        <v/>
      </c>
      <c r="U75" s="25" t="str">
        <f aca="false">IF($AJ75=0,"",IF(INDEX(입력_측정!$E$5:$E$1004,$AJ75)="","",INDEX(입력_측정!$E$5:$E$1004,$AJ75)))</f>
        <v/>
      </c>
      <c r="V75" s="25" t="str">
        <f aca="false">IF($AJ75=0,"",IF(INDEX(입력_측정!$F$5:$F$1004,$AJ75)="","",INDEX(입력_측정!$F$5:$F$1004,$AJ75)))</f>
        <v/>
      </c>
      <c r="W75" s="25" t="str">
        <f aca="false">IF($AK75=0,"",IF(INDEX(입력_상담!$D$5:$D$1004,$AK75)="","",INDEX(입력_상담!$D$5:$D$1004,$AK75)))</f>
        <v/>
      </c>
      <c r="X75" s="25" t="str">
        <f aca="false">IF($AJ75=0,"",IF(INDEX(입력_측정!$I$5:$I$1004,$AJ75)="","",INDEX(입력_측정!$I$5:$I$1004,$AJ75)))</f>
        <v/>
      </c>
      <c r="Y75" s="25" t="str">
        <f aca="false">IF($AJ75=0,"",IF(INDEX(입력_측정!$J$5:$J$1004,$AJ75)="","",INDEX(입력_측정!$J$5:$J$1004,$AJ75)))</f>
        <v/>
      </c>
      <c r="Z75" s="25" t="str">
        <f aca="false">IF(OR(X75="긴급",LEFT(Y75,2)="긴급",W75="필요",W75="완료"),"대상","")</f>
        <v/>
      </c>
      <c r="AA75" s="59" t="str">
        <f aca="false">IF(M75&lt;&gt;"",M75,IF(AK75&gt;0,IF(W75="필요","추가상담 대기","완료"),IF(AJ75&gt;0,"결과상담 대기",IF(AI75&gt;0,"측정 대기","미방문"))))</f>
        <v>미방문</v>
      </c>
      <c r="AB75" s="60" t="str">
        <f aca="false">IF($AI75=0,"",IF(INDEX(입력_운동!$A$5:$A$1004,$AI75)="","",INDEX(입력_운동!$A$5:$A$1004,$AI75)))</f>
        <v/>
      </c>
      <c r="AC75" s="60" t="str">
        <f aca="false">IF($AJ75=0,"",IF(INDEX(입력_측정!$A$5:$A$1004,$AJ75)="","",INDEX(입력_측정!$A$5:$A$1004,$AJ75)))</f>
        <v/>
      </c>
      <c r="AD75" s="60" t="str">
        <f aca="false">IF($AK75=0,"",IF(INDEX(입력_상담!$A$5:$A$1004,$AK75)="","",INDEX(입력_상담!$A$5:$A$1004,$AK75)))</f>
        <v/>
      </c>
      <c r="AE75" s="25" t="str">
        <f aca="false">IF(AND(ISNUMBER(AB75),ISNUMBER(AC75)),IF(AC75&gt;=AB75,ROUND((AC75-AB75)*1440,0),""),"")</f>
        <v/>
      </c>
      <c r="AF75" s="25" t="str">
        <f aca="false">IF(AND(ISNUMBER(AC75),ISNUMBER(AD75)),IF(AD75&gt;=AC75,ROUND((AD75-AC75)*1440,0),""),"")</f>
        <v/>
      </c>
      <c r="AG75" s="25" t="str">
        <f aca="false">IF(AND(AA75="완료",ISNUMBER(AB75),ISNUMBER(AD75)),IF(AD75&gt;=AB75,ROUND((AD75-AB75)*1440,0),""),"")</f>
        <v/>
      </c>
      <c r="AH75" s="61" t="str">
        <f aca="false">IF(AND(AK75&gt;0,AJ75=0),"측정 기록 없음",IF(AND(AJ75&gt;0,AI75=0),"운동평가 기록 없음",IF(OR(COUNTIF(입력_운동!$B$5:$B$1004,$A75)&gt;1,COUNTIF(입력_측정!$B$5:$B$1004,$A75)&gt;1),"중복 입력","")))</f>
        <v/>
      </c>
      <c r="AI75" s="62" t="n">
        <f aca="false">SUMPRODUCT(MAX((입력_운동!$B$5:$B$1004=$A75)*(ROW(입력_운동!$B$5:$B$1004)-4)))</f>
        <v>0</v>
      </c>
      <c r="AJ75" s="62" t="n">
        <f aca="false">SUMPRODUCT(MAX((입력_측정!$B$5:$B$1004=$A75)*(ROW(입력_측정!$B$5:$B$1004)-4)))</f>
        <v>0</v>
      </c>
      <c r="AK75" s="62" t="n">
        <f aca="false">SUMPRODUCT(MAX((입력_상담!$B$5:$B$1004=$A75)*(ROW(입력_상담!$B$5:$B$1004)-4)))</f>
        <v>0</v>
      </c>
    </row>
    <row r="76" customFormat="false" ht="15" hidden="false" customHeight="false" outlineLevel="0" collapsed="false">
      <c r="A76" s="55" t="n">
        <v>72</v>
      </c>
      <c r="B76" s="56"/>
      <c r="C76" s="24"/>
      <c r="D76" s="24"/>
      <c r="E76" s="56"/>
      <c r="F76" s="57"/>
      <c r="G76" s="58"/>
      <c r="H76" s="56"/>
      <c r="I76" s="24"/>
      <c r="J76" s="24"/>
      <c r="K76" s="24"/>
      <c r="L76" s="24"/>
      <c r="M76" s="24"/>
      <c r="N76" s="56"/>
      <c r="O76" s="25" t="str">
        <f aca="false">IF($AI76=0,"",IF(INDEX(입력_운동!$C$5:$C$1004,$AI76)="","",INDEX(입력_운동!$C$5:$C$1004,$AI76)))</f>
        <v/>
      </c>
      <c r="P76" s="25" t="str">
        <f aca="false">IF($AI76=0,"",IF(INDEX(입력_운동!$D$5:$D$1004,$AI76)="","",INDEX(입력_운동!$D$5:$D$1004,$AI76)))</f>
        <v/>
      </c>
      <c r="Q76" s="25" t="str">
        <f aca="false">IF($AI76=0,"",IF(INDEX(입력_운동!$E$5:$E$1004,$AI76)="","",INDEX(입력_운동!$E$5:$E$1004,$AI76)))</f>
        <v/>
      </c>
      <c r="R76" s="25" t="str">
        <f aca="false">IF($AI76=0,"",IF(INDEX(입력_운동!$F$5:$F$1004,$AI76)="","",INDEX(입력_운동!$F$5:$F$1004,$AI76)))</f>
        <v/>
      </c>
      <c r="S76" s="25" t="str">
        <f aca="false">IF($AJ76=0,"",IF(INDEX(입력_측정!$C$5:$C$1004,$AJ76)="","",INDEX(입력_측정!$C$5:$C$1004,$AJ76)))</f>
        <v/>
      </c>
      <c r="T76" s="25" t="str">
        <f aca="false">IF($AJ76=0,"",IF(INDEX(입력_측정!$D$5:$D$1004,$AJ76)="","",INDEX(입력_측정!$D$5:$D$1004,$AJ76)))</f>
        <v/>
      </c>
      <c r="U76" s="25" t="str">
        <f aca="false">IF($AJ76=0,"",IF(INDEX(입력_측정!$E$5:$E$1004,$AJ76)="","",INDEX(입력_측정!$E$5:$E$1004,$AJ76)))</f>
        <v/>
      </c>
      <c r="V76" s="25" t="str">
        <f aca="false">IF($AJ76=0,"",IF(INDEX(입력_측정!$F$5:$F$1004,$AJ76)="","",INDEX(입력_측정!$F$5:$F$1004,$AJ76)))</f>
        <v/>
      </c>
      <c r="W76" s="25" t="str">
        <f aca="false">IF($AK76=0,"",IF(INDEX(입력_상담!$D$5:$D$1004,$AK76)="","",INDEX(입력_상담!$D$5:$D$1004,$AK76)))</f>
        <v/>
      </c>
      <c r="X76" s="25" t="str">
        <f aca="false">IF($AJ76=0,"",IF(INDEX(입력_측정!$I$5:$I$1004,$AJ76)="","",INDEX(입력_측정!$I$5:$I$1004,$AJ76)))</f>
        <v/>
      </c>
      <c r="Y76" s="25" t="str">
        <f aca="false">IF($AJ76=0,"",IF(INDEX(입력_측정!$J$5:$J$1004,$AJ76)="","",INDEX(입력_측정!$J$5:$J$1004,$AJ76)))</f>
        <v/>
      </c>
      <c r="Z76" s="25" t="str">
        <f aca="false">IF(OR(X76="긴급",LEFT(Y76,2)="긴급",W76="필요",W76="완료"),"대상","")</f>
        <v/>
      </c>
      <c r="AA76" s="59" t="str">
        <f aca="false">IF(M76&lt;&gt;"",M76,IF(AK76&gt;0,IF(W76="필요","추가상담 대기","완료"),IF(AJ76&gt;0,"결과상담 대기",IF(AI76&gt;0,"측정 대기","미방문"))))</f>
        <v>미방문</v>
      </c>
      <c r="AB76" s="60" t="str">
        <f aca="false">IF($AI76=0,"",IF(INDEX(입력_운동!$A$5:$A$1004,$AI76)="","",INDEX(입력_운동!$A$5:$A$1004,$AI76)))</f>
        <v/>
      </c>
      <c r="AC76" s="60" t="str">
        <f aca="false">IF($AJ76=0,"",IF(INDEX(입력_측정!$A$5:$A$1004,$AJ76)="","",INDEX(입력_측정!$A$5:$A$1004,$AJ76)))</f>
        <v/>
      </c>
      <c r="AD76" s="60" t="str">
        <f aca="false">IF($AK76=0,"",IF(INDEX(입력_상담!$A$5:$A$1004,$AK76)="","",INDEX(입력_상담!$A$5:$A$1004,$AK76)))</f>
        <v/>
      </c>
      <c r="AE76" s="25" t="str">
        <f aca="false">IF(AND(ISNUMBER(AB76),ISNUMBER(AC76)),IF(AC76&gt;=AB76,ROUND((AC76-AB76)*1440,0),""),"")</f>
        <v/>
      </c>
      <c r="AF76" s="25" t="str">
        <f aca="false">IF(AND(ISNUMBER(AC76),ISNUMBER(AD76)),IF(AD76&gt;=AC76,ROUND((AD76-AC76)*1440,0),""),"")</f>
        <v/>
      </c>
      <c r="AG76" s="25" t="str">
        <f aca="false">IF(AND(AA76="완료",ISNUMBER(AB76),ISNUMBER(AD76)),IF(AD76&gt;=AB76,ROUND((AD76-AB76)*1440,0),""),"")</f>
        <v/>
      </c>
      <c r="AH76" s="61" t="str">
        <f aca="false">IF(AND(AK76&gt;0,AJ76=0),"측정 기록 없음",IF(AND(AJ76&gt;0,AI76=0),"운동평가 기록 없음",IF(OR(COUNTIF(입력_운동!$B$5:$B$1004,$A76)&gt;1,COUNTIF(입력_측정!$B$5:$B$1004,$A76)&gt;1),"중복 입력","")))</f>
        <v/>
      </c>
      <c r="AI76" s="62" t="n">
        <f aca="false">SUMPRODUCT(MAX((입력_운동!$B$5:$B$1004=$A76)*(ROW(입력_운동!$B$5:$B$1004)-4)))</f>
        <v>0</v>
      </c>
      <c r="AJ76" s="62" t="n">
        <f aca="false">SUMPRODUCT(MAX((입력_측정!$B$5:$B$1004=$A76)*(ROW(입력_측정!$B$5:$B$1004)-4)))</f>
        <v>0</v>
      </c>
      <c r="AK76" s="62" t="n">
        <f aca="false">SUMPRODUCT(MAX((입력_상담!$B$5:$B$1004=$A76)*(ROW(입력_상담!$B$5:$B$1004)-4)))</f>
        <v>0</v>
      </c>
    </row>
    <row r="77" customFormat="false" ht="15" hidden="false" customHeight="false" outlineLevel="0" collapsed="false">
      <c r="A77" s="55" t="n">
        <v>73</v>
      </c>
      <c r="B77" s="56"/>
      <c r="C77" s="24"/>
      <c r="D77" s="24"/>
      <c r="E77" s="56"/>
      <c r="F77" s="57"/>
      <c r="G77" s="58"/>
      <c r="H77" s="56"/>
      <c r="I77" s="24"/>
      <c r="J77" s="24"/>
      <c r="K77" s="24"/>
      <c r="L77" s="24"/>
      <c r="M77" s="24"/>
      <c r="N77" s="56"/>
      <c r="O77" s="25" t="str">
        <f aca="false">IF($AI77=0,"",IF(INDEX(입력_운동!$C$5:$C$1004,$AI77)="","",INDEX(입력_운동!$C$5:$C$1004,$AI77)))</f>
        <v/>
      </c>
      <c r="P77" s="25" t="str">
        <f aca="false">IF($AI77=0,"",IF(INDEX(입력_운동!$D$5:$D$1004,$AI77)="","",INDEX(입력_운동!$D$5:$D$1004,$AI77)))</f>
        <v/>
      </c>
      <c r="Q77" s="25" t="str">
        <f aca="false">IF($AI77=0,"",IF(INDEX(입력_운동!$E$5:$E$1004,$AI77)="","",INDEX(입력_운동!$E$5:$E$1004,$AI77)))</f>
        <v/>
      </c>
      <c r="R77" s="25" t="str">
        <f aca="false">IF($AI77=0,"",IF(INDEX(입력_운동!$F$5:$F$1004,$AI77)="","",INDEX(입력_운동!$F$5:$F$1004,$AI77)))</f>
        <v/>
      </c>
      <c r="S77" s="25" t="str">
        <f aca="false">IF($AJ77=0,"",IF(INDEX(입력_측정!$C$5:$C$1004,$AJ77)="","",INDEX(입력_측정!$C$5:$C$1004,$AJ77)))</f>
        <v/>
      </c>
      <c r="T77" s="25" t="str">
        <f aca="false">IF($AJ77=0,"",IF(INDEX(입력_측정!$D$5:$D$1004,$AJ77)="","",INDEX(입력_측정!$D$5:$D$1004,$AJ77)))</f>
        <v/>
      </c>
      <c r="U77" s="25" t="str">
        <f aca="false">IF($AJ77=0,"",IF(INDEX(입력_측정!$E$5:$E$1004,$AJ77)="","",INDEX(입력_측정!$E$5:$E$1004,$AJ77)))</f>
        <v/>
      </c>
      <c r="V77" s="25" t="str">
        <f aca="false">IF($AJ77=0,"",IF(INDEX(입력_측정!$F$5:$F$1004,$AJ77)="","",INDEX(입력_측정!$F$5:$F$1004,$AJ77)))</f>
        <v/>
      </c>
      <c r="W77" s="25" t="str">
        <f aca="false">IF($AK77=0,"",IF(INDEX(입력_상담!$D$5:$D$1004,$AK77)="","",INDEX(입력_상담!$D$5:$D$1004,$AK77)))</f>
        <v/>
      </c>
      <c r="X77" s="25" t="str">
        <f aca="false">IF($AJ77=0,"",IF(INDEX(입력_측정!$I$5:$I$1004,$AJ77)="","",INDEX(입력_측정!$I$5:$I$1004,$AJ77)))</f>
        <v/>
      </c>
      <c r="Y77" s="25" t="str">
        <f aca="false">IF($AJ77=0,"",IF(INDEX(입력_측정!$J$5:$J$1004,$AJ77)="","",INDEX(입력_측정!$J$5:$J$1004,$AJ77)))</f>
        <v/>
      </c>
      <c r="Z77" s="25" t="str">
        <f aca="false">IF(OR(X77="긴급",LEFT(Y77,2)="긴급",W77="필요",W77="완료"),"대상","")</f>
        <v/>
      </c>
      <c r="AA77" s="59" t="str">
        <f aca="false">IF(M77&lt;&gt;"",M77,IF(AK77&gt;0,IF(W77="필요","추가상담 대기","완료"),IF(AJ77&gt;0,"결과상담 대기",IF(AI77&gt;0,"측정 대기","미방문"))))</f>
        <v>미방문</v>
      </c>
      <c r="AB77" s="60" t="str">
        <f aca="false">IF($AI77=0,"",IF(INDEX(입력_운동!$A$5:$A$1004,$AI77)="","",INDEX(입력_운동!$A$5:$A$1004,$AI77)))</f>
        <v/>
      </c>
      <c r="AC77" s="60" t="str">
        <f aca="false">IF($AJ77=0,"",IF(INDEX(입력_측정!$A$5:$A$1004,$AJ77)="","",INDEX(입력_측정!$A$5:$A$1004,$AJ77)))</f>
        <v/>
      </c>
      <c r="AD77" s="60" t="str">
        <f aca="false">IF($AK77=0,"",IF(INDEX(입력_상담!$A$5:$A$1004,$AK77)="","",INDEX(입력_상담!$A$5:$A$1004,$AK77)))</f>
        <v/>
      </c>
      <c r="AE77" s="25" t="str">
        <f aca="false">IF(AND(ISNUMBER(AB77),ISNUMBER(AC77)),IF(AC77&gt;=AB77,ROUND((AC77-AB77)*1440,0),""),"")</f>
        <v/>
      </c>
      <c r="AF77" s="25" t="str">
        <f aca="false">IF(AND(ISNUMBER(AC77),ISNUMBER(AD77)),IF(AD77&gt;=AC77,ROUND((AD77-AC77)*1440,0),""),"")</f>
        <v/>
      </c>
      <c r="AG77" s="25" t="str">
        <f aca="false">IF(AND(AA77="완료",ISNUMBER(AB77),ISNUMBER(AD77)),IF(AD77&gt;=AB77,ROUND((AD77-AB77)*1440,0),""),"")</f>
        <v/>
      </c>
      <c r="AH77" s="61" t="str">
        <f aca="false">IF(AND(AK77&gt;0,AJ77=0),"측정 기록 없음",IF(AND(AJ77&gt;0,AI77=0),"운동평가 기록 없음",IF(OR(COUNTIF(입력_운동!$B$5:$B$1004,$A77)&gt;1,COUNTIF(입력_측정!$B$5:$B$1004,$A77)&gt;1),"중복 입력","")))</f>
        <v/>
      </c>
      <c r="AI77" s="62" t="n">
        <f aca="false">SUMPRODUCT(MAX((입력_운동!$B$5:$B$1004=$A77)*(ROW(입력_운동!$B$5:$B$1004)-4)))</f>
        <v>0</v>
      </c>
      <c r="AJ77" s="62" t="n">
        <f aca="false">SUMPRODUCT(MAX((입력_측정!$B$5:$B$1004=$A77)*(ROW(입력_측정!$B$5:$B$1004)-4)))</f>
        <v>0</v>
      </c>
      <c r="AK77" s="62" t="n">
        <f aca="false">SUMPRODUCT(MAX((입력_상담!$B$5:$B$1004=$A77)*(ROW(입력_상담!$B$5:$B$1004)-4)))</f>
        <v>0</v>
      </c>
    </row>
    <row r="78" customFormat="false" ht="15" hidden="false" customHeight="false" outlineLevel="0" collapsed="false">
      <c r="A78" s="55" t="n">
        <v>74</v>
      </c>
      <c r="B78" s="56"/>
      <c r="C78" s="24"/>
      <c r="D78" s="24"/>
      <c r="E78" s="56"/>
      <c r="F78" s="57"/>
      <c r="G78" s="58"/>
      <c r="H78" s="56"/>
      <c r="I78" s="24"/>
      <c r="J78" s="24"/>
      <c r="K78" s="24"/>
      <c r="L78" s="24"/>
      <c r="M78" s="24"/>
      <c r="N78" s="56"/>
      <c r="O78" s="25" t="str">
        <f aca="false">IF($AI78=0,"",IF(INDEX(입력_운동!$C$5:$C$1004,$AI78)="","",INDEX(입력_운동!$C$5:$C$1004,$AI78)))</f>
        <v/>
      </c>
      <c r="P78" s="25" t="str">
        <f aca="false">IF($AI78=0,"",IF(INDEX(입력_운동!$D$5:$D$1004,$AI78)="","",INDEX(입력_운동!$D$5:$D$1004,$AI78)))</f>
        <v/>
      </c>
      <c r="Q78" s="25" t="str">
        <f aca="false">IF($AI78=0,"",IF(INDEX(입력_운동!$E$5:$E$1004,$AI78)="","",INDEX(입력_운동!$E$5:$E$1004,$AI78)))</f>
        <v/>
      </c>
      <c r="R78" s="25" t="str">
        <f aca="false">IF($AI78=0,"",IF(INDEX(입력_운동!$F$5:$F$1004,$AI78)="","",INDEX(입력_운동!$F$5:$F$1004,$AI78)))</f>
        <v/>
      </c>
      <c r="S78" s="25" t="str">
        <f aca="false">IF($AJ78=0,"",IF(INDEX(입력_측정!$C$5:$C$1004,$AJ78)="","",INDEX(입력_측정!$C$5:$C$1004,$AJ78)))</f>
        <v/>
      </c>
      <c r="T78" s="25" t="str">
        <f aca="false">IF($AJ78=0,"",IF(INDEX(입력_측정!$D$5:$D$1004,$AJ78)="","",INDEX(입력_측정!$D$5:$D$1004,$AJ78)))</f>
        <v/>
      </c>
      <c r="U78" s="25" t="str">
        <f aca="false">IF($AJ78=0,"",IF(INDEX(입력_측정!$E$5:$E$1004,$AJ78)="","",INDEX(입력_측정!$E$5:$E$1004,$AJ78)))</f>
        <v/>
      </c>
      <c r="V78" s="25" t="str">
        <f aca="false">IF($AJ78=0,"",IF(INDEX(입력_측정!$F$5:$F$1004,$AJ78)="","",INDEX(입력_측정!$F$5:$F$1004,$AJ78)))</f>
        <v/>
      </c>
      <c r="W78" s="25" t="str">
        <f aca="false">IF($AK78=0,"",IF(INDEX(입력_상담!$D$5:$D$1004,$AK78)="","",INDEX(입력_상담!$D$5:$D$1004,$AK78)))</f>
        <v/>
      </c>
      <c r="X78" s="25" t="str">
        <f aca="false">IF($AJ78=0,"",IF(INDEX(입력_측정!$I$5:$I$1004,$AJ78)="","",INDEX(입력_측정!$I$5:$I$1004,$AJ78)))</f>
        <v/>
      </c>
      <c r="Y78" s="25" t="str">
        <f aca="false">IF($AJ78=0,"",IF(INDEX(입력_측정!$J$5:$J$1004,$AJ78)="","",INDEX(입력_측정!$J$5:$J$1004,$AJ78)))</f>
        <v/>
      </c>
      <c r="Z78" s="25" t="str">
        <f aca="false">IF(OR(X78="긴급",LEFT(Y78,2)="긴급",W78="필요",W78="완료"),"대상","")</f>
        <v/>
      </c>
      <c r="AA78" s="59" t="str">
        <f aca="false">IF(M78&lt;&gt;"",M78,IF(AK78&gt;0,IF(W78="필요","추가상담 대기","완료"),IF(AJ78&gt;0,"결과상담 대기",IF(AI78&gt;0,"측정 대기","미방문"))))</f>
        <v>미방문</v>
      </c>
      <c r="AB78" s="60" t="str">
        <f aca="false">IF($AI78=0,"",IF(INDEX(입력_운동!$A$5:$A$1004,$AI78)="","",INDEX(입력_운동!$A$5:$A$1004,$AI78)))</f>
        <v/>
      </c>
      <c r="AC78" s="60" t="str">
        <f aca="false">IF($AJ78=0,"",IF(INDEX(입력_측정!$A$5:$A$1004,$AJ78)="","",INDEX(입력_측정!$A$5:$A$1004,$AJ78)))</f>
        <v/>
      </c>
      <c r="AD78" s="60" t="str">
        <f aca="false">IF($AK78=0,"",IF(INDEX(입력_상담!$A$5:$A$1004,$AK78)="","",INDEX(입력_상담!$A$5:$A$1004,$AK78)))</f>
        <v/>
      </c>
      <c r="AE78" s="25" t="str">
        <f aca="false">IF(AND(ISNUMBER(AB78),ISNUMBER(AC78)),IF(AC78&gt;=AB78,ROUND((AC78-AB78)*1440,0),""),"")</f>
        <v/>
      </c>
      <c r="AF78" s="25" t="str">
        <f aca="false">IF(AND(ISNUMBER(AC78),ISNUMBER(AD78)),IF(AD78&gt;=AC78,ROUND((AD78-AC78)*1440,0),""),"")</f>
        <v/>
      </c>
      <c r="AG78" s="25" t="str">
        <f aca="false">IF(AND(AA78="완료",ISNUMBER(AB78),ISNUMBER(AD78)),IF(AD78&gt;=AB78,ROUND((AD78-AB78)*1440,0),""),"")</f>
        <v/>
      </c>
      <c r="AH78" s="61" t="str">
        <f aca="false">IF(AND(AK78&gt;0,AJ78=0),"측정 기록 없음",IF(AND(AJ78&gt;0,AI78=0),"운동평가 기록 없음",IF(OR(COUNTIF(입력_운동!$B$5:$B$1004,$A78)&gt;1,COUNTIF(입력_측정!$B$5:$B$1004,$A78)&gt;1),"중복 입력","")))</f>
        <v/>
      </c>
      <c r="AI78" s="62" t="n">
        <f aca="false">SUMPRODUCT(MAX((입력_운동!$B$5:$B$1004=$A78)*(ROW(입력_운동!$B$5:$B$1004)-4)))</f>
        <v>0</v>
      </c>
      <c r="AJ78" s="62" t="n">
        <f aca="false">SUMPRODUCT(MAX((입력_측정!$B$5:$B$1004=$A78)*(ROW(입력_측정!$B$5:$B$1004)-4)))</f>
        <v>0</v>
      </c>
      <c r="AK78" s="62" t="n">
        <f aca="false">SUMPRODUCT(MAX((입력_상담!$B$5:$B$1004=$A78)*(ROW(입력_상담!$B$5:$B$1004)-4)))</f>
        <v>0</v>
      </c>
    </row>
    <row r="79" customFormat="false" ht="15" hidden="false" customHeight="false" outlineLevel="0" collapsed="false">
      <c r="A79" s="55" t="n">
        <v>75</v>
      </c>
      <c r="B79" s="56"/>
      <c r="C79" s="24"/>
      <c r="D79" s="24"/>
      <c r="E79" s="56"/>
      <c r="F79" s="57"/>
      <c r="G79" s="58"/>
      <c r="H79" s="56"/>
      <c r="I79" s="24"/>
      <c r="J79" s="24"/>
      <c r="K79" s="24"/>
      <c r="L79" s="24"/>
      <c r="M79" s="24"/>
      <c r="N79" s="56"/>
      <c r="O79" s="25" t="str">
        <f aca="false">IF($AI79=0,"",IF(INDEX(입력_운동!$C$5:$C$1004,$AI79)="","",INDEX(입력_운동!$C$5:$C$1004,$AI79)))</f>
        <v/>
      </c>
      <c r="P79" s="25" t="str">
        <f aca="false">IF($AI79=0,"",IF(INDEX(입력_운동!$D$5:$D$1004,$AI79)="","",INDEX(입력_운동!$D$5:$D$1004,$AI79)))</f>
        <v/>
      </c>
      <c r="Q79" s="25" t="str">
        <f aca="false">IF($AI79=0,"",IF(INDEX(입력_운동!$E$5:$E$1004,$AI79)="","",INDEX(입력_운동!$E$5:$E$1004,$AI79)))</f>
        <v/>
      </c>
      <c r="R79" s="25" t="str">
        <f aca="false">IF($AI79=0,"",IF(INDEX(입력_운동!$F$5:$F$1004,$AI79)="","",INDEX(입력_운동!$F$5:$F$1004,$AI79)))</f>
        <v/>
      </c>
      <c r="S79" s="25" t="str">
        <f aca="false">IF($AJ79=0,"",IF(INDEX(입력_측정!$C$5:$C$1004,$AJ79)="","",INDEX(입력_측정!$C$5:$C$1004,$AJ79)))</f>
        <v/>
      </c>
      <c r="T79" s="25" t="str">
        <f aca="false">IF($AJ79=0,"",IF(INDEX(입력_측정!$D$5:$D$1004,$AJ79)="","",INDEX(입력_측정!$D$5:$D$1004,$AJ79)))</f>
        <v/>
      </c>
      <c r="U79" s="25" t="str">
        <f aca="false">IF($AJ79=0,"",IF(INDEX(입력_측정!$E$5:$E$1004,$AJ79)="","",INDEX(입력_측정!$E$5:$E$1004,$AJ79)))</f>
        <v/>
      </c>
      <c r="V79" s="25" t="str">
        <f aca="false">IF($AJ79=0,"",IF(INDEX(입력_측정!$F$5:$F$1004,$AJ79)="","",INDEX(입력_측정!$F$5:$F$1004,$AJ79)))</f>
        <v/>
      </c>
      <c r="W79" s="25" t="str">
        <f aca="false">IF($AK79=0,"",IF(INDEX(입력_상담!$D$5:$D$1004,$AK79)="","",INDEX(입력_상담!$D$5:$D$1004,$AK79)))</f>
        <v/>
      </c>
      <c r="X79" s="25" t="str">
        <f aca="false">IF($AJ79=0,"",IF(INDEX(입력_측정!$I$5:$I$1004,$AJ79)="","",INDEX(입력_측정!$I$5:$I$1004,$AJ79)))</f>
        <v/>
      </c>
      <c r="Y79" s="25" t="str">
        <f aca="false">IF($AJ79=0,"",IF(INDEX(입력_측정!$J$5:$J$1004,$AJ79)="","",INDEX(입력_측정!$J$5:$J$1004,$AJ79)))</f>
        <v/>
      </c>
      <c r="Z79" s="25" t="str">
        <f aca="false">IF(OR(X79="긴급",LEFT(Y79,2)="긴급",W79="필요",W79="완료"),"대상","")</f>
        <v/>
      </c>
      <c r="AA79" s="59" t="str">
        <f aca="false">IF(M79&lt;&gt;"",M79,IF(AK79&gt;0,IF(W79="필요","추가상담 대기","완료"),IF(AJ79&gt;0,"결과상담 대기",IF(AI79&gt;0,"측정 대기","미방문"))))</f>
        <v>미방문</v>
      </c>
      <c r="AB79" s="60" t="str">
        <f aca="false">IF($AI79=0,"",IF(INDEX(입력_운동!$A$5:$A$1004,$AI79)="","",INDEX(입력_운동!$A$5:$A$1004,$AI79)))</f>
        <v/>
      </c>
      <c r="AC79" s="60" t="str">
        <f aca="false">IF($AJ79=0,"",IF(INDEX(입력_측정!$A$5:$A$1004,$AJ79)="","",INDEX(입력_측정!$A$5:$A$1004,$AJ79)))</f>
        <v/>
      </c>
      <c r="AD79" s="60" t="str">
        <f aca="false">IF($AK79=0,"",IF(INDEX(입력_상담!$A$5:$A$1004,$AK79)="","",INDEX(입력_상담!$A$5:$A$1004,$AK79)))</f>
        <v/>
      </c>
      <c r="AE79" s="25" t="str">
        <f aca="false">IF(AND(ISNUMBER(AB79),ISNUMBER(AC79)),IF(AC79&gt;=AB79,ROUND((AC79-AB79)*1440,0),""),"")</f>
        <v/>
      </c>
      <c r="AF79" s="25" t="str">
        <f aca="false">IF(AND(ISNUMBER(AC79),ISNUMBER(AD79)),IF(AD79&gt;=AC79,ROUND((AD79-AC79)*1440,0),""),"")</f>
        <v/>
      </c>
      <c r="AG79" s="25" t="str">
        <f aca="false">IF(AND(AA79="완료",ISNUMBER(AB79),ISNUMBER(AD79)),IF(AD79&gt;=AB79,ROUND((AD79-AB79)*1440,0),""),"")</f>
        <v/>
      </c>
      <c r="AH79" s="61" t="str">
        <f aca="false">IF(AND(AK79&gt;0,AJ79=0),"측정 기록 없음",IF(AND(AJ79&gt;0,AI79=0),"운동평가 기록 없음",IF(OR(COUNTIF(입력_운동!$B$5:$B$1004,$A79)&gt;1,COUNTIF(입력_측정!$B$5:$B$1004,$A79)&gt;1),"중복 입력","")))</f>
        <v/>
      </c>
      <c r="AI79" s="62" t="n">
        <f aca="false">SUMPRODUCT(MAX((입력_운동!$B$5:$B$1004=$A79)*(ROW(입력_운동!$B$5:$B$1004)-4)))</f>
        <v>0</v>
      </c>
      <c r="AJ79" s="62" t="n">
        <f aca="false">SUMPRODUCT(MAX((입력_측정!$B$5:$B$1004=$A79)*(ROW(입력_측정!$B$5:$B$1004)-4)))</f>
        <v>0</v>
      </c>
      <c r="AK79" s="62" t="n">
        <f aca="false">SUMPRODUCT(MAX((입력_상담!$B$5:$B$1004=$A79)*(ROW(입력_상담!$B$5:$B$1004)-4)))</f>
        <v>0</v>
      </c>
    </row>
    <row r="80" customFormat="false" ht="15" hidden="false" customHeight="false" outlineLevel="0" collapsed="false">
      <c r="A80" s="55" t="n">
        <v>76</v>
      </c>
      <c r="B80" s="56"/>
      <c r="C80" s="24"/>
      <c r="D80" s="24"/>
      <c r="E80" s="56"/>
      <c r="F80" s="57"/>
      <c r="G80" s="58"/>
      <c r="H80" s="56"/>
      <c r="I80" s="24"/>
      <c r="J80" s="24"/>
      <c r="K80" s="24"/>
      <c r="L80" s="24"/>
      <c r="M80" s="24"/>
      <c r="N80" s="56"/>
      <c r="O80" s="25" t="str">
        <f aca="false">IF($AI80=0,"",IF(INDEX(입력_운동!$C$5:$C$1004,$AI80)="","",INDEX(입력_운동!$C$5:$C$1004,$AI80)))</f>
        <v/>
      </c>
      <c r="P80" s="25" t="str">
        <f aca="false">IF($AI80=0,"",IF(INDEX(입력_운동!$D$5:$D$1004,$AI80)="","",INDEX(입력_운동!$D$5:$D$1004,$AI80)))</f>
        <v/>
      </c>
      <c r="Q80" s="25" t="str">
        <f aca="false">IF($AI80=0,"",IF(INDEX(입력_운동!$E$5:$E$1004,$AI80)="","",INDEX(입력_운동!$E$5:$E$1004,$AI80)))</f>
        <v/>
      </c>
      <c r="R80" s="25" t="str">
        <f aca="false">IF($AI80=0,"",IF(INDEX(입력_운동!$F$5:$F$1004,$AI80)="","",INDEX(입력_운동!$F$5:$F$1004,$AI80)))</f>
        <v/>
      </c>
      <c r="S80" s="25" t="str">
        <f aca="false">IF($AJ80=0,"",IF(INDEX(입력_측정!$C$5:$C$1004,$AJ80)="","",INDEX(입력_측정!$C$5:$C$1004,$AJ80)))</f>
        <v/>
      </c>
      <c r="T80" s="25" t="str">
        <f aca="false">IF($AJ80=0,"",IF(INDEX(입력_측정!$D$5:$D$1004,$AJ80)="","",INDEX(입력_측정!$D$5:$D$1004,$AJ80)))</f>
        <v/>
      </c>
      <c r="U80" s="25" t="str">
        <f aca="false">IF($AJ80=0,"",IF(INDEX(입력_측정!$E$5:$E$1004,$AJ80)="","",INDEX(입력_측정!$E$5:$E$1004,$AJ80)))</f>
        <v/>
      </c>
      <c r="V80" s="25" t="str">
        <f aca="false">IF($AJ80=0,"",IF(INDEX(입력_측정!$F$5:$F$1004,$AJ80)="","",INDEX(입력_측정!$F$5:$F$1004,$AJ80)))</f>
        <v/>
      </c>
      <c r="W80" s="25" t="str">
        <f aca="false">IF($AK80=0,"",IF(INDEX(입력_상담!$D$5:$D$1004,$AK80)="","",INDEX(입력_상담!$D$5:$D$1004,$AK80)))</f>
        <v/>
      </c>
      <c r="X80" s="25" t="str">
        <f aca="false">IF($AJ80=0,"",IF(INDEX(입력_측정!$I$5:$I$1004,$AJ80)="","",INDEX(입력_측정!$I$5:$I$1004,$AJ80)))</f>
        <v/>
      </c>
      <c r="Y80" s="25" t="str">
        <f aca="false">IF($AJ80=0,"",IF(INDEX(입력_측정!$J$5:$J$1004,$AJ80)="","",INDEX(입력_측정!$J$5:$J$1004,$AJ80)))</f>
        <v/>
      </c>
      <c r="Z80" s="25" t="str">
        <f aca="false">IF(OR(X80="긴급",LEFT(Y80,2)="긴급",W80="필요",W80="완료"),"대상","")</f>
        <v/>
      </c>
      <c r="AA80" s="59" t="str">
        <f aca="false">IF(M80&lt;&gt;"",M80,IF(AK80&gt;0,IF(W80="필요","추가상담 대기","완료"),IF(AJ80&gt;0,"결과상담 대기",IF(AI80&gt;0,"측정 대기","미방문"))))</f>
        <v>미방문</v>
      </c>
      <c r="AB80" s="60" t="str">
        <f aca="false">IF($AI80=0,"",IF(INDEX(입력_운동!$A$5:$A$1004,$AI80)="","",INDEX(입력_운동!$A$5:$A$1004,$AI80)))</f>
        <v/>
      </c>
      <c r="AC80" s="60" t="str">
        <f aca="false">IF($AJ80=0,"",IF(INDEX(입력_측정!$A$5:$A$1004,$AJ80)="","",INDEX(입력_측정!$A$5:$A$1004,$AJ80)))</f>
        <v/>
      </c>
      <c r="AD80" s="60" t="str">
        <f aca="false">IF($AK80=0,"",IF(INDEX(입력_상담!$A$5:$A$1004,$AK80)="","",INDEX(입력_상담!$A$5:$A$1004,$AK80)))</f>
        <v/>
      </c>
      <c r="AE80" s="25" t="str">
        <f aca="false">IF(AND(ISNUMBER(AB80),ISNUMBER(AC80)),IF(AC80&gt;=AB80,ROUND((AC80-AB80)*1440,0),""),"")</f>
        <v/>
      </c>
      <c r="AF80" s="25" t="str">
        <f aca="false">IF(AND(ISNUMBER(AC80),ISNUMBER(AD80)),IF(AD80&gt;=AC80,ROUND((AD80-AC80)*1440,0),""),"")</f>
        <v/>
      </c>
      <c r="AG80" s="25" t="str">
        <f aca="false">IF(AND(AA80="완료",ISNUMBER(AB80),ISNUMBER(AD80)),IF(AD80&gt;=AB80,ROUND((AD80-AB80)*1440,0),""),"")</f>
        <v/>
      </c>
      <c r="AH80" s="61" t="str">
        <f aca="false">IF(AND(AK80&gt;0,AJ80=0),"측정 기록 없음",IF(AND(AJ80&gt;0,AI80=0),"운동평가 기록 없음",IF(OR(COUNTIF(입력_운동!$B$5:$B$1004,$A80)&gt;1,COUNTIF(입력_측정!$B$5:$B$1004,$A80)&gt;1),"중복 입력","")))</f>
        <v/>
      </c>
      <c r="AI80" s="62" t="n">
        <f aca="false">SUMPRODUCT(MAX((입력_운동!$B$5:$B$1004=$A80)*(ROW(입력_운동!$B$5:$B$1004)-4)))</f>
        <v>0</v>
      </c>
      <c r="AJ80" s="62" t="n">
        <f aca="false">SUMPRODUCT(MAX((입력_측정!$B$5:$B$1004=$A80)*(ROW(입력_측정!$B$5:$B$1004)-4)))</f>
        <v>0</v>
      </c>
      <c r="AK80" s="62" t="n">
        <f aca="false">SUMPRODUCT(MAX((입력_상담!$B$5:$B$1004=$A80)*(ROW(입력_상담!$B$5:$B$1004)-4)))</f>
        <v>0</v>
      </c>
    </row>
    <row r="81" customFormat="false" ht="15" hidden="false" customHeight="false" outlineLevel="0" collapsed="false">
      <c r="A81" s="55" t="n">
        <v>77</v>
      </c>
      <c r="B81" s="56"/>
      <c r="C81" s="24"/>
      <c r="D81" s="24"/>
      <c r="E81" s="56"/>
      <c r="F81" s="57"/>
      <c r="G81" s="58"/>
      <c r="H81" s="56"/>
      <c r="I81" s="24"/>
      <c r="J81" s="24"/>
      <c r="K81" s="24"/>
      <c r="L81" s="24"/>
      <c r="M81" s="24"/>
      <c r="N81" s="56"/>
      <c r="O81" s="25" t="str">
        <f aca="false">IF($AI81=0,"",IF(INDEX(입력_운동!$C$5:$C$1004,$AI81)="","",INDEX(입력_운동!$C$5:$C$1004,$AI81)))</f>
        <v/>
      </c>
      <c r="P81" s="25" t="str">
        <f aca="false">IF($AI81=0,"",IF(INDEX(입력_운동!$D$5:$D$1004,$AI81)="","",INDEX(입력_운동!$D$5:$D$1004,$AI81)))</f>
        <v/>
      </c>
      <c r="Q81" s="25" t="str">
        <f aca="false">IF($AI81=0,"",IF(INDEX(입력_운동!$E$5:$E$1004,$AI81)="","",INDEX(입력_운동!$E$5:$E$1004,$AI81)))</f>
        <v/>
      </c>
      <c r="R81" s="25" t="str">
        <f aca="false">IF($AI81=0,"",IF(INDEX(입력_운동!$F$5:$F$1004,$AI81)="","",INDEX(입력_운동!$F$5:$F$1004,$AI81)))</f>
        <v/>
      </c>
      <c r="S81" s="25" t="str">
        <f aca="false">IF($AJ81=0,"",IF(INDEX(입력_측정!$C$5:$C$1004,$AJ81)="","",INDEX(입력_측정!$C$5:$C$1004,$AJ81)))</f>
        <v/>
      </c>
      <c r="T81" s="25" t="str">
        <f aca="false">IF($AJ81=0,"",IF(INDEX(입력_측정!$D$5:$D$1004,$AJ81)="","",INDEX(입력_측정!$D$5:$D$1004,$AJ81)))</f>
        <v/>
      </c>
      <c r="U81" s="25" t="str">
        <f aca="false">IF($AJ81=0,"",IF(INDEX(입력_측정!$E$5:$E$1004,$AJ81)="","",INDEX(입력_측정!$E$5:$E$1004,$AJ81)))</f>
        <v/>
      </c>
      <c r="V81" s="25" t="str">
        <f aca="false">IF($AJ81=0,"",IF(INDEX(입력_측정!$F$5:$F$1004,$AJ81)="","",INDEX(입력_측정!$F$5:$F$1004,$AJ81)))</f>
        <v/>
      </c>
      <c r="W81" s="25" t="str">
        <f aca="false">IF($AK81=0,"",IF(INDEX(입력_상담!$D$5:$D$1004,$AK81)="","",INDEX(입력_상담!$D$5:$D$1004,$AK81)))</f>
        <v/>
      </c>
      <c r="X81" s="25" t="str">
        <f aca="false">IF($AJ81=0,"",IF(INDEX(입력_측정!$I$5:$I$1004,$AJ81)="","",INDEX(입력_측정!$I$5:$I$1004,$AJ81)))</f>
        <v/>
      </c>
      <c r="Y81" s="25" t="str">
        <f aca="false">IF($AJ81=0,"",IF(INDEX(입력_측정!$J$5:$J$1004,$AJ81)="","",INDEX(입력_측정!$J$5:$J$1004,$AJ81)))</f>
        <v/>
      </c>
      <c r="Z81" s="25" t="str">
        <f aca="false">IF(OR(X81="긴급",LEFT(Y81,2)="긴급",W81="필요",W81="완료"),"대상","")</f>
        <v/>
      </c>
      <c r="AA81" s="59" t="str">
        <f aca="false">IF(M81&lt;&gt;"",M81,IF(AK81&gt;0,IF(W81="필요","추가상담 대기","완료"),IF(AJ81&gt;0,"결과상담 대기",IF(AI81&gt;0,"측정 대기","미방문"))))</f>
        <v>미방문</v>
      </c>
      <c r="AB81" s="60" t="str">
        <f aca="false">IF($AI81=0,"",IF(INDEX(입력_운동!$A$5:$A$1004,$AI81)="","",INDEX(입력_운동!$A$5:$A$1004,$AI81)))</f>
        <v/>
      </c>
      <c r="AC81" s="60" t="str">
        <f aca="false">IF($AJ81=0,"",IF(INDEX(입력_측정!$A$5:$A$1004,$AJ81)="","",INDEX(입력_측정!$A$5:$A$1004,$AJ81)))</f>
        <v/>
      </c>
      <c r="AD81" s="60" t="str">
        <f aca="false">IF($AK81=0,"",IF(INDEX(입력_상담!$A$5:$A$1004,$AK81)="","",INDEX(입력_상담!$A$5:$A$1004,$AK81)))</f>
        <v/>
      </c>
      <c r="AE81" s="25" t="str">
        <f aca="false">IF(AND(ISNUMBER(AB81),ISNUMBER(AC81)),IF(AC81&gt;=AB81,ROUND((AC81-AB81)*1440,0),""),"")</f>
        <v/>
      </c>
      <c r="AF81" s="25" t="str">
        <f aca="false">IF(AND(ISNUMBER(AC81),ISNUMBER(AD81)),IF(AD81&gt;=AC81,ROUND((AD81-AC81)*1440,0),""),"")</f>
        <v/>
      </c>
      <c r="AG81" s="25" t="str">
        <f aca="false">IF(AND(AA81="완료",ISNUMBER(AB81),ISNUMBER(AD81)),IF(AD81&gt;=AB81,ROUND((AD81-AB81)*1440,0),""),"")</f>
        <v/>
      </c>
      <c r="AH81" s="61" t="str">
        <f aca="false">IF(AND(AK81&gt;0,AJ81=0),"측정 기록 없음",IF(AND(AJ81&gt;0,AI81=0),"운동평가 기록 없음",IF(OR(COUNTIF(입력_운동!$B$5:$B$1004,$A81)&gt;1,COUNTIF(입력_측정!$B$5:$B$1004,$A81)&gt;1),"중복 입력","")))</f>
        <v/>
      </c>
      <c r="AI81" s="62" t="n">
        <f aca="false">SUMPRODUCT(MAX((입력_운동!$B$5:$B$1004=$A81)*(ROW(입력_운동!$B$5:$B$1004)-4)))</f>
        <v>0</v>
      </c>
      <c r="AJ81" s="62" t="n">
        <f aca="false">SUMPRODUCT(MAX((입력_측정!$B$5:$B$1004=$A81)*(ROW(입력_측정!$B$5:$B$1004)-4)))</f>
        <v>0</v>
      </c>
      <c r="AK81" s="62" t="n">
        <f aca="false">SUMPRODUCT(MAX((입력_상담!$B$5:$B$1004=$A81)*(ROW(입력_상담!$B$5:$B$1004)-4)))</f>
        <v>0</v>
      </c>
    </row>
    <row r="82" customFormat="false" ht="15" hidden="false" customHeight="false" outlineLevel="0" collapsed="false">
      <c r="A82" s="55" t="n">
        <v>78</v>
      </c>
      <c r="B82" s="56"/>
      <c r="C82" s="24"/>
      <c r="D82" s="24"/>
      <c r="E82" s="56"/>
      <c r="F82" s="57"/>
      <c r="G82" s="58"/>
      <c r="H82" s="56"/>
      <c r="I82" s="24"/>
      <c r="J82" s="24"/>
      <c r="K82" s="24"/>
      <c r="L82" s="24"/>
      <c r="M82" s="24"/>
      <c r="N82" s="56"/>
      <c r="O82" s="25" t="str">
        <f aca="false">IF($AI82=0,"",IF(INDEX(입력_운동!$C$5:$C$1004,$AI82)="","",INDEX(입력_운동!$C$5:$C$1004,$AI82)))</f>
        <v/>
      </c>
      <c r="P82" s="25" t="str">
        <f aca="false">IF($AI82=0,"",IF(INDEX(입력_운동!$D$5:$D$1004,$AI82)="","",INDEX(입력_운동!$D$5:$D$1004,$AI82)))</f>
        <v/>
      </c>
      <c r="Q82" s="25" t="str">
        <f aca="false">IF($AI82=0,"",IF(INDEX(입력_운동!$E$5:$E$1004,$AI82)="","",INDEX(입력_운동!$E$5:$E$1004,$AI82)))</f>
        <v/>
      </c>
      <c r="R82" s="25" t="str">
        <f aca="false">IF($AI82=0,"",IF(INDEX(입력_운동!$F$5:$F$1004,$AI82)="","",INDEX(입력_운동!$F$5:$F$1004,$AI82)))</f>
        <v/>
      </c>
      <c r="S82" s="25" t="str">
        <f aca="false">IF($AJ82=0,"",IF(INDEX(입력_측정!$C$5:$C$1004,$AJ82)="","",INDEX(입력_측정!$C$5:$C$1004,$AJ82)))</f>
        <v/>
      </c>
      <c r="T82" s="25" t="str">
        <f aca="false">IF($AJ82=0,"",IF(INDEX(입력_측정!$D$5:$D$1004,$AJ82)="","",INDEX(입력_측정!$D$5:$D$1004,$AJ82)))</f>
        <v/>
      </c>
      <c r="U82" s="25" t="str">
        <f aca="false">IF($AJ82=0,"",IF(INDEX(입력_측정!$E$5:$E$1004,$AJ82)="","",INDEX(입력_측정!$E$5:$E$1004,$AJ82)))</f>
        <v/>
      </c>
      <c r="V82" s="25" t="str">
        <f aca="false">IF($AJ82=0,"",IF(INDEX(입력_측정!$F$5:$F$1004,$AJ82)="","",INDEX(입력_측정!$F$5:$F$1004,$AJ82)))</f>
        <v/>
      </c>
      <c r="W82" s="25" t="str">
        <f aca="false">IF($AK82=0,"",IF(INDEX(입력_상담!$D$5:$D$1004,$AK82)="","",INDEX(입력_상담!$D$5:$D$1004,$AK82)))</f>
        <v/>
      </c>
      <c r="X82" s="25" t="str">
        <f aca="false">IF($AJ82=0,"",IF(INDEX(입력_측정!$I$5:$I$1004,$AJ82)="","",INDEX(입력_측정!$I$5:$I$1004,$AJ82)))</f>
        <v/>
      </c>
      <c r="Y82" s="25" t="str">
        <f aca="false">IF($AJ82=0,"",IF(INDEX(입력_측정!$J$5:$J$1004,$AJ82)="","",INDEX(입력_측정!$J$5:$J$1004,$AJ82)))</f>
        <v/>
      </c>
      <c r="Z82" s="25" t="str">
        <f aca="false">IF(OR(X82="긴급",LEFT(Y82,2)="긴급",W82="필요",W82="완료"),"대상","")</f>
        <v/>
      </c>
      <c r="AA82" s="59" t="str">
        <f aca="false">IF(M82&lt;&gt;"",M82,IF(AK82&gt;0,IF(W82="필요","추가상담 대기","완료"),IF(AJ82&gt;0,"결과상담 대기",IF(AI82&gt;0,"측정 대기","미방문"))))</f>
        <v>미방문</v>
      </c>
      <c r="AB82" s="60" t="str">
        <f aca="false">IF($AI82=0,"",IF(INDEX(입력_운동!$A$5:$A$1004,$AI82)="","",INDEX(입력_운동!$A$5:$A$1004,$AI82)))</f>
        <v/>
      </c>
      <c r="AC82" s="60" t="str">
        <f aca="false">IF($AJ82=0,"",IF(INDEX(입력_측정!$A$5:$A$1004,$AJ82)="","",INDEX(입력_측정!$A$5:$A$1004,$AJ82)))</f>
        <v/>
      </c>
      <c r="AD82" s="60" t="str">
        <f aca="false">IF($AK82=0,"",IF(INDEX(입력_상담!$A$5:$A$1004,$AK82)="","",INDEX(입력_상담!$A$5:$A$1004,$AK82)))</f>
        <v/>
      </c>
      <c r="AE82" s="25" t="str">
        <f aca="false">IF(AND(ISNUMBER(AB82),ISNUMBER(AC82)),IF(AC82&gt;=AB82,ROUND((AC82-AB82)*1440,0),""),"")</f>
        <v/>
      </c>
      <c r="AF82" s="25" t="str">
        <f aca="false">IF(AND(ISNUMBER(AC82),ISNUMBER(AD82)),IF(AD82&gt;=AC82,ROUND((AD82-AC82)*1440,0),""),"")</f>
        <v/>
      </c>
      <c r="AG82" s="25" t="str">
        <f aca="false">IF(AND(AA82="완료",ISNUMBER(AB82),ISNUMBER(AD82)),IF(AD82&gt;=AB82,ROUND((AD82-AB82)*1440,0),""),"")</f>
        <v/>
      </c>
      <c r="AH82" s="61" t="str">
        <f aca="false">IF(AND(AK82&gt;0,AJ82=0),"측정 기록 없음",IF(AND(AJ82&gt;0,AI82=0),"운동평가 기록 없음",IF(OR(COUNTIF(입력_운동!$B$5:$B$1004,$A82)&gt;1,COUNTIF(입력_측정!$B$5:$B$1004,$A82)&gt;1),"중복 입력","")))</f>
        <v/>
      </c>
      <c r="AI82" s="62" t="n">
        <f aca="false">SUMPRODUCT(MAX((입력_운동!$B$5:$B$1004=$A82)*(ROW(입력_운동!$B$5:$B$1004)-4)))</f>
        <v>0</v>
      </c>
      <c r="AJ82" s="62" t="n">
        <f aca="false">SUMPRODUCT(MAX((입력_측정!$B$5:$B$1004=$A82)*(ROW(입력_측정!$B$5:$B$1004)-4)))</f>
        <v>0</v>
      </c>
      <c r="AK82" s="62" t="n">
        <f aca="false">SUMPRODUCT(MAX((입력_상담!$B$5:$B$1004=$A82)*(ROW(입력_상담!$B$5:$B$1004)-4)))</f>
        <v>0</v>
      </c>
    </row>
    <row r="83" customFormat="false" ht="15" hidden="false" customHeight="false" outlineLevel="0" collapsed="false">
      <c r="A83" s="55" t="n">
        <v>79</v>
      </c>
      <c r="B83" s="56"/>
      <c r="C83" s="24"/>
      <c r="D83" s="24"/>
      <c r="E83" s="56"/>
      <c r="F83" s="57"/>
      <c r="G83" s="58"/>
      <c r="H83" s="56"/>
      <c r="I83" s="24"/>
      <c r="J83" s="24"/>
      <c r="K83" s="24"/>
      <c r="L83" s="24"/>
      <c r="M83" s="24"/>
      <c r="N83" s="56"/>
      <c r="O83" s="25" t="str">
        <f aca="false">IF($AI83=0,"",IF(INDEX(입력_운동!$C$5:$C$1004,$AI83)="","",INDEX(입력_운동!$C$5:$C$1004,$AI83)))</f>
        <v/>
      </c>
      <c r="P83" s="25" t="str">
        <f aca="false">IF($AI83=0,"",IF(INDEX(입력_운동!$D$5:$D$1004,$AI83)="","",INDEX(입력_운동!$D$5:$D$1004,$AI83)))</f>
        <v/>
      </c>
      <c r="Q83" s="25" t="str">
        <f aca="false">IF($AI83=0,"",IF(INDEX(입력_운동!$E$5:$E$1004,$AI83)="","",INDEX(입력_운동!$E$5:$E$1004,$AI83)))</f>
        <v/>
      </c>
      <c r="R83" s="25" t="str">
        <f aca="false">IF($AI83=0,"",IF(INDEX(입력_운동!$F$5:$F$1004,$AI83)="","",INDEX(입력_운동!$F$5:$F$1004,$AI83)))</f>
        <v/>
      </c>
      <c r="S83" s="25" t="str">
        <f aca="false">IF($AJ83=0,"",IF(INDEX(입력_측정!$C$5:$C$1004,$AJ83)="","",INDEX(입력_측정!$C$5:$C$1004,$AJ83)))</f>
        <v/>
      </c>
      <c r="T83" s="25" t="str">
        <f aca="false">IF($AJ83=0,"",IF(INDEX(입력_측정!$D$5:$D$1004,$AJ83)="","",INDEX(입력_측정!$D$5:$D$1004,$AJ83)))</f>
        <v/>
      </c>
      <c r="U83" s="25" t="str">
        <f aca="false">IF($AJ83=0,"",IF(INDEX(입력_측정!$E$5:$E$1004,$AJ83)="","",INDEX(입력_측정!$E$5:$E$1004,$AJ83)))</f>
        <v/>
      </c>
      <c r="V83" s="25" t="str">
        <f aca="false">IF($AJ83=0,"",IF(INDEX(입력_측정!$F$5:$F$1004,$AJ83)="","",INDEX(입력_측정!$F$5:$F$1004,$AJ83)))</f>
        <v/>
      </c>
      <c r="W83" s="25" t="str">
        <f aca="false">IF($AK83=0,"",IF(INDEX(입력_상담!$D$5:$D$1004,$AK83)="","",INDEX(입력_상담!$D$5:$D$1004,$AK83)))</f>
        <v/>
      </c>
      <c r="X83" s="25" t="str">
        <f aca="false">IF($AJ83=0,"",IF(INDEX(입력_측정!$I$5:$I$1004,$AJ83)="","",INDEX(입력_측정!$I$5:$I$1004,$AJ83)))</f>
        <v/>
      </c>
      <c r="Y83" s="25" t="str">
        <f aca="false">IF($AJ83=0,"",IF(INDEX(입력_측정!$J$5:$J$1004,$AJ83)="","",INDEX(입력_측정!$J$5:$J$1004,$AJ83)))</f>
        <v/>
      </c>
      <c r="Z83" s="25" t="str">
        <f aca="false">IF(OR(X83="긴급",LEFT(Y83,2)="긴급",W83="필요",W83="완료"),"대상","")</f>
        <v/>
      </c>
      <c r="AA83" s="59" t="str">
        <f aca="false">IF(M83&lt;&gt;"",M83,IF(AK83&gt;0,IF(W83="필요","추가상담 대기","완료"),IF(AJ83&gt;0,"결과상담 대기",IF(AI83&gt;0,"측정 대기","미방문"))))</f>
        <v>미방문</v>
      </c>
      <c r="AB83" s="60" t="str">
        <f aca="false">IF($AI83=0,"",IF(INDEX(입력_운동!$A$5:$A$1004,$AI83)="","",INDEX(입력_운동!$A$5:$A$1004,$AI83)))</f>
        <v/>
      </c>
      <c r="AC83" s="60" t="str">
        <f aca="false">IF($AJ83=0,"",IF(INDEX(입력_측정!$A$5:$A$1004,$AJ83)="","",INDEX(입력_측정!$A$5:$A$1004,$AJ83)))</f>
        <v/>
      </c>
      <c r="AD83" s="60" t="str">
        <f aca="false">IF($AK83=0,"",IF(INDEX(입력_상담!$A$5:$A$1004,$AK83)="","",INDEX(입력_상담!$A$5:$A$1004,$AK83)))</f>
        <v/>
      </c>
      <c r="AE83" s="25" t="str">
        <f aca="false">IF(AND(ISNUMBER(AB83),ISNUMBER(AC83)),IF(AC83&gt;=AB83,ROUND((AC83-AB83)*1440,0),""),"")</f>
        <v/>
      </c>
      <c r="AF83" s="25" t="str">
        <f aca="false">IF(AND(ISNUMBER(AC83),ISNUMBER(AD83)),IF(AD83&gt;=AC83,ROUND((AD83-AC83)*1440,0),""),"")</f>
        <v/>
      </c>
      <c r="AG83" s="25" t="str">
        <f aca="false">IF(AND(AA83="완료",ISNUMBER(AB83),ISNUMBER(AD83)),IF(AD83&gt;=AB83,ROUND((AD83-AB83)*1440,0),""),"")</f>
        <v/>
      </c>
      <c r="AH83" s="61" t="str">
        <f aca="false">IF(AND(AK83&gt;0,AJ83=0),"측정 기록 없음",IF(AND(AJ83&gt;0,AI83=0),"운동평가 기록 없음",IF(OR(COUNTIF(입력_운동!$B$5:$B$1004,$A83)&gt;1,COUNTIF(입력_측정!$B$5:$B$1004,$A83)&gt;1),"중복 입력","")))</f>
        <v/>
      </c>
      <c r="AI83" s="62" t="n">
        <f aca="false">SUMPRODUCT(MAX((입력_운동!$B$5:$B$1004=$A83)*(ROW(입력_운동!$B$5:$B$1004)-4)))</f>
        <v>0</v>
      </c>
      <c r="AJ83" s="62" t="n">
        <f aca="false">SUMPRODUCT(MAX((입력_측정!$B$5:$B$1004=$A83)*(ROW(입력_측정!$B$5:$B$1004)-4)))</f>
        <v>0</v>
      </c>
      <c r="AK83" s="62" t="n">
        <f aca="false">SUMPRODUCT(MAX((입력_상담!$B$5:$B$1004=$A83)*(ROW(입력_상담!$B$5:$B$1004)-4)))</f>
        <v>0</v>
      </c>
    </row>
    <row r="84" customFormat="false" ht="15" hidden="false" customHeight="false" outlineLevel="0" collapsed="false">
      <c r="A84" s="55" t="n">
        <v>80</v>
      </c>
      <c r="B84" s="56"/>
      <c r="C84" s="24"/>
      <c r="D84" s="24"/>
      <c r="E84" s="56"/>
      <c r="F84" s="57"/>
      <c r="G84" s="58"/>
      <c r="H84" s="56"/>
      <c r="I84" s="24"/>
      <c r="J84" s="24"/>
      <c r="K84" s="24"/>
      <c r="L84" s="24"/>
      <c r="M84" s="24"/>
      <c r="N84" s="56"/>
      <c r="O84" s="25" t="str">
        <f aca="false">IF($AI84=0,"",IF(INDEX(입력_운동!$C$5:$C$1004,$AI84)="","",INDEX(입력_운동!$C$5:$C$1004,$AI84)))</f>
        <v/>
      </c>
      <c r="P84" s="25" t="str">
        <f aca="false">IF($AI84=0,"",IF(INDEX(입력_운동!$D$5:$D$1004,$AI84)="","",INDEX(입력_운동!$D$5:$D$1004,$AI84)))</f>
        <v/>
      </c>
      <c r="Q84" s="25" t="str">
        <f aca="false">IF($AI84=0,"",IF(INDEX(입력_운동!$E$5:$E$1004,$AI84)="","",INDEX(입력_운동!$E$5:$E$1004,$AI84)))</f>
        <v/>
      </c>
      <c r="R84" s="25" t="str">
        <f aca="false">IF($AI84=0,"",IF(INDEX(입력_운동!$F$5:$F$1004,$AI84)="","",INDEX(입력_운동!$F$5:$F$1004,$AI84)))</f>
        <v/>
      </c>
      <c r="S84" s="25" t="str">
        <f aca="false">IF($AJ84=0,"",IF(INDEX(입력_측정!$C$5:$C$1004,$AJ84)="","",INDEX(입력_측정!$C$5:$C$1004,$AJ84)))</f>
        <v/>
      </c>
      <c r="T84" s="25" t="str">
        <f aca="false">IF($AJ84=0,"",IF(INDEX(입력_측정!$D$5:$D$1004,$AJ84)="","",INDEX(입력_측정!$D$5:$D$1004,$AJ84)))</f>
        <v/>
      </c>
      <c r="U84" s="25" t="str">
        <f aca="false">IF($AJ84=0,"",IF(INDEX(입력_측정!$E$5:$E$1004,$AJ84)="","",INDEX(입력_측정!$E$5:$E$1004,$AJ84)))</f>
        <v/>
      </c>
      <c r="V84" s="25" t="str">
        <f aca="false">IF($AJ84=0,"",IF(INDEX(입력_측정!$F$5:$F$1004,$AJ84)="","",INDEX(입력_측정!$F$5:$F$1004,$AJ84)))</f>
        <v/>
      </c>
      <c r="W84" s="25" t="str">
        <f aca="false">IF($AK84=0,"",IF(INDEX(입력_상담!$D$5:$D$1004,$AK84)="","",INDEX(입력_상담!$D$5:$D$1004,$AK84)))</f>
        <v/>
      </c>
      <c r="X84" s="25" t="str">
        <f aca="false">IF($AJ84=0,"",IF(INDEX(입력_측정!$I$5:$I$1004,$AJ84)="","",INDEX(입력_측정!$I$5:$I$1004,$AJ84)))</f>
        <v/>
      </c>
      <c r="Y84" s="25" t="str">
        <f aca="false">IF($AJ84=0,"",IF(INDEX(입력_측정!$J$5:$J$1004,$AJ84)="","",INDEX(입력_측정!$J$5:$J$1004,$AJ84)))</f>
        <v/>
      </c>
      <c r="Z84" s="25" t="str">
        <f aca="false">IF(OR(X84="긴급",LEFT(Y84,2)="긴급",W84="필요",W84="완료"),"대상","")</f>
        <v/>
      </c>
      <c r="AA84" s="59" t="str">
        <f aca="false">IF(M84&lt;&gt;"",M84,IF(AK84&gt;0,IF(W84="필요","추가상담 대기","완료"),IF(AJ84&gt;0,"결과상담 대기",IF(AI84&gt;0,"측정 대기","미방문"))))</f>
        <v>미방문</v>
      </c>
      <c r="AB84" s="60" t="str">
        <f aca="false">IF($AI84=0,"",IF(INDEX(입력_운동!$A$5:$A$1004,$AI84)="","",INDEX(입력_운동!$A$5:$A$1004,$AI84)))</f>
        <v/>
      </c>
      <c r="AC84" s="60" t="str">
        <f aca="false">IF($AJ84=0,"",IF(INDEX(입력_측정!$A$5:$A$1004,$AJ84)="","",INDEX(입력_측정!$A$5:$A$1004,$AJ84)))</f>
        <v/>
      </c>
      <c r="AD84" s="60" t="str">
        <f aca="false">IF($AK84=0,"",IF(INDEX(입력_상담!$A$5:$A$1004,$AK84)="","",INDEX(입력_상담!$A$5:$A$1004,$AK84)))</f>
        <v/>
      </c>
      <c r="AE84" s="25" t="str">
        <f aca="false">IF(AND(ISNUMBER(AB84),ISNUMBER(AC84)),IF(AC84&gt;=AB84,ROUND((AC84-AB84)*1440,0),""),"")</f>
        <v/>
      </c>
      <c r="AF84" s="25" t="str">
        <f aca="false">IF(AND(ISNUMBER(AC84),ISNUMBER(AD84)),IF(AD84&gt;=AC84,ROUND((AD84-AC84)*1440,0),""),"")</f>
        <v/>
      </c>
      <c r="AG84" s="25" t="str">
        <f aca="false">IF(AND(AA84="완료",ISNUMBER(AB84),ISNUMBER(AD84)),IF(AD84&gt;=AB84,ROUND((AD84-AB84)*1440,0),""),"")</f>
        <v/>
      </c>
      <c r="AH84" s="61" t="str">
        <f aca="false">IF(AND(AK84&gt;0,AJ84=0),"측정 기록 없음",IF(AND(AJ84&gt;0,AI84=0),"운동평가 기록 없음",IF(OR(COUNTIF(입력_운동!$B$5:$B$1004,$A84)&gt;1,COUNTIF(입력_측정!$B$5:$B$1004,$A84)&gt;1),"중복 입력","")))</f>
        <v/>
      </c>
      <c r="AI84" s="62" t="n">
        <f aca="false">SUMPRODUCT(MAX((입력_운동!$B$5:$B$1004=$A84)*(ROW(입력_운동!$B$5:$B$1004)-4)))</f>
        <v>0</v>
      </c>
      <c r="AJ84" s="62" t="n">
        <f aca="false">SUMPRODUCT(MAX((입력_측정!$B$5:$B$1004=$A84)*(ROW(입력_측정!$B$5:$B$1004)-4)))</f>
        <v>0</v>
      </c>
      <c r="AK84" s="62" t="n">
        <f aca="false">SUMPRODUCT(MAX((입력_상담!$B$5:$B$1004=$A84)*(ROW(입력_상담!$B$5:$B$1004)-4)))</f>
        <v>0</v>
      </c>
    </row>
    <row r="85" customFormat="false" ht="15" hidden="false" customHeight="false" outlineLevel="0" collapsed="false">
      <c r="A85" s="55" t="n">
        <v>81</v>
      </c>
      <c r="B85" s="56"/>
      <c r="C85" s="24"/>
      <c r="D85" s="24"/>
      <c r="E85" s="56"/>
      <c r="F85" s="57"/>
      <c r="G85" s="58"/>
      <c r="H85" s="56"/>
      <c r="I85" s="24"/>
      <c r="J85" s="24"/>
      <c r="K85" s="24"/>
      <c r="L85" s="24"/>
      <c r="M85" s="24"/>
      <c r="N85" s="56"/>
      <c r="O85" s="25" t="str">
        <f aca="false">IF($AI85=0,"",IF(INDEX(입력_운동!$C$5:$C$1004,$AI85)="","",INDEX(입력_운동!$C$5:$C$1004,$AI85)))</f>
        <v/>
      </c>
      <c r="P85" s="25" t="str">
        <f aca="false">IF($AI85=0,"",IF(INDEX(입력_운동!$D$5:$D$1004,$AI85)="","",INDEX(입력_운동!$D$5:$D$1004,$AI85)))</f>
        <v/>
      </c>
      <c r="Q85" s="25" t="str">
        <f aca="false">IF($AI85=0,"",IF(INDEX(입력_운동!$E$5:$E$1004,$AI85)="","",INDEX(입력_운동!$E$5:$E$1004,$AI85)))</f>
        <v/>
      </c>
      <c r="R85" s="25" t="str">
        <f aca="false">IF($AI85=0,"",IF(INDEX(입력_운동!$F$5:$F$1004,$AI85)="","",INDEX(입력_운동!$F$5:$F$1004,$AI85)))</f>
        <v/>
      </c>
      <c r="S85" s="25" t="str">
        <f aca="false">IF($AJ85=0,"",IF(INDEX(입력_측정!$C$5:$C$1004,$AJ85)="","",INDEX(입력_측정!$C$5:$C$1004,$AJ85)))</f>
        <v/>
      </c>
      <c r="T85" s="25" t="str">
        <f aca="false">IF($AJ85=0,"",IF(INDEX(입력_측정!$D$5:$D$1004,$AJ85)="","",INDEX(입력_측정!$D$5:$D$1004,$AJ85)))</f>
        <v/>
      </c>
      <c r="U85" s="25" t="str">
        <f aca="false">IF($AJ85=0,"",IF(INDEX(입력_측정!$E$5:$E$1004,$AJ85)="","",INDEX(입력_측정!$E$5:$E$1004,$AJ85)))</f>
        <v/>
      </c>
      <c r="V85" s="25" t="str">
        <f aca="false">IF($AJ85=0,"",IF(INDEX(입력_측정!$F$5:$F$1004,$AJ85)="","",INDEX(입력_측정!$F$5:$F$1004,$AJ85)))</f>
        <v/>
      </c>
      <c r="W85" s="25" t="str">
        <f aca="false">IF($AK85=0,"",IF(INDEX(입력_상담!$D$5:$D$1004,$AK85)="","",INDEX(입력_상담!$D$5:$D$1004,$AK85)))</f>
        <v/>
      </c>
      <c r="X85" s="25" t="str">
        <f aca="false">IF($AJ85=0,"",IF(INDEX(입력_측정!$I$5:$I$1004,$AJ85)="","",INDEX(입력_측정!$I$5:$I$1004,$AJ85)))</f>
        <v/>
      </c>
      <c r="Y85" s="25" t="str">
        <f aca="false">IF($AJ85=0,"",IF(INDEX(입력_측정!$J$5:$J$1004,$AJ85)="","",INDEX(입력_측정!$J$5:$J$1004,$AJ85)))</f>
        <v/>
      </c>
      <c r="Z85" s="25" t="str">
        <f aca="false">IF(OR(X85="긴급",LEFT(Y85,2)="긴급",W85="필요",W85="완료"),"대상","")</f>
        <v/>
      </c>
      <c r="AA85" s="59" t="str">
        <f aca="false">IF(M85&lt;&gt;"",M85,IF(AK85&gt;0,IF(W85="필요","추가상담 대기","완료"),IF(AJ85&gt;0,"결과상담 대기",IF(AI85&gt;0,"측정 대기","미방문"))))</f>
        <v>미방문</v>
      </c>
      <c r="AB85" s="60" t="str">
        <f aca="false">IF($AI85=0,"",IF(INDEX(입력_운동!$A$5:$A$1004,$AI85)="","",INDEX(입력_운동!$A$5:$A$1004,$AI85)))</f>
        <v/>
      </c>
      <c r="AC85" s="60" t="str">
        <f aca="false">IF($AJ85=0,"",IF(INDEX(입력_측정!$A$5:$A$1004,$AJ85)="","",INDEX(입력_측정!$A$5:$A$1004,$AJ85)))</f>
        <v/>
      </c>
      <c r="AD85" s="60" t="str">
        <f aca="false">IF($AK85=0,"",IF(INDEX(입력_상담!$A$5:$A$1004,$AK85)="","",INDEX(입력_상담!$A$5:$A$1004,$AK85)))</f>
        <v/>
      </c>
      <c r="AE85" s="25" t="str">
        <f aca="false">IF(AND(ISNUMBER(AB85),ISNUMBER(AC85)),IF(AC85&gt;=AB85,ROUND((AC85-AB85)*1440,0),""),"")</f>
        <v/>
      </c>
      <c r="AF85" s="25" t="str">
        <f aca="false">IF(AND(ISNUMBER(AC85),ISNUMBER(AD85)),IF(AD85&gt;=AC85,ROUND((AD85-AC85)*1440,0),""),"")</f>
        <v/>
      </c>
      <c r="AG85" s="25" t="str">
        <f aca="false">IF(AND(AA85="완료",ISNUMBER(AB85),ISNUMBER(AD85)),IF(AD85&gt;=AB85,ROUND((AD85-AB85)*1440,0),""),"")</f>
        <v/>
      </c>
      <c r="AH85" s="61" t="str">
        <f aca="false">IF(AND(AK85&gt;0,AJ85=0),"측정 기록 없음",IF(AND(AJ85&gt;0,AI85=0),"운동평가 기록 없음",IF(OR(COUNTIF(입력_운동!$B$5:$B$1004,$A85)&gt;1,COUNTIF(입력_측정!$B$5:$B$1004,$A85)&gt;1),"중복 입력","")))</f>
        <v/>
      </c>
      <c r="AI85" s="62" t="n">
        <f aca="false">SUMPRODUCT(MAX((입력_운동!$B$5:$B$1004=$A85)*(ROW(입력_운동!$B$5:$B$1004)-4)))</f>
        <v>0</v>
      </c>
      <c r="AJ85" s="62" t="n">
        <f aca="false">SUMPRODUCT(MAX((입력_측정!$B$5:$B$1004=$A85)*(ROW(입력_측정!$B$5:$B$1004)-4)))</f>
        <v>0</v>
      </c>
      <c r="AK85" s="62" t="n">
        <f aca="false">SUMPRODUCT(MAX((입력_상담!$B$5:$B$1004=$A85)*(ROW(입력_상담!$B$5:$B$1004)-4)))</f>
        <v>0</v>
      </c>
    </row>
    <row r="86" customFormat="false" ht="15" hidden="false" customHeight="false" outlineLevel="0" collapsed="false">
      <c r="A86" s="55" t="n">
        <v>82</v>
      </c>
      <c r="B86" s="56"/>
      <c r="C86" s="24"/>
      <c r="D86" s="24"/>
      <c r="E86" s="56"/>
      <c r="F86" s="57"/>
      <c r="G86" s="58"/>
      <c r="H86" s="56"/>
      <c r="I86" s="24"/>
      <c r="J86" s="24"/>
      <c r="K86" s="24"/>
      <c r="L86" s="24"/>
      <c r="M86" s="24"/>
      <c r="N86" s="56"/>
      <c r="O86" s="25" t="str">
        <f aca="false">IF($AI86=0,"",IF(INDEX(입력_운동!$C$5:$C$1004,$AI86)="","",INDEX(입력_운동!$C$5:$C$1004,$AI86)))</f>
        <v/>
      </c>
      <c r="P86" s="25" t="str">
        <f aca="false">IF($AI86=0,"",IF(INDEX(입력_운동!$D$5:$D$1004,$AI86)="","",INDEX(입력_운동!$D$5:$D$1004,$AI86)))</f>
        <v/>
      </c>
      <c r="Q86" s="25" t="str">
        <f aca="false">IF($AI86=0,"",IF(INDEX(입력_운동!$E$5:$E$1004,$AI86)="","",INDEX(입력_운동!$E$5:$E$1004,$AI86)))</f>
        <v/>
      </c>
      <c r="R86" s="25" t="str">
        <f aca="false">IF($AI86=0,"",IF(INDEX(입력_운동!$F$5:$F$1004,$AI86)="","",INDEX(입력_운동!$F$5:$F$1004,$AI86)))</f>
        <v/>
      </c>
      <c r="S86" s="25" t="str">
        <f aca="false">IF($AJ86=0,"",IF(INDEX(입력_측정!$C$5:$C$1004,$AJ86)="","",INDEX(입력_측정!$C$5:$C$1004,$AJ86)))</f>
        <v/>
      </c>
      <c r="T86" s="25" t="str">
        <f aca="false">IF($AJ86=0,"",IF(INDEX(입력_측정!$D$5:$D$1004,$AJ86)="","",INDEX(입력_측정!$D$5:$D$1004,$AJ86)))</f>
        <v/>
      </c>
      <c r="U86" s="25" t="str">
        <f aca="false">IF($AJ86=0,"",IF(INDEX(입력_측정!$E$5:$E$1004,$AJ86)="","",INDEX(입력_측정!$E$5:$E$1004,$AJ86)))</f>
        <v/>
      </c>
      <c r="V86" s="25" t="str">
        <f aca="false">IF($AJ86=0,"",IF(INDEX(입력_측정!$F$5:$F$1004,$AJ86)="","",INDEX(입력_측정!$F$5:$F$1004,$AJ86)))</f>
        <v/>
      </c>
      <c r="W86" s="25" t="str">
        <f aca="false">IF($AK86=0,"",IF(INDEX(입력_상담!$D$5:$D$1004,$AK86)="","",INDEX(입력_상담!$D$5:$D$1004,$AK86)))</f>
        <v/>
      </c>
      <c r="X86" s="25" t="str">
        <f aca="false">IF($AJ86=0,"",IF(INDEX(입력_측정!$I$5:$I$1004,$AJ86)="","",INDEX(입력_측정!$I$5:$I$1004,$AJ86)))</f>
        <v/>
      </c>
      <c r="Y86" s="25" t="str">
        <f aca="false">IF($AJ86=0,"",IF(INDEX(입력_측정!$J$5:$J$1004,$AJ86)="","",INDEX(입력_측정!$J$5:$J$1004,$AJ86)))</f>
        <v/>
      </c>
      <c r="Z86" s="25" t="str">
        <f aca="false">IF(OR(X86="긴급",LEFT(Y86,2)="긴급",W86="필요",W86="완료"),"대상","")</f>
        <v/>
      </c>
      <c r="AA86" s="59" t="str">
        <f aca="false">IF(M86&lt;&gt;"",M86,IF(AK86&gt;0,IF(W86="필요","추가상담 대기","완료"),IF(AJ86&gt;0,"결과상담 대기",IF(AI86&gt;0,"측정 대기","미방문"))))</f>
        <v>미방문</v>
      </c>
      <c r="AB86" s="60" t="str">
        <f aca="false">IF($AI86=0,"",IF(INDEX(입력_운동!$A$5:$A$1004,$AI86)="","",INDEX(입력_운동!$A$5:$A$1004,$AI86)))</f>
        <v/>
      </c>
      <c r="AC86" s="60" t="str">
        <f aca="false">IF($AJ86=0,"",IF(INDEX(입력_측정!$A$5:$A$1004,$AJ86)="","",INDEX(입력_측정!$A$5:$A$1004,$AJ86)))</f>
        <v/>
      </c>
      <c r="AD86" s="60" t="str">
        <f aca="false">IF($AK86=0,"",IF(INDEX(입력_상담!$A$5:$A$1004,$AK86)="","",INDEX(입력_상담!$A$5:$A$1004,$AK86)))</f>
        <v/>
      </c>
      <c r="AE86" s="25" t="str">
        <f aca="false">IF(AND(ISNUMBER(AB86),ISNUMBER(AC86)),IF(AC86&gt;=AB86,ROUND((AC86-AB86)*1440,0),""),"")</f>
        <v/>
      </c>
      <c r="AF86" s="25" t="str">
        <f aca="false">IF(AND(ISNUMBER(AC86),ISNUMBER(AD86)),IF(AD86&gt;=AC86,ROUND((AD86-AC86)*1440,0),""),"")</f>
        <v/>
      </c>
      <c r="AG86" s="25" t="str">
        <f aca="false">IF(AND(AA86="완료",ISNUMBER(AB86),ISNUMBER(AD86)),IF(AD86&gt;=AB86,ROUND((AD86-AB86)*1440,0),""),"")</f>
        <v/>
      </c>
      <c r="AH86" s="61" t="str">
        <f aca="false">IF(AND(AK86&gt;0,AJ86=0),"측정 기록 없음",IF(AND(AJ86&gt;0,AI86=0),"운동평가 기록 없음",IF(OR(COUNTIF(입력_운동!$B$5:$B$1004,$A86)&gt;1,COUNTIF(입력_측정!$B$5:$B$1004,$A86)&gt;1),"중복 입력","")))</f>
        <v/>
      </c>
      <c r="AI86" s="62" t="n">
        <f aca="false">SUMPRODUCT(MAX((입력_운동!$B$5:$B$1004=$A86)*(ROW(입력_운동!$B$5:$B$1004)-4)))</f>
        <v>0</v>
      </c>
      <c r="AJ86" s="62" t="n">
        <f aca="false">SUMPRODUCT(MAX((입력_측정!$B$5:$B$1004=$A86)*(ROW(입력_측정!$B$5:$B$1004)-4)))</f>
        <v>0</v>
      </c>
      <c r="AK86" s="62" t="n">
        <f aca="false">SUMPRODUCT(MAX((입력_상담!$B$5:$B$1004=$A86)*(ROW(입력_상담!$B$5:$B$1004)-4)))</f>
        <v>0</v>
      </c>
    </row>
    <row r="87" customFormat="false" ht="15" hidden="false" customHeight="false" outlineLevel="0" collapsed="false">
      <c r="A87" s="55" t="n">
        <v>83</v>
      </c>
      <c r="B87" s="56"/>
      <c r="C87" s="24"/>
      <c r="D87" s="24"/>
      <c r="E87" s="56"/>
      <c r="F87" s="57"/>
      <c r="G87" s="58"/>
      <c r="H87" s="56"/>
      <c r="I87" s="24"/>
      <c r="J87" s="24"/>
      <c r="K87" s="24"/>
      <c r="L87" s="24"/>
      <c r="M87" s="24"/>
      <c r="N87" s="56"/>
      <c r="O87" s="25" t="str">
        <f aca="false">IF($AI87=0,"",IF(INDEX(입력_운동!$C$5:$C$1004,$AI87)="","",INDEX(입력_운동!$C$5:$C$1004,$AI87)))</f>
        <v/>
      </c>
      <c r="P87" s="25" t="str">
        <f aca="false">IF($AI87=0,"",IF(INDEX(입력_운동!$D$5:$D$1004,$AI87)="","",INDEX(입력_운동!$D$5:$D$1004,$AI87)))</f>
        <v/>
      </c>
      <c r="Q87" s="25" t="str">
        <f aca="false">IF($AI87=0,"",IF(INDEX(입력_운동!$E$5:$E$1004,$AI87)="","",INDEX(입력_운동!$E$5:$E$1004,$AI87)))</f>
        <v/>
      </c>
      <c r="R87" s="25" t="str">
        <f aca="false">IF($AI87=0,"",IF(INDEX(입력_운동!$F$5:$F$1004,$AI87)="","",INDEX(입력_운동!$F$5:$F$1004,$AI87)))</f>
        <v/>
      </c>
      <c r="S87" s="25" t="str">
        <f aca="false">IF($AJ87=0,"",IF(INDEX(입력_측정!$C$5:$C$1004,$AJ87)="","",INDEX(입력_측정!$C$5:$C$1004,$AJ87)))</f>
        <v/>
      </c>
      <c r="T87" s="25" t="str">
        <f aca="false">IF($AJ87=0,"",IF(INDEX(입력_측정!$D$5:$D$1004,$AJ87)="","",INDEX(입력_측정!$D$5:$D$1004,$AJ87)))</f>
        <v/>
      </c>
      <c r="U87" s="25" t="str">
        <f aca="false">IF($AJ87=0,"",IF(INDEX(입력_측정!$E$5:$E$1004,$AJ87)="","",INDEX(입력_측정!$E$5:$E$1004,$AJ87)))</f>
        <v/>
      </c>
      <c r="V87" s="25" t="str">
        <f aca="false">IF($AJ87=0,"",IF(INDEX(입력_측정!$F$5:$F$1004,$AJ87)="","",INDEX(입력_측정!$F$5:$F$1004,$AJ87)))</f>
        <v/>
      </c>
      <c r="W87" s="25" t="str">
        <f aca="false">IF($AK87=0,"",IF(INDEX(입력_상담!$D$5:$D$1004,$AK87)="","",INDEX(입력_상담!$D$5:$D$1004,$AK87)))</f>
        <v/>
      </c>
      <c r="X87" s="25" t="str">
        <f aca="false">IF($AJ87=0,"",IF(INDEX(입력_측정!$I$5:$I$1004,$AJ87)="","",INDEX(입력_측정!$I$5:$I$1004,$AJ87)))</f>
        <v/>
      </c>
      <c r="Y87" s="25" t="str">
        <f aca="false">IF($AJ87=0,"",IF(INDEX(입력_측정!$J$5:$J$1004,$AJ87)="","",INDEX(입력_측정!$J$5:$J$1004,$AJ87)))</f>
        <v/>
      </c>
      <c r="Z87" s="25" t="str">
        <f aca="false">IF(OR(X87="긴급",LEFT(Y87,2)="긴급",W87="필요",W87="완료"),"대상","")</f>
        <v/>
      </c>
      <c r="AA87" s="59" t="str">
        <f aca="false">IF(M87&lt;&gt;"",M87,IF(AK87&gt;0,IF(W87="필요","추가상담 대기","완료"),IF(AJ87&gt;0,"결과상담 대기",IF(AI87&gt;0,"측정 대기","미방문"))))</f>
        <v>미방문</v>
      </c>
      <c r="AB87" s="60" t="str">
        <f aca="false">IF($AI87=0,"",IF(INDEX(입력_운동!$A$5:$A$1004,$AI87)="","",INDEX(입력_운동!$A$5:$A$1004,$AI87)))</f>
        <v/>
      </c>
      <c r="AC87" s="60" t="str">
        <f aca="false">IF($AJ87=0,"",IF(INDEX(입력_측정!$A$5:$A$1004,$AJ87)="","",INDEX(입력_측정!$A$5:$A$1004,$AJ87)))</f>
        <v/>
      </c>
      <c r="AD87" s="60" t="str">
        <f aca="false">IF($AK87=0,"",IF(INDEX(입력_상담!$A$5:$A$1004,$AK87)="","",INDEX(입력_상담!$A$5:$A$1004,$AK87)))</f>
        <v/>
      </c>
      <c r="AE87" s="25" t="str">
        <f aca="false">IF(AND(ISNUMBER(AB87),ISNUMBER(AC87)),IF(AC87&gt;=AB87,ROUND((AC87-AB87)*1440,0),""),"")</f>
        <v/>
      </c>
      <c r="AF87" s="25" t="str">
        <f aca="false">IF(AND(ISNUMBER(AC87),ISNUMBER(AD87)),IF(AD87&gt;=AC87,ROUND((AD87-AC87)*1440,0),""),"")</f>
        <v/>
      </c>
      <c r="AG87" s="25" t="str">
        <f aca="false">IF(AND(AA87="완료",ISNUMBER(AB87),ISNUMBER(AD87)),IF(AD87&gt;=AB87,ROUND((AD87-AB87)*1440,0),""),"")</f>
        <v/>
      </c>
      <c r="AH87" s="61" t="str">
        <f aca="false">IF(AND(AK87&gt;0,AJ87=0),"측정 기록 없음",IF(AND(AJ87&gt;0,AI87=0),"운동평가 기록 없음",IF(OR(COUNTIF(입력_운동!$B$5:$B$1004,$A87)&gt;1,COUNTIF(입력_측정!$B$5:$B$1004,$A87)&gt;1),"중복 입력","")))</f>
        <v/>
      </c>
      <c r="AI87" s="62" t="n">
        <f aca="false">SUMPRODUCT(MAX((입력_운동!$B$5:$B$1004=$A87)*(ROW(입력_운동!$B$5:$B$1004)-4)))</f>
        <v>0</v>
      </c>
      <c r="AJ87" s="62" t="n">
        <f aca="false">SUMPRODUCT(MAX((입력_측정!$B$5:$B$1004=$A87)*(ROW(입력_측정!$B$5:$B$1004)-4)))</f>
        <v>0</v>
      </c>
      <c r="AK87" s="62" t="n">
        <f aca="false">SUMPRODUCT(MAX((입력_상담!$B$5:$B$1004=$A87)*(ROW(입력_상담!$B$5:$B$1004)-4)))</f>
        <v>0</v>
      </c>
    </row>
    <row r="88" customFormat="false" ht="15" hidden="false" customHeight="false" outlineLevel="0" collapsed="false">
      <c r="A88" s="55" t="n">
        <v>84</v>
      </c>
      <c r="B88" s="56"/>
      <c r="C88" s="24"/>
      <c r="D88" s="24"/>
      <c r="E88" s="56"/>
      <c r="F88" s="57"/>
      <c r="G88" s="58"/>
      <c r="H88" s="56"/>
      <c r="I88" s="24"/>
      <c r="J88" s="24"/>
      <c r="K88" s="24"/>
      <c r="L88" s="24"/>
      <c r="M88" s="24"/>
      <c r="N88" s="56"/>
      <c r="O88" s="25" t="str">
        <f aca="false">IF($AI88=0,"",IF(INDEX(입력_운동!$C$5:$C$1004,$AI88)="","",INDEX(입력_운동!$C$5:$C$1004,$AI88)))</f>
        <v/>
      </c>
      <c r="P88" s="25" t="str">
        <f aca="false">IF($AI88=0,"",IF(INDEX(입력_운동!$D$5:$D$1004,$AI88)="","",INDEX(입력_운동!$D$5:$D$1004,$AI88)))</f>
        <v/>
      </c>
      <c r="Q88" s="25" t="str">
        <f aca="false">IF($AI88=0,"",IF(INDEX(입력_운동!$E$5:$E$1004,$AI88)="","",INDEX(입력_운동!$E$5:$E$1004,$AI88)))</f>
        <v/>
      </c>
      <c r="R88" s="25" t="str">
        <f aca="false">IF($AI88=0,"",IF(INDEX(입력_운동!$F$5:$F$1004,$AI88)="","",INDEX(입력_운동!$F$5:$F$1004,$AI88)))</f>
        <v/>
      </c>
      <c r="S88" s="25" t="str">
        <f aca="false">IF($AJ88=0,"",IF(INDEX(입력_측정!$C$5:$C$1004,$AJ88)="","",INDEX(입력_측정!$C$5:$C$1004,$AJ88)))</f>
        <v/>
      </c>
      <c r="T88" s="25" t="str">
        <f aca="false">IF($AJ88=0,"",IF(INDEX(입력_측정!$D$5:$D$1004,$AJ88)="","",INDEX(입력_측정!$D$5:$D$1004,$AJ88)))</f>
        <v/>
      </c>
      <c r="U88" s="25" t="str">
        <f aca="false">IF($AJ88=0,"",IF(INDEX(입력_측정!$E$5:$E$1004,$AJ88)="","",INDEX(입력_측정!$E$5:$E$1004,$AJ88)))</f>
        <v/>
      </c>
      <c r="V88" s="25" t="str">
        <f aca="false">IF($AJ88=0,"",IF(INDEX(입력_측정!$F$5:$F$1004,$AJ88)="","",INDEX(입력_측정!$F$5:$F$1004,$AJ88)))</f>
        <v/>
      </c>
      <c r="W88" s="25" t="str">
        <f aca="false">IF($AK88=0,"",IF(INDEX(입력_상담!$D$5:$D$1004,$AK88)="","",INDEX(입력_상담!$D$5:$D$1004,$AK88)))</f>
        <v/>
      </c>
      <c r="X88" s="25" t="str">
        <f aca="false">IF($AJ88=0,"",IF(INDEX(입력_측정!$I$5:$I$1004,$AJ88)="","",INDEX(입력_측정!$I$5:$I$1004,$AJ88)))</f>
        <v/>
      </c>
      <c r="Y88" s="25" t="str">
        <f aca="false">IF($AJ88=0,"",IF(INDEX(입력_측정!$J$5:$J$1004,$AJ88)="","",INDEX(입력_측정!$J$5:$J$1004,$AJ88)))</f>
        <v/>
      </c>
      <c r="Z88" s="25" t="str">
        <f aca="false">IF(OR(X88="긴급",LEFT(Y88,2)="긴급",W88="필요",W88="완료"),"대상","")</f>
        <v/>
      </c>
      <c r="AA88" s="59" t="str">
        <f aca="false">IF(M88&lt;&gt;"",M88,IF(AK88&gt;0,IF(W88="필요","추가상담 대기","완료"),IF(AJ88&gt;0,"결과상담 대기",IF(AI88&gt;0,"측정 대기","미방문"))))</f>
        <v>미방문</v>
      </c>
      <c r="AB88" s="60" t="str">
        <f aca="false">IF($AI88=0,"",IF(INDEX(입력_운동!$A$5:$A$1004,$AI88)="","",INDEX(입력_운동!$A$5:$A$1004,$AI88)))</f>
        <v/>
      </c>
      <c r="AC88" s="60" t="str">
        <f aca="false">IF($AJ88=0,"",IF(INDEX(입력_측정!$A$5:$A$1004,$AJ88)="","",INDEX(입력_측정!$A$5:$A$1004,$AJ88)))</f>
        <v/>
      </c>
      <c r="AD88" s="60" t="str">
        <f aca="false">IF($AK88=0,"",IF(INDEX(입력_상담!$A$5:$A$1004,$AK88)="","",INDEX(입력_상담!$A$5:$A$1004,$AK88)))</f>
        <v/>
      </c>
      <c r="AE88" s="25" t="str">
        <f aca="false">IF(AND(ISNUMBER(AB88),ISNUMBER(AC88)),IF(AC88&gt;=AB88,ROUND((AC88-AB88)*1440,0),""),"")</f>
        <v/>
      </c>
      <c r="AF88" s="25" t="str">
        <f aca="false">IF(AND(ISNUMBER(AC88),ISNUMBER(AD88)),IF(AD88&gt;=AC88,ROUND((AD88-AC88)*1440,0),""),"")</f>
        <v/>
      </c>
      <c r="AG88" s="25" t="str">
        <f aca="false">IF(AND(AA88="완료",ISNUMBER(AB88),ISNUMBER(AD88)),IF(AD88&gt;=AB88,ROUND((AD88-AB88)*1440,0),""),"")</f>
        <v/>
      </c>
      <c r="AH88" s="61" t="str">
        <f aca="false">IF(AND(AK88&gt;0,AJ88=0),"측정 기록 없음",IF(AND(AJ88&gt;0,AI88=0),"운동평가 기록 없음",IF(OR(COUNTIF(입력_운동!$B$5:$B$1004,$A88)&gt;1,COUNTIF(입력_측정!$B$5:$B$1004,$A88)&gt;1),"중복 입력","")))</f>
        <v/>
      </c>
      <c r="AI88" s="62" t="n">
        <f aca="false">SUMPRODUCT(MAX((입력_운동!$B$5:$B$1004=$A88)*(ROW(입력_운동!$B$5:$B$1004)-4)))</f>
        <v>0</v>
      </c>
      <c r="AJ88" s="62" t="n">
        <f aca="false">SUMPRODUCT(MAX((입력_측정!$B$5:$B$1004=$A88)*(ROW(입력_측정!$B$5:$B$1004)-4)))</f>
        <v>0</v>
      </c>
      <c r="AK88" s="62" t="n">
        <f aca="false">SUMPRODUCT(MAX((입력_상담!$B$5:$B$1004=$A88)*(ROW(입력_상담!$B$5:$B$1004)-4)))</f>
        <v>0</v>
      </c>
    </row>
    <row r="89" customFormat="false" ht="15" hidden="false" customHeight="false" outlineLevel="0" collapsed="false">
      <c r="A89" s="55" t="n">
        <v>85</v>
      </c>
      <c r="B89" s="56"/>
      <c r="C89" s="24"/>
      <c r="D89" s="24"/>
      <c r="E89" s="56"/>
      <c r="F89" s="57"/>
      <c r="G89" s="58"/>
      <c r="H89" s="56"/>
      <c r="I89" s="24"/>
      <c r="J89" s="24"/>
      <c r="K89" s="24"/>
      <c r="L89" s="24"/>
      <c r="M89" s="24"/>
      <c r="N89" s="56"/>
      <c r="O89" s="25" t="str">
        <f aca="false">IF($AI89=0,"",IF(INDEX(입력_운동!$C$5:$C$1004,$AI89)="","",INDEX(입력_운동!$C$5:$C$1004,$AI89)))</f>
        <v/>
      </c>
      <c r="P89" s="25" t="str">
        <f aca="false">IF($AI89=0,"",IF(INDEX(입력_운동!$D$5:$D$1004,$AI89)="","",INDEX(입력_운동!$D$5:$D$1004,$AI89)))</f>
        <v/>
      </c>
      <c r="Q89" s="25" t="str">
        <f aca="false">IF($AI89=0,"",IF(INDEX(입력_운동!$E$5:$E$1004,$AI89)="","",INDEX(입력_운동!$E$5:$E$1004,$AI89)))</f>
        <v/>
      </c>
      <c r="R89" s="25" t="str">
        <f aca="false">IF($AI89=0,"",IF(INDEX(입력_운동!$F$5:$F$1004,$AI89)="","",INDEX(입력_운동!$F$5:$F$1004,$AI89)))</f>
        <v/>
      </c>
      <c r="S89" s="25" t="str">
        <f aca="false">IF($AJ89=0,"",IF(INDEX(입력_측정!$C$5:$C$1004,$AJ89)="","",INDEX(입력_측정!$C$5:$C$1004,$AJ89)))</f>
        <v/>
      </c>
      <c r="T89" s="25" t="str">
        <f aca="false">IF($AJ89=0,"",IF(INDEX(입력_측정!$D$5:$D$1004,$AJ89)="","",INDEX(입력_측정!$D$5:$D$1004,$AJ89)))</f>
        <v/>
      </c>
      <c r="U89" s="25" t="str">
        <f aca="false">IF($AJ89=0,"",IF(INDEX(입력_측정!$E$5:$E$1004,$AJ89)="","",INDEX(입력_측정!$E$5:$E$1004,$AJ89)))</f>
        <v/>
      </c>
      <c r="V89" s="25" t="str">
        <f aca="false">IF($AJ89=0,"",IF(INDEX(입력_측정!$F$5:$F$1004,$AJ89)="","",INDEX(입력_측정!$F$5:$F$1004,$AJ89)))</f>
        <v/>
      </c>
      <c r="W89" s="25" t="str">
        <f aca="false">IF($AK89=0,"",IF(INDEX(입력_상담!$D$5:$D$1004,$AK89)="","",INDEX(입력_상담!$D$5:$D$1004,$AK89)))</f>
        <v/>
      </c>
      <c r="X89" s="25" t="str">
        <f aca="false">IF($AJ89=0,"",IF(INDEX(입력_측정!$I$5:$I$1004,$AJ89)="","",INDEX(입력_측정!$I$5:$I$1004,$AJ89)))</f>
        <v/>
      </c>
      <c r="Y89" s="25" t="str">
        <f aca="false">IF($AJ89=0,"",IF(INDEX(입력_측정!$J$5:$J$1004,$AJ89)="","",INDEX(입력_측정!$J$5:$J$1004,$AJ89)))</f>
        <v/>
      </c>
      <c r="Z89" s="25" t="str">
        <f aca="false">IF(OR(X89="긴급",LEFT(Y89,2)="긴급",W89="필요",W89="완료"),"대상","")</f>
        <v/>
      </c>
      <c r="AA89" s="59" t="str">
        <f aca="false">IF(M89&lt;&gt;"",M89,IF(AK89&gt;0,IF(W89="필요","추가상담 대기","완료"),IF(AJ89&gt;0,"결과상담 대기",IF(AI89&gt;0,"측정 대기","미방문"))))</f>
        <v>미방문</v>
      </c>
      <c r="AB89" s="60" t="str">
        <f aca="false">IF($AI89=0,"",IF(INDEX(입력_운동!$A$5:$A$1004,$AI89)="","",INDEX(입력_운동!$A$5:$A$1004,$AI89)))</f>
        <v/>
      </c>
      <c r="AC89" s="60" t="str">
        <f aca="false">IF($AJ89=0,"",IF(INDEX(입력_측정!$A$5:$A$1004,$AJ89)="","",INDEX(입력_측정!$A$5:$A$1004,$AJ89)))</f>
        <v/>
      </c>
      <c r="AD89" s="60" t="str">
        <f aca="false">IF($AK89=0,"",IF(INDEX(입력_상담!$A$5:$A$1004,$AK89)="","",INDEX(입력_상담!$A$5:$A$1004,$AK89)))</f>
        <v/>
      </c>
      <c r="AE89" s="25" t="str">
        <f aca="false">IF(AND(ISNUMBER(AB89),ISNUMBER(AC89)),IF(AC89&gt;=AB89,ROUND((AC89-AB89)*1440,0),""),"")</f>
        <v/>
      </c>
      <c r="AF89" s="25" t="str">
        <f aca="false">IF(AND(ISNUMBER(AC89),ISNUMBER(AD89)),IF(AD89&gt;=AC89,ROUND((AD89-AC89)*1440,0),""),"")</f>
        <v/>
      </c>
      <c r="AG89" s="25" t="str">
        <f aca="false">IF(AND(AA89="완료",ISNUMBER(AB89),ISNUMBER(AD89)),IF(AD89&gt;=AB89,ROUND((AD89-AB89)*1440,0),""),"")</f>
        <v/>
      </c>
      <c r="AH89" s="61" t="str">
        <f aca="false">IF(AND(AK89&gt;0,AJ89=0),"측정 기록 없음",IF(AND(AJ89&gt;0,AI89=0),"운동평가 기록 없음",IF(OR(COUNTIF(입력_운동!$B$5:$B$1004,$A89)&gt;1,COUNTIF(입력_측정!$B$5:$B$1004,$A89)&gt;1),"중복 입력","")))</f>
        <v/>
      </c>
      <c r="AI89" s="62" t="n">
        <f aca="false">SUMPRODUCT(MAX((입력_운동!$B$5:$B$1004=$A89)*(ROW(입력_운동!$B$5:$B$1004)-4)))</f>
        <v>0</v>
      </c>
      <c r="AJ89" s="62" t="n">
        <f aca="false">SUMPRODUCT(MAX((입력_측정!$B$5:$B$1004=$A89)*(ROW(입력_측정!$B$5:$B$1004)-4)))</f>
        <v>0</v>
      </c>
      <c r="AK89" s="62" t="n">
        <f aca="false">SUMPRODUCT(MAX((입력_상담!$B$5:$B$1004=$A89)*(ROW(입력_상담!$B$5:$B$1004)-4)))</f>
        <v>0</v>
      </c>
    </row>
    <row r="90" customFormat="false" ht="15" hidden="false" customHeight="false" outlineLevel="0" collapsed="false">
      <c r="A90" s="55" t="n">
        <v>86</v>
      </c>
      <c r="B90" s="56"/>
      <c r="C90" s="24"/>
      <c r="D90" s="24"/>
      <c r="E90" s="56"/>
      <c r="F90" s="57"/>
      <c r="G90" s="58"/>
      <c r="H90" s="56"/>
      <c r="I90" s="24"/>
      <c r="J90" s="24"/>
      <c r="K90" s="24"/>
      <c r="L90" s="24"/>
      <c r="M90" s="24"/>
      <c r="N90" s="56"/>
      <c r="O90" s="25" t="str">
        <f aca="false">IF($AI90=0,"",IF(INDEX(입력_운동!$C$5:$C$1004,$AI90)="","",INDEX(입력_운동!$C$5:$C$1004,$AI90)))</f>
        <v/>
      </c>
      <c r="P90" s="25" t="str">
        <f aca="false">IF($AI90=0,"",IF(INDEX(입력_운동!$D$5:$D$1004,$AI90)="","",INDEX(입력_운동!$D$5:$D$1004,$AI90)))</f>
        <v/>
      </c>
      <c r="Q90" s="25" t="str">
        <f aca="false">IF($AI90=0,"",IF(INDEX(입력_운동!$E$5:$E$1004,$AI90)="","",INDEX(입력_운동!$E$5:$E$1004,$AI90)))</f>
        <v/>
      </c>
      <c r="R90" s="25" t="str">
        <f aca="false">IF($AI90=0,"",IF(INDEX(입력_운동!$F$5:$F$1004,$AI90)="","",INDEX(입력_운동!$F$5:$F$1004,$AI90)))</f>
        <v/>
      </c>
      <c r="S90" s="25" t="str">
        <f aca="false">IF($AJ90=0,"",IF(INDEX(입력_측정!$C$5:$C$1004,$AJ90)="","",INDEX(입력_측정!$C$5:$C$1004,$AJ90)))</f>
        <v/>
      </c>
      <c r="T90" s="25" t="str">
        <f aca="false">IF($AJ90=0,"",IF(INDEX(입력_측정!$D$5:$D$1004,$AJ90)="","",INDEX(입력_측정!$D$5:$D$1004,$AJ90)))</f>
        <v/>
      </c>
      <c r="U90" s="25" t="str">
        <f aca="false">IF($AJ90=0,"",IF(INDEX(입력_측정!$E$5:$E$1004,$AJ90)="","",INDEX(입력_측정!$E$5:$E$1004,$AJ90)))</f>
        <v/>
      </c>
      <c r="V90" s="25" t="str">
        <f aca="false">IF($AJ90=0,"",IF(INDEX(입력_측정!$F$5:$F$1004,$AJ90)="","",INDEX(입력_측정!$F$5:$F$1004,$AJ90)))</f>
        <v/>
      </c>
      <c r="W90" s="25" t="str">
        <f aca="false">IF($AK90=0,"",IF(INDEX(입력_상담!$D$5:$D$1004,$AK90)="","",INDEX(입력_상담!$D$5:$D$1004,$AK90)))</f>
        <v/>
      </c>
      <c r="X90" s="25" t="str">
        <f aca="false">IF($AJ90=0,"",IF(INDEX(입력_측정!$I$5:$I$1004,$AJ90)="","",INDEX(입력_측정!$I$5:$I$1004,$AJ90)))</f>
        <v/>
      </c>
      <c r="Y90" s="25" t="str">
        <f aca="false">IF($AJ90=0,"",IF(INDEX(입력_측정!$J$5:$J$1004,$AJ90)="","",INDEX(입력_측정!$J$5:$J$1004,$AJ90)))</f>
        <v/>
      </c>
      <c r="Z90" s="25" t="str">
        <f aca="false">IF(OR(X90="긴급",LEFT(Y90,2)="긴급",W90="필요",W90="완료"),"대상","")</f>
        <v/>
      </c>
      <c r="AA90" s="59" t="str">
        <f aca="false">IF(M90&lt;&gt;"",M90,IF(AK90&gt;0,IF(W90="필요","추가상담 대기","완료"),IF(AJ90&gt;0,"결과상담 대기",IF(AI90&gt;0,"측정 대기","미방문"))))</f>
        <v>미방문</v>
      </c>
      <c r="AB90" s="60" t="str">
        <f aca="false">IF($AI90=0,"",IF(INDEX(입력_운동!$A$5:$A$1004,$AI90)="","",INDEX(입력_운동!$A$5:$A$1004,$AI90)))</f>
        <v/>
      </c>
      <c r="AC90" s="60" t="str">
        <f aca="false">IF($AJ90=0,"",IF(INDEX(입력_측정!$A$5:$A$1004,$AJ90)="","",INDEX(입력_측정!$A$5:$A$1004,$AJ90)))</f>
        <v/>
      </c>
      <c r="AD90" s="60" t="str">
        <f aca="false">IF($AK90=0,"",IF(INDEX(입력_상담!$A$5:$A$1004,$AK90)="","",INDEX(입력_상담!$A$5:$A$1004,$AK90)))</f>
        <v/>
      </c>
      <c r="AE90" s="25" t="str">
        <f aca="false">IF(AND(ISNUMBER(AB90),ISNUMBER(AC90)),IF(AC90&gt;=AB90,ROUND((AC90-AB90)*1440,0),""),"")</f>
        <v/>
      </c>
      <c r="AF90" s="25" t="str">
        <f aca="false">IF(AND(ISNUMBER(AC90),ISNUMBER(AD90)),IF(AD90&gt;=AC90,ROUND((AD90-AC90)*1440,0),""),"")</f>
        <v/>
      </c>
      <c r="AG90" s="25" t="str">
        <f aca="false">IF(AND(AA90="완료",ISNUMBER(AB90),ISNUMBER(AD90)),IF(AD90&gt;=AB90,ROUND((AD90-AB90)*1440,0),""),"")</f>
        <v/>
      </c>
      <c r="AH90" s="61" t="str">
        <f aca="false">IF(AND(AK90&gt;0,AJ90=0),"측정 기록 없음",IF(AND(AJ90&gt;0,AI90=0),"운동평가 기록 없음",IF(OR(COUNTIF(입력_운동!$B$5:$B$1004,$A90)&gt;1,COUNTIF(입력_측정!$B$5:$B$1004,$A90)&gt;1),"중복 입력","")))</f>
        <v/>
      </c>
      <c r="AI90" s="62" t="n">
        <f aca="false">SUMPRODUCT(MAX((입력_운동!$B$5:$B$1004=$A90)*(ROW(입력_운동!$B$5:$B$1004)-4)))</f>
        <v>0</v>
      </c>
      <c r="AJ90" s="62" t="n">
        <f aca="false">SUMPRODUCT(MAX((입력_측정!$B$5:$B$1004=$A90)*(ROW(입력_측정!$B$5:$B$1004)-4)))</f>
        <v>0</v>
      </c>
      <c r="AK90" s="62" t="n">
        <f aca="false">SUMPRODUCT(MAX((입력_상담!$B$5:$B$1004=$A90)*(ROW(입력_상담!$B$5:$B$1004)-4)))</f>
        <v>0</v>
      </c>
    </row>
    <row r="91" customFormat="false" ht="15" hidden="false" customHeight="false" outlineLevel="0" collapsed="false">
      <c r="A91" s="55" t="n">
        <v>87</v>
      </c>
      <c r="B91" s="56"/>
      <c r="C91" s="24"/>
      <c r="D91" s="24"/>
      <c r="E91" s="56"/>
      <c r="F91" s="57"/>
      <c r="G91" s="58"/>
      <c r="H91" s="56"/>
      <c r="I91" s="24"/>
      <c r="J91" s="24"/>
      <c r="K91" s="24"/>
      <c r="L91" s="24"/>
      <c r="M91" s="24"/>
      <c r="N91" s="56"/>
      <c r="O91" s="25" t="str">
        <f aca="false">IF($AI91=0,"",IF(INDEX(입력_운동!$C$5:$C$1004,$AI91)="","",INDEX(입력_운동!$C$5:$C$1004,$AI91)))</f>
        <v/>
      </c>
      <c r="P91" s="25" t="str">
        <f aca="false">IF($AI91=0,"",IF(INDEX(입력_운동!$D$5:$D$1004,$AI91)="","",INDEX(입력_운동!$D$5:$D$1004,$AI91)))</f>
        <v/>
      </c>
      <c r="Q91" s="25" t="str">
        <f aca="false">IF($AI91=0,"",IF(INDEX(입력_운동!$E$5:$E$1004,$AI91)="","",INDEX(입력_운동!$E$5:$E$1004,$AI91)))</f>
        <v/>
      </c>
      <c r="R91" s="25" t="str">
        <f aca="false">IF($AI91=0,"",IF(INDEX(입력_운동!$F$5:$F$1004,$AI91)="","",INDEX(입력_운동!$F$5:$F$1004,$AI91)))</f>
        <v/>
      </c>
      <c r="S91" s="25" t="str">
        <f aca="false">IF($AJ91=0,"",IF(INDEX(입력_측정!$C$5:$C$1004,$AJ91)="","",INDEX(입력_측정!$C$5:$C$1004,$AJ91)))</f>
        <v/>
      </c>
      <c r="T91" s="25" t="str">
        <f aca="false">IF($AJ91=0,"",IF(INDEX(입력_측정!$D$5:$D$1004,$AJ91)="","",INDEX(입력_측정!$D$5:$D$1004,$AJ91)))</f>
        <v/>
      </c>
      <c r="U91" s="25" t="str">
        <f aca="false">IF($AJ91=0,"",IF(INDEX(입력_측정!$E$5:$E$1004,$AJ91)="","",INDEX(입력_측정!$E$5:$E$1004,$AJ91)))</f>
        <v/>
      </c>
      <c r="V91" s="25" t="str">
        <f aca="false">IF($AJ91=0,"",IF(INDEX(입력_측정!$F$5:$F$1004,$AJ91)="","",INDEX(입력_측정!$F$5:$F$1004,$AJ91)))</f>
        <v/>
      </c>
      <c r="W91" s="25" t="str">
        <f aca="false">IF($AK91=0,"",IF(INDEX(입력_상담!$D$5:$D$1004,$AK91)="","",INDEX(입력_상담!$D$5:$D$1004,$AK91)))</f>
        <v/>
      </c>
      <c r="X91" s="25" t="str">
        <f aca="false">IF($AJ91=0,"",IF(INDEX(입력_측정!$I$5:$I$1004,$AJ91)="","",INDEX(입력_측정!$I$5:$I$1004,$AJ91)))</f>
        <v/>
      </c>
      <c r="Y91" s="25" t="str">
        <f aca="false">IF($AJ91=0,"",IF(INDEX(입력_측정!$J$5:$J$1004,$AJ91)="","",INDEX(입력_측정!$J$5:$J$1004,$AJ91)))</f>
        <v/>
      </c>
      <c r="Z91" s="25" t="str">
        <f aca="false">IF(OR(X91="긴급",LEFT(Y91,2)="긴급",W91="필요",W91="완료"),"대상","")</f>
        <v/>
      </c>
      <c r="AA91" s="59" t="str">
        <f aca="false">IF(M91&lt;&gt;"",M91,IF(AK91&gt;0,IF(W91="필요","추가상담 대기","완료"),IF(AJ91&gt;0,"결과상담 대기",IF(AI91&gt;0,"측정 대기","미방문"))))</f>
        <v>미방문</v>
      </c>
      <c r="AB91" s="60" t="str">
        <f aca="false">IF($AI91=0,"",IF(INDEX(입력_운동!$A$5:$A$1004,$AI91)="","",INDEX(입력_운동!$A$5:$A$1004,$AI91)))</f>
        <v/>
      </c>
      <c r="AC91" s="60" t="str">
        <f aca="false">IF($AJ91=0,"",IF(INDEX(입력_측정!$A$5:$A$1004,$AJ91)="","",INDEX(입력_측정!$A$5:$A$1004,$AJ91)))</f>
        <v/>
      </c>
      <c r="AD91" s="60" t="str">
        <f aca="false">IF($AK91=0,"",IF(INDEX(입력_상담!$A$5:$A$1004,$AK91)="","",INDEX(입력_상담!$A$5:$A$1004,$AK91)))</f>
        <v/>
      </c>
      <c r="AE91" s="25" t="str">
        <f aca="false">IF(AND(ISNUMBER(AB91),ISNUMBER(AC91)),IF(AC91&gt;=AB91,ROUND((AC91-AB91)*1440,0),""),"")</f>
        <v/>
      </c>
      <c r="AF91" s="25" t="str">
        <f aca="false">IF(AND(ISNUMBER(AC91),ISNUMBER(AD91)),IF(AD91&gt;=AC91,ROUND((AD91-AC91)*1440,0),""),"")</f>
        <v/>
      </c>
      <c r="AG91" s="25" t="str">
        <f aca="false">IF(AND(AA91="완료",ISNUMBER(AB91),ISNUMBER(AD91)),IF(AD91&gt;=AB91,ROUND((AD91-AB91)*1440,0),""),"")</f>
        <v/>
      </c>
      <c r="AH91" s="61" t="str">
        <f aca="false">IF(AND(AK91&gt;0,AJ91=0),"측정 기록 없음",IF(AND(AJ91&gt;0,AI91=0),"운동평가 기록 없음",IF(OR(COUNTIF(입력_운동!$B$5:$B$1004,$A91)&gt;1,COUNTIF(입력_측정!$B$5:$B$1004,$A91)&gt;1),"중복 입력","")))</f>
        <v/>
      </c>
      <c r="AI91" s="62" t="n">
        <f aca="false">SUMPRODUCT(MAX((입력_운동!$B$5:$B$1004=$A91)*(ROW(입력_운동!$B$5:$B$1004)-4)))</f>
        <v>0</v>
      </c>
      <c r="AJ91" s="62" t="n">
        <f aca="false">SUMPRODUCT(MAX((입력_측정!$B$5:$B$1004=$A91)*(ROW(입력_측정!$B$5:$B$1004)-4)))</f>
        <v>0</v>
      </c>
      <c r="AK91" s="62" t="n">
        <f aca="false">SUMPRODUCT(MAX((입력_상담!$B$5:$B$1004=$A91)*(ROW(입력_상담!$B$5:$B$1004)-4)))</f>
        <v>0</v>
      </c>
    </row>
    <row r="92" customFormat="false" ht="15" hidden="false" customHeight="false" outlineLevel="0" collapsed="false">
      <c r="A92" s="55" t="n">
        <v>88</v>
      </c>
      <c r="B92" s="56"/>
      <c r="C92" s="24"/>
      <c r="D92" s="24"/>
      <c r="E92" s="56"/>
      <c r="F92" s="57"/>
      <c r="G92" s="58"/>
      <c r="H92" s="56"/>
      <c r="I92" s="24"/>
      <c r="J92" s="24"/>
      <c r="K92" s="24"/>
      <c r="L92" s="24"/>
      <c r="M92" s="24"/>
      <c r="N92" s="56"/>
      <c r="O92" s="25" t="str">
        <f aca="false">IF($AI92=0,"",IF(INDEX(입력_운동!$C$5:$C$1004,$AI92)="","",INDEX(입력_운동!$C$5:$C$1004,$AI92)))</f>
        <v/>
      </c>
      <c r="P92" s="25" t="str">
        <f aca="false">IF($AI92=0,"",IF(INDEX(입력_운동!$D$5:$D$1004,$AI92)="","",INDEX(입력_운동!$D$5:$D$1004,$AI92)))</f>
        <v/>
      </c>
      <c r="Q92" s="25" t="str">
        <f aca="false">IF($AI92=0,"",IF(INDEX(입력_운동!$E$5:$E$1004,$AI92)="","",INDEX(입력_운동!$E$5:$E$1004,$AI92)))</f>
        <v/>
      </c>
      <c r="R92" s="25" t="str">
        <f aca="false">IF($AI92=0,"",IF(INDEX(입력_운동!$F$5:$F$1004,$AI92)="","",INDEX(입력_운동!$F$5:$F$1004,$AI92)))</f>
        <v/>
      </c>
      <c r="S92" s="25" t="str">
        <f aca="false">IF($AJ92=0,"",IF(INDEX(입력_측정!$C$5:$C$1004,$AJ92)="","",INDEX(입력_측정!$C$5:$C$1004,$AJ92)))</f>
        <v/>
      </c>
      <c r="T92" s="25" t="str">
        <f aca="false">IF($AJ92=0,"",IF(INDEX(입력_측정!$D$5:$D$1004,$AJ92)="","",INDEX(입력_측정!$D$5:$D$1004,$AJ92)))</f>
        <v/>
      </c>
      <c r="U92" s="25" t="str">
        <f aca="false">IF($AJ92=0,"",IF(INDEX(입력_측정!$E$5:$E$1004,$AJ92)="","",INDEX(입력_측정!$E$5:$E$1004,$AJ92)))</f>
        <v/>
      </c>
      <c r="V92" s="25" t="str">
        <f aca="false">IF($AJ92=0,"",IF(INDEX(입력_측정!$F$5:$F$1004,$AJ92)="","",INDEX(입력_측정!$F$5:$F$1004,$AJ92)))</f>
        <v/>
      </c>
      <c r="W92" s="25" t="str">
        <f aca="false">IF($AK92=0,"",IF(INDEX(입력_상담!$D$5:$D$1004,$AK92)="","",INDEX(입력_상담!$D$5:$D$1004,$AK92)))</f>
        <v/>
      </c>
      <c r="X92" s="25" t="str">
        <f aca="false">IF($AJ92=0,"",IF(INDEX(입력_측정!$I$5:$I$1004,$AJ92)="","",INDEX(입력_측정!$I$5:$I$1004,$AJ92)))</f>
        <v/>
      </c>
      <c r="Y92" s="25" t="str">
        <f aca="false">IF($AJ92=0,"",IF(INDEX(입력_측정!$J$5:$J$1004,$AJ92)="","",INDEX(입력_측정!$J$5:$J$1004,$AJ92)))</f>
        <v/>
      </c>
      <c r="Z92" s="25" t="str">
        <f aca="false">IF(OR(X92="긴급",LEFT(Y92,2)="긴급",W92="필요",W92="완료"),"대상","")</f>
        <v/>
      </c>
      <c r="AA92" s="59" t="str">
        <f aca="false">IF(M92&lt;&gt;"",M92,IF(AK92&gt;0,IF(W92="필요","추가상담 대기","완료"),IF(AJ92&gt;0,"결과상담 대기",IF(AI92&gt;0,"측정 대기","미방문"))))</f>
        <v>미방문</v>
      </c>
      <c r="AB92" s="60" t="str">
        <f aca="false">IF($AI92=0,"",IF(INDEX(입력_운동!$A$5:$A$1004,$AI92)="","",INDEX(입력_운동!$A$5:$A$1004,$AI92)))</f>
        <v/>
      </c>
      <c r="AC92" s="60" t="str">
        <f aca="false">IF($AJ92=0,"",IF(INDEX(입력_측정!$A$5:$A$1004,$AJ92)="","",INDEX(입력_측정!$A$5:$A$1004,$AJ92)))</f>
        <v/>
      </c>
      <c r="AD92" s="60" t="str">
        <f aca="false">IF($AK92=0,"",IF(INDEX(입력_상담!$A$5:$A$1004,$AK92)="","",INDEX(입력_상담!$A$5:$A$1004,$AK92)))</f>
        <v/>
      </c>
      <c r="AE92" s="25" t="str">
        <f aca="false">IF(AND(ISNUMBER(AB92),ISNUMBER(AC92)),IF(AC92&gt;=AB92,ROUND((AC92-AB92)*1440,0),""),"")</f>
        <v/>
      </c>
      <c r="AF92" s="25" t="str">
        <f aca="false">IF(AND(ISNUMBER(AC92),ISNUMBER(AD92)),IF(AD92&gt;=AC92,ROUND((AD92-AC92)*1440,0),""),"")</f>
        <v/>
      </c>
      <c r="AG92" s="25" t="str">
        <f aca="false">IF(AND(AA92="완료",ISNUMBER(AB92),ISNUMBER(AD92)),IF(AD92&gt;=AB92,ROUND((AD92-AB92)*1440,0),""),"")</f>
        <v/>
      </c>
      <c r="AH92" s="61" t="str">
        <f aca="false">IF(AND(AK92&gt;0,AJ92=0),"측정 기록 없음",IF(AND(AJ92&gt;0,AI92=0),"운동평가 기록 없음",IF(OR(COUNTIF(입력_운동!$B$5:$B$1004,$A92)&gt;1,COUNTIF(입력_측정!$B$5:$B$1004,$A92)&gt;1),"중복 입력","")))</f>
        <v/>
      </c>
      <c r="AI92" s="62" t="n">
        <f aca="false">SUMPRODUCT(MAX((입력_운동!$B$5:$B$1004=$A92)*(ROW(입력_운동!$B$5:$B$1004)-4)))</f>
        <v>0</v>
      </c>
      <c r="AJ92" s="62" t="n">
        <f aca="false">SUMPRODUCT(MAX((입력_측정!$B$5:$B$1004=$A92)*(ROW(입력_측정!$B$5:$B$1004)-4)))</f>
        <v>0</v>
      </c>
      <c r="AK92" s="62" t="n">
        <f aca="false">SUMPRODUCT(MAX((입력_상담!$B$5:$B$1004=$A92)*(ROW(입력_상담!$B$5:$B$1004)-4)))</f>
        <v>0</v>
      </c>
    </row>
    <row r="93" customFormat="false" ht="15" hidden="false" customHeight="false" outlineLevel="0" collapsed="false">
      <c r="A93" s="55" t="n">
        <v>89</v>
      </c>
      <c r="B93" s="56"/>
      <c r="C93" s="24"/>
      <c r="D93" s="24"/>
      <c r="E93" s="56"/>
      <c r="F93" s="57"/>
      <c r="G93" s="58"/>
      <c r="H93" s="56"/>
      <c r="I93" s="24"/>
      <c r="J93" s="24"/>
      <c r="K93" s="24"/>
      <c r="L93" s="24"/>
      <c r="M93" s="24"/>
      <c r="N93" s="56"/>
      <c r="O93" s="25" t="str">
        <f aca="false">IF($AI93=0,"",IF(INDEX(입력_운동!$C$5:$C$1004,$AI93)="","",INDEX(입력_운동!$C$5:$C$1004,$AI93)))</f>
        <v/>
      </c>
      <c r="P93" s="25" t="str">
        <f aca="false">IF($AI93=0,"",IF(INDEX(입력_운동!$D$5:$D$1004,$AI93)="","",INDEX(입력_운동!$D$5:$D$1004,$AI93)))</f>
        <v/>
      </c>
      <c r="Q93" s="25" t="str">
        <f aca="false">IF($AI93=0,"",IF(INDEX(입력_운동!$E$5:$E$1004,$AI93)="","",INDEX(입력_운동!$E$5:$E$1004,$AI93)))</f>
        <v/>
      </c>
      <c r="R93" s="25" t="str">
        <f aca="false">IF($AI93=0,"",IF(INDEX(입력_운동!$F$5:$F$1004,$AI93)="","",INDEX(입력_운동!$F$5:$F$1004,$AI93)))</f>
        <v/>
      </c>
      <c r="S93" s="25" t="str">
        <f aca="false">IF($AJ93=0,"",IF(INDEX(입력_측정!$C$5:$C$1004,$AJ93)="","",INDEX(입력_측정!$C$5:$C$1004,$AJ93)))</f>
        <v/>
      </c>
      <c r="T93" s="25" t="str">
        <f aca="false">IF($AJ93=0,"",IF(INDEX(입력_측정!$D$5:$D$1004,$AJ93)="","",INDEX(입력_측정!$D$5:$D$1004,$AJ93)))</f>
        <v/>
      </c>
      <c r="U93" s="25" t="str">
        <f aca="false">IF($AJ93=0,"",IF(INDEX(입력_측정!$E$5:$E$1004,$AJ93)="","",INDEX(입력_측정!$E$5:$E$1004,$AJ93)))</f>
        <v/>
      </c>
      <c r="V93" s="25" t="str">
        <f aca="false">IF($AJ93=0,"",IF(INDEX(입력_측정!$F$5:$F$1004,$AJ93)="","",INDEX(입력_측정!$F$5:$F$1004,$AJ93)))</f>
        <v/>
      </c>
      <c r="W93" s="25" t="str">
        <f aca="false">IF($AK93=0,"",IF(INDEX(입력_상담!$D$5:$D$1004,$AK93)="","",INDEX(입력_상담!$D$5:$D$1004,$AK93)))</f>
        <v/>
      </c>
      <c r="X93" s="25" t="str">
        <f aca="false">IF($AJ93=0,"",IF(INDEX(입력_측정!$I$5:$I$1004,$AJ93)="","",INDEX(입력_측정!$I$5:$I$1004,$AJ93)))</f>
        <v/>
      </c>
      <c r="Y93" s="25" t="str">
        <f aca="false">IF($AJ93=0,"",IF(INDEX(입력_측정!$J$5:$J$1004,$AJ93)="","",INDEX(입력_측정!$J$5:$J$1004,$AJ93)))</f>
        <v/>
      </c>
      <c r="Z93" s="25" t="str">
        <f aca="false">IF(OR(X93="긴급",LEFT(Y93,2)="긴급",W93="필요",W93="완료"),"대상","")</f>
        <v/>
      </c>
      <c r="AA93" s="59" t="str">
        <f aca="false">IF(M93&lt;&gt;"",M93,IF(AK93&gt;0,IF(W93="필요","추가상담 대기","완료"),IF(AJ93&gt;0,"결과상담 대기",IF(AI93&gt;0,"측정 대기","미방문"))))</f>
        <v>미방문</v>
      </c>
      <c r="AB93" s="60" t="str">
        <f aca="false">IF($AI93=0,"",IF(INDEX(입력_운동!$A$5:$A$1004,$AI93)="","",INDEX(입력_운동!$A$5:$A$1004,$AI93)))</f>
        <v/>
      </c>
      <c r="AC93" s="60" t="str">
        <f aca="false">IF($AJ93=0,"",IF(INDEX(입력_측정!$A$5:$A$1004,$AJ93)="","",INDEX(입력_측정!$A$5:$A$1004,$AJ93)))</f>
        <v/>
      </c>
      <c r="AD93" s="60" t="str">
        <f aca="false">IF($AK93=0,"",IF(INDEX(입력_상담!$A$5:$A$1004,$AK93)="","",INDEX(입력_상담!$A$5:$A$1004,$AK93)))</f>
        <v/>
      </c>
      <c r="AE93" s="25" t="str">
        <f aca="false">IF(AND(ISNUMBER(AB93),ISNUMBER(AC93)),IF(AC93&gt;=AB93,ROUND((AC93-AB93)*1440,0),""),"")</f>
        <v/>
      </c>
      <c r="AF93" s="25" t="str">
        <f aca="false">IF(AND(ISNUMBER(AC93),ISNUMBER(AD93)),IF(AD93&gt;=AC93,ROUND((AD93-AC93)*1440,0),""),"")</f>
        <v/>
      </c>
      <c r="AG93" s="25" t="str">
        <f aca="false">IF(AND(AA93="완료",ISNUMBER(AB93),ISNUMBER(AD93)),IF(AD93&gt;=AB93,ROUND((AD93-AB93)*1440,0),""),"")</f>
        <v/>
      </c>
      <c r="AH93" s="61" t="str">
        <f aca="false">IF(AND(AK93&gt;0,AJ93=0),"측정 기록 없음",IF(AND(AJ93&gt;0,AI93=0),"운동평가 기록 없음",IF(OR(COUNTIF(입력_운동!$B$5:$B$1004,$A93)&gt;1,COUNTIF(입력_측정!$B$5:$B$1004,$A93)&gt;1),"중복 입력","")))</f>
        <v/>
      </c>
      <c r="AI93" s="62" t="n">
        <f aca="false">SUMPRODUCT(MAX((입력_운동!$B$5:$B$1004=$A93)*(ROW(입력_운동!$B$5:$B$1004)-4)))</f>
        <v>0</v>
      </c>
      <c r="AJ93" s="62" t="n">
        <f aca="false">SUMPRODUCT(MAX((입력_측정!$B$5:$B$1004=$A93)*(ROW(입력_측정!$B$5:$B$1004)-4)))</f>
        <v>0</v>
      </c>
      <c r="AK93" s="62" t="n">
        <f aca="false">SUMPRODUCT(MAX((입력_상담!$B$5:$B$1004=$A93)*(ROW(입력_상담!$B$5:$B$1004)-4)))</f>
        <v>0</v>
      </c>
    </row>
    <row r="94" customFormat="false" ht="15" hidden="false" customHeight="false" outlineLevel="0" collapsed="false">
      <c r="A94" s="55" t="n">
        <v>90</v>
      </c>
      <c r="B94" s="56"/>
      <c r="C94" s="24"/>
      <c r="D94" s="24"/>
      <c r="E94" s="56"/>
      <c r="F94" s="57"/>
      <c r="G94" s="58"/>
      <c r="H94" s="56"/>
      <c r="I94" s="24"/>
      <c r="J94" s="24"/>
      <c r="K94" s="24"/>
      <c r="L94" s="24"/>
      <c r="M94" s="24"/>
      <c r="N94" s="56"/>
      <c r="O94" s="25" t="str">
        <f aca="false">IF($AI94=0,"",IF(INDEX(입력_운동!$C$5:$C$1004,$AI94)="","",INDEX(입력_운동!$C$5:$C$1004,$AI94)))</f>
        <v/>
      </c>
      <c r="P94" s="25" t="str">
        <f aca="false">IF($AI94=0,"",IF(INDEX(입력_운동!$D$5:$D$1004,$AI94)="","",INDEX(입력_운동!$D$5:$D$1004,$AI94)))</f>
        <v/>
      </c>
      <c r="Q94" s="25" t="str">
        <f aca="false">IF($AI94=0,"",IF(INDEX(입력_운동!$E$5:$E$1004,$AI94)="","",INDEX(입력_운동!$E$5:$E$1004,$AI94)))</f>
        <v/>
      </c>
      <c r="R94" s="25" t="str">
        <f aca="false">IF($AI94=0,"",IF(INDEX(입력_운동!$F$5:$F$1004,$AI94)="","",INDEX(입력_운동!$F$5:$F$1004,$AI94)))</f>
        <v/>
      </c>
      <c r="S94" s="25" t="str">
        <f aca="false">IF($AJ94=0,"",IF(INDEX(입력_측정!$C$5:$C$1004,$AJ94)="","",INDEX(입력_측정!$C$5:$C$1004,$AJ94)))</f>
        <v/>
      </c>
      <c r="T94" s="25" t="str">
        <f aca="false">IF($AJ94=0,"",IF(INDEX(입력_측정!$D$5:$D$1004,$AJ94)="","",INDEX(입력_측정!$D$5:$D$1004,$AJ94)))</f>
        <v/>
      </c>
      <c r="U94" s="25" t="str">
        <f aca="false">IF($AJ94=0,"",IF(INDEX(입력_측정!$E$5:$E$1004,$AJ94)="","",INDEX(입력_측정!$E$5:$E$1004,$AJ94)))</f>
        <v/>
      </c>
      <c r="V94" s="25" t="str">
        <f aca="false">IF($AJ94=0,"",IF(INDEX(입력_측정!$F$5:$F$1004,$AJ94)="","",INDEX(입력_측정!$F$5:$F$1004,$AJ94)))</f>
        <v/>
      </c>
      <c r="W94" s="25" t="str">
        <f aca="false">IF($AK94=0,"",IF(INDEX(입력_상담!$D$5:$D$1004,$AK94)="","",INDEX(입력_상담!$D$5:$D$1004,$AK94)))</f>
        <v/>
      </c>
      <c r="X94" s="25" t="str">
        <f aca="false">IF($AJ94=0,"",IF(INDEX(입력_측정!$I$5:$I$1004,$AJ94)="","",INDEX(입력_측정!$I$5:$I$1004,$AJ94)))</f>
        <v/>
      </c>
      <c r="Y94" s="25" t="str">
        <f aca="false">IF($AJ94=0,"",IF(INDEX(입력_측정!$J$5:$J$1004,$AJ94)="","",INDEX(입력_측정!$J$5:$J$1004,$AJ94)))</f>
        <v/>
      </c>
      <c r="Z94" s="25" t="str">
        <f aca="false">IF(OR(X94="긴급",LEFT(Y94,2)="긴급",W94="필요",W94="완료"),"대상","")</f>
        <v/>
      </c>
      <c r="AA94" s="59" t="str">
        <f aca="false">IF(M94&lt;&gt;"",M94,IF(AK94&gt;0,IF(W94="필요","추가상담 대기","완료"),IF(AJ94&gt;0,"결과상담 대기",IF(AI94&gt;0,"측정 대기","미방문"))))</f>
        <v>미방문</v>
      </c>
      <c r="AB94" s="60" t="str">
        <f aca="false">IF($AI94=0,"",IF(INDEX(입력_운동!$A$5:$A$1004,$AI94)="","",INDEX(입력_운동!$A$5:$A$1004,$AI94)))</f>
        <v/>
      </c>
      <c r="AC94" s="60" t="str">
        <f aca="false">IF($AJ94=0,"",IF(INDEX(입력_측정!$A$5:$A$1004,$AJ94)="","",INDEX(입력_측정!$A$5:$A$1004,$AJ94)))</f>
        <v/>
      </c>
      <c r="AD94" s="60" t="str">
        <f aca="false">IF($AK94=0,"",IF(INDEX(입력_상담!$A$5:$A$1004,$AK94)="","",INDEX(입력_상담!$A$5:$A$1004,$AK94)))</f>
        <v/>
      </c>
      <c r="AE94" s="25" t="str">
        <f aca="false">IF(AND(ISNUMBER(AB94),ISNUMBER(AC94)),IF(AC94&gt;=AB94,ROUND((AC94-AB94)*1440,0),""),"")</f>
        <v/>
      </c>
      <c r="AF94" s="25" t="str">
        <f aca="false">IF(AND(ISNUMBER(AC94),ISNUMBER(AD94)),IF(AD94&gt;=AC94,ROUND((AD94-AC94)*1440,0),""),"")</f>
        <v/>
      </c>
      <c r="AG94" s="25" t="str">
        <f aca="false">IF(AND(AA94="완료",ISNUMBER(AB94),ISNUMBER(AD94)),IF(AD94&gt;=AB94,ROUND((AD94-AB94)*1440,0),""),"")</f>
        <v/>
      </c>
      <c r="AH94" s="61" t="str">
        <f aca="false">IF(AND(AK94&gt;0,AJ94=0),"측정 기록 없음",IF(AND(AJ94&gt;0,AI94=0),"운동평가 기록 없음",IF(OR(COUNTIF(입력_운동!$B$5:$B$1004,$A94)&gt;1,COUNTIF(입력_측정!$B$5:$B$1004,$A94)&gt;1),"중복 입력","")))</f>
        <v/>
      </c>
      <c r="AI94" s="62" t="n">
        <f aca="false">SUMPRODUCT(MAX((입력_운동!$B$5:$B$1004=$A94)*(ROW(입력_운동!$B$5:$B$1004)-4)))</f>
        <v>0</v>
      </c>
      <c r="AJ94" s="62" t="n">
        <f aca="false">SUMPRODUCT(MAX((입력_측정!$B$5:$B$1004=$A94)*(ROW(입력_측정!$B$5:$B$1004)-4)))</f>
        <v>0</v>
      </c>
      <c r="AK94" s="62" t="n">
        <f aca="false">SUMPRODUCT(MAX((입력_상담!$B$5:$B$1004=$A94)*(ROW(입력_상담!$B$5:$B$1004)-4)))</f>
        <v>0</v>
      </c>
    </row>
    <row r="95" customFormat="false" ht="15" hidden="false" customHeight="false" outlineLevel="0" collapsed="false">
      <c r="A95" s="55" t="n">
        <v>91</v>
      </c>
      <c r="B95" s="56"/>
      <c r="C95" s="24"/>
      <c r="D95" s="24"/>
      <c r="E95" s="56"/>
      <c r="F95" s="57"/>
      <c r="G95" s="58"/>
      <c r="H95" s="56"/>
      <c r="I95" s="24"/>
      <c r="J95" s="24"/>
      <c r="K95" s="24"/>
      <c r="L95" s="24"/>
      <c r="M95" s="24"/>
      <c r="N95" s="56"/>
      <c r="O95" s="25" t="str">
        <f aca="false">IF($AI95=0,"",IF(INDEX(입력_운동!$C$5:$C$1004,$AI95)="","",INDEX(입력_운동!$C$5:$C$1004,$AI95)))</f>
        <v/>
      </c>
      <c r="P95" s="25" t="str">
        <f aca="false">IF($AI95=0,"",IF(INDEX(입력_운동!$D$5:$D$1004,$AI95)="","",INDEX(입력_운동!$D$5:$D$1004,$AI95)))</f>
        <v/>
      </c>
      <c r="Q95" s="25" t="str">
        <f aca="false">IF($AI95=0,"",IF(INDEX(입력_운동!$E$5:$E$1004,$AI95)="","",INDEX(입력_운동!$E$5:$E$1004,$AI95)))</f>
        <v/>
      </c>
      <c r="R95" s="25" t="str">
        <f aca="false">IF($AI95=0,"",IF(INDEX(입력_운동!$F$5:$F$1004,$AI95)="","",INDEX(입력_운동!$F$5:$F$1004,$AI95)))</f>
        <v/>
      </c>
      <c r="S95" s="25" t="str">
        <f aca="false">IF($AJ95=0,"",IF(INDEX(입력_측정!$C$5:$C$1004,$AJ95)="","",INDEX(입력_측정!$C$5:$C$1004,$AJ95)))</f>
        <v/>
      </c>
      <c r="T95" s="25" t="str">
        <f aca="false">IF($AJ95=0,"",IF(INDEX(입력_측정!$D$5:$D$1004,$AJ95)="","",INDEX(입력_측정!$D$5:$D$1004,$AJ95)))</f>
        <v/>
      </c>
      <c r="U95" s="25" t="str">
        <f aca="false">IF($AJ95=0,"",IF(INDEX(입력_측정!$E$5:$E$1004,$AJ95)="","",INDEX(입력_측정!$E$5:$E$1004,$AJ95)))</f>
        <v/>
      </c>
      <c r="V95" s="25" t="str">
        <f aca="false">IF($AJ95=0,"",IF(INDEX(입력_측정!$F$5:$F$1004,$AJ95)="","",INDEX(입력_측정!$F$5:$F$1004,$AJ95)))</f>
        <v/>
      </c>
      <c r="W95" s="25" t="str">
        <f aca="false">IF($AK95=0,"",IF(INDEX(입력_상담!$D$5:$D$1004,$AK95)="","",INDEX(입력_상담!$D$5:$D$1004,$AK95)))</f>
        <v/>
      </c>
      <c r="X95" s="25" t="str">
        <f aca="false">IF($AJ95=0,"",IF(INDEX(입력_측정!$I$5:$I$1004,$AJ95)="","",INDEX(입력_측정!$I$5:$I$1004,$AJ95)))</f>
        <v/>
      </c>
      <c r="Y95" s="25" t="str">
        <f aca="false">IF($AJ95=0,"",IF(INDEX(입력_측정!$J$5:$J$1004,$AJ95)="","",INDEX(입력_측정!$J$5:$J$1004,$AJ95)))</f>
        <v/>
      </c>
      <c r="Z95" s="25" t="str">
        <f aca="false">IF(OR(X95="긴급",LEFT(Y95,2)="긴급",W95="필요",W95="완료"),"대상","")</f>
        <v/>
      </c>
      <c r="AA95" s="59" t="str">
        <f aca="false">IF(M95&lt;&gt;"",M95,IF(AK95&gt;0,IF(W95="필요","추가상담 대기","완료"),IF(AJ95&gt;0,"결과상담 대기",IF(AI95&gt;0,"측정 대기","미방문"))))</f>
        <v>미방문</v>
      </c>
      <c r="AB95" s="60" t="str">
        <f aca="false">IF($AI95=0,"",IF(INDEX(입력_운동!$A$5:$A$1004,$AI95)="","",INDEX(입력_운동!$A$5:$A$1004,$AI95)))</f>
        <v/>
      </c>
      <c r="AC95" s="60" t="str">
        <f aca="false">IF($AJ95=0,"",IF(INDEX(입력_측정!$A$5:$A$1004,$AJ95)="","",INDEX(입력_측정!$A$5:$A$1004,$AJ95)))</f>
        <v/>
      </c>
      <c r="AD95" s="60" t="str">
        <f aca="false">IF($AK95=0,"",IF(INDEX(입력_상담!$A$5:$A$1004,$AK95)="","",INDEX(입력_상담!$A$5:$A$1004,$AK95)))</f>
        <v/>
      </c>
      <c r="AE95" s="25" t="str">
        <f aca="false">IF(AND(ISNUMBER(AB95),ISNUMBER(AC95)),IF(AC95&gt;=AB95,ROUND((AC95-AB95)*1440,0),""),"")</f>
        <v/>
      </c>
      <c r="AF95" s="25" t="str">
        <f aca="false">IF(AND(ISNUMBER(AC95),ISNUMBER(AD95)),IF(AD95&gt;=AC95,ROUND((AD95-AC95)*1440,0),""),"")</f>
        <v/>
      </c>
      <c r="AG95" s="25" t="str">
        <f aca="false">IF(AND(AA95="완료",ISNUMBER(AB95),ISNUMBER(AD95)),IF(AD95&gt;=AB95,ROUND((AD95-AB95)*1440,0),""),"")</f>
        <v/>
      </c>
      <c r="AH95" s="61" t="str">
        <f aca="false">IF(AND(AK95&gt;0,AJ95=0),"측정 기록 없음",IF(AND(AJ95&gt;0,AI95=0),"운동평가 기록 없음",IF(OR(COUNTIF(입력_운동!$B$5:$B$1004,$A95)&gt;1,COUNTIF(입력_측정!$B$5:$B$1004,$A95)&gt;1),"중복 입력","")))</f>
        <v/>
      </c>
      <c r="AI95" s="62" t="n">
        <f aca="false">SUMPRODUCT(MAX((입력_운동!$B$5:$B$1004=$A95)*(ROW(입력_운동!$B$5:$B$1004)-4)))</f>
        <v>0</v>
      </c>
      <c r="AJ95" s="62" t="n">
        <f aca="false">SUMPRODUCT(MAX((입력_측정!$B$5:$B$1004=$A95)*(ROW(입력_측정!$B$5:$B$1004)-4)))</f>
        <v>0</v>
      </c>
      <c r="AK95" s="62" t="n">
        <f aca="false">SUMPRODUCT(MAX((입력_상담!$B$5:$B$1004=$A95)*(ROW(입력_상담!$B$5:$B$1004)-4)))</f>
        <v>0</v>
      </c>
    </row>
    <row r="96" customFormat="false" ht="15" hidden="false" customHeight="false" outlineLevel="0" collapsed="false">
      <c r="A96" s="55" t="n">
        <v>92</v>
      </c>
      <c r="B96" s="56"/>
      <c r="C96" s="24"/>
      <c r="D96" s="24"/>
      <c r="E96" s="56"/>
      <c r="F96" s="57"/>
      <c r="G96" s="58"/>
      <c r="H96" s="56"/>
      <c r="I96" s="24"/>
      <c r="J96" s="24"/>
      <c r="K96" s="24"/>
      <c r="L96" s="24"/>
      <c r="M96" s="24"/>
      <c r="N96" s="56"/>
      <c r="O96" s="25" t="str">
        <f aca="false">IF($AI96=0,"",IF(INDEX(입력_운동!$C$5:$C$1004,$AI96)="","",INDEX(입력_운동!$C$5:$C$1004,$AI96)))</f>
        <v/>
      </c>
      <c r="P96" s="25" t="str">
        <f aca="false">IF($AI96=0,"",IF(INDEX(입력_운동!$D$5:$D$1004,$AI96)="","",INDEX(입력_운동!$D$5:$D$1004,$AI96)))</f>
        <v/>
      </c>
      <c r="Q96" s="25" t="str">
        <f aca="false">IF($AI96=0,"",IF(INDEX(입력_운동!$E$5:$E$1004,$AI96)="","",INDEX(입력_운동!$E$5:$E$1004,$AI96)))</f>
        <v/>
      </c>
      <c r="R96" s="25" t="str">
        <f aca="false">IF($AI96=0,"",IF(INDEX(입력_운동!$F$5:$F$1004,$AI96)="","",INDEX(입력_운동!$F$5:$F$1004,$AI96)))</f>
        <v/>
      </c>
      <c r="S96" s="25" t="str">
        <f aca="false">IF($AJ96=0,"",IF(INDEX(입력_측정!$C$5:$C$1004,$AJ96)="","",INDEX(입력_측정!$C$5:$C$1004,$AJ96)))</f>
        <v/>
      </c>
      <c r="T96" s="25" t="str">
        <f aca="false">IF($AJ96=0,"",IF(INDEX(입력_측정!$D$5:$D$1004,$AJ96)="","",INDEX(입력_측정!$D$5:$D$1004,$AJ96)))</f>
        <v/>
      </c>
      <c r="U96" s="25" t="str">
        <f aca="false">IF($AJ96=0,"",IF(INDEX(입력_측정!$E$5:$E$1004,$AJ96)="","",INDEX(입력_측정!$E$5:$E$1004,$AJ96)))</f>
        <v/>
      </c>
      <c r="V96" s="25" t="str">
        <f aca="false">IF($AJ96=0,"",IF(INDEX(입력_측정!$F$5:$F$1004,$AJ96)="","",INDEX(입력_측정!$F$5:$F$1004,$AJ96)))</f>
        <v/>
      </c>
      <c r="W96" s="25" t="str">
        <f aca="false">IF($AK96=0,"",IF(INDEX(입력_상담!$D$5:$D$1004,$AK96)="","",INDEX(입력_상담!$D$5:$D$1004,$AK96)))</f>
        <v/>
      </c>
      <c r="X96" s="25" t="str">
        <f aca="false">IF($AJ96=0,"",IF(INDEX(입력_측정!$I$5:$I$1004,$AJ96)="","",INDEX(입력_측정!$I$5:$I$1004,$AJ96)))</f>
        <v/>
      </c>
      <c r="Y96" s="25" t="str">
        <f aca="false">IF($AJ96=0,"",IF(INDEX(입력_측정!$J$5:$J$1004,$AJ96)="","",INDEX(입력_측정!$J$5:$J$1004,$AJ96)))</f>
        <v/>
      </c>
      <c r="Z96" s="25" t="str">
        <f aca="false">IF(OR(X96="긴급",LEFT(Y96,2)="긴급",W96="필요",W96="완료"),"대상","")</f>
        <v/>
      </c>
      <c r="AA96" s="59" t="str">
        <f aca="false">IF(M96&lt;&gt;"",M96,IF(AK96&gt;0,IF(W96="필요","추가상담 대기","완료"),IF(AJ96&gt;0,"결과상담 대기",IF(AI96&gt;0,"측정 대기","미방문"))))</f>
        <v>미방문</v>
      </c>
      <c r="AB96" s="60" t="str">
        <f aca="false">IF($AI96=0,"",IF(INDEX(입력_운동!$A$5:$A$1004,$AI96)="","",INDEX(입력_운동!$A$5:$A$1004,$AI96)))</f>
        <v/>
      </c>
      <c r="AC96" s="60" t="str">
        <f aca="false">IF($AJ96=0,"",IF(INDEX(입력_측정!$A$5:$A$1004,$AJ96)="","",INDEX(입력_측정!$A$5:$A$1004,$AJ96)))</f>
        <v/>
      </c>
      <c r="AD96" s="60" t="str">
        <f aca="false">IF($AK96=0,"",IF(INDEX(입력_상담!$A$5:$A$1004,$AK96)="","",INDEX(입력_상담!$A$5:$A$1004,$AK96)))</f>
        <v/>
      </c>
      <c r="AE96" s="25" t="str">
        <f aca="false">IF(AND(ISNUMBER(AB96),ISNUMBER(AC96)),IF(AC96&gt;=AB96,ROUND((AC96-AB96)*1440,0),""),"")</f>
        <v/>
      </c>
      <c r="AF96" s="25" t="str">
        <f aca="false">IF(AND(ISNUMBER(AC96),ISNUMBER(AD96)),IF(AD96&gt;=AC96,ROUND((AD96-AC96)*1440,0),""),"")</f>
        <v/>
      </c>
      <c r="AG96" s="25" t="str">
        <f aca="false">IF(AND(AA96="완료",ISNUMBER(AB96),ISNUMBER(AD96)),IF(AD96&gt;=AB96,ROUND((AD96-AB96)*1440,0),""),"")</f>
        <v/>
      </c>
      <c r="AH96" s="61" t="str">
        <f aca="false">IF(AND(AK96&gt;0,AJ96=0),"측정 기록 없음",IF(AND(AJ96&gt;0,AI96=0),"운동평가 기록 없음",IF(OR(COUNTIF(입력_운동!$B$5:$B$1004,$A96)&gt;1,COUNTIF(입력_측정!$B$5:$B$1004,$A96)&gt;1),"중복 입력","")))</f>
        <v/>
      </c>
      <c r="AI96" s="62" t="n">
        <f aca="false">SUMPRODUCT(MAX((입력_운동!$B$5:$B$1004=$A96)*(ROW(입력_운동!$B$5:$B$1004)-4)))</f>
        <v>0</v>
      </c>
      <c r="AJ96" s="62" t="n">
        <f aca="false">SUMPRODUCT(MAX((입력_측정!$B$5:$B$1004=$A96)*(ROW(입력_측정!$B$5:$B$1004)-4)))</f>
        <v>0</v>
      </c>
      <c r="AK96" s="62" t="n">
        <f aca="false">SUMPRODUCT(MAX((입력_상담!$B$5:$B$1004=$A96)*(ROW(입력_상담!$B$5:$B$1004)-4)))</f>
        <v>0</v>
      </c>
    </row>
    <row r="97" customFormat="false" ht="15" hidden="false" customHeight="false" outlineLevel="0" collapsed="false">
      <c r="A97" s="55" t="n">
        <v>93</v>
      </c>
      <c r="B97" s="56"/>
      <c r="C97" s="24"/>
      <c r="D97" s="24"/>
      <c r="E97" s="56"/>
      <c r="F97" s="57"/>
      <c r="G97" s="58"/>
      <c r="H97" s="56"/>
      <c r="I97" s="24"/>
      <c r="J97" s="24"/>
      <c r="K97" s="24"/>
      <c r="L97" s="24"/>
      <c r="M97" s="24"/>
      <c r="N97" s="56"/>
      <c r="O97" s="25" t="str">
        <f aca="false">IF($AI97=0,"",IF(INDEX(입력_운동!$C$5:$C$1004,$AI97)="","",INDEX(입력_운동!$C$5:$C$1004,$AI97)))</f>
        <v/>
      </c>
      <c r="P97" s="25" t="str">
        <f aca="false">IF($AI97=0,"",IF(INDEX(입력_운동!$D$5:$D$1004,$AI97)="","",INDEX(입력_운동!$D$5:$D$1004,$AI97)))</f>
        <v/>
      </c>
      <c r="Q97" s="25" t="str">
        <f aca="false">IF($AI97=0,"",IF(INDEX(입력_운동!$E$5:$E$1004,$AI97)="","",INDEX(입력_운동!$E$5:$E$1004,$AI97)))</f>
        <v/>
      </c>
      <c r="R97" s="25" t="str">
        <f aca="false">IF($AI97=0,"",IF(INDEX(입력_운동!$F$5:$F$1004,$AI97)="","",INDEX(입력_운동!$F$5:$F$1004,$AI97)))</f>
        <v/>
      </c>
      <c r="S97" s="25" t="str">
        <f aca="false">IF($AJ97=0,"",IF(INDEX(입력_측정!$C$5:$C$1004,$AJ97)="","",INDEX(입력_측정!$C$5:$C$1004,$AJ97)))</f>
        <v/>
      </c>
      <c r="T97" s="25" t="str">
        <f aca="false">IF($AJ97=0,"",IF(INDEX(입력_측정!$D$5:$D$1004,$AJ97)="","",INDEX(입력_측정!$D$5:$D$1004,$AJ97)))</f>
        <v/>
      </c>
      <c r="U97" s="25" t="str">
        <f aca="false">IF($AJ97=0,"",IF(INDEX(입력_측정!$E$5:$E$1004,$AJ97)="","",INDEX(입력_측정!$E$5:$E$1004,$AJ97)))</f>
        <v/>
      </c>
      <c r="V97" s="25" t="str">
        <f aca="false">IF($AJ97=0,"",IF(INDEX(입력_측정!$F$5:$F$1004,$AJ97)="","",INDEX(입력_측정!$F$5:$F$1004,$AJ97)))</f>
        <v/>
      </c>
      <c r="W97" s="25" t="str">
        <f aca="false">IF($AK97=0,"",IF(INDEX(입력_상담!$D$5:$D$1004,$AK97)="","",INDEX(입력_상담!$D$5:$D$1004,$AK97)))</f>
        <v/>
      </c>
      <c r="X97" s="25" t="str">
        <f aca="false">IF($AJ97=0,"",IF(INDEX(입력_측정!$I$5:$I$1004,$AJ97)="","",INDEX(입력_측정!$I$5:$I$1004,$AJ97)))</f>
        <v/>
      </c>
      <c r="Y97" s="25" t="str">
        <f aca="false">IF($AJ97=0,"",IF(INDEX(입력_측정!$J$5:$J$1004,$AJ97)="","",INDEX(입력_측정!$J$5:$J$1004,$AJ97)))</f>
        <v/>
      </c>
      <c r="Z97" s="25" t="str">
        <f aca="false">IF(OR(X97="긴급",LEFT(Y97,2)="긴급",W97="필요",W97="완료"),"대상","")</f>
        <v/>
      </c>
      <c r="AA97" s="59" t="str">
        <f aca="false">IF(M97&lt;&gt;"",M97,IF(AK97&gt;0,IF(W97="필요","추가상담 대기","완료"),IF(AJ97&gt;0,"결과상담 대기",IF(AI97&gt;0,"측정 대기","미방문"))))</f>
        <v>미방문</v>
      </c>
      <c r="AB97" s="60" t="str">
        <f aca="false">IF($AI97=0,"",IF(INDEX(입력_운동!$A$5:$A$1004,$AI97)="","",INDEX(입력_운동!$A$5:$A$1004,$AI97)))</f>
        <v/>
      </c>
      <c r="AC97" s="60" t="str">
        <f aca="false">IF($AJ97=0,"",IF(INDEX(입력_측정!$A$5:$A$1004,$AJ97)="","",INDEX(입력_측정!$A$5:$A$1004,$AJ97)))</f>
        <v/>
      </c>
      <c r="AD97" s="60" t="str">
        <f aca="false">IF($AK97=0,"",IF(INDEX(입력_상담!$A$5:$A$1004,$AK97)="","",INDEX(입력_상담!$A$5:$A$1004,$AK97)))</f>
        <v/>
      </c>
      <c r="AE97" s="25" t="str">
        <f aca="false">IF(AND(ISNUMBER(AB97),ISNUMBER(AC97)),IF(AC97&gt;=AB97,ROUND((AC97-AB97)*1440,0),""),"")</f>
        <v/>
      </c>
      <c r="AF97" s="25" t="str">
        <f aca="false">IF(AND(ISNUMBER(AC97),ISNUMBER(AD97)),IF(AD97&gt;=AC97,ROUND((AD97-AC97)*1440,0),""),"")</f>
        <v/>
      </c>
      <c r="AG97" s="25" t="str">
        <f aca="false">IF(AND(AA97="완료",ISNUMBER(AB97),ISNUMBER(AD97)),IF(AD97&gt;=AB97,ROUND((AD97-AB97)*1440,0),""),"")</f>
        <v/>
      </c>
      <c r="AH97" s="61" t="str">
        <f aca="false">IF(AND(AK97&gt;0,AJ97=0),"측정 기록 없음",IF(AND(AJ97&gt;0,AI97=0),"운동평가 기록 없음",IF(OR(COUNTIF(입력_운동!$B$5:$B$1004,$A97)&gt;1,COUNTIF(입력_측정!$B$5:$B$1004,$A97)&gt;1),"중복 입력","")))</f>
        <v/>
      </c>
      <c r="AI97" s="62" t="n">
        <f aca="false">SUMPRODUCT(MAX((입력_운동!$B$5:$B$1004=$A97)*(ROW(입력_운동!$B$5:$B$1004)-4)))</f>
        <v>0</v>
      </c>
      <c r="AJ97" s="62" t="n">
        <f aca="false">SUMPRODUCT(MAX((입력_측정!$B$5:$B$1004=$A97)*(ROW(입력_측정!$B$5:$B$1004)-4)))</f>
        <v>0</v>
      </c>
      <c r="AK97" s="62" t="n">
        <f aca="false">SUMPRODUCT(MAX((입력_상담!$B$5:$B$1004=$A97)*(ROW(입력_상담!$B$5:$B$1004)-4)))</f>
        <v>0</v>
      </c>
    </row>
    <row r="98" customFormat="false" ht="15" hidden="false" customHeight="false" outlineLevel="0" collapsed="false">
      <c r="A98" s="55" t="n">
        <v>94</v>
      </c>
      <c r="B98" s="56"/>
      <c r="C98" s="24"/>
      <c r="D98" s="24"/>
      <c r="E98" s="56"/>
      <c r="F98" s="57"/>
      <c r="G98" s="58"/>
      <c r="H98" s="56"/>
      <c r="I98" s="24"/>
      <c r="J98" s="24"/>
      <c r="K98" s="24"/>
      <c r="L98" s="24"/>
      <c r="M98" s="24"/>
      <c r="N98" s="56"/>
      <c r="O98" s="25" t="str">
        <f aca="false">IF($AI98=0,"",IF(INDEX(입력_운동!$C$5:$C$1004,$AI98)="","",INDEX(입력_운동!$C$5:$C$1004,$AI98)))</f>
        <v/>
      </c>
      <c r="P98" s="25" t="str">
        <f aca="false">IF($AI98=0,"",IF(INDEX(입력_운동!$D$5:$D$1004,$AI98)="","",INDEX(입력_운동!$D$5:$D$1004,$AI98)))</f>
        <v/>
      </c>
      <c r="Q98" s="25" t="str">
        <f aca="false">IF($AI98=0,"",IF(INDEX(입력_운동!$E$5:$E$1004,$AI98)="","",INDEX(입력_운동!$E$5:$E$1004,$AI98)))</f>
        <v/>
      </c>
      <c r="R98" s="25" t="str">
        <f aca="false">IF($AI98=0,"",IF(INDEX(입력_운동!$F$5:$F$1004,$AI98)="","",INDEX(입력_운동!$F$5:$F$1004,$AI98)))</f>
        <v/>
      </c>
      <c r="S98" s="25" t="str">
        <f aca="false">IF($AJ98=0,"",IF(INDEX(입력_측정!$C$5:$C$1004,$AJ98)="","",INDEX(입력_측정!$C$5:$C$1004,$AJ98)))</f>
        <v/>
      </c>
      <c r="T98" s="25" t="str">
        <f aca="false">IF($AJ98=0,"",IF(INDEX(입력_측정!$D$5:$D$1004,$AJ98)="","",INDEX(입력_측정!$D$5:$D$1004,$AJ98)))</f>
        <v/>
      </c>
      <c r="U98" s="25" t="str">
        <f aca="false">IF($AJ98=0,"",IF(INDEX(입력_측정!$E$5:$E$1004,$AJ98)="","",INDEX(입력_측정!$E$5:$E$1004,$AJ98)))</f>
        <v/>
      </c>
      <c r="V98" s="25" t="str">
        <f aca="false">IF($AJ98=0,"",IF(INDEX(입력_측정!$F$5:$F$1004,$AJ98)="","",INDEX(입력_측정!$F$5:$F$1004,$AJ98)))</f>
        <v/>
      </c>
      <c r="W98" s="25" t="str">
        <f aca="false">IF($AK98=0,"",IF(INDEX(입력_상담!$D$5:$D$1004,$AK98)="","",INDEX(입력_상담!$D$5:$D$1004,$AK98)))</f>
        <v/>
      </c>
      <c r="X98" s="25" t="str">
        <f aca="false">IF($AJ98=0,"",IF(INDEX(입력_측정!$I$5:$I$1004,$AJ98)="","",INDEX(입력_측정!$I$5:$I$1004,$AJ98)))</f>
        <v/>
      </c>
      <c r="Y98" s="25" t="str">
        <f aca="false">IF($AJ98=0,"",IF(INDEX(입력_측정!$J$5:$J$1004,$AJ98)="","",INDEX(입력_측정!$J$5:$J$1004,$AJ98)))</f>
        <v/>
      </c>
      <c r="Z98" s="25" t="str">
        <f aca="false">IF(OR(X98="긴급",LEFT(Y98,2)="긴급",W98="필요",W98="완료"),"대상","")</f>
        <v/>
      </c>
      <c r="AA98" s="59" t="str">
        <f aca="false">IF(M98&lt;&gt;"",M98,IF(AK98&gt;0,IF(W98="필요","추가상담 대기","완료"),IF(AJ98&gt;0,"결과상담 대기",IF(AI98&gt;0,"측정 대기","미방문"))))</f>
        <v>미방문</v>
      </c>
      <c r="AB98" s="60" t="str">
        <f aca="false">IF($AI98=0,"",IF(INDEX(입력_운동!$A$5:$A$1004,$AI98)="","",INDEX(입력_운동!$A$5:$A$1004,$AI98)))</f>
        <v/>
      </c>
      <c r="AC98" s="60" t="str">
        <f aca="false">IF($AJ98=0,"",IF(INDEX(입력_측정!$A$5:$A$1004,$AJ98)="","",INDEX(입력_측정!$A$5:$A$1004,$AJ98)))</f>
        <v/>
      </c>
      <c r="AD98" s="60" t="str">
        <f aca="false">IF($AK98=0,"",IF(INDEX(입력_상담!$A$5:$A$1004,$AK98)="","",INDEX(입력_상담!$A$5:$A$1004,$AK98)))</f>
        <v/>
      </c>
      <c r="AE98" s="25" t="str">
        <f aca="false">IF(AND(ISNUMBER(AB98),ISNUMBER(AC98)),IF(AC98&gt;=AB98,ROUND((AC98-AB98)*1440,0),""),"")</f>
        <v/>
      </c>
      <c r="AF98" s="25" t="str">
        <f aca="false">IF(AND(ISNUMBER(AC98),ISNUMBER(AD98)),IF(AD98&gt;=AC98,ROUND((AD98-AC98)*1440,0),""),"")</f>
        <v/>
      </c>
      <c r="AG98" s="25" t="str">
        <f aca="false">IF(AND(AA98="완료",ISNUMBER(AB98),ISNUMBER(AD98)),IF(AD98&gt;=AB98,ROUND((AD98-AB98)*1440,0),""),"")</f>
        <v/>
      </c>
      <c r="AH98" s="61" t="str">
        <f aca="false">IF(AND(AK98&gt;0,AJ98=0),"측정 기록 없음",IF(AND(AJ98&gt;0,AI98=0),"운동평가 기록 없음",IF(OR(COUNTIF(입력_운동!$B$5:$B$1004,$A98)&gt;1,COUNTIF(입력_측정!$B$5:$B$1004,$A98)&gt;1),"중복 입력","")))</f>
        <v/>
      </c>
      <c r="AI98" s="62" t="n">
        <f aca="false">SUMPRODUCT(MAX((입력_운동!$B$5:$B$1004=$A98)*(ROW(입력_운동!$B$5:$B$1004)-4)))</f>
        <v>0</v>
      </c>
      <c r="AJ98" s="62" t="n">
        <f aca="false">SUMPRODUCT(MAX((입력_측정!$B$5:$B$1004=$A98)*(ROW(입력_측정!$B$5:$B$1004)-4)))</f>
        <v>0</v>
      </c>
      <c r="AK98" s="62" t="n">
        <f aca="false">SUMPRODUCT(MAX((입력_상담!$B$5:$B$1004=$A98)*(ROW(입력_상담!$B$5:$B$1004)-4)))</f>
        <v>0</v>
      </c>
    </row>
    <row r="99" customFormat="false" ht="15" hidden="false" customHeight="false" outlineLevel="0" collapsed="false">
      <c r="A99" s="55" t="n">
        <v>95</v>
      </c>
      <c r="B99" s="56"/>
      <c r="C99" s="24"/>
      <c r="D99" s="24"/>
      <c r="E99" s="56"/>
      <c r="F99" s="57"/>
      <c r="G99" s="58"/>
      <c r="H99" s="56"/>
      <c r="I99" s="24"/>
      <c r="J99" s="24"/>
      <c r="K99" s="24"/>
      <c r="L99" s="24"/>
      <c r="M99" s="24"/>
      <c r="N99" s="56"/>
      <c r="O99" s="25" t="str">
        <f aca="false">IF($AI99=0,"",IF(INDEX(입력_운동!$C$5:$C$1004,$AI99)="","",INDEX(입력_운동!$C$5:$C$1004,$AI99)))</f>
        <v/>
      </c>
      <c r="P99" s="25" t="str">
        <f aca="false">IF($AI99=0,"",IF(INDEX(입력_운동!$D$5:$D$1004,$AI99)="","",INDEX(입력_운동!$D$5:$D$1004,$AI99)))</f>
        <v/>
      </c>
      <c r="Q99" s="25" t="str">
        <f aca="false">IF($AI99=0,"",IF(INDEX(입력_운동!$E$5:$E$1004,$AI99)="","",INDEX(입력_운동!$E$5:$E$1004,$AI99)))</f>
        <v/>
      </c>
      <c r="R99" s="25" t="str">
        <f aca="false">IF($AI99=0,"",IF(INDEX(입력_운동!$F$5:$F$1004,$AI99)="","",INDEX(입력_운동!$F$5:$F$1004,$AI99)))</f>
        <v/>
      </c>
      <c r="S99" s="25" t="str">
        <f aca="false">IF($AJ99=0,"",IF(INDEX(입력_측정!$C$5:$C$1004,$AJ99)="","",INDEX(입력_측정!$C$5:$C$1004,$AJ99)))</f>
        <v/>
      </c>
      <c r="T99" s="25" t="str">
        <f aca="false">IF($AJ99=0,"",IF(INDEX(입력_측정!$D$5:$D$1004,$AJ99)="","",INDEX(입력_측정!$D$5:$D$1004,$AJ99)))</f>
        <v/>
      </c>
      <c r="U99" s="25" t="str">
        <f aca="false">IF($AJ99=0,"",IF(INDEX(입력_측정!$E$5:$E$1004,$AJ99)="","",INDEX(입력_측정!$E$5:$E$1004,$AJ99)))</f>
        <v/>
      </c>
      <c r="V99" s="25" t="str">
        <f aca="false">IF($AJ99=0,"",IF(INDEX(입력_측정!$F$5:$F$1004,$AJ99)="","",INDEX(입력_측정!$F$5:$F$1004,$AJ99)))</f>
        <v/>
      </c>
      <c r="W99" s="25" t="str">
        <f aca="false">IF($AK99=0,"",IF(INDEX(입력_상담!$D$5:$D$1004,$AK99)="","",INDEX(입력_상담!$D$5:$D$1004,$AK99)))</f>
        <v/>
      </c>
      <c r="X99" s="25" t="str">
        <f aca="false">IF($AJ99=0,"",IF(INDEX(입력_측정!$I$5:$I$1004,$AJ99)="","",INDEX(입력_측정!$I$5:$I$1004,$AJ99)))</f>
        <v/>
      </c>
      <c r="Y99" s="25" t="str">
        <f aca="false">IF($AJ99=0,"",IF(INDEX(입력_측정!$J$5:$J$1004,$AJ99)="","",INDEX(입력_측정!$J$5:$J$1004,$AJ99)))</f>
        <v/>
      </c>
      <c r="Z99" s="25" t="str">
        <f aca="false">IF(OR(X99="긴급",LEFT(Y99,2)="긴급",W99="필요",W99="완료"),"대상","")</f>
        <v/>
      </c>
      <c r="AA99" s="59" t="str">
        <f aca="false">IF(M99&lt;&gt;"",M99,IF(AK99&gt;0,IF(W99="필요","추가상담 대기","완료"),IF(AJ99&gt;0,"결과상담 대기",IF(AI99&gt;0,"측정 대기","미방문"))))</f>
        <v>미방문</v>
      </c>
      <c r="AB99" s="60" t="str">
        <f aca="false">IF($AI99=0,"",IF(INDEX(입력_운동!$A$5:$A$1004,$AI99)="","",INDEX(입력_운동!$A$5:$A$1004,$AI99)))</f>
        <v/>
      </c>
      <c r="AC99" s="60" t="str">
        <f aca="false">IF($AJ99=0,"",IF(INDEX(입력_측정!$A$5:$A$1004,$AJ99)="","",INDEX(입력_측정!$A$5:$A$1004,$AJ99)))</f>
        <v/>
      </c>
      <c r="AD99" s="60" t="str">
        <f aca="false">IF($AK99=0,"",IF(INDEX(입력_상담!$A$5:$A$1004,$AK99)="","",INDEX(입력_상담!$A$5:$A$1004,$AK99)))</f>
        <v/>
      </c>
      <c r="AE99" s="25" t="str">
        <f aca="false">IF(AND(ISNUMBER(AB99),ISNUMBER(AC99)),IF(AC99&gt;=AB99,ROUND((AC99-AB99)*1440,0),""),"")</f>
        <v/>
      </c>
      <c r="AF99" s="25" t="str">
        <f aca="false">IF(AND(ISNUMBER(AC99),ISNUMBER(AD99)),IF(AD99&gt;=AC99,ROUND((AD99-AC99)*1440,0),""),"")</f>
        <v/>
      </c>
      <c r="AG99" s="25" t="str">
        <f aca="false">IF(AND(AA99="완료",ISNUMBER(AB99),ISNUMBER(AD99)),IF(AD99&gt;=AB99,ROUND((AD99-AB99)*1440,0),""),"")</f>
        <v/>
      </c>
      <c r="AH99" s="61" t="str">
        <f aca="false">IF(AND(AK99&gt;0,AJ99=0),"측정 기록 없음",IF(AND(AJ99&gt;0,AI99=0),"운동평가 기록 없음",IF(OR(COUNTIF(입력_운동!$B$5:$B$1004,$A99)&gt;1,COUNTIF(입력_측정!$B$5:$B$1004,$A99)&gt;1),"중복 입력","")))</f>
        <v/>
      </c>
      <c r="AI99" s="62" t="n">
        <f aca="false">SUMPRODUCT(MAX((입력_운동!$B$5:$B$1004=$A99)*(ROW(입력_운동!$B$5:$B$1004)-4)))</f>
        <v>0</v>
      </c>
      <c r="AJ99" s="62" t="n">
        <f aca="false">SUMPRODUCT(MAX((입력_측정!$B$5:$B$1004=$A99)*(ROW(입력_측정!$B$5:$B$1004)-4)))</f>
        <v>0</v>
      </c>
      <c r="AK99" s="62" t="n">
        <f aca="false">SUMPRODUCT(MAX((입력_상담!$B$5:$B$1004=$A99)*(ROW(입력_상담!$B$5:$B$1004)-4)))</f>
        <v>0</v>
      </c>
    </row>
    <row r="100" customFormat="false" ht="15" hidden="false" customHeight="false" outlineLevel="0" collapsed="false">
      <c r="A100" s="55" t="n">
        <v>96</v>
      </c>
      <c r="B100" s="56"/>
      <c r="C100" s="24"/>
      <c r="D100" s="24"/>
      <c r="E100" s="56"/>
      <c r="F100" s="57"/>
      <c r="G100" s="58"/>
      <c r="H100" s="56"/>
      <c r="I100" s="24"/>
      <c r="J100" s="24"/>
      <c r="K100" s="24"/>
      <c r="L100" s="24"/>
      <c r="M100" s="24"/>
      <c r="N100" s="56"/>
      <c r="O100" s="25" t="str">
        <f aca="false">IF($AI100=0,"",IF(INDEX(입력_운동!$C$5:$C$1004,$AI100)="","",INDEX(입력_운동!$C$5:$C$1004,$AI100)))</f>
        <v/>
      </c>
      <c r="P100" s="25" t="str">
        <f aca="false">IF($AI100=0,"",IF(INDEX(입력_운동!$D$5:$D$1004,$AI100)="","",INDEX(입력_운동!$D$5:$D$1004,$AI100)))</f>
        <v/>
      </c>
      <c r="Q100" s="25" t="str">
        <f aca="false">IF($AI100=0,"",IF(INDEX(입력_운동!$E$5:$E$1004,$AI100)="","",INDEX(입력_운동!$E$5:$E$1004,$AI100)))</f>
        <v/>
      </c>
      <c r="R100" s="25" t="str">
        <f aca="false">IF($AI100=0,"",IF(INDEX(입력_운동!$F$5:$F$1004,$AI100)="","",INDEX(입력_운동!$F$5:$F$1004,$AI100)))</f>
        <v/>
      </c>
      <c r="S100" s="25" t="str">
        <f aca="false">IF($AJ100=0,"",IF(INDEX(입력_측정!$C$5:$C$1004,$AJ100)="","",INDEX(입력_측정!$C$5:$C$1004,$AJ100)))</f>
        <v/>
      </c>
      <c r="T100" s="25" t="str">
        <f aca="false">IF($AJ100=0,"",IF(INDEX(입력_측정!$D$5:$D$1004,$AJ100)="","",INDEX(입력_측정!$D$5:$D$1004,$AJ100)))</f>
        <v/>
      </c>
      <c r="U100" s="25" t="str">
        <f aca="false">IF($AJ100=0,"",IF(INDEX(입력_측정!$E$5:$E$1004,$AJ100)="","",INDEX(입력_측정!$E$5:$E$1004,$AJ100)))</f>
        <v/>
      </c>
      <c r="V100" s="25" t="str">
        <f aca="false">IF($AJ100=0,"",IF(INDEX(입력_측정!$F$5:$F$1004,$AJ100)="","",INDEX(입력_측정!$F$5:$F$1004,$AJ100)))</f>
        <v/>
      </c>
      <c r="W100" s="25" t="str">
        <f aca="false">IF($AK100=0,"",IF(INDEX(입력_상담!$D$5:$D$1004,$AK100)="","",INDEX(입력_상담!$D$5:$D$1004,$AK100)))</f>
        <v/>
      </c>
      <c r="X100" s="25" t="str">
        <f aca="false">IF($AJ100=0,"",IF(INDEX(입력_측정!$I$5:$I$1004,$AJ100)="","",INDEX(입력_측정!$I$5:$I$1004,$AJ100)))</f>
        <v/>
      </c>
      <c r="Y100" s="25" t="str">
        <f aca="false">IF($AJ100=0,"",IF(INDEX(입력_측정!$J$5:$J$1004,$AJ100)="","",INDEX(입력_측정!$J$5:$J$1004,$AJ100)))</f>
        <v/>
      </c>
      <c r="Z100" s="25" t="str">
        <f aca="false">IF(OR(X100="긴급",LEFT(Y100,2)="긴급",W100="필요",W100="완료"),"대상","")</f>
        <v/>
      </c>
      <c r="AA100" s="59" t="str">
        <f aca="false">IF(M100&lt;&gt;"",M100,IF(AK100&gt;0,IF(W100="필요","추가상담 대기","완료"),IF(AJ100&gt;0,"결과상담 대기",IF(AI100&gt;0,"측정 대기","미방문"))))</f>
        <v>미방문</v>
      </c>
      <c r="AB100" s="60" t="str">
        <f aca="false">IF($AI100=0,"",IF(INDEX(입력_운동!$A$5:$A$1004,$AI100)="","",INDEX(입력_운동!$A$5:$A$1004,$AI100)))</f>
        <v/>
      </c>
      <c r="AC100" s="60" t="str">
        <f aca="false">IF($AJ100=0,"",IF(INDEX(입력_측정!$A$5:$A$1004,$AJ100)="","",INDEX(입력_측정!$A$5:$A$1004,$AJ100)))</f>
        <v/>
      </c>
      <c r="AD100" s="60" t="str">
        <f aca="false">IF($AK100=0,"",IF(INDEX(입력_상담!$A$5:$A$1004,$AK100)="","",INDEX(입력_상담!$A$5:$A$1004,$AK100)))</f>
        <v/>
      </c>
      <c r="AE100" s="25" t="str">
        <f aca="false">IF(AND(ISNUMBER(AB100),ISNUMBER(AC100)),IF(AC100&gt;=AB100,ROUND((AC100-AB100)*1440,0),""),"")</f>
        <v/>
      </c>
      <c r="AF100" s="25" t="str">
        <f aca="false">IF(AND(ISNUMBER(AC100),ISNUMBER(AD100)),IF(AD100&gt;=AC100,ROUND((AD100-AC100)*1440,0),""),"")</f>
        <v/>
      </c>
      <c r="AG100" s="25" t="str">
        <f aca="false">IF(AND(AA100="완료",ISNUMBER(AB100),ISNUMBER(AD100)),IF(AD100&gt;=AB100,ROUND((AD100-AB100)*1440,0),""),"")</f>
        <v/>
      </c>
      <c r="AH100" s="61" t="str">
        <f aca="false">IF(AND(AK100&gt;0,AJ100=0),"측정 기록 없음",IF(AND(AJ100&gt;0,AI100=0),"운동평가 기록 없음",IF(OR(COUNTIF(입력_운동!$B$5:$B$1004,$A100)&gt;1,COUNTIF(입력_측정!$B$5:$B$1004,$A100)&gt;1),"중복 입력","")))</f>
        <v/>
      </c>
      <c r="AI100" s="62" t="n">
        <f aca="false">SUMPRODUCT(MAX((입력_운동!$B$5:$B$1004=$A100)*(ROW(입력_운동!$B$5:$B$1004)-4)))</f>
        <v>0</v>
      </c>
      <c r="AJ100" s="62" t="n">
        <f aca="false">SUMPRODUCT(MAX((입력_측정!$B$5:$B$1004=$A100)*(ROW(입력_측정!$B$5:$B$1004)-4)))</f>
        <v>0</v>
      </c>
      <c r="AK100" s="62" t="n">
        <f aca="false">SUMPRODUCT(MAX((입력_상담!$B$5:$B$1004=$A100)*(ROW(입력_상담!$B$5:$B$1004)-4)))</f>
        <v>0</v>
      </c>
    </row>
    <row r="101" customFormat="false" ht="15" hidden="false" customHeight="false" outlineLevel="0" collapsed="false">
      <c r="A101" s="55" t="n">
        <v>97</v>
      </c>
      <c r="B101" s="56"/>
      <c r="C101" s="24"/>
      <c r="D101" s="24"/>
      <c r="E101" s="56"/>
      <c r="F101" s="57"/>
      <c r="G101" s="58"/>
      <c r="H101" s="56"/>
      <c r="I101" s="24"/>
      <c r="J101" s="24"/>
      <c r="K101" s="24"/>
      <c r="L101" s="24"/>
      <c r="M101" s="24"/>
      <c r="N101" s="56"/>
      <c r="O101" s="25" t="str">
        <f aca="false">IF($AI101=0,"",IF(INDEX(입력_운동!$C$5:$C$1004,$AI101)="","",INDEX(입력_운동!$C$5:$C$1004,$AI101)))</f>
        <v/>
      </c>
      <c r="P101" s="25" t="str">
        <f aca="false">IF($AI101=0,"",IF(INDEX(입력_운동!$D$5:$D$1004,$AI101)="","",INDEX(입력_운동!$D$5:$D$1004,$AI101)))</f>
        <v/>
      </c>
      <c r="Q101" s="25" t="str">
        <f aca="false">IF($AI101=0,"",IF(INDEX(입력_운동!$E$5:$E$1004,$AI101)="","",INDEX(입력_운동!$E$5:$E$1004,$AI101)))</f>
        <v/>
      </c>
      <c r="R101" s="25" t="str">
        <f aca="false">IF($AI101=0,"",IF(INDEX(입력_운동!$F$5:$F$1004,$AI101)="","",INDEX(입력_운동!$F$5:$F$1004,$AI101)))</f>
        <v/>
      </c>
      <c r="S101" s="25" t="str">
        <f aca="false">IF($AJ101=0,"",IF(INDEX(입력_측정!$C$5:$C$1004,$AJ101)="","",INDEX(입력_측정!$C$5:$C$1004,$AJ101)))</f>
        <v/>
      </c>
      <c r="T101" s="25" t="str">
        <f aca="false">IF($AJ101=0,"",IF(INDEX(입력_측정!$D$5:$D$1004,$AJ101)="","",INDEX(입력_측정!$D$5:$D$1004,$AJ101)))</f>
        <v/>
      </c>
      <c r="U101" s="25" t="str">
        <f aca="false">IF($AJ101=0,"",IF(INDEX(입력_측정!$E$5:$E$1004,$AJ101)="","",INDEX(입력_측정!$E$5:$E$1004,$AJ101)))</f>
        <v/>
      </c>
      <c r="V101" s="25" t="str">
        <f aca="false">IF($AJ101=0,"",IF(INDEX(입력_측정!$F$5:$F$1004,$AJ101)="","",INDEX(입력_측정!$F$5:$F$1004,$AJ101)))</f>
        <v/>
      </c>
      <c r="W101" s="25" t="str">
        <f aca="false">IF($AK101=0,"",IF(INDEX(입력_상담!$D$5:$D$1004,$AK101)="","",INDEX(입력_상담!$D$5:$D$1004,$AK101)))</f>
        <v/>
      </c>
      <c r="X101" s="25" t="str">
        <f aca="false">IF($AJ101=0,"",IF(INDEX(입력_측정!$I$5:$I$1004,$AJ101)="","",INDEX(입력_측정!$I$5:$I$1004,$AJ101)))</f>
        <v/>
      </c>
      <c r="Y101" s="25" t="str">
        <f aca="false">IF($AJ101=0,"",IF(INDEX(입력_측정!$J$5:$J$1004,$AJ101)="","",INDEX(입력_측정!$J$5:$J$1004,$AJ101)))</f>
        <v/>
      </c>
      <c r="Z101" s="25" t="str">
        <f aca="false">IF(OR(X101="긴급",LEFT(Y101,2)="긴급",W101="필요",W101="완료"),"대상","")</f>
        <v/>
      </c>
      <c r="AA101" s="59" t="str">
        <f aca="false">IF(M101&lt;&gt;"",M101,IF(AK101&gt;0,IF(W101="필요","추가상담 대기","완료"),IF(AJ101&gt;0,"결과상담 대기",IF(AI101&gt;0,"측정 대기","미방문"))))</f>
        <v>미방문</v>
      </c>
      <c r="AB101" s="60" t="str">
        <f aca="false">IF($AI101=0,"",IF(INDEX(입력_운동!$A$5:$A$1004,$AI101)="","",INDEX(입력_운동!$A$5:$A$1004,$AI101)))</f>
        <v/>
      </c>
      <c r="AC101" s="60" t="str">
        <f aca="false">IF($AJ101=0,"",IF(INDEX(입력_측정!$A$5:$A$1004,$AJ101)="","",INDEX(입력_측정!$A$5:$A$1004,$AJ101)))</f>
        <v/>
      </c>
      <c r="AD101" s="60" t="str">
        <f aca="false">IF($AK101=0,"",IF(INDEX(입력_상담!$A$5:$A$1004,$AK101)="","",INDEX(입력_상담!$A$5:$A$1004,$AK101)))</f>
        <v/>
      </c>
      <c r="AE101" s="25" t="str">
        <f aca="false">IF(AND(ISNUMBER(AB101),ISNUMBER(AC101)),IF(AC101&gt;=AB101,ROUND((AC101-AB101)*1440,0),""),"")</f>
        <v/>
      </c>
      <c r="AF101" s="25" t="str">
        <f aca="false">IF(AND(ISNUMBER(AC101),ISNUMBER(AD101)),IF(AD101&gt;=AC101,ROUND((AD101-AC101)*1440,0),""),"")</f>
        <v/>
      </c>
      <c r="AG101" s="25" t="str">
        <f aca="false">IF(AND(AA101="완료",ISNUMBER(AB101),ISNUMBER(AD101)),IF(AD101&gt;=AB101,ROUND((AD101-AB101)*1440,0),""),"")</f>
        <v/>
      </c>
      <c r="AH101" s="61" t="str">
        <f aca="false">IF(AND(AK101&gt;0,AJ101=0),"측정 기록 없음",IF(AND(AJ101&gt;0,AI101=0),"운동평가 기록 없음",IF(OR(COUNTIF(입력_운동!$B$5:$B$1004,$A101)&gt;1,COUNTIF(입력_측정!$B$5:$B$1004,$A101)&gt;1),"중복 입력","")))</f>
        <v/>
      </c>
      <c r="AI101" s="62" t="n">
        <f aca="false">SUMPRODUCT(MAX((입력_운동!$B$5:$B$1004=$A101)*(ROW(입력_운동!$B$5:$B$1004)-4)))</f>
        <v>0</v>
      </c>
      <c r="AJ101" s="62" t="n">
        <f aca="false">SUMPRODUCT(MAX((입력_측정!$B$5:$B$1004=$A101)*(ROW(입력_측정!$B$5:$B$1004)-4)))</f>
        <v>0</v>
      </c>
      <c r="AK101" s="62" t="n">
        <f aca="false">SUMPRODUCT(MAX((입력_상담!$B$5:$B$1004=$A101)*(ROW(입력_상담!$B$5:$B$1004)-4)))</f>
        <v>0</v>
      </c>
    </row>
    <row r="102" customFormat="false" ht="15" hidden="false" customHeight="false" outlineLevel="0" collapsed="false">
      <c r="A102" s="55" t="n">
        <v>98</v>
      </c>
      <c r="B102" s="56"/>
      <c r="C102" s="24"/>
      <c r="D102" s="24"/>
      <c r="E102" s="56"/>
      <c r="F102" s="57"/>
      <c r="G102" s="58"/>
      <c r="H102" s="56"/>
      <c r="I102" s="24"/>
      <c r="J102" s="24"/>
      <c r="K102" s="24"/>
      <c r="L102" s="24"/>
      <c r="M102" s="24"/>
      <c r="N102" s="56"/>
      <c r="O102" s="25" t="str">
        <f aca="false">IF($AI102=0,"",IF(INDEX(입력_운동!$C$5:$C$1004,$AI102)="","",INDEX(입력_운동!$C$5:$C$1004,$AI102)))</f>
        <v/>
      </c>
      <c r="P102" s="25" t="str">
        <f aca="false">IF($AI102=0,"",IF(INDEX(입력_운동!$D$5:$D$1004,$AI102)="","",INDEX(입력_운동!$D$5:$D$1004,$AI102)))</f>
        <v/>
      </c>
      <c r="Q102" s="25" t="str">
        <f aca="false">IF($AI102=0,"",IF(INDEX(입력_운동!$E$5:$E$1004,$AI102)="","",INDEX(입력_운동!$E$5:$E$1004,$AI102)))</f>
        <v/>
      </c>
      <c r="R102" s="25" t="str">
        <f aca="false">IF($AI102=0,"",IF(INDEX(입력_운동!$F$5:$F$1004,$AI102)="","",INDEX(입력_운동!$F$5:$F$1004,$AI102)))</f>
        <v/>
      </c>
      <c r="S102" s="25" t="str">
        <f aca="false">IF($AJ102=0,"",IF(INDEX(입력_측정!$C$5:$C$1004,$AJ102)="","",INDEX(입력_측정!$C$5:$C$1004,$AJ102)))</f>
        <v/>
      </c>
      <c r="T102" s="25" t="str">
        <f aca="false">IF($AJ102=0,"",IF(INDEX(입력_측정!$D$5:$D$1004,$AJ102)="","",INDEX(입력_측정!$D$5:$D$1004,$AJ102)))</f>
        <v/>
      </c>
      <c r="U102" s="25" t="str">
        <f aca="false">IF($AJ102=0,"",IF(INDEX(입력_측정!$E$5:$E$1004,$AJ102)="","",INDEX(입력_측정!$E$5:$E$1004,$AJ102)))</f>
        <v/>
      </c>
      <c r="V102" s="25" t="str">
        <f aca="false">IF($AJ102=0,"",IF(INDEX(입력_측정!$F$5:$F$1004,$AJ102)="","",INDEX(입력_측정!$F$5:$F$1004,$AJ102)))</f>
        <v/>
      </c>
      <c r="W102" s="25" t="str">
        <f aca="false">IF($AK102=0,"",IF(INDEX(입력_상담!$D$5:$D$1004,$AK102)="","",INDEX(입력_상담!$D$5:$D$1004,$AK102)))</f>
        <v/>
      </c>
      <c r="X102" s="25" t="str">
        <f aca="false">IF($AJ102=0,"",IF(INDEX(입력_측정!$I$5:$I$1004,$AJ102)="","",INDEX(입력_측정!$I$5:$I$1004,$AJ102)))</f>
        <v/>
      </c>
      <c r="Y102" s="25" t="str">
        <f aca="false">IF($AJ102=0,"",IF(INDEX(입력_측정!$J$5:$J$1004,$AJ102)="","",INDEX(입력_측정!$J$5:$J$1004,$AJ102)))</f>
        <v/>
      </c>
      <c r="Z102" s="25" t="str">
        <f aca="false">IF(OR(X102="긴급",LEFT(Y102,2)="긴급",W102="필요",W102="완료"),"대상","")</f>
        <v/>
      </c>
      <c r="AA102" s="59" t="str">
        <f aca="false">IF(M102&lt;&gt;"",M102,IF(AK102&gt;0,IF(W102="필요","추가상담 대기","완료"),IF(AJ102&gt;0,"결과상담 대기",IF(AI102&gt;0,"측정 대기","미방문"))))</f>
        <v>미방문</v>
      </c>
      <c r="AB102" s="60" t="str">
        <f aca="false">IF($AI102=0,"",IF(INDEX(입력_운동!$A$5:$A$1004,$AI102)="","",INDEX(입력_운동!$A$5:$A$1004,$AI102)))</f>
        <v/>
      </c>
      <c r="AC102" s="60" t="str">
        <f aca="false">IF($AJ102=0,"",IF(INDEX(입력_측정!$A$5:$A$1004,$AJ102)="","",INDEX(입력_측정!$A$5:$A$1004,$AJ102)))</f>
        <v/>
      </c>
      <c r="AD102" s="60" t="str">
        <f aca="false">IF($AK102=0,"",IF(INDEX(입력_상담!$A$5:$A$1004,$AK102)="","",INDEX(입력_상담!$A$5:$A$1004,$AK102)))</f>
        <v/>
      </c>
      <c r="AE102" s="25" t="str">
        <f aca="false">IF(AND(ISNUMBER(AB102),ISNUMBER(AC102)),IF(AC102&gt;=AB102,ROUND((AC102-AB102)*1440,0),""),"")</f>
        <v/>
      </c>
      <c r="AF102" s="25" t="str">
        <f aca="false">IF(AND(ISNUMBER(AC102),ISNUMBER(AD102)),IF(AD102&gt;=AC102,ROUND((AD102-AC102)*1440,0),""),"")</f>
        <v/>
      </c>
      <c r="AG102" s="25" t="str">
        <f aca="false">IF(AND(AA102="완료",ISNUMBER(AB102),ISNUMBER(AD102)),IF(AD102&gt;=AB102,ROUND((AD102-AB102)*1440,0),""),"")</f>
        <v/>
      </c>
      <c r="AH102" s="61" t="str">
        <f aca="false">IF(AND(AK102&gt;0,AJ102=0),"측정 기록 없음",IF(AND(AJ102&gt;0,AI102=0),"운동평가 기록 없음",IF(OR(COUNTIF(입력_운동!$B$5:$B$1004,$A102)&gt;1,COUNTIF(입력_측정!$B$5:$B$1004,$A102)&gt;1),"중복 입력","")))</f>
        <v/>
      </c>
      <c r="AI102" s="62" t="n">
        <f aca="false">SUMPRODUCT(MAX((입력_운동!$B$5:$B$1004=$A102)*(ROW(입력_운동!$B$5:$B$1004)-4)))</f>
        <v>0</v>
      </c>
      <c r="AJ102" s="62" t="n">
        <f aca="false">SUMPRODUCT(MAX((입력_측정!$B$5:$B$1004=$A102)*(ROW(입력_측정!$B$5:$B$1004)-4)))</f>
        <v>0</v>
      </c>
      <c r="AK102" s="62" t="n">
        <f aca="false">SUMPRODUCT(MAX((입력_상담!$B$5:$B$1004=$A102)*(ROW(입력_상담!$B$5:$B$1004)-4)))</f>
        <v>0</v>
      </c>
    </row>
    <row r="103" customFormat="false" ht="15" hidden="false" customHeight="false" outlineLevel="0" collapsed="false">
      <c r="A103" s="55" t="n">
        <v>99</v>
      </c>
      <c r="B103" s="56"/>
      <c r="C103" s="24"/>
      <c r="D103" s="24"/>
      <c r="E103" s="56"/>
      <c r="F103" s="57"/>
      <c r="G103" s="58"/>
      <c r="H103" s="56"/>
      <c r="I103" s="24"/>
      <c r="J103" s="24"/>
      <c r="K103" s="24"/>
      <c r="L103" s="24"/>
      <c r="M103" s="24"/>
      <c r="N103" s="56"/>
      <c r="O103" s="25" t="str">
        <f aca="false">IF($AI103=0,"",IF(INDEX(입력_운동!$C$5:$C$1004,$AI103)="","",INDEX(입력_운동!$C$5:$C$1004,$AI103)))</f>
        <v/>
      </c>
      <c r="P103" s="25" t="str">
        <f aca="false">IF($AI103=0,"",IF(INDEX(입력_운동!$D$5:$D$1004,$AI103)="","",INDEX(입력_운동!$D$5:$D$1004,$AI103)))</f>
        <v/>
      </c>
      <c r="Q103" s="25" t="str">
        <f aca="false">IF($AI103=0,"",IF(INDEX(입력_운동!$E$5:$E$1004,$AI103)="","",INDEX(입력_운동!$E$5:$E$1004,$AI103)))</f>
        <v/>
      </c>
      <c r="R103" s="25" t="str">
        <f aca="false">IF($AI103=0,"",IF(INDEX(입력_운동!$F$5:$F$1004,$AI103)="","",INDEX(입력_운동!$F$5:$F$1004,$AI103)))</f>
        <v/>
      </c>
      <c r="S103" s="25" t="str">
        <f aca="false">IF($AJ103=0,"",IF(INDEX(입력_측정!$C$5:$C$1004,$AJ103)="","",INDEX(입력_측정!$C$5:$C$1004,$AJ103)))</f>
        <v/>
      </c>
      <c r="T103" s="25" t="str">
        <f aca="false">IF($AJ103=0,"",IF(INDEX(입력_측정!$D$5:$D$1004,$AJ103)="","",INDEX(입력_측정!$D$5:$D$1004,$AJ103)))</f>
        <v/>
      </c>
      <c r="U103" s="25" t="str">
        <f aca="false">IF($AJ103=0,"",IF(INDEX(입력_측정!$E$5:$E$1004,$AJ103)="","",INDEX(입력_측정!$E$5:$E$1004,$AJ103)))</f>
        <v/>
      </c>
      <c r="V103" s="25" t="str">
        <f aca="false">IF($AJ103=0,"",IF(INDEX(입력_측정!$F$5:$F$1004,$AJ103)="","",INDEX(입력_측정!$F$5:$F$1004,$AJ103)))</f>
        <v/>
      </c>
      <c r="W103" s="25" t="str">
        <f aca="false">IF($AK103=0,"",IF(INDEX(입력_상담!$D$5:$D$1004,$AK103)="","",INDEX(입력_상담!$D$5:$D$1004,$AK103)))</f>
        <v/>
      </c>
      <c r="X103" s="25" t="str">
        <f aca="false">IF($AJ103=0,"",IF(INDEX(입력_측정!$I$5:$I$1004,$AJ103)="","",INDEX(입력_측정!$I$5:$I$1004,$AJ103)))</f>
        <v/>
      </c>
      <c r="Y103" s="25" t="str">
        <f aca="false">IF($AJ103=0,"",IF(INDEX(입력_측정!$J$5:$J$1004,$AJ103)="","",INDEX(입력_측정!$J$5:$J$1004,$AJ103)))</f>
        <v/>
      </c>
      <c r="Z103" s="25" t="str">
        <f aca="false">IF(OR(X103="긴급",LEFT(Y103,2)="긴급",W103="필요",W103="완료"),"대상","")</f>
        <v/>
      </c>
      <c r="AA103" s="59" t="str">
        <f aca="false">IF(M103&lt;&gt;"",M103,IF(AK103&gt;0,IF(W103="필요","추가상담 대기","완료"),IF(AJ103&gt;0,"결과상담 대기",IF(AI103&gt;0,"측정 대기","미방문"))))</f>
        <v>미방문</v>
      </c>
      <c r="AB103" s="60" t="str">
        <f aca="false">IF($AI103=0,"",IF(INDEX(입력_운동!$A$5:$A$1004,$AI103)="","",INDEX(입력_운동!$A$5:$A$1004,$AI103)))</f>
        <v/>
      </c>
      <c r="AC103" s="60" t="str">
        <f aca="false">IF($AJ103=0,"",IF(INDEX(입력_측정!$A$5:$A$1004,$AJ103)="","",INDEX(입력_측정!$A$5:$A$1004,$AJ103)))</f>
        <v/>
      </c>
      <c r="AD103" s="60" t="str">
        <f aca="false">IF($AK103=0,"",IF(INDEX(입력_상담!$A$5:$A$1004,$AK103)="","",INDEX(입력_상담!$A$5:$A$1004,$AK103)))</f>
        <v/>
      </c>
      <c r="AE103" s="25" t="str">
        <f aca="false">IF(AND(ISNUMBER(AB103),ISNUMBER(AC103)),IF(AC103&gt;=AB103,ROUND((AC103-AB103)*1440,0),""),"")</f>
        <v/>
      </c>
      <c r="AF103" s="25" t="str">
        <f aca="false">IF(AND(ISNUMBER(AC103),ISNUMBER(AD103)),IF(AD103&gt;=AC103,ROUND((AD103-AC103)*1440,0),""),"")</f>
        <v/>
      </c>
      <c r="AG103" s="25" t="str">
        <f aca="false">IF(AND(AA103="완료",ISNUMBER(AB103),ISNUMBER(AD103)),IF(AD103&gt;=AB103,ROUND((AD103-AB103)*1440,0),""),"")</f>
        <v/>
      </c>
      <c r="AH103" s="61" t="str">
        <f aca="false">IF(AND(AK103&gt;0,AJ103=0),"측정 기록 없음",IF(AND(AJ103&gt;0,AI103=0),"운동평가 기록 없음",IF(OR(COUNTIF(입력_운동!$B$5:$B$1004,$A103)&gt;1,COUNTIF(입력_측정!$B$5:$B$1004,$A103)&gt;1),"중복 입력","")))</f>
        <v/>
      </c>
      <c r="AI103" s="62" t="n">
        <f aca="false">SUMPRODUCT(MAX((입력_운동!$B$5:$B$1004=$A103)*(ROW(입력_운동!$B$5:$B$1004)-4)))</f>
        <v>0</v>
      </c>
      <c r="AJ103" s="62" t="n">
        <f aca="false">SUMPRODUCT(MAX((입력_측정!$B$5:$B$1004=$A103)*(ROW(입력_측정!$B$5:$B$1004)-4)))</f>
        <v>0</v>
      </c>
      <c r="AK103" s="62" t="n">
        <f aca="false">SUMPRODUCT(MAX((입력_상담!$B$5:$B$1004=$A103)*(ROW(입력_상담!$B$5:$B$1004)-4)))</f>
        <v>0</v>
      </c>
    </row>
    <row r="104" customFormat="false" ht="15" hidden="false" customHeight="false" outlineLevel="0" collapsed="false">
      <c r="A104" s="55" t="n">
        <v>100</v>
      </c>
      <c r="B104" s="56"/>
      <c r="C104" s="24"/>
      <c r="D104" s="24"/>
      <c r="E104" s="56"/>
      <c r="F104" s="57"/>
      <c r="G104" s="58"/>
      <c r="H104" s="56"/>
      <c r="I104" s="24"/>
      <c r="J104" s="24"/>
      <c r="K104" s="24"/>
      <c r="L104" s="24"/>
      <c r="M104" s="24"/>
      <c r="N104" s="56"/>
      <c r="O104" s="25" t="str">
        <f aca="false">IF($AI104=0,"",IF(INDEX(입력_운동!$C$5:$C$1004,$AI104)="","",INDEX(입력_운동!$C$5:$C$1004,$AI104)))</f>
        <v/>
      </c>
      <c r="P104" s="25" t="str">
        <f aca="false">IF($AI104=0,"",IF(INDEX(입력_운동!$D$5:$D$1004,$AI104)="","",INDEX(입력_운동!$D$5:$D$1004,$AI104)))</f>
        <v/>
      </c>
      <c r="Q104" s="25" t="str">
        <f aca="false">IF($AI104=0,"",IF(INDEX(입력_운동!$E$5:$E$1004,$AI104)="","",INDEX(입력_운동!$E$5:$E$1004,$AI104)))</f>
        <v/>
      </c>
      <c r="R104" s="25" t="str">
        <f aca="false">IF($AI104=0,"",IF(INDEX(입력_운동!$F$5:$F$1004,$AI104)="","",INDEX(입력_운동!$F$5:$F$1004,$AI104)))</f>
        <v/>
      </c>
      <c r="S104" s="25" t="str">
        <f aca="false">IF($AJ104=0,"",IF(INDEX(입력_측정!$C$5:$C$1004,$AJ104)="","",INDEX(입력_측정!$C$5:$C$1004,$AJ104)))</f>
        <v/>
      </c>
      <c r="T104" s="25" t="str">
        <f aca="false">IF($AJ104=0,"",IF(INDEX(입력_측정!$D$5:$D$1004,$AJ104)="","",INDEX(입력_측정!$D$5:$D$1004,$AJ104)))</f>
        <v/>
      </c>
      <c r="U104" s="25" t="str">
        <f aca="false">IF($AJ104=0,"",IF(INDEX(입력_측정!$E$5:$E$1004,$AJ104)="","",INDEX(입력_측정!$E$5:$E$1004,$AJ104)))</f>
        <v/>
      </c>
      <c r="V104" s="25" t="str">
        <f aca="false">IF($AJ104=0,"",IF(INDEX(입력_측정!$F$5:$F$1004,$AJ104)="","",INDEX(입력_측정!$F$5:$F$1004,$AJ104)))</f>
        <v/>
      </c>
      <c r="W104" s="25" t="str">
        <f aca="false">IF($AK104=0,"",IF(INDEX(입력_상담!$D$5:$D$1004,$AK104)="","",INDEX(입력_상담!$D$5:$D$1004,$AK104)))</f>
        <v/>
      </c>
      <c r="X104" s="25" t="str">
        <f aca="false">IF($AJ104=0,"",IF(INDEX(입력_측정!$I$5:$I$1004,$AJ104)="","",INDEX(입력_측정!$I$5:$I$1004,$AJ104)))</f>
        <v/>
      </c>
      <c r="Y104" s="25" t="str">
        <f aca="false">IF($AJ104=0,"",IF(INDEX(입력_측정!$J$5:$J$1004,$AJ104)="","",INDEX(입력_측정!$J$5:$J$1004,$AJ104)))</f>
        <v/>
      </c>
      <c r="Z104" s="25" t="str">
        <f aca="false">IF(OR(X104="긴급",LEFT(Y104,2)="긴급",W104="필요",W104="완료"),"대상","")</f>
        <v/>
      </c>
      <c r="AA104" s="59" t="str">
        <f aca="false">IF(M104&lt;&gt;"",M104,IF(AK104&gt;0,IF(W104="필요","추가상담 대기","완료"),IF(AJ104&gt;0,"결과상담 대기",IF(AI104&gt;0,"측정 대기","미방문"))))</f>
        <v>미방문</v>
      </c>
      <c r="AB104" s="60" t="str">
        <f aca="false">IF($AI104=0,"",IF(INDEX(입력_운동!$A$5:$A$1004,$AI104)="","",INDEX(입력_운동!$A$5:$A$1004,$AI104)))</f>
        <v/>
      </c>
      <c r="AC104" s="60" t="str">
        <f aca="false">IF($AJ104=0,"",IF(INDEX(입력_측정!$A$5:$A$1004,$AJ104)="","",INDEX(입력_측정!$A$5:$A$1004,$AJ104)))</f>
        <v/>
      </c>
      <c r="AD104" s="60" t="str">
        <f aca="false">IF($AK104=0,"",IF(INDEX(입력_상담!$A$5:$A$1004,$AK104)="","",INDEX(입력_상담!$A$5:$A$1004,$AK104)))</f>
        <v/>
      </c>
      <c r="AE104" s="25" t="str">
        <f aca="false">IF(AND(ISNUMBER(AB104),ISNUMBER(AC104)),IF(AC104&gt;=AB104,ROUND((AC104-AB104)*1440,0),""),"")</f>
        <v/>
      </c>
      <c r="AF104" s="25" t="str">
        <f aca="false">IF(AND(ISNUMBER(AC104),ISNUMBER(AD104)),IF(AD104&gt;=AC104,ROUND((AD104-AC104)*1440,0),""),"")</f>
        <v/>
      </c>
      <c r="AG104" s="25" t="str">
        <f aca="false">IF(AND(AA104="완료",ISNUMBER(AB104),ISNUMBER(AD104)),IF(AD104&gt;=AB104,ROUND((AD104-AB104)*1440,0),""),"")</f>
        <v/>
      </c>
      <c r="AH104" s="61" t="str">
        <f aca="false">IF(AND(AK104&gt;0,AJ104=0),"측정 기록 없음",IF(AND(AJ104&gt;0,AI104=0),"운동평가 기록 없음",IF(OR(COUNTIF(입력_운동!$B$5:$B$1004,$A104)&gt;1,COUNTIF(입력_측정!$B$5:$B$1004,$A104)&gt;1),"중복 입력","")))</f>
        <v/>
      </c>
      <c r="AI104" s="62" t="n">
        <f aca="false">SUMPRODUCT(MAX((입력_운동!$B$5:$B$1004=$A104)*(ROW(입력_운동!$B$5:$B$1004)-4)))</f>
        <v>0</v>
      </c>
      <c r="AJ104" s="62" t="n">
        <f aca="false">SUMPRODUCT(MAX((입력_측정!$B$5:$B$1004=$A104)*(ROW(입력_측정!$B$5:$B$1004)-4)))</f>
        <v>0</v>
      </c>
      <c r="AK104" s="62" t="n">
        <f aca="false">SUMPRODUCT(MAX((입력_상담!$B$5:$B$1004=$A104)*(ROW(입력_상담!$B$5:$B$1004)-4)))</f>
        <v>0</v>
      </c>
    </row>
    <row r="105" customFormat="false" ht="15" hidden="false" customHeight="false" outlineLevel="0" collapsed="false">
      <c r="A105" s="55" t="n">
        <v>101</v>
      </c>
      <c r="B105" s="56"/>
      <c r="C105" s="24"/>
      <c r="D105" s="24"/>
      <c r="E105" s="56"/>
      <c r="F105" s="57"/>
      <c r="G105" s="58"/>
      <c r="H105" s="56"/>
      <c r="I105" s="24"/>
      <c r="J105" s="24"/>
      <c r="K105" s="24"/>
      <c r="L105" s="24"/>
      <c r="M105" s="24"/>
      <c r="N105" s="56"/>
      <c r="O105" s="25" t="str">
        <f aca="false">IF($AI105=0,"",IF(INDEX(입력_운동!$C$5:$C$1004,$AI105)="","",INDEX(입력_운동!$C$5:$C$1004,$AI105)))</f>
        <v/>
      </c>
      <c r="P105" s="25" t="str">
        <f aca="false">IF($AI105=0,"",IF(INDEX(입력_운동!$D$5:$D$1004,$AI105)="","",INDEX(입력_운동!$D$5:$D$1004,$AI105)))</f>
        <v/>
      </c>
      <c r="Q105" s="25" t="str">
        <f aca="false">IF($AI105=0,"",IF(INDEX(입력_운동!$E$5:$E$1004,$AI105)="","",INDEX(입력_운동!$E$5:$E$1004,$AI105)))</f>
        <v/>
      </c>
      <c r="R105" s="25" t="str">
        <f aca="false">IF($AI105=0,"",IF(INDEX(입력_운동!$F$5:$F$1004,$AI105)="","",INDEX(입력_운동!$F$5:$F$1004,$AI105)))</f>
        <v/>
      </c>
      <c r="S105" s="25" t="str">
        <f aca="false">IF($AJ105=0,"",IF(INDEX(입력_측정!$C$5:$C$1004,$AJ105)="","",INDEX(입력_측정!$C$5:$C$1004,$AJ105)))</f>
        <v/>
      </c>
      <c r="T105" s="25" t="str">
        <f aca="false">IF($AJ105=0,"",IF(INDEX(입력_측정!$D$5:$D$1004,$AJ105)="","",INDEX(입력_측정!$D$5:$D$1004,$AJ105)))</f>
        <v/>
      </c>
      <c r="U105" s="25" t="str">
        <f aca="false">IF($AJ105=0,"",IF(INDEX(입력_측정!$E$5:$E$1004,$AJ105)="","",INDEX(입력_측정!$E$5:$E$1004,$AJ105)))</f>
        <v/>
      </c>
      <c r="V105" s="25" t="str">
        <f aca="false">IF($AJ105=0,"",IF(INDEX(입력_측정!$F$5:$F$1004,$AJ105)="","",INDEX(입력_측정!$F$5:$F$1004,$AJ105)))</f>
        <v/>
      </c>
      <c r="W105" s="25" t="str">
        <f aca="false">IF($AK105=0,"",IF(INDEX(입력_상담!$D$5:$D$1004,$AK105)="","",INDEX(입력_상담!$D$5:$D$1004,$AK105)))</f>
        <v/>
      </c>
      <c r="X105" s="25" t="str">
        <f aca="false">IF($AJ105=0,"",IF(INDEX(입력_측정!$I$5:$I$1004,$AJ105)="","",INDEX(입력_측정!$I$5:$I$1004,$AJ105)))</f>
        <v/>
      </c>
      <c r="Y105" s="25" t="str">
        <f aca="false">IF($AJ105=0,"",IF(INDEX(입력_측정!$J$5:$J$1004,$AJ105)="","",INDEX(입력_측정!$J$5:$J$1004,$AJ105)))</f>
        <v/>
      </c>
      <c r="Z105" s="25" t="str">
        <f aca="false">IF(OR(X105="긴급",LEFT(Y105,2)="긴급",W105="필요",W105="완료"),"대상","")</f>
        <v/>
      </c>
      <c r="AA105" s="59" t="str">
        <f aca="false">IF(M105&lt;&gt;"",M105,IF(AK105&gt;0,IF(W105="필요","추가상담 대기","완료"),IF(AJ105&gt;0,"결과상담 대기",IF(AI105&gt;0,"측정 대기","미방문"))))</f>
        <v>미방문</v>
      </c>
      <c r="AB105" s="60" t="str">
        <f aca="false">IF($AI105=0,"",IF(INDEX(입력_운동!$A$5:$A$1004,$AI105)="","",INDEX(입력_운동!$A$5:$A$1004,$AI105)))</f>
        <v/>
      </c>
      <c r="AC105" s="60" t="str">
        <f aca="false">IF($AJ105=0,"",IF(INDEX(입력_측정!$A$5:$A$1004,$AJ105)="","",INDEX(입력_측정!$A$5:$A$1004,$AJ105)))</f>
        <v/>
      </c>
      <c r="AD105" s="60" t="str">
        <f aca="false">IF($AK105=0,"",IF(INDEX(입력_상담!$A$5:$A$1004,$AK105)="","",INDEX(입력_상담!$A$5:$A$1004,$AK105)))</f>
        <v/>
      </c>
      <c r="AE105" s="25" t="str">
        <f aca="false">IF(AND(ISNUMBER(AB105),ISNUMBER(AC105)),IF(AC105&gt;=AB105,ROUND((AC105-AB105)*1440,0),""),"")</f>
        <v/>
      </c>
      <c r="AF105" s="25" t="str">
        <f aca="false">IF(AND(ISNUMBER(AC105),ISNUMBER(AD105)),IF(AD105&gt;=AC105,ROUND((AD105-AC105)*1440,0),""),"")</f>
        <v/>
      </c>
      <c r="AG105" s="25" t="str">
        <f aca="false">IF(AND(AA105="완료",ISNUMBER(AB105),ISNUMBER(AD105)),IF(AD105&gt;=AB105,ROUND((AD105-AB105)*1440,0),""),"")</f>
        <v/>
      </c>
      <c r="AH105" s="61" t="str">
        <f aca="false">IF(AND(AK105&gt;0,AJ105=0),"측정 기록 없음",IF(AND(AJ105&gt;0,AI105=0),"운동평가 기록 없음",IF(OR(COUNTIF(입력_운동!$B$5:$B$1004,$A105)&gt;1,COUNTIF(입력_측정!$B$5:$B$1004,$A105)&gt;1),"중복 입력","")))</f>
        <v/>
      </c>
      <c r="AI105" s="62" t="n">
        <f aca="false">SUMPRODUCT(MAX((입력_운동!$B$5:$B$1004=$A105)*(ROW(입력_운동!$B$5:$B$1004)-4)))</f>
        <v>0</v>
      </c>
      <c r="AJ105" s="62" t="n">
        <f aca="false">SUMPRODUCT(MAX((입력_측정!$B$5:$B$1004=$A105)*(ROW(입력_측정!$B$5:$B$1004)-4)))</f>
        <v>0</v>
      </c>
      <c r="AK105" s="62" t="n">
        <f aca="false">SUMPRODUCT(MAX((입력_상담!$B$5:$B$1004=$A105)*(ROW(입력_상담!$B$5:$B$1004)-4)))</f>
        <v>0</v>
      </c>
    </row>
    <row r="106" customFormat="false" ht="15" hidden="false" customHeight="false" outlineLevel="0" collapsed="false">
      <c r="A106" s="55" t="n">
        <v>102</v>
      </c>
      <c r="B106" s="56"/>
      <c r="C106" s="24"/>
      <c r="D106" s="24"/>
      <c r="E106" s="56"/>
      <c r="F106" s="57"/>
      <c r="G106" s="58"/>
      <c r="H106" s="56"/>
      <c r="I106" s="24"/>
      <c r="J106" s="24"/>
      <c r="K106" s="24"/>
      <c r="L106" s="24"/>
      <c r="M106" s="24"/>
      <c r="N106" s="56"/>
      <c r="O106" s="25" t="str">
        <f aca="false">IF($AI106=0,"",IF(INDEX(입력_운동!$C$5:$C$1004,$AI106)="","",INDEX(입력_운동!$C$5:$C$1004,$AI106)))</f>
        <v/>
      </c>
      <c r="P106" s="25" t="str">
        <f aca="false">IF($AI106=0,"",IF(INDEX(입력_운동!$D$5:$D$1004,$AI106)="","",INDEX(입력_운동!$D$5:$D$1004,$AI106)))</f>
        <v/>
      </c>
      <c r="Q106" s="25" t="str">
        <f aca="false">IF($AI106=0,"",IF(INDEX(입력_운동!$E$5:$E$1004,$AI106)="","",INDEX(입력_운동!$E$5:$E$1004,$AI106)))</f>
        <v/>
      </c>
      <c r="R106" s="25" t="str">
        <f aca="false">IF($AI106=0,"",IF(INDEX(입력_운동!$F$5:$F$1004,$AI106)="","",INDEX(입력_운동!$F$5:$F$1004,$AI106)))</f>
        <v/>
      </c>
      <c r="S106" s="25" t="str">
        <f aca="false">IF($AJ106=0,"",IF(INDEX(입력_측정!$C$5:$C$1004,$AJ106)="","",INDEX(입력_측정!$C$5:$C$1004,$AJ106)))</f>
        <v/>
      </c>
      <c r="T106" s="25" t="str">
        <f aca="false">IF($AJ106=0,"",IF(INDEX(입력_측정!$D$5:$D$1004,$AJ106)="","",INDEX(입력_측정!$D$5:$D$1004,$AJ106)))</f>
        <v/>
      </c>
      <c r="U106" s="25" t="str">
        <f aca="false">IF($AJ106=0,"",IF(INDEX(입력_측정!$E$5:$E$1004,$AJ106)="","",INDEX(입력_측정!$E$5:$E$1004,$AJ106)))</f>
        <v/>
      </c>
      <c r="V106" s="25" t="str">
        <f aca="false">IF($AJ106=0,"",IF(INDEX(입력_측정!$F$5:$F$1004,$AJ106)="","",INDEX(입력_측정!$F$5:$F$1004,$AJ106)))</f>
        <v/>
      </c>
      <c r="W106" s="25" t="str">
        <f aca="false">IF($AK106=0,"",IF(INDEX(입력_상담!$D$5:$D$1004,$AK106)="","",INDEX(입력_상담!$D$5:$D$1004,$AK106)))</f>
        <v/>
      </c>
      <c r="X106" s="25" t="str">
        <f aca="false">IF($AJ106=0,"",IF(INDEX(입력_측정!$I$5:$I$1004,$AJ106)="","",INDEX(입력_측정!$I$5:$I$1004,$AJ106)))</f>
        <v/>
      </c>
      <c r="Y106" s="25" t="str">
        <f aca="false">IF($AJ106=0,"",IF(INDEX(입력_측정!$J$5:$J$1004,$AJ106)="","",INDEX(입력_측정!$J$5:$J$1004,$AJ106)))</f>
        <v/>
      </c>
      <c r="Z106" s="25" t="str">
        <f aca="false">IF(OR(X106="긴급",LEFT(Y106,2)="긴급",W106="필요",W106="완료"),"대상","")</f>
        <v/>
      </c>
      <c r="AA106" s="59" t="str">
        <f aca="false">IF(M106&lt;&gt;"",M106,IF(AK106&gt;0,IF(W106="필요","추가상담 대기","완료"),IF(AJ106&gt;0,"결과상담 대기",IF(AI106&gt;0,"측정 대기","미방문"))))</f>
        <v>미방문</v>
      </c>
      <c r="AB106" s="60" t="str">
        <f aca="false">IF($AI106=0,"",IF(INDEX(입력_운동!$A$5:$A$1004,$AI106)="","",INDEX(입력_운동!$A$5:$A$1004,$AI106)))</f>
        <v/>
      </c>
      <c r="AC106" s="60" t="str">
        <f aca="false">IF($AJ106=0,"",IF(INDEX(입력_측정!$A$5:$A$1004,$AJ106)="","",INDEX(입력_측정!$A$5:$A$1004,$AJ106)))</f>
        <v/>
      </c>
      <c r="AD106" s="60" t="str">
        <f aca="false">IF($AK106=0,"",IF(INDEX(입력_상담!$A$5:$A$1004,$AK106)="","",INDEX(입력_상담!$A$5:$A$1004,$AK106)))</f>
        <v/>
      </c>
      <c r="AE106" s="25" t="str">
        <f aca="false">IF(AND(ISNUMBER(AB106),ISNUMBER(AC106)),IF(AC106&gt;=AB106,ROUND((AC106-AB106)*1440,0),""),"")</f>
        <v/>
      </c>
      <c r="AF106" s="25" t="str">
        <f aca="false">IF(AND(ISNUMBER(AC106),ISNUMBER(AD106)),IF(AD106&gt;=AC106,ROUND((AD106-AC106)*1440,0),""),"")</f>
        <v/>
      </c>
      <c r="AG106" s="25" t="str">
        <f aca="false">IF(AND(AA106="완료",ISNUMBER(AB106),ISNUMBER(AD106)),IF(AD106&gt;=AB106,ROUND((AD106-AB106)*1440,0),""),"")</f>
        <v/>
      </c>
      <c r="AH106" s="61" t="str">
        <f aca="false">IF(AND(AK106&gt;0,AJ106=0),"측정 기록 없음",IF(AND(AJ106&gt;0,AI106=0),"운동평가 기록 없음",IF(OR(COUNTIF(입력_운동!$B$5:$B$1004,$A106)&gt;1,COUNTIF(입력_측정!$B$5:$B$1004,$A106)&gt;1),"중복 입력","")))</f>
        <v/>
      </c>
      <c r="AI106" s="62" t="n">
        <f aca="false">SUMPRODUCT(MAX((입력_운동!$B$5:$B$1004=$A106)*(ROW(입력_운동!$B$5:$B$1004)-4)))</f>
        <v>0</v>
      </c>
      <c r="AJ106" s="62" t="n">
        <f aca="false">SUMPRODUCT(MAX((입력_측정!$B$5:$B$1004=$A106)*(ROW(입력_측정!$B$5:$B$1004)-4)))</f>
        <v>0</v>
      </c>
      <c r="AK106" s="62" t="n">
        <f aca="false">SUMPRODUCT(MAX((입력_상담!$B$5:$B$1004=$A106)*(ROW(입력_상담!$B$5:$B$1004)-4)))</f>
        <v>0</v>
      </c>
    </row>
    <row r="107" customFormat="false" ht="15" hidden="false" customHeight="false" outlineLevel="0" collapsed="false">
      <c r="A107" s="55" t="n">
        <v>103</v>
      </c>
      <c r="B107" s="56"/>
      <c r="C107" s="24"/>
      <c r="D107" s="24"/>
      <c r="E107" s="56"/>
      <c r="F107" s="57"/>
      <c r="G107" s="58"/>
      <c r="H107" s="56"/>
      <c r="I107" s="24"/>
      <c r="J107" s="24"/>
      <c r="K107" s="24"/>
      <c r="L107" s="24"/>
      <c r="M107" s="24"/>
      <c r="N107" s="56"/>
      <c r="O107" s="25" t="str">
        <f aca="false">IF($AI107=0,"",IF(INDEX(입력_운동!$C$5:$C$1004,$AI107)="","",INDEX(입력_운동!$C$5:$C$1004,$AI107)))</f>
        <v/>
      </c>
      <c r="P107" s="25" t="str">
        <f aca="false">IF($AI107=0,"",IF(INDEX(입력_운동!$D$5:$D$1004,$AI107)="","",INDEX(입력_운동!$D$5:$D$1004,$AI107)))</f>
        <v/>
      </c>
      <c r="Q107" s="25" t="str">
        <f aca="false">IF($AI107=0,"",IF(INDEX(입력_운동!$E$5:$E$1004,$AI107)="","",INDEX(입력_운동!$E$5:$E$1004,$AI107)))</f>
        <v/>
      </c>
      <c r="R107" s="25" t="str">
        <f aca="false">IF($AI107=0,"",IF(INDEX(입력_운동!$F$5:$F$1004,$AI107)="","",INDEX(입력_운동!$F$5:$F$1004,$AI107)))</f>
        <v/>
      </c>
      <c r="S107" s="25" t="str">
        <f aca="false">IF($AJ107=0,"",IF(INDEX(입력_측정!$C$5:$C$1004,$AJ107)="","",INDEX(입력_측정!$C$5:$C$1004,$AJ107)))</f>
        <v/>
      </c>
      <c r="T107" s="25" t="str">
        <f aca="false">IF($AJ107=0,"",IF(INDEX(입력_측정!$D$5:$D$1004,$AJ107)="","",INDEX(입력_측정!$D$5:$D$1004,$AJ107)))</f>
        <v/>
      </c>
      <c r="U107" s="25" t="str">
        <f aca="false">IF($AJ107=0,"",IF(INDEX(입력_측정!$E$5:$E$1004,$AJ107)="","",INDEX(입력_측정!$E$5:$E$1004,$AJ107)))</f>
        <v/>
      </c>
      <c r="V107" s="25" t="str">
        <f aca="false">IF($AJ107=0,"",IF(INDEX(입력_측정!$F$5:$F$1004,$AJ107)="","",INDEX(입력_측정!$F$5:$F$1004,$AJ107)))</f>
        <v/>
      </c>
      <c r="W107" s="25" t="str">
        <f aca="false">IF($AK107=0,"",IF(INDEX(입력_상담!$D$5:$D$1004,$AK107)="","",INDEX(입력_상담!$D$5:$D$1004,$AK107)))</f>
        <v/>
      </c>
      <c r="X107" s="25" t="str">
        <f aca="false">IF($AJ107=0,"",IF(INDEX(입력_측정!$I$5:$I$1004,$AJ107)="","",INDEX(입력_측정!$I$5:$I$1004,$AJ107)))</f>
        <v/>
      </c>
      <c r="Y107" s="25" t="str">
        <f aca="false">IF($AJ107=0,"",IF(INDEX(입력_측정!$J$5:$J$1004,$AJ107)="","",INDEX(입력_측정!$J$5:$J$1004,$AJ107)))</f>
        <v/>
      </c>
      <c r="Z107" s="25" t="str">
        <f aca="false">IF(OR(X107="긴급",LEFT(Y107,2)="긴급",W107="필요",W107="완료"),"대상","")</f>
        <v/>
      </c>
      <c r="AA107" s="59" t="str">
        <f aca="false">IF(M107&lt;&gt;"",M107,IF(AK107&gt;0,IF(W107="필요","추가상담 대기","완료"),IF(AJ107&gt;0,"결과상담 대기",IF(AI107&gt;0,"측정 대기","미방문"))))</f>
        <v>미방문</v>
      </c>
      <c r="AB107" s="60" t="str">
        <f aca="false">IF($AI107=0,"",IF(INDEX(입력_운동!$A$5:$A$1004,$AI107)="","",INDEX(입력_운동!$A$5:$A$1004,$AI107)))</f>
        <v/>
      </c>
      <c r="AC107" s="60" t="str">
        <f aca="false">IF($AJ107=0,"",IF(INDEX(입력_측정!$A$5:$A$1004,$AJ107)="","",INDEX(입력_측정!$A$5:$A$1004,$AJ107)))</f>
        <v/>
      </c>
      <c r="AD107" s="60" t="str">
        <f aca="false">IF($AK107=0,"",IF(INDEX(입력_상담!$A$5:$A$1004,$AK107)="","",INDEX(입력_상담!$A$5:$A$1004,$AK107)))</f>
        <v/>
      </c>
      <c r="AE107" s="25" t="str">
        <f aca="false">IF(AND(ISNUMBER(AB107),ISNUMBER(AC107)),IF(AC107&gt;=AB107,ROUND((AC107-AB107)*1440,0),""),"")</f>
        <v/>
      </c>
      <c r="AF107" s="25" t="str">
        <f aca="false">IF(AND(ISNUMBER(AC107),ISNUMBER(AD107)),IF(AD107&gt;=AC107,ROUND((AD107-AC107)*1440,0),""),"")</f>
        <v/>
      </c>
      <c r="AG107" s="25" t="str">
        <f aca="false">IF(AND(AA107="완료",ISNUMBER(AB107),ISNUMBER(AD107)),IF(AD107&gt;=AB107,ROUND((AD107-AB107)*1440,0),""),"")</f>
        <v/>
      </c>
      <c r="AH107" s="61" t="str">
        <f aca="false">IF(AND(AK107&gt;0,AJ107=0),"측정 기록 없음",IF(AND(AJ107&gt;0,AI107=0),"운동평가 기록 없음",IF(OR(COUNTIF(입력_운동!$B$5:$B$1004,$A107)&gt;1,COUNTIF(입력_측정!$B$5:$B$1004,$A107)&gt;1),"중복 입력","")))</f>
        <v/>
      </c>
      <c r="AI107" s="62" t="n">
        <f aca="false">SUMPRODUCT(MAX((입력_운동!$B$5:$B$1004=$A107)*(ROW(입력_운동!$B$5:$B$1004)-4)))</f>
        <v>0</v>
      </c>
      <c r="AJ107" s="62" t="n">
        <f aca="false">SUMPRODUCT(MAX((입력_측정!$B$5:$B$1004=$A107)*(ROW(입력_측정!$B$5:$B$1004)-4)))</f>
        <v>0</v>
      </c>
      <c r="AK107" s="62" t="n">
        <f aca="false">SUMPRODUCT(MAX((입력_상담!$B$5:$B$1004=$A107)*(ROW(입력_상담!$B$5:$B$1004)-4)))</f>
        <v>0</v>
      </c>
    </row>
    <row r="108" customFormat="false" ht="15" hidden="false" customHeight="false" outlineLevel="0" collapsed="false">
      <c r="A108" s="55" t="n">
        <v>104</v>
      </c>
      <c r="B108" s="56"/>
      <c r="C108" s="24"/>
      <c r="D108" s="24"/>
      <c r="E108" s="56"/>
      <c r="F108" s="57"/>
      <c r="G108" s="58"/>
      <c r="H108" s="56"/>
      <c r="I108" s="24"/>
      <c r="J108" s="24"/>
      <c r="K108" s="24"/>
      <c r="L108" s="24"/>
      <c r="M108" s="24"/>
      <c r="N108" s="56"/>
      <c r="O108" s="25" t="str">
        <f aca="false">IF($AI108=0,"",IF(INDEX(입력_운동!$C$5:$C$1004,$AI108)="","",INDEX(입력_운동!$C$5:$C$1004,$AI108)))</f>
        <v/>
      </c>
      <c r="P108" s="25" t="str">
        <f aca="false">IF($AI108=0,"",IF(INDEX(입력_운동!$D$5:$D$1004,$AI108)="","",INDEX(입력_운동!$D$5:$D$1004,$AI108)))</f>
        <v/>
      </c>
      <c r="Q108" s="25" t="str">
        <f aca="false">IF($AI108=0,"",IF(INDEX(입력_운동!$E$5:$E$1004,$AI108)="","",INDEX(입력_운동!$E$5:$E$1004,$AI108)))</f>
        <v/>
      </c>
      <c r="R108" s="25" t="str">
        <f aca="false">IF($AI108=0,"",IF(INDEX(입력_운동!$F$5:$F$1004,$AI108)="","",INDEX(입력_운동!$F$5:$F$1004,$AI108)))</f>
        <v/>
      </c>
      <c r="S108" s="25" t="str">
        <f aca="false">IF($AJ108=0,"",IF(INDEX(입력_측정!$C$5:$C$1004,$AJ108)="","",INDEX(입력_측정!$C$5:$C$1004,$AJ108)))</f>
        <v/>
      </c>
      <c r="T108" s="25" t="str">
        <f aca="false">IF($AJ108=0,"",IF(INDEX(입력_측정!$D$5:$D$1004,$AJ108)="","",INDEX(입력_측정!$D$5:$D$1004,$AJ108)))</f>
        <v/>
      </c>
      <c r="U108" s="25" t="str">
        <f aca="false">IF($AJ108=0,"",IF(INDEX(입력_측정!$E$5:$E$1004,$AJ108)="","",INDEX(입력_측정!$E$5:$E$1004,$AJ108)))</f>
        <v/>
      </c>
      <c r="V108" s="25" t="str">
        <f aca="false">IF($AJ108=0,"",IF(INDEX(입력_측정!$F$5:$F$1004,$AJ108)="","",INDEX(입력_측정!$F$5:$F$1004,$AJ108)))</f>
        <v/>
      </c>
      <c r="W108" s="25" t="str">
        <f aca="false">IF($AK108=0,"",IF(INDEX(입력_상담!$D$5:$D$1004,$AK108)="","",INDEX(입력_상담!$D$5:$D$1004,$AK108)))</f>
        <v/>
      </c>
      <c r="X108" s="25" t="str">
        <f aca="false">IF($AJ108=0,"",IF(INDEX(입력_측정!$I$5:$I$1004,$AJ108)="","",INDEX(입력_측정!$I$5:$I$1004,$AJ108)))</f>
        <v/>
      </c>
      <c r="Y108" s="25" t="str">
        <f aca="false">IF($AJ108=0,"",IF(INDEX(입력_측정!$J$5:$J$1004,$AJ108)="","",INDEX(입력_측정!$J$5:$J$1004,$AJ108)))</f>
        <v/>
      </c>
      <c r="Z108" s="25" t="str">
        <f aca="false">IF(OR(X108="긴급",LEFT(Y108,2)="긴급",W108="필요",W108="완료"),"대상","")</f>
        <v/>
      </c>
      <c r="AA108" s="59" t="str">
        <f aca="false">IF(M108&lt;&gt;"",M108,IF(AK108&gt;0,IF(W108="필요","추가상담 대기","완료"),IF(AJ108&gt;0,"결과상담 대기",IF(AI108&gt;0,"측정 대기","미방문"))))</f>
        <v>미방문</v>
      </c>
      <c r="AB108" s="60" t="str">
        <f aca="false">IF($AI108=0,"",IF(INDEX(입력_운동!$A$5:$A$1004,$AI108)="","",INDEX(입력_운동!$A$5:$A$1004,$AI108)))</f>
        <v/>
      </c>
      <c r="AC108" s="60" t="str">
        <f aca="false">IF($AJ108=0,"",IF(INDEX(입력_측정!$A$5:$A$1004,$AJ108)="","",INDEX(입력_측정!$A$5:$A$1004,$AJ108)))</f>
        <v/>
      </c>
      <c r="AD108" s="60" t="str">
        <f aca="false">IF($AK108=0,"",IF(INDEX(입력_상담!$A$5:$A$1004,$AK108)="","",INDEX(입력_상담!$A$5:$A$1004,$AK108)))</f>
        <v/>
      </c>
      <c r="AE108" s="25" t="str">
        <f aca="false">IF(AND(ISNUMBER(AB108),ISNUMBER(AC108)),IF(AC108&gt;=AB108,ROUND((AC108-AB108)*1440,0),""),"")</f>
        <v/>
      </c>
      <c r="AF108" s="25" t="str">
        <f aca="false">IF(AND(ISNUMBER(AC108),ISNUMBER(AD108)),IF(AD108&gt;=AC108,ROUND((AD108-AC108)*1440,0),""),"")</f>
        <v/>
      </c>
      <c r="AG108" s="25" t="str">
        <f aca="false">IF(AND(AA108="완료",ISNUMBER(AB108),ISNUMBER(AD108)),IF(AD108&gt;=AB108,ROUND((AD108-AB108)*1440,0),""),"")</f>
        <v/>
      </c>
      <c r="AH108" s="61" t="str">
        <f aca="false">IF(AND(AK108&gt;0,AJ108=0),"측정 기록 없음",IF(AND(AJ108&gt;0,AI108=0),"운동평가 기록 없음",IF(OR(COUNTIF(입력_운동!$B$5:$B$1004,$A108)&gt;1,COUNTIF(입력_측정!$B$5:$B$1004,$A108)&gt;1),"중복 입력","")))</f>
        <v/>
      </c>
      <c r="AI108" s="62" t="n">
        <f aca="false">SUMPRODUCT(MAX((입력_운동!$B$5:$B$1004=$A108)*(ROW(입력_운동!$B$5:$B$1004)-4)))</f>
        <v>0</v>
      </c>
      <c r="AJ108" s="62" t="n">
        <f aca="false">SUMPRODUCT(MAX((입력_측정!$B$5:$B$1004=$A108)*(ROW(입력_측정!$B$5:$B$1004)-4)))</f>
        <v>0</v>
      </c>
      <c r="AK108" s="62" t="n">
        <f aca="false">SUMPRODUCT(MAX((입력_상담!$B$5:$B$1004=$A108)*(ROW(입력_상담!$B$5:$B$1004)-4)))</f>
        <v>0</v>
      </c>
    </row>
    <row r="109" customFormat="false" ht="15" hidden="false" customHeight="false" outlineLevel="0" collapsed="false">
      <c r="A109" s="55" t="n">
        <v>105</v>
      </c>
      <c r="B109" s="56"/>
      <c r="C109" s="24"/>
      <c r="D109" s="24"/>
      <c r="E109" s="56"/>
      <c r="F109" s="57"/>
      <c r="G109" s="58"/>
      <c r="H109" s="56"/>
      <c r="I109" s="24"/>
      <c r="J109" s="24"/>
      <c r="K109" s="24"/>
      <c r="L109" s="24"/>
      <c r="M109" s="24"/>
      <c r="N109" s="56"/>
      <c r="O109" s="25" t="str">
        <f aca="false">IF($AI109=0,"",IF(INDEX(입력_운동!$C$5:$C$1004,$AI109)="","",INDEX(입력_운동!$C$5:$C$1004,$AI109)))</f>
        <v/>
      </c>
      <c r="P109" s="25" t="str">
        <f aca="false">IF($AI109=0,"",IF(INDEX(입력_운동!$D$5:$D$1004,$AI109)="","",INDEX(입력_운동!$D$5:$D$1004,$AI109)))</f>
        <v/>
      </c>
      <c r="Q109" s="25" t="str">
        <f aca="false">IF($AI109=0,"",IF(INDEX(입력_운동!$E$5:$E$1004,$AI109)="","",INDEX(입력_운동!$E$5:$E$1004,$AI109)))</f>
        <v/>
      </c>
      <c r="R109" s="25" t="str">
        <f aca="false">IF($AI109=0,"",IF(INDEX(입력_운동!$F$5:$F$1004,$AI109)="","",INDEX(입력_운동!$F$5:$F$1004,$AI109)))</f>
        <v/>
      </c>
      <c r="S109" s="25" t="str">
        <f aca="false">IF($AJ109=0,"",IF(INDEX(입력_측정!$C$5:$C$1004,$AJ109)="","",INDEX(입력_측정!$C$5:$C$1004,$AJ109)))</f>
        <v/>
      </c>
      <c r="T109" s="25" t="str">
        <f aca="false">IF($AJ109=0,"",IF(INDEX(입력_측정!$D$5:$D$1004,$AJ109)="","",INDEX(입력_측정!$D$5:$D$1004,$AJ109)))</f>
        <v/>
      </c>
      <c r="U109" s="25" t="str">
        <f aca="false">IF($AJ109=0,"",IF(INDEX(입력_측정!$E$5:$E$1004,$AJ109)="","",INDEX(입력_측정!$E$5:$E$1004,$AJ109)))</f>
        <v/>
      </c>
      <c r="V109" s="25" t="str">
        <f aca="false">IF($AJ109=0,"",IF(INDEX(입력_측정!$F$5:$F$1004,$AJ109)="","",INDEX(입력_측정!$F$5:$F$1004,$AJ109)))</f>
        <v/>
      </c>
      <c r="W109" s="25" t="str">
        <f aca="false">IF($AK109=0,"",IF(INDEX(입력_상담!$D$5:$D$1004,$AK109)="","",INDEX(입력_상담!$D$5:$D$1004,$AK109)))</f>
        <v/>
      </c>
      <c r="X109" s="25" t="str">
        <f aca="false">IF($AJ109=0,"",IF(INDEX(입력_측정!$I$5:$I$1004,$AJ109)="","",INDEX(입력_측정!$I$5:$I$1004,$AJ109)))</f>
        <v/>
      </c>
      <c r="Y109" s="25" t="str">
        <f aca="false">IF($AJ109=0,"",IF(INDEX(입력_측정!$J$5:$J$1004,$AJ109)="","",INDEX(입력_측정!$J$5:$J$1004,$AJ109)))</f>
        <v/>
      </c>
      <c r="Z109" s="25" t="str">
        <f aca="false">IF(OR(X109="긴급",LEFT(Y109,2)="긴급",W109="필요",W109="완료"),"대상","")</f>
        <v/>
      </c>
      <c r="AA109" s="59" t="str">
        <f aca="false">IF(M109&lt;&gt;"",M109,IF(AK109&gt;0,IF(W109="필요","추가상담 대기","완료"),IF(AJ109&gt;0,"결과상담 대기",IF(AI109&gt;0,"측정 대기","미방문"))))</f>
        <v>미방문</v>
      </c>
      <c r="AB109" s="60" t="str">
        <f aca="false">IF($AI109=0,"",IF(INDEX(입력_운동!$A$5:$A$1004,$AI109)="","",INDEX(입력_운동!$A$5:$A$1004,$AI109)))</f>
        <v/>
      </c>
      <c r="AC109" s="60" t="str">
        <f aca="false">IF($AJ109=0,"",IF(INDEX(입력_측정!$A$5:$A$1004,$AJ109)="","",INDEX(입력_측정!$A$5:$A$1004,$AJ109)))</f>
        <v/>
      </c>
      <c r="AD109" s="60" t="str">
        <f aca="false">IF($AK109=0,"",IF(INDEX(입력_상담!$A$5:$A$1004,$AK109)="","",INDEX(입력_상담!$A$5:$A$1004,$AK109)))</f>
        <v/>
      </c>
      <c r="AE109" s="25" t="str">
        <f aca="false">IF(AND(ISNUMBER(AB109),ISNUMBER(AC109)),IF(AC109&gt;=AB109,ROUND((AC109-AB109)*1440,0),""),"")</f>
        <v/>
      </c>
      <c r="AF109" s="25" t="str">
        <f aca="false">IF(AND(ISNUMBER(AC109),ISNUMBER(AD109)),IF(AD109&gt;=AC109,ROUND((AD109-AC109)*1440,0),""),"")</f>
        <v/>
      </c>
      <c r="AG109" s="25" t="str">
        <f aca="false">IF(AND(AA109="완료",ISNUMBER(AB109),ISNUMBER(AD109)),IF(AD109&gt;=AB109,ROUND((AD109-AB109)*1440,0),""),"")</f>
        <v/>
      </c>
      <c r="AH109" s="61" t="str">
        <f aca="false">IF(AND(AK109&gt;0,AJ109=0),"측정 기록 없음",IF(AND(AJ109&gt;0,AI109=0),"운동평가 기록 없음",IF(OR(COUNTIF(입력_운동!$B$5:$B$1004,$A109)&gt;1,COUNTIF(입력_측정!$B$5:$B$1004,$A109)&gt;1),"중복 입력","")))</f>
        <v/>
      </c>
      <c r="AI109" s="62" t="n">
        <f aca="false">SUMPRODUCT(MAX((입력_운동!$B$5:$B$1004=$A109)*(ROW(입력_운동!$B$5:$B$1004)-4)))</f>
        <v>0</v>
      </c>
      <c r="AJ109" s="62" t="n">
        <f aca="false">SUMPRODUCT(MAX((입력_측정!$B$5:$B$1004=$A109)*(ROW(입력_측정!$B$5:$B$1004)-4)))</f>
        <v>0</v>
      </c>
      <c r="AK109" s="62" t="n">
        <f aca="false">SUMPRODUCT(MAX((입력_상담!$B$5:$B$1004=$A109)*(ROW(입력_상담!$B$5:$B$1004)-4)))</f>
        <v>0</v>
      </c>
    </row>
    <row r="110" customFormat="false" ht="15" hidden="false" customHeight="false" outlineLevel="0" collapsed="false">
      <c r="A110" s="55" t="n">
        <v>106</v>
      </c>
      <c r="B110" s="56"/>
      <c r="C110" s="24"/>
      <c r="D110" s="24"/>
      <c r="E110" s="56"/>
      <c r="F110" s="57"/>
      <c r="G110" s="58"/>
      <c r="H110" s="56"/>
      <c r="I110" s="24"/>
      <c r="J110" s="24"/>
      <c r="K110" s="24"/>
      <c r="L110" s="24"/>
      <c r="M110" s="24"/>
      <c r="N110" s="56"/>
      <c r="O110" s="25" t="str">
        <f aca="false">IF($AI110=0,"",IF(INDEX(입력_운동!$C$5:$C$1004,$AI110)="","",INDEX(입력_운동!$C$5:$C$1004,$AI110)))</f>
        <v/>
      </c>
      <c r="P110" s="25" t="str">
        <f aca="false">IF($AI110=0,"",IF(INDEX(입력_운동!$D$5:$D$1004,$AI110)="","",INDEX(입력_운동!$D$5:$D$1004,$AI110)))</f>
        <v/>
      </c>
      <c r="Q110" s="25" t="str">
        <f aca="false">IF($AI110=0,"",IF(INDEX(입력_운동!$E$5:$E$1004,$AI110)="","",INDEX(입력_운동!$E$5:$E$1004,$AI110)))</f>
        <v/>
      </c>
      <c r="R110" s="25" t="str">
        <f aca="false">IF($AI110=0,"",IF(INDEX(입력_운동!$F$5:$F$1004,$AI110)="","",INDEX(입력_운동!$F$5:$F$1004,$AI110)))</f>
        <v/>
      </c>
      <c r="S110" s="25" t="str">
        <f aca="false">IF($AJ110=0,"",IF(INDEX(입력_측정!$C$5:$C$1004,$AJ110)="","",INDEX(입력_측정!$C$5:$C$1004,$AJ110)))</f>
        <v/>
      </c>
      <c r="T110" s="25" t="str">
        <f aca="false">IF($AJ110=0,"",IF(INDEX(입력_측정!$D$5:$D$1004,$AJ110)="","",INDEX(입력_측정!$D$5:$D$1004,$AJ110)))</f>
        <v/>
      </c>
      <c r="U110" s="25" t="str">
        <f aca="false">IF($AJ110=0,"",IF(INDEX(입력_측정!$E$5:$E$1004,$AJ110)="","",INDEX(입력_측정!$E$5:$E$1004,$AJ110)))</f>
        <v/>
      </c>
      <c r="V110" s="25" t="str">
        <f aca="false">IF($AJ110=0,"",IF(INDEX(입력_측정!$F$5:$F$1004,$AJ110)="","",INDEX(입력_측정!$F$5:$F$1004,$AJ110)))</f>
        <v/>
      </c>
      <c r="W110" s="25" t="str">
        <f aca="false">IF($AK110=0,"",IF(INDEX(입력_상담!$D$5:$D$1004,$AK110)="","",INDEX(입력_상담!$D$5:$D$1004,$AK110)))</f>
        <v/>
      </c>
      <c r="X110" s="25" t="str">
        <f aca="false">IF($AJ110=0,"",IF(INDEX(입력_측정!$I$5:$I$1004,$AJ110)="","",INDEX(입력_측정!$I$5:$I$1004,$AJ110)))</f>
        <v/>
      </c>
      <c r="Y110" s="25" t="str">
        <f aca="false">IF($AJ110=0,"",IF(INDEX(입력_측정!$J$5:$J$1004,$AJ110)="","",INDEX(입력_측정!$J$5:$J$1004,$AJ110)))</f>
        <v/>
      </c>
      <c r="Z110" s="25" t="str">
        <f aca="false">IF(OR(X110="긴급",LEFT(Y110,2)="긴급",W110="필요",W110="완료"),"대상","")</f>
        <v/>
      </c>
      <c r="AA110" s="59" t="str">
        <f aca="false">IF(M110&lt;&gt;"",M110,IF(AK110&gt;0,IF(W110="필요","추가상담 대기","완료"),IF(AJ110&gt;0,"결과상담 대기",IF(AI110&gt;0,"측정 대기","미방문"))))</f>
        <v>미방문</v>
      </c>
      <c r="AB110" s="60" t="str">
        <f aca="false">IF($AI110=0,"",IF(INDEX(입력_운동!$A$5:$A$1004,$AI110)="","",INDEX(입력_운동!$A$5:$A$1004,$AI110)))</f>
        <v/>
      </c>
      <c r="AC110" s="60" t="str">
        <f aca="false">IF($AJ110=0,"",IF(INDEX(입력_측정!$A$5:$A$1004,$AJ110)="","",INDEX(입력_측정!$A$5:$A$1004,$AJ110)))</f>
        <v/>
      </c>
      <c r="AD110" s="60" t="str">
        <f aca="false">IF($AK110=0,"",IF(INDEX(입력_상담!$A$5:$A$1004,$AK110)="","",INDEX(입력_상담!$A$5:$A$1004,$AK110)))</f>
        <v/>
      </c>
      <c r="AE110" s="25" t="str">
        <f aca="false">IF(AND(ISNUMBER(AB110),ISNUMBER(AC110)),IF(AC110&gt;=AB110,ROUND((AC110-AB110)*1440,0),""),"")</f>
        <v/>
      </c>
      <c r="AF110" s="25" t="str">
        <f aca="false">IF(AND(ISNUMBER(AC110),ISNUMBER(AD110)),IF(AD110&gt;=AC110,ROUND((AD110-AC110)*1440,0),""),"")</f>
        <v/>
      </c>
      <c r="AG110" s="25" t="str">
        <f aca="false">IF(AND(AA110="완료",ISNUMBER(AB110),ISNUMBER(AD110)),IF(AD110&gt;=AB110,ROUND((AD110-AB110)*1440,0),""),"")</f>
        <v/>
      </c>
      <c r="AH110" s="61" t="str">
        <f aca="false">IF(AND(AK110&gt;0,AJ110=0),"측정 기록 없음",IF(AND(AJ110&gt;0,AI110=0),"운동평가 기록 없음",IF(OR(COUNTIF(입력_운동!$B$5:$B$1004,$A110)&gt;1,COUNTIF(입력_측정!$B$5:$B$1004,$A110)&gt;1),"중복 입력","")))</f>
        <v/>
      </c>
      <c r="AI110" s="62" t="n">
        <f aca="false">SUMPRODUCT(MAX((입력_운동!$B$5:$B$1004=$A110)*(ROW(입력_운동!$B$5:$B$1004)-4)))</f>
        <v>0</v>
      </c>
      <c r="AJ110" s="62" t="n">
        <f aca="false">SUMPRODUCT(MAX((입력_측정!$B$5:$B$1004=$A110)*(ROW(입력_측정!$B$5:$B$1004)-4)))</f>
        <v>0</v>
      </c>
      <c r="AK110" s="62" t="n">
        <f aca="false">SUMPRODUCT(MAX((입력_상담!$B$5:$B$1004=$A110)*(ROW(입력_상담!$B$5:$B$1004)-4)))</f>
        <v>0</v>
      </c>
    </row>
    <row r="111" customFormat="false" ht="15" hidden="false" customHeight="false" outlineLevel="0" collapsed="false">
      <c r="A111" s="55" t="n">
        <v>107</v>
      </c>
      <c r="B111" s="56"/>
      <c r="C111" s="24"/>
      <c r="D111" s="24"/>
      <c r="E111" s="56"/>
      <c r="F111" s="57"/>
      <c r="G111" s="58"/>
      <c r="H111" s="56"/>
      <c r="I111" s="24"/>
      <c r="J111" s="24"/>
      <c r="K111" s="24"/>
      <c r="L111" s="24"/>
      <c r="M111" s="24"/>
      <c r="N111" s="56"/>
      <c r="O111" s="25" t="str">
        <f aca="false">IF($AI111=0,"",IF(INDEX(입력_운동!$C$5:$C$1004,$AI111)="","",INDEX(입력_운동!$C$5:$C$1004,$AI111)))</f>
        <v/>
      </c>
      <c r="P111" s="25" t="str">
        <f aca="false">IF($AI111=0,"",IF(INDEX(입력_운동!$D$5:$D$1004,$AI111)="","",INDEX(입력_운동!$D$5:$D$1004,$AI111)))</f>
        <v/>
      </c>
      <c r="Q111" s="25" t="str">
        <f aca="false">IF($AI111=0,"",IF(INDEX(입력_운동!$E$5:$E$1004,$AI111)="","",INDEX(입력_운동!$E$5:$E$1004,$AI111)))</f>
        <v/>
      </c>
      <c r="R111" s="25" t="str">
        <f aca="false">IF($AI111=0,"",IF(INDEX(입력_운동!$F$5:$F$1004,$AI111)="","",INDEX(입력_운동!$F$5:$F$1004,$AI111)))</f>
        <v/>
      </c>
      <c r="S111" s="25" t="str">
        <f aca="false">IF($AJ111=0,"",IF(INDEX(입력_측정!$C$5:$C$1004,$AJ111)="","",INDEX(입력_측정!$C$5:$C$1004,$AJ111)))</f>
        <v/>
      </c>
      <c r="T111" s="25" t="str">
        <f aca="false">IF($AJ111=0,"",IF(INDEX(입력_측정!$D$5:$D$1004,$AJ111)="","",INDEX(입력_측정!$D$5:$D$1004,$AJ111)))</f>
        <v/>
      </c>
      <c r="U111" s="25" t="str">
        <f aca="false">IF($AJ111=0,"",IF(INDEX(입력_측정!$E$5:$E$1004,$AJ111)="","",INDEX(입력_측정!$E$5:$E$1004,$AJ111)))</f>
        <v/>
      </c>
      <c r="V111" s="25" t="str">
        <f aca="false">IF($AJ111=0,"",IF(INDEX(입력_측정!$F$5:$F$1004,$AJ111)="","",INDEX(입력_측정!$F$5:$F$1004,$AJ111)))</f>
        <v/>
      </c>
      <c r="W111" s="25" t="str">
        <f aca="false">IF($AK111=0,"",IF(INDEX(입력_상담!$D$5:$D$1004,$AK111)="","",INDEX(입력_상담!$D$5:$D$1004,$AK111)))</f>
        <v/>
      </c>
      <c r="X111" s="25" t="str">
        <f aca="false">IF($AJ111=0,"",IF(INDEX(입력_측정!$I$5:$I$1004,$AJ111)="","",INDEX(입력_측정!$I$5:$I$1004,$AJ111)))</f>
        <v/>
      </c>
      <c r="Y111" s="25" t="str">
        <f aca="false">IF($AJ111=0,"",IF(INDEX(입력_측정!$J$5:$J$1004,$AJ111)="","",INDEX(입력_측정!$J$5:$J$1004,$AJ111)))</f>
        <v/>
      </c>
      <c r="Z111" s="25" t="str">
        <f aca="false">IF(OR(X111="긴급",LEFT(Y111,2)="긴급",W111="필요",W111="완료"),"대상","")</f>
        <v/>
      </c>
      <c r="AA111" s="59" t="str">
        <f aca="false">IF(M111&lt;&gt;"",M111,IF(AK111&gt;0,IF(W111="필요","추가상담 대기","완료"),IF(AJ111&gt;0,"결과상담 대기",IF(AI111&gt;0,"측정 대기","미방문"))))</f>
        <v>미방문</v>
      </c>
      <c r="AB111" s="60" t="str">
        <f aca="false">IF($AI111=0,"",IF(INDEX(입력_운동!$A$5:$A$1004,$AI111)="","",INDEX(입력_운동!$A$5:$A$1004,$AI111)))</f>
        <v/>
      </c>
      <c r="AC111" s="60" t="str">
        <f aca="false">IF($AJ111=0,"",IF(INDEX(입력_측정!$A$5:$A$1004,$AJ111)="","",INDEX(입력_측정!$A$5:$A$1004,$AJ111)))</f>
        <v/>
      </c>
      <c r="AD111" s="60" t="str">
        <f aca="false">IF($AK111=0,"",IF(INDEX(입력_상담!$A$5:$A$1004,$AK111)="","",INDEX(입력_상담!$A$5:$A$1004,$AK111)))</f>
        <v/>
      </c>
      <c r="AE111" s="25" t="str">
        <f aca="false">IF(AND(ISNUMBER(AB111),ISNUMBER(AC111)),IF(AC111&gt;=AB111,ROUND((AC111-AB111)*1440,0),""),"")</f>
        <v/>
      </c>
      <c r="AF111" s="25" t="str">
        <f aca="false">IF(AND(ISNUMBER(AC111),ISNUMBER(AD111)),IF(AD111&gt;=AC111,ROUND((AD111-AC111)*1440,0),""),"")</f>
        <v/>
      </c>
      <c r="AG111" s="25" t="str">
        <f aca="false">IF(AND(AA111="완료",ISNUMBER(AB111),ISNUMBER(AD111)),IF(AD111&gt;=AB111,ROUND((AD111-AB111)*1440,0),""),"")</f>
        <v/>
      </c>
      <c r="AH111" s="61" t="str">
        <f aca="false">IF(AND(AK111&gt;0,AJ111=0),"측정 기록 없음",IF(AND(AJ111&gt;0,AI111=0),"운동평가 기록 없음",IF(OR(COUNTIF(입력_운동!$B$5:$B$1004,$A111)&gt;1,COUNTIF(입력_측정!$B$5:$B$1004,$A111)&gt;1),"중복 입력","")))</f>
        <v/>
      </c>
      <c r="AI111" s="62" t="n">
        <f aca="false">SUMPRODUCT(MAX((입력_운동!$B$5:$B$1004=$A111)*(ROW(입력_운동!$B$5:$B$1004)-4)))</f>
        <v>0</v>
      </c>
      <c r="AJ111" s="62" t="n">
        <f aca="false">SUMPRODUCT(MAX((입력_측정!$B$5:$B$1004=$A111)*(ROW(입력_측정!$B$5:$B$1004)-4)))</f>
        <v>0</v>
      </c>
      <c r="AK111" s="62" t="n">
        <f aca="false">SUMPRODUCT(MAX((입력_상담!$B$5:$B$1004=$A111)*(ROW(입력_상담!$B$5:$B$1004)-4)))</f>
        <v>0</v>
      </c>
    </row>
    <row r="112" customFormat="false" ht="15" hidden="false" customHeight="false" outlineLevel="0" collapsed="false">
      <c r="A112" s="55" t="n">
        <v>108</v>
      </c>
      <c r="B112" s="56"/>
      <c r="C112" s="24"/>
      <c r="D112" s="24"/>
      <c r="E112" s="56"/>
      <c r="F112" s="57"/>
      <c r="G112" s="58"/>
      <c r="H112" s="56"/>
      <c r="I112" s="24"/>
      <c r="J112" s="24"/>
      <c r="K112" s="24"/>
      <c r="L112" s="24"/>
      <c r="M112" s="24"/>
      <c r="N112" s="56"/>
      <c r="O112" s="25" t="str">
        <f aca="false">IF($AI112=0,"",IF(INDEX(입력_운동!$C$5:$C$1004,$AI112)="","",INDEX(입력_운동!$C$5:$C$1004,$AI112)))</f>
        <v/>
      </c>
      <c r="P112" s="25" t="str">
        <f aca="false">IF($AI112=0,"",IF(INDEX(입력_운동!$D$5:$D$1004,$AI112)="","",INDEX(입력_운동!$D$5:$D$1004,$AI112)))</f>
        <v/>
      </c>
      <c r="Q112" s="25" t="str">
        <f aca="false">IF($AI112=0,"",IF(INDEX(입력_운동!$E$5:$E$1004,$AI112)="","",INDEX(입력_운동!$E$5:$E$1004,$AI112)))</f>
        <v/>
      </c>
      <c r="R112" s="25" t="str">
        <f aca="false">IF($AI112=0,"",IF(INDEX(입력_운동!$F$5:$F$1004,$AI112)="","",INDEX(입력_운동!$F$5:$F$1004,$AI112)))</f>
        <v/>
      </c>
      <c r="S112" s="25" t="str">
        <f aca="false">IF($AJ112=0,"",IF(INDEX(입력_측정!$C$5:$C$1004,$AJ112)="","",INDEX(입력_측정!$C$5:$C$1004,$AJ112)))</f>
        <v/>
      </c>
      <c r="T112" s="25" t="str">
        <f aca="false">IF($AJ112=0,"",IF(INDEX(입력_측정!$D$5:$D$1004,$AJ112)="","",INDEX(입력_측정!$D$5:$D$1004,$AJ112)))</f>
        <v/>
      </c>
      <c r="U112" s="25" t="str">
        <f aca="false">IF($AJ112=0,"",IF(INDEX(입력_측정!$E$5:$E$1004,$AJ112)="","",INDEX(입력_측정!$E$5:$E$1004,$AJ112)))</f>
        <v/>
      </c>
      <c r="V112" s="25" t="str">
        <f aca="false">IF($AJ112=0,"",IF(INDEX(입력_측정!$F$5:$F$1004,$AJ112)="","",INDEX(입력_측정!$F$5:$F$1004,$AJ112)))</f>
        <v/>
      </c>
      <c r="W112" s="25" t="str">
        <f aca="false">IF($AK112=0,"",IF(INDEX(입력_상담!$D$5:$D$1004,$AK112)="","",INDEX(입력_상담!$D$5:$D$1004,$AK112)))</f>
        <v/>
      </c>
      <c r="X112" s="25" t="str">
        <f aca="false">IF($AJ112=0,"",IF(INDEX(입력_측정!$I$5:$I$1004,$AJ112)="","",INDEX(입력_측정!$I$5:$I$1004,$AJ112)))</f>
        <v/>
      </c>
      <c r="Y112" s="25" t="str">
        <f aca="false">IF($AJ112=0,"",IF(INDEX(입력_측정!$J$5:$J$1004,$AJ112)="","",INDEX(입력_측정!$J$5:$J$1004,$AJ112)))</f>
        <v/>
      </c>
      <c r="Z112" s="25" t="str">
        <f aca="false">IF(OR(X112="긴급",LEFT(Y112,2)="긴급",W112="필요",W112="완료"),"대상","")</f>
        <v/>
      </c>
      <c r="AA112" s="59" t="str">
        <f aca="false">IF(M112&lt;&gt;"",M112,IF(AK112&gt;0,IF(W112="필요","추가상담 대기","완료"),IF(AJ112&gt;0,"결과상담 대기",IF(AI112&gt;0,"측정 대기","미방문"))))</f>
        <v>미방문</v>
      </c>
      <c r="AB112" s="60" t="str">
        <f aca="false">IF($AI112=0,"",IF(INDEX(입력_운동!$A$5:$A$1004,$AI112)="","",INDEX(입력_운동!$A$5:$A$1004,$AI112)))</f>
        <v/>
      </c>
      <c r="AC112" s="60" t="str">
        <f aca="false">IF($AJ112=0,"",IF(INDEX(입력_측정!$A$5:$A$1004,$AJ112)="","",INDEX(입력_측정!$A$5:$A$1004,$AJ112)))</f>
        <v/>
      </c>
      <c r="AD112" s="60" t="str">
        <f aca="false">IF($AK112=0,"",IF(INDEX(입력_상담!$A$5:$A$1004,$AK112)="","",INDEX(입력_상담!$A$5:$A$1004,$AK112)))</f>
        <v/>
      </c>
      <c r="AE112" s="25" t="str">
        <f aca="false">IF(AND(ISNUMBER(AB112),ISNUMBER(AC112)),IF(AC112&gt;=AB112,ROUND((AC112-AB112)*1440,0),""),"")</f>
        <v/>
      </c>
      <c r="AF112" s="25" t="str">
        <f aca="false">IF(AND(ISNUMBER(AC112),ISNUMBER(AD112)),IF(AD112&gt;=AC112,ROUND((AD112-AC112)*1440,0),""),"")</f>
        <v/>
      </c>
      <c r="AG112" s="25" t="str">
        <f aca="false">IF(AND(AA112="완료",ISNUMBER(AB112),ISNUMBER(AD112)),IF(AD112&gt;=AB112,ROUND((AD112-AB112)*1440,0),""),"")</f>
        <v/>
      </c>
      <c r="AH112" s="61" t="str">
        <f aca="false">IF(AND(AK112&gt;0,AJ112=0),"측정 기록 없음",IF(AND(AJ112&gt;0,AI112=0),"운동평가 기록 없음",IF(OR(COUNTIF(입력_운동!$B$5:$B$1004,$A112)&gt;1,COUNTIF(입력_측정!$B$5:$B$1004,$A112)&gt;1),"중복 입력","")))</f>
        <v/>
      </c>
      <c r="AI112" s="62" t="n">
        <f aca="false">SUMPRODUCT(MAX((입력_운동!$B$5:$B$1004=$A112)*(ROW(입력_운동!$B$5:$B$1004)-4)))</f>
        <v>0</v>
      </c>
      <c r="AJ112" s="62" t="n">
        <f aca="false">SUMPRODUCT(MAX((입력_측정!$B$5:$B$1004=$A112)*(ROW(입력_측정!$B$5:$B$1004)-4)))</f>
        <v>0</v>
      </c>
      <c r="AK112" s="62" t="n">
        <f aca="false">SUMPRODUCT(MAX((입력_상담!$B$5:$B$1004=$A112)*(ROW(입력_상담!$B$5:$B$1004)-4)))</f>
        <v>0</v>
      </c>
    </row>
    <row r="113" customFormat="false" ht="15" hidden="false" customHeight="false" outlineLevel="0" collapsed="false">
      <c r="A113" s="55" t="n">
        <v>109</v>
      </c>
      <c r="B113" s="56"/>
      <c r="C113" s="24"/>
      <c r="D113" s="24"/>
      <c r="E113" s="56"/>
      <c r="F113" s="57"/>
      <c r="G113" s="58"/>
      <c r="H113" s="56"/>
      <c r="I113" s="24"/>
      <c r="J113" s="24"/>
      <c r="K113" s="24"/>
      <c r="L113" s="24"/>
      <c r="M113" s="24"/>
      <c r="N113" s="56"/>
      <c r="O113" s="25" t="str">
        <f aca="false">IF($AI113=0,"",IF(INDEX(입력_운동!$C$5:$C$1004,$AI113)="","",INDEX(입력_운동!$C$5:$C$1004,$AI113)))</f>
        <v/>
      </c>
      <c r="P113" s="25" t="str">
        <f aca="false">IF($AI113=0,"",IF(INDEX(입력_운동!$D$5:$D$1004,$AI113)="","",INDEX(입력_운동!$D$5:$D$1004,$AI113)))</f>
        <v/>
      </c>
      <c r="Q113" s="25" t="str">
        <f aca="false">IF($AI113=0,"",IF(INDEX(입력_운동!$E$5:$E$1004,$AI113)="","",INDEX(입력_운동!$E$5:$E$1004,$AI113)))</f>
        <v/>
      </c>
      <c r="R113" s="25" t="str">
        <f aca="false">IF($AI113=0,"",IF(INDEX(입력_운동!$F$5:$F$1004,$AI113)="","",INDEX(입력_운동!$F$5:$F$1004,$AI113)))</f>
        <v/>
      </c>
      <c r="S113" s="25" t="str">
        <f aca="false">IF($AJ113=0,"",IF(INDEX(입력_측정!$C$5:$C$1004,$AJ113)="","",INDEX(입력_측정!$C$5:$C$1004,$AJ113)))</f>
        <v/>
      </c>
      <c r="T113" s="25" t="str">
        <f aca="false">IF($AJ113=0,"",IF(INDEX(입력_측정!$D$5:$D$1004,$AJ113)="","",INDEX(입력_측정!$D$5:$D$1004,$AJ113)))</f>
        <v/>
      </c>
      <c r="U113" s="25" t="str">
        <f aca="false">IF($AJ113=0,"",IF(INDEX(입력_측정!$E$5:$E$1004,$AJ113)="","",INDEX(입력_측정!$E$5:$E$1004,$AJ113)))</f>
        <v/>
      </c>
      <c r="V113" s="25" t="str">
        <f aca="false">IF($AJ113=0,"",IF(INDEX(입력_측정!$F$5:$F$1004,$AJ113)="","",INDEX(입력_측정!$F$5:$F$1004,$AJ113)))</f>
        <v/>
      </c>
      <c r="W113" s="25" t="str">
        <f aca="false">IF($AK113=0,"",IF(INDEX(입력_상담!$D$5:$D$1004,$AK113)="","",INDEX(입력_상담!$D$5:$D$1004,$AK113)))</f>
        <v/>
      </c>
      <c r="X113" s="25" t="str">
        <f aca="false">IF($AJ113=0,"",IF(INDEX(입력_측정!$I$5:$I$1004,$AJ113)="","",INDEX(입력_측정!$I$5:$I$1004,$AJ113)))</f>
        <v/>
      </c>
      <c r="Y113" s="25" t="str">
        <f aca="false">IF($AJ113=0,"",IF(INDEX(입력_측정!$J$5:$J$1004,$AJ113)="","",INDEX(입력_측정!$J$5:$J$1004,$AJ113)))</f>
        <v/>
      </c>
      <c r="Z113" s="25" t="str">
        <f aca="false">IF(OR(X113="긴급",LEFT(Y113,2)="긴급",W113="필요",W113="완료"),"대상","")</f>
        <v/>
      </c>
      <c r="AA113" s="59" t="str">
        <f aca="false">IF(M113&lt;&gt;"",M113,IF(AK113&gt;0,IF(W113="필요","추가상담 대기","완료"),IF(AJ113&gt;0,"결과상담 대기",IF(AI113&gt;0,"측정 대기","미방문"))))</f>
        <v>미방문</v>
      </c>
      <c r="AB113" s="60" t="str">
        <f aca="false">IF($AI113=0,"",IF(INDEX(입력_운동!$A$5:$A$1004,$AI113)="","",INDEX(입력_운동!$A$5:$A$1004,$AI113)))</f>
        <v/>
      </c>
      <c r="AC113" s="60" t="str">
        <f aca="false">IF($AJ113=0,"",IF(INDEX(입력_측정!$A$5:$A$1004,$AJ113)="","",INDEX(입력_측정!$A$5:$A$1004,$AJ113)))</f>
        <v/>
      </c>
      <c r="AD113" s="60" t="str">
        <f aca="false">IF($AK113=0,"",IF(INDEX(입력_상담!$A$5:$A$1004,$AK113)="","",INDEX(입력_상담!$A$5:$A$1004,$AK113)))</f>
        <v/>
      </c>
      <c r="AE113" s="25" t="str">
        <f aca="false">IF(AND(ISNUMBER(AB113),ISNUMBER(AC113)),IF(AC113&gt;=AB113,ROUND((AC113-AB113)*1440,0),""),"")</f>
        <v/>
      </c>
      <c r="AF113" s="25" t="str">
        <f aca="false">IF(AND(ISNUMBER(AC113),ISNUMBER(AD113)),IF(AD113&gt;=AC113,ROUND((AD113-AC113)*1440,0),""),"")</f>
        <v/>
      </c>
      <c r="AG113" s="25" t="str">
        <f aca="false">IF(AND(AA113="완료",ISNUMBER(AB113),ISNUMBER(AD113)),IF(AD113&gt;=AB113,ROUND((AD113-AB113)*1440,0),""),"")</f>
        <v/>
      </c>
      <c r="AH113" s="61" t="str">
        <f aca="false">IF(AND(AK113&gt;0,AJ113=0),"측정 기록 없음",IF(AND(AJ113&gt;0,AI113=0),"운동평가 기록 없음",IF(OR(COUNTIF(입력_운동!$B$5:$B$1004,$A113)&gt;1,COUNTIF(입력_측정!$B$5:$B$1004,$A113)&gt;1),"중복 입력","")))</f>
        <v/>
      </c>
      <c r="AI113" s="62" t="n">
        <f aca="false">SUMPRODUCT(MAX((입력_운동!$B$5:$B$1004=$A113)*(ROW(입력_운동!$B$5:$B$1004)-4)))</f>
        <v>0</v>
      </c>
      <c r="AJ113" s="62" t="n">
        <f aca="false">SUMPRODUCT(MAX((입력_측정!$B$5:$B$1004=$A113)*(ROW(입력_측정!$B$5:$B$1004)-4)))</f>
        <v>0</v>
      </c>
      <c r="AK113" s="62" t="n">
        <f aca="false">SUMPRODUCT(MAX((입력_상담!$B$5:$B$1004=$A113)*(ROW(입력_상담!$B$5:$B$1004)-4)))</f>
        <v>0</v>
      </c>
    </row>
    <row r="114" customFormat="false" ht="15" hidden="false" customHeight="false" outlineLevel="0" collapsed="false">
      <c r="A114" s="55" t="n">
        <v>110</v>
      </c>
      <c r="B114" s="56"/>
      <c r="C114" s="24"/>
      <c r="D114" s="24"/>
      <c r="E114" s="56"/>
      <c r="F114" s="57"/>
      <c r="G114" s="58"/>
      <c r="H114" s="56"/>
      <c r="I114" s="24"/>
      <c r="J114" s="24"/>
      <c r="K114" s="24"/>
      <c r="L114" s="24"/>
      <c r="M114" s="24"/>
      <c r="N114" s="56"/>
      <c r="O114" s="25" t="str">
        <f aca="false">IF($AI114=0,"",IF(INDEX(입력_운동!$C$5:$C$1004,$AI114)="","",INDEX(입력_운동!$C$5:$C$1004,$AI114)))</f>
        <v/>
      </c>
      <c r="P114" s="25" t="str">
        <f aca="false">IF($AI114=0,"",IF(INDEX(입력_운동!$D$5:$D$1004,$AI114)="","",INDEX(입력_운동!$D$5:$D$1004,$AI114)))</f>
        <v/>
      </c>
      <c r="Q114" s="25" t="str">
        <f aca="false">IF($AI114=0,"",IF(INDEX(입력_운동!$E$5:$E$1004,$AI114)="","",INDEX(입력_운동!$E$5:$E$1004,$AI114)))</f>
        <v/>
      </c>
      <c r="R114" s="25" t="str">
        <f aca="false">IF($AI114=0,"",IF(INDEX(입력_운동!$F$5:$F$1004,$AI114)="","",INDEX(입력_운동!$F$5:$F$1004,$AI114)))</f>
        <v/>
      </c>
      <c r="S114" s="25" t="str">
        <f aca="false">IF($AJ114=0,"",IF(INDEX(입력_측정!$C$5:$C$1004,$AJ114)="","",INDEX(입력_측정!$C$5:$C$1004,$AJ114)))</f>
        <v/>
      </c>
      <c r="T114" s="25" t="str">
        <f aca="false">IF($AJ114=0,"",IF(INDEX(입력_측정!$D$5:$D$1004,$AJ114)="","",INDEX(입력_측정!$D$5:$D$1004,$AJ114)))</f>
        <v/>
      </c>
      <c r="U114" s="25" t="str">
        <f aca="false">IF($AJ114=0,"",IF(INDEX(입력_측정!$E$5:$E$1004,$AJ114)="","",INDEX(입력_측정!$E$5:$E$1004,$AJ114)))</f>
        <v/>
      </c>
      <c r="V114" s="25" t="str">
        <f aca="false">IF($AJ114=0,"",IF(INDEX(입력_측정!$F$5:$F$1004,$AJ114)="","",INDEX(입력_측정!$F$5:$F$1004,$AJ114)))</f>
        <v/>
      </c>
      <c r="W114" s="25" t="str">
        <f aca="false">IF($AK114=0,"",IF(INDEX(입력_상담!$D$5:$D$1004,$AK114)="","",INDEX(입력_상담!$D$5:$D$1004,$AK114)))</f>
        <v/>
      </c>
      <c r="X114" s="25" t="str">
        <f aca="false">IF($AJ114=0,"",IF(INDEX(입력_측정!$I$5:$I$1004,$AJ114)="","",INDEX(입력_측정!$I$5:$I$1004,$AJ114)))</f>
        <v/>
      </c>
      <c r="Y114" s="25" t="str">
        <f aca="false">IF($AJ114=0,"",IF(INDEX(입력_측정!$J$5:$J$1004,$AJ114)="","",INDEX(입력_측정!$J$5:$J$1004,$AJ114)))</f>
        <v/>
      </c>
      <c r="Z114" s="25" t="str">
        <f aca="false">IF(OR(X114="긴급",LEFT(Y114,2)="긴급",W114="필요",W114="완료"),"대상","")</f>
        <v/>
      </c>
      <c r="AA114" s="59" t="str">
        <f aca="false">IF(M114&lt;&gt;"",M114,IF(AK114&gt;0,IF(W114="필요","추가상담 대기","완료"),IF(AJ114&gt;0,"결과상담 대기",IF(AI114&gt;0,"측정 대기","미방문"))))</f>
        <v>미방문</v>
      </c>
      <c r="AB114" s="60" t="str">
        <f aca="false">IF($AI114=0,"",IF(INDEX(입력_운동!$A$5:$A$1004,$AI114)="","",INDEX(입력_운동!$A$5:$A$1004,$AI114)))</f>
        <v/>
      </c>
      <c r="AC114" s="60" t="str">
        <f aca="false">IF($AJ114=0,"",IF(INDEX(입력_측정!$A$5:$A$1004,$AJ114)="","",INDEX(입력_측정!$A$5:$A$1004,$AJ114)))</f>
        <v/>
      </c>
      <c r="AD114" s="60" t="str">
        <f aca="false">IF($AK114=0,"",IF(INDEX(입력_상담!$A$5:$A$1004,$AK114)="","",INDEX(입력_상담!$A$5:$A$1004,$AK114)))</f>
        <v/>
      </c>
      <c r="AE114" s="25" t="str">
        <f aca="false">IF(AND(ISNUMBER(AB114),ISNUMBER(AC114)),IF(AC114&gt;=AB114,ROUND((AC114-AB114)*1440,0),""),"")</f>
        <v/>
      </c>
      <c r="AF114" s="25" t="str">
        <f aca="false">IF(AND(ISNUMBER(AC114),ISNUMBER(AD114)),IF(AD114&gt;=AC114,ROUND((AD114-AC114)*1440,0),""),"")</f>
        <v/>
      </c>
      <c r="AG114" s="25" t="str">
        <f aca="false">IF(AND(AA114="완료",ISNUMBER(AB114),ISNUMBER(AD114)),IF(AD114&gt;=AB114,ROUND((AD114-AB114)*1440,0),""),"")</f>
        <v/>
      </c>
      <c r="AH114" s="61" t="str">
        <f aca="false">IF(AND(AK114&gt;0,AJ114=0),"측정 기록 없음",IF(AND(AJ114&gt;0,AI114=0),"운동평가 기록 없음",IF(OR(COUNTIF(입력_운동!$B$5:$B$1004,$A114)&gt;1,COUNTIF(입력_측정!$B$5:$B$1004,$A114)&gt;1),"중복 입력","")))</f>
        <v/>
      </c>
      <c r="AI114" s="62" t="n">
        <f aca="false">SUMPRODUCT(MAX((입력_운동!$B$5:$B$1004=$A114)*(ROW(입력_운동!$B$5:$B$1004)-4)))</f>
        <v>0</v>
      </c>
      <c r="AJ114" s="62" t="n">
        <f aca="false">SUMPRODUCT(MAX((입력_측정!$B$5:$B$1004=$A114)*(ROW(입력_측정!$B$5:$B$1004)-4)))</f>
        <v>0</v>
      </c>
      <c r="AK114" s="62" t="n">
        <f aca="false">SUMPRODUCT(MAX((입력_상담!$B$5:$B$1004=$A114)*(ROW(입력_상담!$B$5:$B$1004)-4)))</f>
        <v>0</v>
      </c>
    </row>
    <row r="115" customFormat="false" ht="15" hidden="false" customHeight="false" outlineLevel="0" collapsed="false">
      <c r="A115" s="55" t="n">
        <v>111</v>
      </c>
      <c r="B115" s="56"/>
      <c r="C115" s="24"/>
      <c r="D115" s="24"/>
      <c r="E115" s="56"/>
      <c r="F115" s="57"/>
      <c r="G115" s="58"/>
      <c r="H115" s="56"/>
      <c r="I115" s="24"/>
      <c r="J115" s="24"/>
      <c r="K115" s="24"/>
      <c r="L115" s="24"/>
      <c r="M115" s="24"/>
      <c r="N115" s="56"/>
      <c r="O115" s="25" t="str">
        <f aca="false">IF($AI115=0,"",IF(INDEX(입력_운동!$C$5:$C$1004,$AI115)="","",INDEX(입력_운동!$C$5:$C$1004,$AI115)))</f>
        <v/>
      </c>
      <c r="P115" s="25" t="str">
        <f aca="false">IF($AI115=0,"",IF(INDEX(입력_운동!$D$5:$D$1004,$AI115)="","",INDEX(입력_운동!$D$5:$D$1004,$AI115)))</f>
        <v/>
      </c>
      <c r="Q115" s="25" t="str">
        <f aca="false">IF($AI115=0,"",IF(INDEX(입력_운동!$E$5:$E$1004,$AI115)="","",INDEX(입력_운동!$E$5:$E$1004,$AI115)))</f>
        <v/>
      </c>
      <c r="R115" s="25" t="str">
        <f aca="false">IF($AI115=0,"",IF(INDEX(입력_운동!$F$5:$F$1004,$AI115)="","",INDEX(입력_운동!$F$5:$F$1004,$AI115)))</f>
        <v/>
      </c>
      <c r="S115" s="25" t="str">
        <f aca="false">IF($AJ115=0,"",IF(INDEX(입력_측정!$C$5:$C$1004,$AJ115)="","",INDEX(입력_측정!$C$5:$C$1004,$AJ115)))</f>
        <v/>
      </c>
      <c r="T115" s="25" t="str">
        <f aca="false">IF($AJ115=0,"",IF(INDEX(입력_측정!$D$5:$D$1004,$AJ115)="","",INDEX(입력_측정!$D$5:$D$1004,$AJ115)))</f>
        <v/>
      </c>
      <c r="U115" s="25" t="str">
        <f aca="false">IF($AJ115=0,"",IF(INDEX(입력_측정!$E$5:$E$1004,$AJ115)="","",INDEX(입력_측정!$E$5:$E$1004,$AJ115)))</f>
        <v/>
      </c>
      <c r="V115" s="25" t="str">
        <f aca="false">IF($AJ115=0,"",IF(INDEX(입력_측정!$F$5:$F$1004,$AJ115)="","",INDEX(입력_측정!$F$5:$F$1004,$AJ115)))</f>
        <v/>
      </c>
      <c r="W115" s="25" t="str">
        <f aca="false">IF($AK115=0,"",IF(INDEX(입력_상담!$D$5:$D$1004,$AK115)="","",INDEX(입력_상담!$D$5:$D$1004,$AK115)))</f>
        <v/>
      </c>
      <c r="X115" s="25" t="str">
        <f aca="false">IF($AJ115=0,"",IF(INDEX(입력_측정!$I$5:$I$1004,$AJ115)="","",INDEX(입력_측정!$I$5:$I$1004,$AJ115)))</f>
        <v/>
      </c>
      <c r="Y115" s="25" t="str">
        <f aca="false">IF($AJ115=0,"",IF(INDEX(입력_측정!$J$5:$J$1004,$AJ115)="","",INDEX(입력_측정!$J$5:$J$1004,$AJ115)))</f>
        <v/>
      </c>
      <c r="Z115" s="25" t="str">
        <f aca="false">IF(OR(X115="긴급",LEFT(Y115,2)="긴급",W115="필요",W115="완료"),"대상","")</f>
        <v/>
      </c>
      <c r="AA115" s="59" t="str">
        <f aca="false">IF(M115&lt;&gt;"",M115,IF(AK115&gt;0,IF(W115="필요","추가상담 대기","완료"),IF(AJ115&gt;0,"결과상담 대기",IF(AI115&gt;0,"측정 대기","미방문"))))</f>
        <v>미방문</v>
      </c>
      <c r="AB115" s="60" t="str">
        <f aca="false">IF($AI115=0,"",IF(INDEX(입력_운동!$A$5:$A$1004,$AI115)="","",INDEX(입력_운동!$A$5:$A$1004,$AI115)))</f>
        <v/>
      </c>
      <c r="AC115" s="60" t="str">
        <f aca="false">IF($AJ115=0,"",IF(INDEX(입력_측정!$A$5:$A$1004,$AJ115)="","",INDEX(입력_측정!$A$5:$A$1004,$AJ115)))</f>
        <v/>
      </c>
      <c r="AD115" s="60" t="str">
        <f aca="false">IF($AK115=0,"",IF(INDEX(입력_상담!$A$5:$A$1004,$AK115)="","",INDEX(입력_상담!$A$5:$A$1004,$AK115)))</f>
        <v/>
      </c>
      <c r="AE115" s="25" t="str">
        <f aca="false">IF(AND(ISNUMBER(AB115),ISNUMBER(AC115)),IF(AC115&gt;=AB115,ROUND((AC115-AB115)*1440,0),""),"")</f>
        <v/>
      </c>
      <c r="AF115" s="25" t="str">
        <f aca="false">IF(AND(ISNUMBER(AC115),ISNUMBER(AD115)),IF(AD115&gt;=AC115,ROUND((AD115-AC115)*1440,0),""),"")</f>
        <v/>
      </c>
      <c r="AG115" s="25" t="str">
        <f aca="false">IF(AND(AA115="완료",ISNUMBER(AB115),ISNUMBER(AD115)),IF(AD115&gt;=AB115,ROUND((AD115-AB115)*1440,0),""),"")</f>
        <v/>
      </c>
      <c r="AH115" s="61" t="str">
        <f aca="false">IF(AND(AK115&gt;0,AJ115=0),"측정 기록 없음",IF(AND(AJ115&gt;0,AI115=0),"운동평가 기록 없음",IF(OR(COUNTIF(입력_운동!$B$5:$B$1004,$A115)&gt;1,COUNTIF(입력_측정!$B$5:$B$1004,$A115)&gt;1),"중복 입력","")))</f>
        <v/>
      </c>
      <c r="AI115" s="62" t="n">
        <f aca="false">SUMPRODUCT(MAX((입력_운동!$B$5:$B$1004=$A115)*(ROW(입력_운동!$B$5:$B$1004)-4)))</f>
        <v>0</v>
      </c>
      <c r="AJ115" s="62" t="n">
        <f aca="false">SUMPRODUCT(MAX((입력_측정!$B$5:$B$1004=$A115)*(ROW(입력_측정!$B$5:$B$1004)-4)))</f>
        <v>0</v>
      </c>
      <c r="AK115" s="62" t="n">
        <f aca="false">SUMPRODUCT(MAX((입력_상담!$B$5:$B$1004=$A115)*(ROW(입력_상담!$B$5:$B$1004)-4)))</f>
        <v>0</v>
      </c>
    </row>
    <row r="116" customFormat="false" ht="15" hidden="false" customHeight="false" outlineLevel="0" collapsed="false">
      <c r="A116" s="55" t="n">
        <v>112</v>
      </c>
      <c r="B116" s="56"/>
      <c r="C116" s="24"/>
      <c r="D116" s="24"/>
      <c r="E116" s="56"/>
      <c r="F116" s="57"/>
      <c r="G116" s="58"/>
      <c r="H116" s="56"/>
      <c r="I116" s="24"/>
      <c r="J116" s="24"/>
      <c r="K116" s="24"/>
      <c r="L116" s="24"/>
      <c r="M116" s="24"/>
      <c r="N116" s="56"/>
      <c r="O116" s="25" t="str">
        <f aca="false">IF($AI116=0,"",IF(INDEX(입력_운동!$C$5:$C$1004,$AI116)="","",INDEX(입력_운동!$C$5:$C$1004,$AI116)))</f>
        <v/>
      </c>
      <c r="P116" s="25" t="str">
        <f aca="false">IF($AI116=0,"",IF(INDEX(입력_운동!$D$5:$D$1004,$AI116)="","",INDEX(입력_운동!$D$5:$D$1004,$AI116)))</f>
        <v/>
      </c>
      <c r="Q116" s="25" t="str">
        <f aca="false">IF($AI116=0,"",IF(INDEX(입력_운동!$E$5:$E$1004,$AI116)="","",INDEX(입력_운동!$E$5:$E$1004,$AI116)))</f>
        <v/>
      </c>
      <c r="R116" s="25" t="str">
        <f aca="false">IF($AI116=0,"",IF(INDEX(입력_운동!$F$5:$F$1004,$AI116)="","",INDEX(입력_운동!$F$5:$F$1004,$AI116)))</f>
        <v/>
      </c>
      <c r="S116" s="25" t="str">
        <f aca="false">IF($AJ116=0,"",IF(INDEX(입력_측정!$C$5:$C$1004,$AJ116)="","",INDEX(입력_측정!$C$5:$C$1004,$AJ116)))</f>
        <v/>
      </c>
      <c r="T116" s="25" t="str">
        <f aca="false">IF($AJ116=0,"",IF(INDEX(입력_측정!$D$5:$D$1004,$AJ116)="","",INDEX(입력_측정!$D$5:$D$1004,$AJ116)))</f>
        <v/>
      </c>
      <c r="U116" s="25" t="str">
        <f aca="false">IF($AJ116=0,"",IF(INDEX(입력_측정!$E$5:$E$1004,$AJ116)="","",INDEX(입력_측정!$E$5:$E$1004,$AJ116)))</f>
        <v/>
      </c>
      <c r="V116" s="25" t="str">
        <f aca="false">IF($AJ116=0,"",IF(INDEX(입력_측정!$F$5:$F$1004,$AJ116)="","",INDEX(입력_측정!$F$5:$F$1004,$AJ116)))</f>
        <v/>
      </c>
      <c r="W116" s="25" t="str">
        <f aca="false">IF($AK116=0,"",IF(INDEX(입력_상담!$D$5:$D$1004,$AK116)="","",INDEX(입력_상담!$D$5:$D$1004,$AK116)))</f>
        <v/>
      </c>
      <c r="X116" s="25" t="str">
        <f aca="false">IF($AJ116=0,"",IF(INDEX(입력_측정!$I$5:$I$1004,$AJ116)="","",INDEX(입력_측정!$I$5:$I$1004,$AJ116)))</f>
        <v/>
      </c>
      <c r="Y116" s="25" t="str">
        <f aca="false">IF($AJ116=0,"",IF(INDEX(입력_측정!$J$5:$J$1004,$AJ116)="","",INDEX(입력_측정!$J$5:$J$1004,$AJ116)))</f>
        <v/>
      </c>
      <c r="Z116" s="25" t="str">
        <f aca="false">IF(OR(X116="긴급",LEFT(Y116,2)="긴급",W116="필요",W116="완료"),"대상","")</f>
        <v/>
      </c>
      <c r="AA116" s="59" t="str">
        <f aca="false">IF(M116&lt;&gt;"",M116,IF(AK116&gt;0,IF(W116="필요","추가상담 대기","완료"),IF(AJ116&gt;0,"결과상담 대기",IF(AI116&gt;0,"측정 대기","미방문"))))</f>
        <v>미방문</v>
      </c>
      <c r="AB116" s="60" t="str">
        <f aca="false">IF($AI116=0,"",IF(INDEX(입력_운동!$A$5:$A$1004,$AI116)="","",INDEX(입력_운동!$A$5:$A$1004,$AI116)))</f>
        <v/>
      </c>
      <c r="AC116" s="60" t="str">
        <f aca="false">IF($AJ116=0,"",IF(INDEX(입력_측정!$A$5:$A$1004,$AJ116)="","",INDEX(입력_측정!$A$5:$A$1004,$AJ116)))</f>
        <v/>
      </c>
      <c r="AD116" s="60" t="str">
        <f aca="false">IF($AK116=0,"",IF(INDEX(입력_상담!$A$5:$A$1004,$AK116)="","",INDEX(입력_상담!$A$5:$A$1004,$AK116)))</f>
        <v/>
      </c>
      <c r="AE116" s="25" t="str">
        <f aca="false">IF(AND(ISNUMBER(AB116),ISNUMBER(AC116)),IF(AC116&gt;=AB116,ROUND((AC116-AB116)*1440,0),""),"")</f>
        <v/>
      </c>
      <c r="AF116" s="25" t="str">
        <f aca="false">IF(AND(ISNUMBER(AC116),ISNUMBER(AD116)),IF(AD116&gt;=AC116,ROUND((AD116-AC116)*1440,0),""),"")</f>
        <v/>
      </c>
      <c r="AG116" s="25" t="str">
        <f aca="false">IF(AND(AA116="완료",ISNUMBER(AB116),ISNUMBER(AD116)),IF(AD116&gt;=AB116,ROUND((AD116-AB116)*1440,0),""),"")</f>
        <v/>
      </c>
      <c r="AH116" s="61" t="str">
        <f aca="false">IF(AND(AK116&gt;0,AJ116=0),"측정 기록 없음",IF(AND(AJ116&gt;0,AI116=0),"운동평가 기록 없음",IF(OR(COUNTIF(입력_운동!$B$5:$B$1004,$A116)&gt;1,COUNTIF(입력_측정!$B$5:$B$1004,$A116)&gt;1),"중복 입력","")))</f>
        <v/>
      </c>
      <c r="AI116" s="62" t="n">
        <f aca="false">SUMPRODUCT(MAX((입력_운동!$B$5:$B$1004=$A116)*(ROW(입력_운동!$B$5:$B$1004)-4)))</f>
        <v>0</v>
      </c>
      <c r="AJ116" s="62" t="n">
        <f aca="false">SUMPRODUCT(MAX((입력_측정!$B$5:$B$1004=$A116)*(ROW(입력_측정!$B$5:$B$1004)-4)))</f>
        <v>0</v>
      </c>
      <c r="AK116" s="62" t="n">
        <f aca="false">SUMPRODUCT(MAX((입력_상담!$B$5:$B$1004=$A116)*(ROW(입력_상담!$B$5:$B$1004)-4)))</f>
        <v>0</v>
      </c>
    </row>
    <row r="117" customFormat="false" ht="15" hidden="false" customHeight="false" outlineLevel="0" collapsed="false">
      <c r="A117" s="55" t="n">
        <v>113</v>
      </c>
      <c r="B117" s="56"/>
      <c r="C117" s="24"/>
      <c r="D117" s="24"/>
      <c r="E117" s="56"/>
      <c r="F117" s="57"/>
      <c r="G117" s="58"/>
      <c r="H117" s="56"/>
      <c r="I117" s="24"/>
      <c r="J117" s="24"/>
      <c r="K117" s="24"/>
      <c r="L117" s="24"/>
      <c r="M117" s="24"/>
      <c r="N117" s="56"/>
      <c r="O117" s="25" t="str">
        <f aca="false">IF($AI117=0,"",IF(INDEX(입력_운동!$C$5:$C$1004,$AI117)="","",INDEX(입력_운동!$C$5:$C$1004,$AI117)))</f>
        <v/>
      </c>
      <c r="P117" s="25" t="str">
        <f aca="false">IF($AI117=0,"",IF(INDEX(입력_운동!$D$5:$D$1004,$AI117)="","",INDEX(입력_운동!$D$5:$D$1004,$AI117)))</f>
        <v/>
      </c>
      <c r="Q117" s="25" t="str">
        <f aca="false">IF($AI117=0,"",IF(INDEX(입력_운동!$E$5:$E$1004,$AI117)="","",INDEX(입력_운동!$E$5:$E$1004,$AI117)))</f>
        <v/>
      </c>
      <c r="R117" s="25" t="str">
        <f aca="false">IF($AI117=0,"",IF(INDEX(입력_운동!$F$5:$F$1004,$AI117)="","",INDEX(입력_운동!$F$5:$F$1004,$AI117)))</f>
        <v/>
      </c>
      <c r="S117" s="25" t="str">
        <f aca="false">IF($AJ117=0,"",IF(INDEX(입력_측정!$C$5:$C$1004,$AJ117)="","",INDEX(입력_측정!$C$5:$C$1004,$AJ117)))</f>
        <v/>
      </c>
      <c r="T117" s="25" t="str">
        <f aca="false">IF($AJ117=0,"",IF(INDEX(입력_측정!$D$5:$D$1004,$AJ117)="","",INDEX(입력_측정!$D$5:$D$1004,$AJ117)))</f>
        <v/>
      </c>
      <c r="U117" s="25" t="str">
        <f aca="false">IF($AJ117=0,"",IF(INDEX(입력_측정!$E$5:$E$1004,$AJ117)="","",INDEX(입력_측정!$E$5:$E$1004,$AJ117)))</f>
        <v/>
      </c>
      <c r="V117" s="25" t="str">
        <f aca="false">IF($AJ117=0,"",IF(INDEX(입력_측정!$F$5:$F$1004,$AJ117)="","",INDEX(입력_측정!$F$5:$F$1004,$AJ117)))</f>
        <v/>
      </c>
      <c r="W117" s="25" t="str">
        <f aca="false">IF($AK117=0,"",IF(INDEX(입력_상담!$D$5:$D$1004,$AK117)="","",INDEX(입력_상담!$D$5:$D$1004,$AK117)))</f>
        <v/>
      </c>
      <c r="X117" s="25" t="str">
        <f aca="false">IF($AJ117=0,"",IF(INDEX(입력_측정!$I$5:$I$1004,$AJ117)="","",INDEX(입력_측정!$I$5:$I$1004,$AJ117)))</f>
        <v/>
      </c>
      <c r="Y117" s="25" t="str">
        <f aca="false">IF($AJ117=0,"",IF(INDEX(입력_측정!$J$5:$J$1004,$AJ117)="","",INDEX(입력_측정!$J$5:$J$1004,$AJ117)))</f>
        <v/>
      </c>
      <c r="Z117" s="25" t="str">
        <f aca="false">IF(OR(X117="긴급",LEFT(Y117,2)="긴급",W117="필요",W117="완료"),"대상","")</f>
        <v/>
      </c>
      <c r="AA117" s="59" t="str">
        <f aca="false">IF(M117&lt;&gt;"",M117,IF(AK117&gt;0,IF(W117="필요","추가상담 대기","완료"),IF(AJ117&gt;0,"결과상담 대기",IF(AI117&gt;0,"측정 대기","미방문"))))</f>
        <v>미방문</v>
      </c>
      <c r="AB117" s="60" t="str">
        <f aca="false">IF($AI117=0,"",IF(INDEX(입력_운동!$A$5:$A$1004,$AI117)="","",INDEX(입력_운동!$A$5:$A$1004,$AI117)))</f>
        <v/>
      </c>
      <c r="AC117" s="60" t="str">
        <f aca="false">IF($AJ117=0,"",IF(INDEX(입력_측정!$A$5:$A$1004,$AJ117)="","",INDEX(입력_측정!$A$5:$A$1004,$AJ117)))</f>
        <v/>
      </c>
      <c r="AD117" s="60" t="str">
        <f aca="false">IF($AK117=0,"",IF(INDEX(입력_상담!$A$5:$A$1004,$AK117)="","",INDEX(입력_상담!$A$5:$A$1004,$AK117)))</f>
        <v/>
      </c>
      <c r="AE117" s="25" t="str">
        <f aca="false">IF(AND(ISNUMBER(AB117),ISNUMBER(AC117)),IF(AC117&gt;=AB117,ROUND((AC117-AB117)*1440,0),""),"")</f>
        <v/>
      </c>
      <c r="AF117" s="25" t="str">
        <f aca="false">IF(AND(ISNUMBER(AC117),ISNUMBER(AD117)),IF(AD117&gt;=AC117,ROUND((AD117-AC117)*1440,0),""),"")</f>
        <v/>
      </c>
      <c r="AG117" s="25" t="str">
        <f aca="false">IF(AND(AA117="완료",ISNUMBER(AB117),ISNUMBER(AD117)),IF(AD117&gt;=AB117,ROUND((AD117-AB117)*1440,0),""),"")</f>
        <v/>
      </c>
      <c r="AH117" s="61" t="str">
        <f aca="false">IF(AND(AK117&gt;0,AJ117=0),"측정 기록 없음",IF(AND(AJ117&gt;0,AI117=0),"운동평가 기록 없음",IF(OR(COUNTIF(입력_운동!$B$5:$B$1004,$A117)&gt;1,COUNTIF(입력_측정!$B$5:$B$1004,$A117)&gt;1),"중복 입력","")))</f>
        <v/>
      </c>
      <c r="AI117" s="62" t="n">
        <f aca="false">SUMPRODUCT(MAX((입력_운동!$B$5:$B$1004=$A117)*(ROW(입력_운동!$B$5:$B$1004)-4)))</f>
        <v>0</v>
      </c>
      <c r="AJ117" s="62" t="n">
        <f aca="false">SUMPRODUCT(MAX((입력_측정!$B$5:$B$1004=$A117)*(ROW(입력_측정!$B$5:$B$1004)-4)))</f>
        <v>0</v>
      </c>
      <c r="AK117" s="62" t="n">
        <f aca="false">SUMPRODUCT(MAX((입력_상담!$B$5:$B$1004=$A117)*(ROW(입력_상담!$B$5:$B$1004)-4)))</f>
        <v>0</v>
      </c>
    </row>
    <row r="118" customFormat="false" ht="15" hidden="false" customHeight="false" outlineLevel="0" collapsed="false">
      <c r="A118" s="55" t="n">
        <v>114</v>
      </c>
      <c r="B118" s="56"/>
      <c r="C118" s="24"/>
      <c r="D118" s="24"/>
      <c r="E118" s="56"/>
      <c r="F118" s="57"/>
      <c r="G118" s="58"/>
      <c r="H118" s="56"/>
      <c r="I118" s="24"/>
      <c r="J118" s="24"/>
      <c r="K118" s="24"/>
      <c r="L118" s="24"/>
      <c r="M118" s="24"/>
      <c r="N118" s="56"/>
      <c r="O118" s="25" t="str">
        <f aca="false">IF($AI118=0,"",IF(INDEX(입력_운동!$C$5:$C$1004,$AI118)="","",INDEX(입력_운동!$C$5:$C$1004,$AI118)))</f>
        <v/>
      </c>
      <c r="P118" s="25" t="str">
        <f aca="false">IF($AI118=0,"",IF(INDEX(입력_운동!$D$5:$D$1004,$AI118)="","",INDEX(입력_운동!$D$5:$D$1004,$AI118)))</f>
        <v/>
      </c>
      <c r="Q118" s="25" t="str">
        <f aca="false">IF($AI118=0,"",IF(INDEX(입력_운동!$E$5:$E$1004,$AI118)="","",INDEX(입력_운동!$E$5:$E$1004,$AI118)))</f>
        <v/>
      </c>
      <c r="R118" s="25" t="str">
        <f aca="false">IF($AI118=0,"",IF(INDEX(입력_운동!$F$5:$F$1004,$AI118)="","",INDEX(입력_운동!$F$5:$F$1004,$AI118)))</f>
        <v/>
      </c>
      <c r="S118" s="25" t="str">
        <f aca="false">IF($AJ118=0,"",IF(INDEX(입력_측정!$C$5:$C$1004,$AJ118)="","",INDEX(입력_측정!$C$5:$C$1004,$AJ118)))</f>
        <v/>
      </c>
      <c r="T118" s="25" t="str">
        <f aca="false">IF($AJ118=0,"",IF(INDEX(입력_측정!$D$5:$D$1004,$AJ118)="","",INDEX(입력_측정!$D$5:$D$1004,$AJ118)))</f>
        <v/>
      </c>
      <c r="U118" s="25" t="str">
        <f aca="false">IF($AJ118=0,"",IF(INDEX(입력_측정!$E$5:$E$1004,$AJ118)="","",INDEX(입력_측정!$E$5:$E$1004,$AJ118)))</f>
        <v/>
      </c>
      <c r="V118" s="25" t="str">
        <f aca="false">IF($AJ118=0,"",IF(INDEX(입력_측정!$F$5:$F$1004,$AJ118)="","",INDEX(입력_측정!$F$5:$F$1004,$AJ118)))</f>
        <v/>
      </c>
      <c r="W118" s="25" t="str">
        <f aca="false">IF($AK118=0,"",IF(INDEX(입력_상담!$D$5:$D$1004,$AK118)="","",INDEX(입력_상담!$D$5:$D$1004,$AK118)))</f>
        <v/>
      </c>
      <c r="X118" s="25" t="str">
        <f aca="false">IF($AJ118=0,"",IF(INDEX(입력_측정!$I$5:$I$1004,$AJ118)="","",INDEX(입력_측정!$I$5:$I$1004,$AJ118)))</f>
        <v/>
      </c>
      <c r="Y118" s="25" t="str">
        <f aca="false">IF($AJ118=0,"",IF(INDEX(입력_측정!$J$5:$J$1004,$AJ118)="","",INDEX(입력_측정!$J$5:$J$1004,$AJ118)))</f>
        <v/>
      </c>
      <c r="Z118" s="25" t="str">
        <f aca="false">IF(OR(X118="긴급",LEFT(Y118,2)="긴급",W118="필요",W118="완료"),"대상","")</f>
        <v/>
      </c>
      <c r="AA118" s="59" t="str">
        <f aca="false">IF(M118&lt;&gt;"",M118,IF(AK118&gt;0,IF(W118="필요","추가상담 대기","완료"),IF(AJ118&gt;0,"결과상담 대기",IF(AI118&gt;0,"측정 대기","미방문"))))</f>
        <v>미방문</v>
      </c>
      <c r="AB118" s="60" t="str">
        <f aca="false">IF($AI118=0,"",IF(INDEX(입력_운동!$A$5:$A$1004,$AI118)="","",INDEX(입력_운동!$A$5:$A$1004,$AI118)))</f>
        <v/>
      </c>
      <c r="AC118" s="60" t="str">
        <f aca="false">IF($AJ118=0,"",IF(INDEX(입력_측정!$A$5:$A$1004,$AJ118)="","",INDEX(입력_측정!$A$5:$A$1004,$AJ118)))</f>
        <v/>
      </c>
      <c r="AD118" s="60" t="str">
        <f aca="false">IF($AK118=0,"",IF(INDEX(입력_상담!$A$5:$A$1004,$AK118)="","",INDEX(입력_상담!$A$5:$A$1004,$AK118)))</f>
        <v/>
      </c>
      <c r="AE118" s="25" t="str">
        <f aca="false">IF(AND(ISNUMBER(AB118),ISNUMBER(AC118)),IF(AC118&gt;=AB118,ROUND((AC118-AB118)*1440,0),""),"")</f>
        <v/>
      </c>
      <c r="AF118" s="25" t="str">
        <f aca="false">IF(AND(ISNUMBER(AC118),ISNUMBER(AD118)),IF(AD118&gt;=AC118,ROUND((AD118-AC118)*1440,0),""),"")</f>
        <v/>
      </c>
      <c r="AG118" s="25" t="str">
        <f aca="false">IF(AND(AA118="완료",ISNUMBER(AB118),ISNUMBER(AD118)),IF(AD118&gt;=AB118,ROUND((AD118-AB118)*1440,0),""),"")</f>
        <v/>
      </c>
      <c r="AH118" s="61" t="str">
        <f aca="false">IF(AND(AK118&gt;0,AJ118=0),"측정 기록 없음",IF(AND(AJ118&gt;0,AI118=0),"운동평가 기록 없음",IF(OR(COUNTIF(입력_운동!$B$5:$B$1004,$A118)&gt;1,COUNTIF(입력_측정!$B$5:$B$1004,$A118)&gt;1),"중복 입력","")))</f>
        <v/>
      </c>
      <c r="AI118" s="62" t="n">
        <f aca="false">SUMPRODUCT(MAX((입력_운동!$B$5:$B$1004=$A118)*(ROW(입력_운동!$B$5:$B$1004)-4)))</f>
        <v>0</v>
      </c>
      <c r="AJ118" s="62" t="n">
        <f aca="false">SUMPRODUCT(MAX((입력_측정!$B$5:$B$1004=$A118)*(ROW(입력_측정!$B$5:$B$1004)-4)))</f>
        <v>0</v>
      </c>
      <c r="AK118" s="62" t="n">
        <f aca="false">SUMPRODUCT(MAX((입력_상담!$B$5:$B$1004=$A118)*(ROW(입력_상담!$B$5:$B$1004)-4)))</f>
        <v>0</v>
      </c>
    </row>
    <row r="119" customFormat="false" ht="15" hidden="false" customHeight="false" outlineLevel="0" collapsed="false">
      <c r="A119" s="55" t="n">
        <v>115</v>
      </c>
      <c r="B119" s="56"/>
      <c r="C119" s="24"/>
      <c r="D119" s="24"/>
      <c r="E119" s="56"/>
      <c r="F119" s="57"/>
      <c r="G119" s="58"/>
      <c r="H119" s="56"/>
      <c r="I119" s="24"/>
      <c r="J119" s="24"/>
      <c r="K119" s="24"/>
      <c r="L119" s="24"/>
      <c r="M119" s="24"/>
      <c r="N119" s="56"/>
      <c r="O119" s="25" t="str">
        <f aca="false">IF($AI119=0,"",IF(INDEX(입력_운동!$C$5:$C$1004,$AI119)="","",INDEX(입력_운동!$C$5:$C$1004,$AI119)))</f>
        <v/>
      </c>
      <c r="P119" s="25" t="str">
        <f aca="false">IF($AI119=0,"",IF(INDEX(입력_운동!$D$5:$D$1004,$AI119)="","",INDEX(입력_운동!$D$5:$D$1004,$AI119)))</f>
        <v/>
      </c>
      <c r="Q119" s="25" t="str">
        <f aca="false">IF($AI119=0,"",IF(INDEX(입력_운동!$E$5:$E$1004,$AI119)="","",INDEX(입력_운동!$E$5:$E$1004,$AI119)))</f>
        <v/>
      </c>
      <c r="R119" s="25" t="str">
        <f aca="false">IF($AI119=0,"",IF(INDEX(입력_운동!$F$5:$F$1004,$AI119)="","",INDEX(입력_운동!$F$5:$F$1004,$AI119)))</f>
        <v/>
      </c>
      <c r="S119" s="25" t="str">
        <f aca="false">IF($AJ119=0,"",IF(INDEX(입력_측정!$C$5:$C$1004,$AJ119)="","",INDEX(입력_측정!$C$5:$C$1004,$AJ119)))</f>
        <v/>
      </c>
      <c r="T119" s="25" t="str">
        <f aca="false">IF($AJ119=0,"",IF(INDEX(입력_측정!$D$5:$D$1004,$AJ119)="","",INDEX(입력_측정!$D$5:$D$1004,$AJ119)))</f>
        <v/>
      </c>
      <c r="U119" s="25" t="str">
        <f aca="false">IF($AJ119=0,"",IF(INDEX(입력_측정!$E$5:$E$1004,$AJ119)="","",INDEX(입력_측정!$E$5:$E$1004,$AJ119)))</f>
        <v/>
      </c>
      <c r="V119" s="25" t="str">
        <f aca="false">IF($AJ119=0,"",IF(INDEX(입력_측정!$F$5:$F$1004,$AJ119)="","",INDEX(입력_측정!$F$5:$F$1004,$AJ119)))</f>
        <v/>
      </c>
      <c r="W119" s="25" t="str">
        <f aca="false">IF($AK119=0,"",IF(INDEX(입력_상담!$D$5:$D$1004,$AK119)="","",INDEX(입력_상담!$D$5:$D$1004,$AK119)))</f>
        <v/>
      </c>
      <c r="X119" s="25" t="str">
        <f aca="false">IF($AJ119=0,"",IF(INDEX(입력_측정!$I$5:$I$1004,$AJ119)="","",INDEX(입력_측정!$I$5:$I$1004,$AJ119)))</f>
        <v/>
      </c>
      <c r="Y119" s="25" t="str">
        <f aca="false">IF($AJ119=0,"",IF(INDEX(입력_측정!$J$5:$J$1004,$AJ119)="","",INDEX(입력_측정!$J$5:$J$1004,$AJ119)))</f>
        <v/>
      </c>
      <c r="Z119" s="25" t="str">
        <f aca="false">IF(OR(X119="긴급",LEFT(Y119,2)="긴급",W119="필요",W119="완료"),"대상","")</f>
        <v/>
      </c>
      <c r="AA119" s="59" t="str">
        <f aca="false">IF(M119&lt;&gt;"",M119,IF(AK119&gt;0,IF(W119="필요","추가상담 대기","완료"),IF(AJ119&gt;0,"결과상담 대기",IF(AI119&gt;0,"측정 대기","미방문"))))</f>
        <v>미방문</v>
      </c>
      <c r="AB119" s="60" t="str">
        <f aca="false">IF($AI119=0,"",IF(INDEX(입력_운동!$A$5:$A$1004,$AI119)="","",INDEX(입력_운동!$A$5:$A$1004,$AI119)))</f>
        <v/>
      </c>
      <c r="AC119" s="60" t="str">
        <f aca="false">IF($AJ119=0,"",IF(INDEX(입력_측정!$A$5:$A$1004,$AJ119)="","",INDEX(입력_측정!$A$5:$A$1004,$AJ119)))</f>
        <v/>
      </c>
      <c r="AD119" s="60" t="str">
        <f aca="false">IF($AK119=0,"",IF(INDEX(입력_상담!$A$5:$A$1004,$AK119)="","",INDEX(입력_상담!$A$5:$A$1004,$AK119)))</f>
        <v/>
      </c>
      <c r="AE119" s="25" t="str">
        <f aca="false">IF(AND(ISNUMBER(AB119),ISNUMBER(AC119)),IF(AC119&gt;=AB119,ROUND((AC119-AB119)*1440,0),""),"")</f>
        <v/>
      </c>
      <c r="AF119" s="25" t="str">
        <f aca="false">IF(AND(ISNUMBER(AC119),ISNUMBER(AD119)),IF(AD119&gt;=AC119,ROUND((AD119-AC119)*1440,0),""),"")</f>
        <v/>
      </c>
      <c r="AG119" s="25" t="str">
        <f aca="false">IF(AND(AA119="완료",ISNUMBER(AB119),ISNUMBER(AD119)),IF(AD119&gt;=AB119,ROUND((AD119-AB119)*1440,0),""),"")</f>
        <v/>
      </c>
      <c r="AH119" s="61" t="str">
        <f aca="false">IF(AND(AK119&gt;0,AJ119=0),"측정 기록 없음",IF(AND(AJ119&gt;0,AI119=0),"운동평가 기록 없음",IF(OR(COUNTIF(입력_운동!$B$5:$B$1004,$A119)&gt;1,COUNTIF(입력_측정!$B$5:$B$1004,$A119)&gt;1),"중복 입력","")))</f>
        <v/>
      </c>
      <c r="AI119" s="62" t="n">
        <f aca="false">SUMPRODUCT(MAX((입력_운동!$B$5:$B$1004=$A119)*(ROW(입력_운동!$B$5:$B$1004)-4)))</f>
        <v>0</v>
      </c>
      <c r="AJ119" s="62" t="n">
        <f aca="false">SUMPRODUCT(MAX((입력_측정!$B$5:$B$1004=$A119)*(ROW(입력_측정!$B$5:$B$1004)-4)))</f>
        <v>0</v>
      </c>
      <c r="AK119" s="62" t="n">
        <f aca="false">SUMPRODUCT(MAX((입력_상담!$B$5:$B$1004=$A119)*(ROW(입력_상담!$B$5:$B$1004)-4)))</f>
        <v>0</v>
      </c>
    </row>
    <row r="120" customFormat="false" ht="15" hidden="false" customHeight="false" outlineLevel="0" collapsed="false">
      <c r="A120" s="55" t="n">
        <v>116</v>
      </c>
      <c r="B120" s="56"/>
      <c r="C120" s="24"/>
      <c r="D120" s="24"/>
      <c r="E120" s="56"/>
      <c r="F120" s="57"/>
      <c r="G120" s="58"/>
      <c r="H120" s="56"/>
      <c r="I120" s="24"/>
      <c r="J120" s="24"/>
      <c r="K120" s="24"/>
      <c r="L120" s="24"/>
      <c r="M120" s="24"/>
      <c r="N120" s="56"/>
      <c r="O120" s="25" t="str">
        <f aca="false">IF($AI120=0,"",IF(INDEX(입력_운동!$C$5:$C$1004,$AI120)="","",INDEX(입력_운동!$C$5:$C$1004,$AI120)))</f>
        <v/>
      </c>
      <c r="P120" s="25" t="str">
        <f aca="false">IF($AI120=0,"",IF(INDEX(입력_운동!$D$5:$D$1004,$AI120)="","",INDEX(입력_운동!$D$5:$D$1004,$AI120)))</f>
        <v/>
      </c>
      <c r="Q120" s="25" t="str">
        <f aca="false">IF($AI120=0,"",IF(INDEX(입력_운동!$E$5:$E$1004,$AI120)="","",INDEX(입력_운동!$E$5:$E$1004,$AI120)))</f>
        <v/>
      </c>
      <c r="R120" s="25" t="str">
        <f aca="false">IF($AI120=0,"",IF(INDEX(입력_운동!$F$5:$F$1004,$AI120)="","",INDEX(입력_운동!$F$5:$F$1004,$AI120)))</f>
        <v/>
      </c>
      <c r="S120" s="25" t="str">
        <f aca="false">IF($AJ120=0,"",IF(INDEX(입력_측정!$C$5:$C$1004,$AJ120)="","",INDEX(입력_측정!$C$5:$C$1004,$AJ120)))</f>
        <v/>
      </c>
      <c r="T120" s="25" t="str">
        <f aca="false">IF($AJ120=0,"",IF(INDEX(입력_측정!$D$5:$D$1004,$AJ120)="","",INDEX(입력_측정!$D$5:$D$1004,$AJ120)))</f>
        <v/>
      </c>
      <c r="U120" s="25" t="str">
        <f aca="false">IF($AJ120=0,"",IF(INDEX(입력_측정!$E$5:$E$1004,$AJ120)="","",INDEX(입력_측정!$E$5:$E$1004,$AJ120)))</f>
        <v/>
      </c>
      <c r="V120" s="25" t="str">
        <f aca="false">IF($AJ120=0,"",IF(INDEX(입력_측정!$F$5:$F$1004,$AJ120)="","",INDEX(입력_측정!$F$5:$F$1004,$AJ120)))</f>
        <v/>
      </c>
      <c r="W120" s="25" t="str">
        <f aca="false">IF($AK120=0,"",IF(INDEX(입력_상담!$D$5:$D$1004,$AK120)="","",INDEX(입력_상담!$D$5:$D$1004,$AK120)))</f>
        <v/>
      </c>
      <c r="X120" s="25" t="str">
        <f aca="false">IF($AJ120=0,"",IF(INDEX(입력_측정!$I$5:$I$1004,$AJ120)="","",INDEX(입력_측정!$I$5:$I$1004,$AJ120)))</f>
        <v/>
      </c>
      <c r="Y120" s="25" t="str">
        <f aca="false">IF($AJ120=0,"",IF(INDEX(입력_측정!$J$5:$J$1004,$AJ120)="","",INDEX(입력_측정!$J$5:$J$1004,$AJ120)))</f>
        <v/>
      </c>
      <c r="Z120" s="25" t="str">
        <f aca="false">IF(OR(X120="긴급",LEFT(Y120,2)="긴급",W120="필요",W120="완료"),"대상","")</f>
        <v/>
      </c>
      <c r="AA120" s="59" t="str">
        <f aca="false">IF(M120&lt;&gt;"",M120,IF(AK120&gt;0,IF(W120="필요","추가상담 대기","완료"),IF(AJ120&gt;0,"결과상담 대기",IF(AI120&gt;0,"측정 대기","미방문"))))</f>
        <v>미방문</v>
      </c>
      <c r="AB120" s="60" t="str">
        <f aca="false">IF($AI120=0,"",IF(INDEX(입력_운동!$A$5:$A$1004,$AI120)="","",INDEX(입력_운동!$A$5:$A$1004,$AI120)))</f>
        <v/>
      </c>
      <c r="AC120" s="60" t="str">
        <f aca="false">IF($AJ120=0,"",IF(INDEX(입력_측정!$A$5:$A$1004,$AJ120)="","",INDEX(입력_측정!$A$5:$A$1004,$AJ120)))</f>
        <v/>
      </c>
      <c r="AD120" s="60" t="str">
        <f aca="false">IF($AK120=0,"",IF(INDEX(입력_상담!$A$5:$A$1004,$AK120)="","",INDEX(입력_상담!$A$5:$A$1004,$AK120)))</f>
        <v/>
      </c>
      <c r="AE120" s="25" t="str">
        <f aca="false">IF(AND(ISNUMBER(AB120),ISNUMBER(AC120)),IF(AC120&gt;=AB120,ROUND((AC120-AB120)*1440,0),""),"")</f>
        <v/>
      </c>
      <c r="AF120" s="25" t="str">
        <f aca="false">IF(AND(ISNUMBER(AC120),ISNUMBER(AD120)),IF(AD120&gt;=AC120,ROUND((AD120-AC120)*1440,0),""),"")</f>
        <v/>
      </c>
      <c r="AG120" s="25" t="str">
        <f aca="false">IF(AND(AA120="완료",ISNUMBER(AB120),ISNUMBER(AD120)),IF(AD120&gt;=AB120,ROUND((AD120-AB120)*1440,0),""),"")</f>
        <v/>
      </c>
      <c r="AH120" s="61" t="str">
        <f aca="false">IF(AND(AK120&gt;0,AJ120=0),"측정 기록 없음",IF(AND(AJ120&gt;0,AI120=0),"운동평가 기록 없음",IF(OR(COUNTIF(입력_운동!$B$5:$B$1004,$A120)&gt;1,COUNTIF(입력_측정!$B$5:$B$1004,$A120)&gt;1),"중복 입력","")))</f>
        <v/>
      </c>
      <c r="AI120" s="62" t="n">
        <f aca="false">SUMPRODUCT(MAX((입력_운동!$B$5:$B$1004=$A120)*(ROW(입력_운동!$B$5:$B$1004)-4)))</f>
        <v>0</v>
      </c>
      <c r="AJ120" s="62" t="n">
        <f aca="false">SUMPRODUCT(MAX((입력_측정!$B$5:$B$1004=$A120)*(ROW(입력_측정!$B$5:$B$1004)-4)))</f>
        <v>0</v>
      </c>
      <c r="AK120" s="62" t="n">
        <f aca="false">SUMPRODUCT(MAX((입력_상담!$B$5:$B$1004=$A120)*(ROW(입력_상담!$B$5:$B$1004)-4)))</f>
        <v>0</v>
      </c>
    </row>
    <row r="121" customFormat="false" ht="15" hidden="false" customHeight="false" outlineLevel="0" collapsed="false">
      <c r="A121" s="55" t="n">
        <v>117</v>
      </c>
      <c r="B121" s="56"/>
      <c r="C121" s="24"/>
      <c r="D121" s="24"/>
      <c r="E121" s="56"/>
      <c r="F121" s="57"/>
      <c r="G121" s="58"/>
      <c r="H121" s="56"/>
      <c r="I121" s="24"/>
      <c r="J121" s="24"/>
      <c r="K121" s="24"/>
      <c r="L121" s="24"/>
      <c r="M121" s="24"/>
      <c r="N121" s="56"/>
      <c r="O121" s="25" t="str">
        <f aca="false">IF($AI121=0,"",IF(INDEX(입력_운동!$C$5:$C$1004,$AI121)="","",INDEX(입력_운동!$C$5:$C$1004,$AI121)))</f>
        <v/>
      </c>
      <c r="P121" s="25" t="str">
        <f aca="false">IF($AI121=0,"",IF(INDEX(입력_운동!$D$5:$D$1004,$AI121)="","",INDEX(입력_운동!$D$5:$D$1004,$AI121)))</f>
        <v/>
      </c>
      <c r="Q121" s="25" t="str">
        <f aca="false">IF($AI121=0,"",IF(INDEX(입력_운동!$E$5:$E$1004,$AI121)="","",INDEX(입력_운동!$E$5:$E$1004,$AI121)))</f>
        <v/>
      </c>
      <c r="R121" s="25" t="str">
        <f aca="false">IF($AI121=0,"",IF(INDEX(입력_운동!$F$5:$F$1004,$AI121)="","",INDEX(입력_운동!$F$5:$F$1004,$AI121)))</f>
        <v/>
      </c>
      <c r="S121" s="25" t="str">
        <f aca="false">IF($AJ121=0,"",IF(INDEX(입력_측정!$C$5:$C$1004,$AJ121)="","",INDEX(입력_측정!$C$5:$C$1004,$AJ121)))</f>
        <v/>
      </c>
      <c r="T121" s="25" t="str">
        <f aca="false">IF($AJ121=0,"",IF(INDEX(입력_측정!$D$5:$D$1004,$AJ121)="","",INDEX(입력_측정!$D$5:$D$1004,$AJ121)))</f>
        <v/>
      </c>
      <c r="U121" s="25" t="str">
        <f aca="false">IF($AJ121=0,"",IF(INDEX(입력_측정!$E$5:$E$1004,$AJ121)="","",INDEX(입력_측정!$E$5:$E$1004,$AJ121)))</f>
        <v/>
      </c>
      <c r="V121" s="25" t="str">
        <f aca="false">IF($AJ121=0,"",IF(INDEX(입력_측정!$F$5:$F$1004,$AJ121)="","",INDEX(입력_측정!$F$5:$F$1004,$AJ121)))</f>
        <v/>
      </c>
      <c r="W121" s="25" t="str">
        <f aca="false">IF($AK121=0,"",IF(INDEX(입력_상담!$D$5:$D$1004,$AK121)="","",INDEX(입력_상담!$D$5:$D$1004,$AK121)))</f>
        <v/>
      </c>
      <c r="X121" s="25" t="str">
        <f aca="false">IF($AJ121=0,"",IF(INDEX(입력_측정!$I$5:$I$1004,$AJ121)="","",INDEX(입력_측정!$I$5:$I$1004,$AJ121)))</f>
        <v/>
      </c>
      <c r="Y121" s="25" t="str">
        <f aca="false">IF($AJ121=0,"",IF(INDEX(입력_측정!$J$5:$J$1004,$AJ121)="","",INDEX(입력_측정!$J$5:$J$1004,$AJ121)))</f>
        <v/>
      </c>
      <c r="Z121" s="25" t="str">
        <f aca="false">IF(OR(X121="긴급",LEFT(Y121,2)="긴급",W121="필요",W121="완료"),"대상","")</f>
        <v/>
      </c>
      <c r="AA121" s="59" t="str">
        <f aca="false">IF(M121&lt;&gt;"",M121,IF(AK121&gt;0,IF(W121="필요","추가상담 대기","완료"),IF(AJ121&gt;0,"결과상담 대기",IF(AI121&gt;0,"측정 대기","미방문"))))</f>
        <v>미방문</v>
      </c>
      <c r="AB121" s="60" t="str">
        <f aca="false">IF($AI121=0,"",IF(INDEX(입력_운동!$A$5:$A$1004,$AI121)="","",INDEX(입력_운동!$A$5:$A$1004,$AI121)))</f>
        <v/>
      </c>
      <c r="AC121" s="60" t="str">
        <f aca="false">IF($AJ121=0,"",IF(INDEX(입력_측정!$A$5:$A$1004,$AJ121)="","",INDEX(입력_측정!$A$5:$A$1004,$AJ121)))</f>
        <v/>
      </c>
      <c r="AD121" s="60" t="str">
        <f aca="false">IF($AK121=0,"",IF(INDEX(입력_상담!$A$5:$A$1004,$AK121)="","",INDEX(입력_상담!$A$5:$A$1004,$AK121)))</f>
        <v/>
      </c>
      <c r="AE121" s="25" t="str">
        <f aca="false">IF(AND(ISNUMBER(AB121),ISNUMBER(AC121)),IF(AC121&gt;=AB121,ROUND((AC121-AB121)*1440,0),""),"")</f>
        <v/>
      </c>
      <c r="AF121" s="25" t="str">
        <f aca="false">IF(AND(ISNUMBER(AC121),ISNUMBER(AD121)),IF(AD121&gt;=AC121,ROUND((AD121-AC121)*1440,0),""),"")</f>
        <v/>
      </c>
      <c r="AG121" s="25" t="str">
        <f aca="false">IF(AND(AA121="완료",ISNUMBER(AB121),ISNUMBER(AD121)),IF(AD121&gt;=AB121,ROUND((AD121-AB121)*1440,0),""),"")</f>
        <v/>
      </c>
      <c r="AH121" s="61" t="str">
        <f aca="false">IF(AND(AK121&gt;0,AJ121=0),"측정 기록 없음",IF(AND(AJ121&gt;0,AI121=0),"운동평가 기록 없음",IF(OR(COUNTIF(입력_운동!$B$5:$B$1004,$A121)&gt;1,COUNTIF(입력_측정!$B$5:$B$1004,$A121)&gt;1),"중복 입력","")))</f>
        <v/>
      </c>
      <c r="AI121" s="62" t="n">
        <f aca="false">SUMPRODUCT(MAX((입력_운동!$B$5:$B$1004=$A121)*(ROW(입력_운동!$B$5:$B$1004)-4)))</f>
        <v>0</v>
      </c>
      <c r="AJ121" s="62" t="n">
        <f aca="false">SUMPRODUCT(MAX((입력_측정!$B$5:$B$1004=$A121)*(ROW(입력_측정!$B$5:$B$1004)-4)))</f>
        <v>0</v>
      </c>
      <c r="AK121" s="62" t="n">
        <f aca="false">SUMPRODUCT(MAX((입력_상담!$B$5:$B$1004=$A121)*(ROW(입력_상담!$B$5:$B$1004)-4)))</f>
        <v>0</v>
      </c>
    </row>
    <row r="122" customFormat="false" ht="15" hidden="false" customHeight="false" outlineLevel="0" collapsed="false">
      <c r="A122" s="55" t="n">
        <v>118</v>
      </c>
      <c r="B122" s="56"/>
      <c r="C122" s="24"/>
      <c r="D122" s="24"/>
      <c r="E122" s="56"/>
      <c r="F122" s="57"/>
      <c r="G122" s="58"/>
      <c r="H122" s="56"/>
      <c r="I122" s="24"/>
      <c r="J122" s="24"/>
      <c r="K122" s="24"/>
      <c r="L122" s="24"/>
      <c r="M122" s="24"/>
      <c r="N122" s="56"/>
      <c r="O122" s="25" t="str">
        <f aca="false">IF($AI122=0,"",IF(INDEX(입력_운동!$C$5:$C$1004,$AI122)="","",INDEX(입력_운동!$C$5:$C$1004,$AI122)))</f>
        <v/>
      </c>
      <c r="P122" s="25" t="str">
        <f aca="false">IF($AI122=0,"",IF(INDEX(입력_운동!$D$5:$D$1004,$AI122)="","",INDEX(입력_운동!$D$5:$D$1004,$AI122)))</f>
        <v/>
      </c>
      <c r="Q122" s="25" t="str">
        <f aca="false">IF($AI122=0,"",IF(INDEX(입력_운동!$E$5:$E$1004,$AI122)="","",INDEX(입력_운동!$E$5:$E$1004,$AI122)))</f>
        <v/>
      </c>
      <c r="R122" s="25" t="str">
        <f aca="false">IF($AI122=0,"",IF(INDEX(입력_운동!$F$5:$F$1004,$AI122)="","",INDEX(입력_운동!$F$5:$F$1004,$AI122)))</f>
        <v/>
      </c>
      <c r="S122" s="25" t="str">
        <f aca="false">IF($AJ122=0,"",IF(INDEX(입력_측정!$C$5:$C$1004,$AJ122)="","",INDEX(입력_측정!$C$5:$C$1004,$AJ122)))</f>
        <v/>
      </c>
      <c r="T122" s="25" t="str">
        <f aca="false">IF($AJ122=0,"",IF(INDEX(입력_측정!$D$5:$D$1004,$AJ122)="","",INDEX(입력_측정!$D$5:$D$1004,$AJ122)))</f>
        <v/>
      </c>
      <c r="U122" s="25" t="str">
        <f aca="false">IF($AJ122=0,"",IF(INDEX(입력_측정!$E$5:$E$1004,$AJ122)="","",INDEX(입력_측정!$E$5:$E$1004,$AJ122)))</f>
        <v/>
      </c>
      <c r="V122" s="25" t="str">
        <f aca="false">IF($AJ122=0,"",IF(INDEX(입력_측정!$F$5:$F$1004,$AJ122)="","",INDEX(입력_측정!$F$5:$F$1004,$AJ122)))</f>
        <v/>
      </c>
      <c r="W122" s="25" t="str">
        <f aca="false">IF($AK122=0,"",IF(INDEX(입력_상담!$D$5:$D$1004,$AK122)="","",INDEX(입력_상담!$D$5:$D$1004,$AK122)))</f>
        <v/>
      </c>
      <c r="X122" s="25" t="str">
        <f aca="false">IF($AJ122=0,"",IF(INDEX(입력_측정!$I$5:$I$1004,$AJ122)="","",INDEX(입력_측정!$I$5:$I$1004,$AJ122)))</f>
        <v/>
      </c>
      <c r="Y122" s="25" t="str">
        <f aca="false">IF($AJ122=0,"",IF(INDEX(입력_측정!$J$5:$J$1004,$AJ122)="","",INDEX(입력_측정!$J$5:$J$1004,$AJ122)))</f>
        <v/>
      </c>
      <c r="Z122" s="25" t="str">
        <f aca="false">IF(OR(X122="긴급",LEFT(Y122,2)="긴급",W122="필요",W122="완료"),"대상","")</f>
        <v/>
      </c>
      <c r="AA122" s="59" t="str">
        <f aca="false">IF(M122&lt;&gt;"",M122,IF(AK122&gt;0,IF(W122="필요","추가상담 대기","완료"),IF(AJ122&gt;0,"결과상담 대기",IF(AI122&gt;0,"측정 대기","미방문"))))</f>
        <v>미방문</v>
      </c>
      <c r="AB122" s="60" t="str">
        <f aca="false">IF($AI122=0,"",IF(INDEX(입력_운동!$A$5:$A$1004,$AI122)="","",INDEX(입력_운동!$A$5:$A$1004,$AI122)))</f>
        <v/>
      </c>
      <c r="AC122" s="60" t="str">
        <f aca="false">IF($AJ122=0,"",IF(INDEX(입력_측정!$A$5:$A$1004,$AJ122)="","",INDEX(입력_측정!$A$5:$A$1004,$AJ122)))</f>
        <v/>
      </c>
      <c r="AD122" s="60" t="str">
        <f aca="false">IF($AK122=0,"",IF(INDEX(입력_상담!$A$5:$A$1004,$AK122)="","",INDEX(입력_상담!$A$5:$A$1004,$AK122)))</f>
        <v/>
      </c>
      <c r="AE122" s="25" t="str">
        <f aca="false">IF(AND(ISNUMBER(AB122),ISNUMBER(AC122)),IF(AC122&gt;=AB122,ROUND((AC122-AB122)*1440,0),""),"")</f>
        <v/>
      </c>
      <c r="AF122" s="25" t="str">
        <f aca="false">IF(AND(ISNUMBER(AC122),ISNUMBER(AD122)),IF(AD122&gt;=AC122,ROUND((AD122-AC122)*1440,0),""),"")</f>
        <v/>
      </c>
      <c r="AG122" s="25" t="str">
        <f aca="false">IF(AND(AA122="완료",ISNUMBER(AB122),ISNUMBER(AD122)),IF(AD122&gt;=AB122,ROUND((AD122-AB122)*1440,0),""),"")</f>
        <v/>
      </c>
      <c r="AH122" s="61" t="str">
        <f aca="false">IF(AND(AK122&gt;0,AJ122=0),"측정 기록 없음",IF(AND(AJ122&gt;0,AI122=0),"운동평가 기록 없음",IF(OR(COUNTIF(입력_운동!$B$5:$B$1004,$A122)&gt;1,COUNTIF(입력_측정!$B$5:$B$1004,$A122)&gt;1),"중복 입력","")))</f>
        <v/>
      </c>
      <c r="AI122" s="62" t="n">
        <f aca="false">SUMPRODUCT(MAX((입력_운동!$B$5:$B$1004=$A122)*(ROW(입력_운동!$B$5:$B$1004)-4)))</f>
        <v>0</v>
      </c>
      <c r="AJ122" s="62" t="n">
        <f aca="false">SUMPRODUCT(MAX((입력_측정!$B$5:$B$1004=$A122)*(ROW(입력_측정!$B$5:$B$1004)-4)))</f>
        <v>0</v>
      </c>
      <c r="AK122" s="62" t="n">
        <f aca="false">SUMPRODUCT(MAX((입력_상담!$B$5:$B$1004=$A122)*(ROW(입력_상담!$B$5:$B$1004)-4)))</f>
        <v>0</v>
      </c>
    </row>
    <row r="123" customFormat="false" ht="15" hidden="false" customHeight="false" outlineLevel="0" collapsed="false">
      <c r="A123" s="55" t="n">
        <v>119</v>
      </c>
      <c r="B123" s="56"/>
      <c r="C123" s="24"/>
      <c r="D123" s="24"/>
      <c r="E123" s="56"/>
      <c r="F123" s="57"/>
      <c r="G123" s="58"/>
      <c r="H123" s="56"/>
      <c r="I123" s="24"/>
      <c r="J123" s="24"/>
      <c r="K123" s="24"/>
      <c r="L123" s="24"/>
      <c r="M123" s="24"/>
      <c r="N123" s="56"/>
      <c r="O123" s="25" t="str">
        <f aca="false">IF($AI123=0,"",IF(INDEX(입력_운동!$C$5:$C$1004,$AI123)="","",INDEX(입력_운동!$C$5:$C$1004,$AI123)))</f>
        <v/>
      </c>
      <c r="P123" s="25" t="str">
        <f aca="false">IF($AI123=0,"",IF(INDEX(입력_운동!$D$5:$D$1004,$AI123)="","",INDEX(입력_운동!$D$5:$D$1004,$AI123)))</f>
        <v/>
      </c>
      <c r="Q123" s="25" t="str">
        <f aca="false">IF($AI123=0,"",IF(INDEX(입력_운동!$E$5:$E$1004,$AI123)="","",INDEX(입력_운동!$E$5:$E$1004,$AI123)))</f>
        <v/>
      </c>
      <c r="R123" s="25" t="str">
        <f aca="false">IF($AI123=0,"",IF(INDEX(입력_운동!$F$5:$F$1004,$AI123)="","",INDEX(입력_운동!$F$5:$F$1004,$AI123)))</f>
        <v/>
      </c>
      <c r="S123" s="25" t="str">
        <f aca="false">IF($AJ123=0,"",IF(INDEX(입력_측정!$C$5:$C$1004,$AJ123)="","",INDEX(입력_측정!$C$5:$C$1004,$AJ123)))</f>
        <v/>
      </c>
      <c r="T123" s="25" t="str">
        <f aca="false">IF($AJ123=0,"",IF(INDEX(입력_측정!$D$5:$D$1004,$AJ123)="","",INDEX(입력_측정!$D$5:$D$1004,$AJ123)))</f>
        <v/>
      </c>
      <c r="U123" s="25" t="str">
        <f aca="false">IF($AJ123=0,"",IF(INDEX(입력_측정!$E$5:$E$1004,$AJ123)="","",INDEX(입력_측정!$E$5:$E$1004,$AJ123)))</f>
        <v/>
      </c>
      <c r="V123" s="25" t="str">
        <f aca="false">IF($AJ123=0,"",IF(INDEX(입력_측정!$F$5:$F$1004,$AJ123)="","",INDEX(입력_측정!$F$5:$F$1004,$AJ123)))</f>
        <v/>
      </c>
      <c r="W123" s="25" t="str">
        <f aca="false">IF($AK123=0,"",IF(INDEX(입력_상담!$D$5:$D$1004,$AK123)="","",INDEX(입력_상담!$D$5:$D$1004,$AK123)))</f>
        <v/>
      </c>
      <c r="X123" s="25" t="str">
        <f aca="false">IF($AJ123=0,"",IF(INDEX(입력_측정!$I$5:$I$1004,$AJ123)="","",INDEX(입력_측정!$I$5:$I$1004,$AJ123)))</f>
        <v/>
      </c>
      <c r="Y123" s="25" t="str">
        <f aca="false">IF($AJ123=0,"",IF(INDEX(입력_측정!$J$5:$J$1004,$AJ123)="","",INDEX(입력_측정!$J$5:$J$1004,$AJ123)))</f>
        <v/>
      </c>
      <c r="Z123" s="25" t="str">
        <f aca="false">IF(OR(X123="긴급",LEFT(Y123,2)="긴급",W123="필요",W123="완료"),"대상","")</f>
        <v/>
      </c>
      <c r="AA123" s="59" t="str">
        <f aca="false">IF(M123&lt;&gt;"",M123,IF(AK123&gt;0,IF(W123="필요","추가상담 대기","완료"),IF(AJ123&gt;0,"결과상담 대기",IF(AI123&gt;0,"측정 대기","미방문"))))</f>
        <v>미방문</v>
      </c>
      <c r="AB123" s="60" t="str">
        <f aca="false">IF($AI123=0,"",IF(INDEX(입력_운동!$A$5:$A$1004,$AI123)="","",INDEX(입력_운동!$A$5:$A$1004,$AI123)))</f>
        <v/>
      </c>
      <c r="AC123" s="60" t="str">
        <f aca="false">IF($AJ123=0,"",IF(INDEX(입력_측정!$A$5:$A$1004,$AJ123)="","",INDEX(입력_측정!$A$5:$A$1004,$AJ123)))</f>
        <v/>
      </c>
      <c r="AD123" s="60" t="str">
        <f aca="false">IF($AK123=0,"",IF(INDEX(입력_상담!$A$5:$A$1004,$AK123)="","",INDEX(입력_상담!$A$5:$A$1004,$AK123)))</f>
        <v/>
      </c>
      <c r="AE123" s="25" t="str">
        <f aca="false">IF(AND(ISNUMBER(AB123),ISNUMBER(AC123)),IF(AC123&gt;=AB123,ROUND((AC123-AB123)*1440,0),""),"")</f>
        <v/>
      </c>
      <c r="AF123" s="25" t="str">
        <f aca="false">IF(AND(ISNUMBER(AC123),ISNUMBER(AD123)),IF(AD123&gt;=AC123,ROUND((AD123-AC123)*1440,0),""),"")</f>
        <v/>
      </c>
      <c r="AG123" s="25" t="str">
        <f aca="false">IF(AND(AA123="완료",ISNUMBER(AB123),ISNUMBER(AD123)),IF(AD123&gt;=AB123,ROUND((AD123-AB123)*1440,0),""),"")</f>
        <v/>
      </c>
      <c r="AH123" s="61" t="str">
        <f aca="false">IF(AND(AK123&gt;0,AJ123=0),"측정 기록 없음",IF(AND(AJ123&gt;0,AI123=0),"운동평가 기록 없음",IF(OR(COUNTIF(입력_운동!$B$5:$B$1004,$A123)&gt;1,COUNTIF(입력_측정!$B$5:$B$1004,$A123)&gt;1),"중복 입력","")))</f>
        <v/>
      </c>
      <c r="AI123" s="62" t="n">
        <f aca="false">SUMPRODUCT(MAX((입력_운동!$B$5:$B$1004=$A123)*(ROW(입력_운동!$B$5:$B$1004)-4)))</f>
        <v>0</v>
      </c>
      <c r="AJ123" s="62" t="n">
        <f aca="false">SUMPRODUCT(MAX((입력_측정!$B$5:$B$1004=$A123)*(ROW(입력_측정!$B$5:$B$1004)-4)))</f>
        <v>0</v>
      </c>
      <c r="AK123" s="62" t="n">
        <f aca="false">SUMPRODUCT(MAX((입력_상담!$B$5:$B$1004=$A123)*(ROW(입력_상담!$B$5:$B$1004)-4)))</f>
        <v>0</v>
      </c>
    </row>
    <row r="124" customFormat="false" ht="15" hidden="false" customHeight="false" outlineLevel="0" collapsed="false">
      <c r="A124" s="55" t="n">
        <v>120</v>
      </c>
      <c r="B124" s="56"/>
      <c r="C124" s="24"/>
      <c r="D124" s="24"/>
      <c r="E124" s="56"/>
      <c r="F124" s="57"/>
      <c r="G124" s="58"/>
      <c r="H124" s="56"/>
      <c r="I124" s="24"/>
      <c r="J124" s="24"/>
      <c r="K124" s="24"/>
      <c r="L124" s="24"/>
      <c r="M124" s="24"/>
      <c r="N124" s="56"/>
      <c r="O124" s="25" t="str">
        <f aca="false">IF($AI124=0,"",IF(INDEX(입력_운동!$C$5:$C$1004,$AI124)="","",INDEX(입력_운동!$C$5:$C$1004,$AI124)))</f>
        <v/>
      </c>
      <c r="P124" s="25" t="str">
        <f aca="false">IF($AI124=0,"",IF(INDEX(입력_운동!$D$5:$D$1004,$AI124)="","",INDEX(입력_운동!$D$5:$D$1004,$AI124)))</f>
        <v/>
      </c>
      <c r="Q124" s="25" t="str">
        <f aca="false">IF($AI124=0,"",IF(INDEX(입력_운동!$E$5:$E$1004,$AI124)="","",INDEX(입력_운동!$E$5:$E$1004,$AI124)))</f>
        <v/>
      </c>
      <c r="R124" s="25" t="str">
        <f aca="false">IF($AI124=0,"",IF(INDEX(입력_운동!$F$5:$F$1004,$AI124)="","",INDEX(입력_운동!$F$5:$F$1004,$AI124)))</f>
        <v/>
      </c>
      <c r="S124" s="25" t="str">
        <f aca="false">IF($AJ124=0,"",IF(INDEX(입력_측정!$C$5:$C$1004,$AJ124)="","",INDEX(입력_측정!$C$5:$C$1004,$AJ124)))</f>
        <v/>
      </c>
      <c r="T124" s="25" t="str">
        <f aca="false">IF($AJ124=0,"",IF(INDEX(입력_측정!$D$5:$D$1004,$AJ124)="","",INDEX(입력_측정!$D$5:$D$1004,$AJ124)))</f>
        <v/>
      </c>
      <c r="U124" s="25" t="str">
        <f aca="false">IF($AJ124=0,"",IF(INDEX(입력_측정!$E$5:$E$1004,$AJ124)="","",INDEX(입력_측정!$E$5:$E$1004,$AJ124)))</f>
        <v/>
      </c>
      <c r="V124" s="25" t="str">
        <f aca="false">IF($AJ124=0,"",IF(INDEX(입력_측정!$F$5:$F$1004,$AJ124)="","",INDEX(입력_측정!$F$5:$F$1004,$AJ124)))</f>
        <v/>
      </c>
      <c r="W124" s="25" t="str">
        <f aca="false">IF($AK124=0,"",IF(INDEX(입력_상담!$D$5:$D$1004,$AK124)="","",INDEX(입력_상담!$D$5:$D$1004,$AK124)))</f>
        <v/>
      </c>
      <c r="X124" s="25" t="str">
        <f aca="false">IF($AJ124=0,"",IF(INDEX(입력_측정!$I$5:$I$1004,$AJ124)="","",INDEX(입력_측정!$I$5:$I$1004,$AJ124)))</f>
        <v/>
      </c>
      <c r="Y124" s="25" t="str">
        <f aca="false">IF($AJ124=0,"",IF(INDEX(입력_측정!$J$5:$J$1004,$AJ124)="","",INDEX(입력_측정!$J$5:$J$1004,$AJ124)))</f>
        <v/>
      </c>
      <c r="Z124" s="25" t="str">
        <f aca="false">IF(OR(X124="긴급",LEFT(Y124,2)="긴급",W124="필요",W124="완료"),"대상","")</f>
        <v/>
      </c>
      <c r="AA124" s="59" t="str">
        <f aca="false">IF(M124&lt;&gt;"",M124,IF(AK124&gt;0,IF(W124="필요","추가상담 대기","완료"),IF(AJ124&gt;0,"결과상담 대기",IF(AI124&gt;0,"측정 대기","미방문"))))</f>
        <v>미방문</v>
      </c>
      <c r="AB124" s="60" t="str">
        <f aca="false">IF($AI124=0,"",IF(INDEX(입력_운동!$A$5:$A$1004,$AI124)="","",INDEX(입력_운동!$A$5:$A$1004,$AI124)))</f>
        <v/>
      </c>
      <c r="AC124" s="60" t="str">
        <f aca="false">IF($AJ124=0,"",IF(INDEX(입력_측정!$A$5:$A$1004,$AJ124)="","",INDEX(입력_측정!$A$5:$A$1004,$AJ124)))</f>
        <v/>
      </c>
      <c r="AD124" s="60" t="str">
        <f aca="false">IF($AK124=0,"",IF(INDEX(입력_상담!$A$5:$A$1004,$AK124)="","",INDEX(입력_상담!$A$5:$A$1004,$AK124)))</f>
        <v/>
      </c>
      <c r="AE124" s="25" t="str">
        <f aca="false">IF(AND(ISNUMBER(AB124),ISNUMBER(AC124)),IF(AC124&gt;=AB124,ROUND((AC124-AB124)*1440,0),""),"")</f>
        <v/>
      </c>
      <c r="AF124" s="25" t="str">
        <f aca="false">IF(AND(ISNUMBER(AC124),ISNUMBER(AD124)),IF(AD124&gt;=AC124,ROUND((AD124-AC124)*1440,0),""),"")</f>
        <v/>
      </c>
      <c r="AG124" s="25" t="str">
        <f aca="false">IF(AND(AA124="완료",ISNUMBER(AB124),ISNUMBER(AD124)),IF(AD124&gt;=AB124,ROUND((AD124-AB124)*1440,0),""),"")</f>
        <v/>
      </c>
      <c r="AH124" s="61" t="str">
        <f aca="false">IF(AND(AK124&gt;0,AJ124=0),"측정 기록 없음",IF(AND(AJ124&gt;0,AI124=0),"운동평가 기록 없음",IF(OR(COUNTIF(입력_운동!$B$5:$B$1004,$A124)&gt;1,COUNTIF(입력_측정!$B$5:$B$1004,$A124)&gt;1),"중복 입력","")))</f>
        <v/>
      </c>
      <c r="AI124" s="62" t="n">
        <f aca="false">SUMPRODUCT(MAX((입력_운동!$B$5:$B$1004=$A124)*(ROW(입력_운동!$B$5:$B$1004)-4)))</f>
        <v>0</v>
      </c>
      <c r="AJ124" s="62" t="n">
        <f aca="false">SUMPRODUCT(MAX((입력_측정!$B$5:$B$1004=$A124)*(ROW(입력_측정!$B$5:$B$1004)-4)))</f>
        <v>0</v>
      </c>
      <c r="AK124" s="62" t="n">
        <f aca="false">SUMPRODUCT(MAX((입력_상담!$B$5:$B$1004=$A124)*(ROW(입력_상담!$B$5:$B$1004)-4)))</f>
        <v>0</v>
      </c>
    </row>
    <row r="125" customFormat="false" ht="15" hidden="false" customHeight="false" outlineLevel="0" collapsed="false">
      <c r="A125" s="55" t="n">
        <v>121</v>
      </c>
      <c r="B125" s="56"/>
      <c r="C125" s="24"/>
      <c r="D125" s="24"/>
      <c r="E125" s="56"/>
      <c r="F125" s="57"/>
      <c r="G125" s="58"/>
      <c r="H125" s="56"/>
      <c r="I125" s="24"/>
      <c r="J125" s="24"/>
      <c r="K125" s="24"/>
      <c r="L125" s="24"/>
      <c r="M125" s="24"/>
      <c r="N125" s="56"/>
      <c r="O125" s="25" t="str">
        <f aca="false">IF($AI125=0,"",IF(INDEX(입력_운동!$C$5:$C$1004,$AI125)="","",INDEX(입력_운동!$C$5:$C$1004,$AI125)))</f>
        <v/>
      </c>
      <c r="P125" s="25" t="str">
        <f aca="false">IF($AI125=0,"",IF(INDEX(입력_운동!$D$5:$D$1004,$AI125)="","",INDEX(입력_운동!$D$5:$D$1004,$AI125)))</f>
        <v/>
      </c>
      <c r="Q125" s="25" t="str">
        <f aca="false">IF($AI125=0,"",IF(INDEX(입력_운동!$E$5:$E$1004,$AI125)="","",INDEX(입력_운동!$E$5:$E$1004,$AI125)))</f>
        <v/>
      </c>
      <c r="R125" s="25" t="str">
        <f aca="false">IF($AI125=0,"",IF(INDEX(입력_운동!$F$5:$F$1004,$AI125)="","",INDEX(입력_운동!$F$5:$F$1004,$AI125)))</f>
        <v/>
      </c>
      <c r="S125" s="25" t="str">
        <f aca="false">IF($AJ125=0,"",IF(INDEX(입력_측정!$C$5:$C$1004,$AJ125)="","",INDEX(입력_측정!$C$5:$C$1004,$AJ125)))</f>
        <v/>
      </c>
      <c r="T125" s="25" t="str">
        <f aca="false">IF($AJ125=0,"",IF(INDEX(입력_측정!$D$5:$D$1004,$AJ125)="","",INDEX(입력_측정!$D$5:$D$1004,$AJ125)))</f>
        <v/>
      </c>
      <c r="U125" s="25" t="str">
        <f aca="false">IF($AJ125=0,"",IF(INDEX(입력_측정!$E$5:$E$1004,$AJ125)="","",INDEX(입력_측정!$E$5:$E$1004,$AJ125)))</f>
        <v/>
      </c>
      <c r="V125" s="25" t="str">
        <f aca="false">IF($AJ125=0,"",IF(INDEX(입력_측정!$F$5:$F$1004,$AJ125)="","",INDEX(입력_측정!$F$5:$F$1004,$AJ125)))</f>
        <v/>
      </c>
      <c r="W125" s="25" t="str">
        <f aca="false">IF($AK125=0,"",IF(INDEX(입력_상담!$D$5:$D$1004,$AK125)="","",INDEX(입력_상담!$D$5:$D$1004,$AK125)))</f>
        <v/>
      </c>
      <c r="X125" s="25" t="str">
        <f aca="false">IF($AJ125=0,"",IF(INDEX(입력_측정!$I$5:$I$1004,$AJ125)="","",INDEX(입력_측정!$I$5:$I$1004,$AJ125)))</f>
        <v/>
      </c>
      <c r="Y125" s="25" t="str">
        <f aca="false">IF($AJ125=0,"",IF(INDEX(입력_측정!$J$5:$J$1004,$AJ125)="","",INDEX(입력_측정!$J$5:$J$1004,$AJ125)))</f>
        <v/>
      </c>
      <c r="Z125" s="25" t="str">
        <f aca="false">IF(OR(X125="긴급",LEFT(Y125,2)="긴급",W125="필요",W125="완료"),"대상","")</f>
        <v/>
      </c>
      <c r="AA125" s="59" t="str">
        <f aca="false">IF(M125&lt;&gt;"",M125,IF(AK125&gt;0,IF(W125="필요","추가상담 대기","완료"),IF(AJ125&gt;0,"결과상담 대기",IF(AI125&gt;0,"측정 대기","미방문"))))</f>
        <v>미방문</v>
      </c>
      <c r="AB125" s="60" t="str">
        <f aca="false">IF($AI125=0,"",IF(INDEX(입력_운동!$A$5:$A$1004,$AI125)="","",INDEX(입력_운동!$A$5:$A$1004,$AI125)))</f>
        <v/>
      </c>
      <c r="AC125" s="60" t="str">
        <f aca="false">IF($AJ125=0,"",IF(INDEX(입력_측정!$A$5:$A$1004,$AJ125)="","",INDEX(입력_측정!$A$5:$A$1004,$AJ125)))</f>
        <v/>
      </c>
      <c r="AD125" s="60" t="str">
        <f aca="false">IF($AK125=0,"",IF(INDEX(입력_상담!$A$5:$A$1004,$AK125)="","",INDEX(입력_상담!$A$5:$A$1004,$AK125)))</f>
        <v/>
      </c>
      <c r="AE125" s="25" t="str">
        <f aca="false">IF(AND(ISNUMBER(AB125),ISNUMBER(AC125)),IF(AC125&gt;=AB125,ROUND((AC125-AB125)*1440,0),""),"")</f>
        <v/>
      </c>
      <c r="AF125" s="25" t="str">
        <f aca="false">IF(AND(ISNUMBER(AC125),ISNUMBER(AD125)),IF(AD125&gt;=AC125,ROUND((AD125-AC125)*1440,0),""),"")</f>
        <v/>
      </c>
      <c r="AG125" s="25" t="str">
        <f aca="false">IF(AND(AA125="완료",ISNUMBER(AB125),ISNUMBER(AD125)),IF(AD125&gt;=AB125,ROUND((AD125-AB125)*1440,0),""),"")</f>
        <v/>
      </c>
      <c r="AH125" s="61" t="str">
        <f aca="false">IF(AND(AK125&gt;0,AJ125=0),"측정 기록 없음",IF(AND(AJ125&gt;0,AI125=0),"운동평가 기록 없음",IF(OR(COUNTIF(입력_운동!$B$5:$B$1004,$A125)&gt;1,COUNTIF(입력_측정!$B$5:$B$1004,$A125)&gt;1),"중복 입력","")))</f>
        <v/>
      </c>
      <c r="AI125" s="62" t="n">
        <f aca="false">SUMPRODUCT(MAX((입력_운동!$B$5:$B$1004=$A125)*(ROW(입력_운동!$B$5:$B$1004)-4)))</f>
        <v>0</v>
      </c>
      <c r="AJ125" s="62" t="n">
        <f aca="false">SUMPRODUCT(MAX((입력_측정!$B$5:$B$1004=$A125)*(ROW(입력_측정!$B$5:$B$1004)-4)))</f>
        <v>0</v>
      </c>
      <c r="AK125" s="62" t="n">
        <f aca="false">SUMPRODUCT(MAX((입력_상담!$B$5:$B$1004=$A125)*(ROW(입력_상담!$B$5:$B$1004)-4)))</f>
        <v>0</v>
      </c>
    </row>
    <row r="126" customFormat="false" ht="15" hidden="false" customHeight="false" outlineLevel="0" collapsed="false">
      <c r="A126" s="55" t="n">
        <v>122</v>
      </c>
      <c r="B126" s="56"/>
      <c r="C126" s="24"/>
      <c r="D126" s="24"/>
      <c r="E126" s="56"/>
      <c r="F126" s="57"/>
      <c r="G126" s="58"/>
      <c r="H126" s="56"/>
      <c r="I126" s="24"/>
      <c r="J126" s="24"/>
      <c r="K126" s="24"/>
      <c r="L126" s="24"/>
      <c r="M126" s="24"/>
      <c r="N126" s="56"/>
      <c r="O126" s="25" t="str">
        <f aca="false">IF($AI126=0,"",IF(INDEX(입력_운동!$C$5:$C$1004,$AI126)="","",INDEX(입력_운동!$C$5:$C$1004,$AI126)))</f>
        <v/>
      </c>
      <c r="P126" s="25" t="str">
        <f aca="false">IF($AI126=0,"",IF(INDEX(입력_운동!$D$5:$D$1004,$AI126)="","",INDEX(입력_운동!$D$5:$D$1004,$AI126)))</f>
        <v/>
      </c>
      <c r="Q126" s="25" t="str">
        <f aca="false">IF($AI126=0,"",IF(INDEX(입력_운동!$E$5:$E$1004,$AI126)="","",INDEX(입력_운동!$E$5:$E$1004,$AI126)))</f>
        <v/>
      </c>
      <c r="R126" s="25" t="str">
        <f aca="false">IF($AI126=0,"",IF(INDEX(입력_운동!$F$5:$F$1004,$AI126)="","",INDEX(입력_운동!$F$5:$F$1004,$AI126)))</f>
        <v/>
      </c>
      <c r="S126" s="25" t="str">
        <f aca="false">IF($AJ126=0,"",IF(INDEX(입력_측정!$C$5:$C$1004,$AJ126)="","",INDEX(입력_측정!$C$5:$C$1004,$AJ126)))</f>
        <v/>
      </c>
      <c r="T126" s="25" t="str">
        <f aca="false">IF($AJ126=0,"",IF(INDEX(입력_측정!$D$5:$D$1004,$AJ126)="","",INDEX(입력_측정!$D$5:$D$1004,$AJ126)))</f>
        <v/>
      </c>
      <c r="U126" s="25" t="str">
        <f aca="false">IF($AJ126=0,"",IF(INDEX(입력_측정!$E$5:$E$1004,$AJ126)="","",INDEX(입력_측정!$E$5:$E$1004,$AJ126)))</f>
        <v/>
      </c>
      <c r="V126" s="25" t="str">
        <f aca="false">IF($AJ126=0,"",IF(INDEX(입력_측정!$F$5:$F$1004,$AJ126)="","",INDEX(입력_측정!$F$5:$F$1004,$AJ126)))</f>
        <v/>
      </c>
      <c r="W126" s="25" t="str">
        <f aca="false">IF($AK126=0,"",IF(INDEX(입력_상담!$D$5:$D$1004,$AK126)="","",INDEX(입력_상담!$D$5:$D$1004,$AK126)))</f>
        <v/>
      </c>
      <c r="X126" s="25" t="str">
        <f aca="false">IF($AJ126=0,"",IF(INDEX(입력_측정!$I$5:$I$1004,$AJ126)="","",INDEX(입력_측정!$I$5:$I$1004,$AJ126)))</f>
        <v/>
      </c>
      <c r="Y126" s="25" t="str">
        <f aca="false">IF($AJ126=0,"",IF(INDEX(입력_측정!$J$5:$J$1004,$AJ126)="","",INDEX(입력_측정!$J$5:$J$1004,$AJ126)))</f>
        <v/>
      </c>
      <c r="Z126" s="25" t="str">
        <f aca="false">IF(OR(X126="긴급",LEFT(Y126,2)="긴급",W126="필요",W126="완료"),"대상","")</f>
        <v/>
      </c>
      <c r="AA126" s="59" t="str">
        <f aca="false">IF(M126&lt;&gt;"",M126,IF(AK126&gt;0,IF(W126="필요","추가상담 대기","완료"),IF(AJ126&gt;0,"결과상담 대기",IF(AI126&gt;0,"측정 대기","미방문"))))</f>
        <v>미방문</v>
      </c>
      <c r="AB126" s="60" t="str">
        <f aca="false">IF($AI126=0,"",IF(INDEX(입력_운동!$A$5:$A$1004,$AI126)="","",INDEX(입력_운동!$A$5:$A$1004,$AI126)))</f>
        <v/>
      </c>
      <c r="AC126" s="60" t="str">
        <f aca="false">IF($AJ126=0,"",IF(INDEX(입력_측정!$A$5:$A$1004,$AJ126)="","",INDEX(입력_측정!$A$5:$A$1004,$AJ126)))</f>
        <v/>
      </c>
      <c r="AD126" s="60" t="str">
        <f aca="false">IF($AK126=0,"",IF(INDEX(입력_상담!$A$5:$A$1004,$AK126)="","",INDEX(입력_상담!$A$5:$A$1004,$AK126)))</f>
        <v/>
      </c>
      <c r="AE126" s="25" t="str">
        <f aca="false">IF(AND(ISNUMBER(AB126),ISNUMBER(AC126)),IF(AC126&gt;=AB126,ROUND((AC126-AB126)*1440,0),""),"")</f>
        <v/>
      </c>
      <c r="AF126" s="25" t="str">
        <f aca="false">IF(AND(ISNUMBER(AC126),ISNUMBER(AD126)),IF(AD126&gt;=AC126,ROUND((AD126-AC126)*1440,0),""),"")</f>
        <v/>
      </c>
      <c r="AG126" s="25" t="str">
        <f aca="false">IF(AND(AA126="완료",ISNUMBER(AB126),ISNUMBER(AD126)),IF(AD126&gt;=AB126,ROUND((AD126-AB126)*1440,0),""),"")</f>
        <v/>
      </c>
      <c r="AH126" s="61" t="str">
        <f aca="false">IF(AND(AK126&gt;0,AJ126=0),"측정 기록 없음",IF(AND(AJ126&gt;0,AI126=0),"운동평가 기록 없음",IF(OR(COUNTIF(입력_운동!$B$5:$B$1004,$A126)&gt;1,COUNTIF(입력_측정!$B$5:$B$1004,$A126)&gt;1),"중복 입력","")))</f>
        <v/>
      </c>
      <c r="AI126" s="62" t="n">
        <f aca="false">SUMPRODUCT(MAX((입력_운동!$B$5:$B$1004=$A126)*(ROW(입력_운동!$B$5:$B$1004)-4)))</f>
        <v>0</v>
      </c>
      <c r="AJ126" s="62" t="n">
        <f aca="false">SUMPRODUCT(MAX((입력_측정!$B$5:$B$1004=$A126)*(ROW(입력_측정!$B$5:$B$1004)-4)))</f>
        <v>0</v>
      </c>
      <c r="AK126" s="62" t="n">
        <f aca="false">SUMPRODUCT(MAX((입력_상담!$B$5:$B$1004=$A126)*(ROW(입력_상담!$B$5:$B$1004)-4)))</f>
        <v>0</v>
      </c>
    </row>
    <row r="127" customFormat="false" ht="15" hidden="false" customHeight="false" outlineLevel="0" collapsed="false">
      <c r="A127" s="55" t="n">
        <v>123</v>
      </c>
      <c r="B127" s="56"/>
      <c r="C127" s="24"/>
      <c r="D127" s="24"/>
      <c r="E127" s="56"/>
      <c r="F127" s="57"/>
      <c r="G127" s="58"/>
      <c r="H127" s="56"/>
      <c r="I127" s="24"/>
      <c r="J127" s="24"/>
      <c r="K127" s="24"/>
      <c r="L127" s="24"/>
      <c r="M127" s="24"/>
      <c r="N127" s="56"/>
      <c r="O127" s="25" t="str">
        <f aca="false">IF($AI127=0,"",IF(INDEX(입력_운동!$C$5:$C$1004,$AI127)="","",INDEX(입력_운동!$C$5:$C$1004,$AI127)))</f>
        <v/>
      </c>
      <c r="P127" s="25" t="str">
        <f aca="false">IF($AI127=0,"",IF(INDEX(입력_운동!$D$5:$D$1004,$AI127)="","",INDEX(입력_운동!$D$5:$D$1004,$AI127)))</f>
        <v/>
      </c>
      <c r="Q127" s="25" t="str">
        <f aca="false">IF($AI127=0,"",IF(INDEX(입력_운동!$E$5:$E$1004,$AI127)="","",INDEX(입력_운동!$E$5:$E$1004,$AI127)))</f>
        <v/>
      </c>
      <c r="R127" s="25" t="str">
        <f aca="false">IF($AI127=0,"",IF(INDEX(입력_운동!$F$5:$F$1004,$AI127)="","",INDEX(입력_운동!$F$5:$F$1004,$AI127)))</f>
        <v/>
      </c>
      <c r="S127" s="25" t="str">
        <f aca="false">IF($AJ127=0,"",IF(INDEX(입력_측정!$C$5:$C$1004,$AJ127)="","",INDEX(입력_측정!$C$5:$C$1004,$AJ127)))</f>
        <v/>
      </c>
      <c r="T127" s="25" t="str">
        <f aca="false">IF($AJ127=0,"",IF(INDEX(입력_측정!$D$5:$D$1004,$AJ127)="","",INDEX(입력_측정!$D$5:$D$1004,$AJ127)))</f>
        <v/>
      </c>
      <c r="U127" s="25" t="str">
        <f aca="false">IF($AJ127=0,"",IF(INDEX(입력_측정!$E$5:$E$1004,$AJ127)="","",INDEX(입력_측정!$E$5:$E$1004,$AJ127)))</f>
        <v/>
      </c>
      <c r="V127" s="25" t="str">
        <f aca="false">IF($AJ127=0,"",IF(INDEX(입력_측정!$F$5:$F$1004,$AJ127)="","",INDEX(입력_측정!$F$5:$F$1004,$AJ127)))</f>
        <v/>
      </c>
      <c r="W127" s="25" t="str">
        <f aca="false">IF($AK127=0,"",IF(INDEX(입력_상담!$D$5:$D$1004,$AK127)="","",INDEX(입력_상담!$D$5:$D$1004,$AK127)))</f>
        <v/>
      </c>
      <c r="X127" s="25" t="str">
        <f aca="false">IF($AJ127=0,"",IF(INDEX(입력_측정!$I$5:$I$1004,$AJ127)="","",INDEX(입력_측정!$I$5:$I$1004,$AJ127)))</f>
        <v/>
      </c>
      <c r="Y127" s="25" t="str">
        <f aca="false">IF($AJ127=0,"",IF(INDEX(입력_측정!$J$5:$J$1004,$AJ127)="","",INDEX(입력_측정!$J$5:$J$1004,$AJ127)))</f>
        <v/>
      </c>
      <c r="Z127" s="25" t="str">
        <f aca="false">IF(OR(X127="긴급",LEFT(Y127,2)="긴급",W127="필요",W127="완료"),"대상","")</f>
        <v/>
      </c>
      <c r="AA127" s="59" t="str">
        <f aca="false">IF(M127&lt;&gt;"",M127,IF(AK127&gt;0,IF(W127="필요","추가상담 대기","완료"),IF(AJ127&gt;0,"결과상담 대기",IF(AI127&gt;0,"측정 대기","미방문"))))</f>
        <v>미방문</v>
      </c>
      <c r="AB127" s="60" t="str">
        <f aca="false">IF($AI127=0,"",IF(INDEX(입력_운동!$A$5:$A$1004,$AI127)="","",INDEX(입력_운동!$A$5:$A$1004,$AI127)))</f>
        <v/>
      </c>
      <c r="AC127" s="60" t="str">
        <f aca="false">IF($AJ127=0,"",IF(INDEX(입력_측정!$A$5:$A$1004,$AJ127)="","",INDEX(입력_측정!$A$5:$A$1004,$AJ127)))</f>
        <v/>
      </c>
      <c r="AD127" s="60" t="str">
        <f aca="false">IF($AK127=0,"",IF(INDEX(입력_상담!$A$5:$A$1004,$AK127)="","",INDEX(입력_상담!$A$5:$A$1004,$AK127)))</f>
        <v/>
      </c>
      <c r="AE127" s="25" t="str">
        <f aca="false">IF(AND(ISNUMBER(AB127),ISNUMBER(AC127)),IF(AC127&gt;=AB127,ROUND((AC127-AB127)*1440,0),""),"")</f>
        <v/>
      </c>
      <c r="AF127" s="25" t="str">
        <f aca="false">IF(AND(ISNUMBER(AC127),ISNUMBER(AD127)),IF(AD127&gt;=AC127,ROUND((AD127-AC127)*1440,0),""),"")</f>
        <v/>
      </c>
      <c r="AG127" s="25" t="str">
        <f aca="false">IF(AND(AA127="완료",ISNUMBER(AB127),ISNUMBER(AD127)),IF(AD127&gt;=AB127,ROUND((AD127-AB127)*1440,0),""),"")</f>
        <v/>
      </c>
      <c r="AH127" s="61" t="str">
        <f aca="false">IF(AND(AK127&gt;0,AJ127=0),"측정 기록 없음",IF(AND(AJ127&gt;0,AI127=0),"운동평가 기록 없음",IF(OR(COUNTIF(입력_운동!$B$5:$B$1004,$A127)&gt;1,COUNTIF(입력_측정!$B$5:$B$1004,$A127)&gt;1),"중복 입력","")))</f>
        <v/>
      </c>
      <c r="AI127" s="62" t="n">
        <f aca="false">SUMPRODUCT(MAX((입력_운동!$B$5:$B$1004=$A127)*(ROW(입력_운동!$B$5:$B$1004)-4)))</f>
        <v>0</v>
      </c>
      <c r="AJ127" s="62" t="n">
        <f aca="false">SUMPRODUCT(MAX((입력_측정!$B$5:$B$1004=$A127)*(ROW(입력_측정!$B$5:$B$1004)-4)))</f>
        <v>0</v>
      </c>
      <c r="AK127" s="62" t="n">
        <f aca="false">SUMPRODUCT(MAX((입력_상담!$B$5:$B$1004=$A127)*(ROW(입력_상담!$B$5:$B$1004)-4)))</f>
        <v>0</v>
      </c>
    </row>
    <row r="128" customFormat="false" ht="15" hidden="false" customHeight="false" outlineLevel="0" collapsed="false">
      <c r="A128" s="55" t="n">
        <v>124</v>
      </c>
      <c r="B128" s="56"/>
      <c r="C128" s="24"/>
      <c r="D128" s="24"/>
      <c r="E128" s="56"/>
      <c r="F128" s="57"/>
      <c r="G128" s="58"/>
      <c r="H128" s="56"/>
      <c r="I128" s="24"/>
      <c r="J128" s="24"/>
      <c r="K128" s="24"/>
      <c r="L128" s="24"/>
      <c r="M128" s="24"/>
      <c r="N128" s="56"/>
      <c r="O128" s="25" t="str">
        <f aca="false">IF($AI128=0,"",IF(INDEX(입력_운동!$C$5:$C$1004,$AI128)="","",INDEX(입력_운동!$C$5:$C$1004,$AI128)))</f>
        <v/>
      </c>
      <c r="P128" s="25" t="str">
        <f aca="false">IF($AI128=0,"",IF(INDEX(입력_운동!$D$5:$D$1004,$AI128)="","",INDEX(입력_운동!$D$5:$D$1004,$AI128)))</f>
        <v/>
      </c>
      <c r="Q128" s="25" t="str">
        <f aca="false">IF($AI128=0,"",IF(INDEX(입력_운동!$E$5:$E$1004,$AI128)="","",INDEX(입력_운동!$E$5:$E$1004,$AI128)))</f>
        <v/>
      </c>
      <c r="R128" s="25" t="str">
        <f aca="false">IF($AI128=0,"",IF(INDEX(입력_운동!$F$5:$F$1004,$AI128)="","",INDEX(입력_운동!$F$5:$F$1004,$AI128)))</f>
        <v/>
      </c>
      <c r="S128" s="25" t="str">
        <f aca="false">IF($AJ128=0,"",IF(INDEX(입력_측정!$C$5:$C$1004,$AJ128)="","",INDEX(입력_측정!$C$5:$C$1004,$AJ128)))</f>
        <v/>
      </c>
      <c r="T128" s="25" t="str">
        <f aca="false">IF($AJ128=0,"",IF(INDEX(입력_측정!$D$5:$D$1004,$AJ128)="","",INDEX(입력_측정!$D$5:$D$1004,$AJ128)))</f>
        <v/>
      </c>
      <c r="U128" s="25" t="str">
        <f aca="false">IF($AJ128=0,"",IF(INDEX(입력_측정!$E$5:$E$1004,$AJ128)="","",INDEX(입력_측정!$E$5:$E$1004,$AJ128)))</f>
        <v/>
      </c>
      <c r="V128" s="25" t="str">
        <f aca="false">IF($AJ128=0,"",IF(INDEX(입력_측정!$F$5:$F$1004,$AJ128)="","",INDEX(입력_측정!$F$5:$F$1004,$AJ128)))</f>
        <v/>
      </c>
      <c r="W128" s="25" t="str">
        <f aca="false">IF($AK128=0,"",IF(INDEX(입력_상담!$D$5:$D$1004,$AK128)="","",INDEX(입력_상담!$D$5:$D$1004,$AK128)))</f>
        <v/>
      </c>
      <c r="X128" s="25" t="str">
        <f aca="false">IF($AJ128=0,"",IF(INDEX(입력_측정!$I$5:$I$1004,$AJ128)="","",INDEX(입력_측정!$I$5:$I$1004,$AJ128)))</f>
        <v/>
      </c>
      <c r="Y128" s="25" t="str">
        <f aca="false">IF($AJ128=0,"",IF(INDEX(입력_측정!$J$5:$J$1004,$AJ128)="","",INDEX(입력_측정!$J$5:$J$1004,$AJ128)))</f>
        <v/>
      </c>
      <c r="Z128" s="25" t="str">
        <f aca="false">IF(OR(X128="긴급",LEFT(Y128,2)="긴급",W128="필요",W128="완료"),"대상","")</f>
        <v/>
      </c>
      <c r="AA128" s="59" t="str">
        <f aca="false">IF(M128&lt;&gt;"",M128,IF(AK128&gt;0,IF(W128="필요","추가상담 대기","완료"),IF(AJ128&gt;0,"결과상담 대기",IF(AI128&gt;0,"측정 대기","미방문"))))</f>
        <v>미방문</v>
      </c>
      <c r="AB128" s="60" t="str">
        <f aca="false">IF($AI128=0,"",IF(INDEX(입력_운동!$A$5:$A$1004,$AI128)="","",INDEX(입력_운동!$A$5:$A$1004,$AI128)))</f>
        <v/>
      </c>
      <c r="AC128" s="60" t="str">
        <f aca="false">IF($AJ128=0,"",IF(INDEX(입력_측정!$A$5:$A$1004,$AJ128)="","",INDEX(입력_측정!$A$5:$A$1004,$AJ128)))</f>
        <v/>
      </c>
      <c r="AD128" s="60" t="str">
        <f aca="false">IF($AK128=0,"",IF(INDEX(입력_상담!$A$5:$A$1004,$AK128)="","",INDEX(입력_상담!$A$5:$A$1004,$AK128)))</f>
        <v/>
      </c>
      <c r="AE128" s="25" t="str">
        <f aca="false">IF(AND(ISNUMBER(AB128),ISNUMBER(AC128)),IF(AC128&gt;=AB128,ROUND((AC128-AB128)*1440,0),""),"")</f>
        <v/>
      </c>
      <c r="AF128" s="25" t="str">
        <f aca="false">IF(AND(ISNUMBER(AC128),ISNUMBER(AD128)),IF(AD128&gt;=AC128,ROUND((AD128-AC128)*1440,0),""),"")</f>
        <v/>
      </c>
      <c r="AG128" s="25" t="str">
        <f aca="false">IF(AND(AA128="완료",ISNUMBER(AB128),ISNUMBER(AD128)),IF(AD128&gt;=AB128,ROUND((AD128-AB128)*1440,0),""),"")</f>
        <v/>
      </c>
      <c r="AH128" s="61" t="str">
        <f aca="false">IF(AND(AK128&gt;0,AJ128=0),"측정 기록 없음",IF(AND(AJ128&gt;0,AI128=0),"운동평가 기록 없음",IF(OR(COUNTIF(입력_운동!$B$5:$B$1004,$A128)&gt;1,COUNTIF(입력_측정!$B$5:$B$1004,$A128)&gt;1),"중복 입력","")))</f>
        <v/>
      </c>
      <c r="AI128" s="62" t="n">
        <f aca="false">SUMPRODUCT(MAX((입력_운동!$B$5:$B$1004=$A128)*(ROW(입력_운동!$B$5:$B$1004)-4)))</f>
        <v>0</v>
      </c>
      <c r="AJ128" s="62" t="n">
        <f aca="false">SUMPRODUCT(MAX((입력_측정!$B$5:$B$1004=$A128)*(ROW(입력_측정!$B$5:$B$1004)-4)))</f>
        <v>0</v>
      </c>
      <c r="AK128" s="62" t="n">
        <f aca="false">SUMPRODUCT(MAX((입력_상담!$B$5:$B$1004=$A128)*(ROW(입력_상담!$B$5:$B$1004)-4)))</f>
        <v>0</v>
      </c>
    </row>
    <row r="129" customFormat="false" ht="15" hidden="false" customHeight="false" outlineLevel="0" collapsed="false">
      <c r="A129" s="55" t="n">
        <v>125</v>
      </c>
      <c r="B129" s="56"/>
      <c r="C129" s="24"/>
      <c r="D129" s="24"/>
      <c r="E129" s="56"/>
      <c r="F129" s="57"/>
      <c r="G129" s="58"/>
      <c r="H129" s="56"/>
      <c r="I129" s="24"/>
      <c r="J129" s="24"/>
      <c r="K129" s="24"/>
      <c r="L129" s="24"/>
      <c r="M129" s="24"/>
      <c r="N129" s="56"/>
      <c r="O129" s="25" t="str">
        <f aca="false">IF($AI129=0,"",IF(INDEX(입력_운동!$C$5:$C$1004,$AI129)="","",INDEX(입력_운동!$C$5:$C$1004,$AI129)))</f>
        <v/>
      </c>
      <c r="P129" s="25" t="str">
        <f aca="false">IF($AI129=0,"",IF(INDEX(입력_운동!$D$5:$D$1004,$AI129)="","",INDEX(입력_운동!$D$5:$D$1004,$AI129)))</f>
        <v/>
      </c>
      <c r="Q129" s="25" t="str">
        <f aca="false">IF($AI129=0,"",IF(INDEX(입력_운동!$E$5:$E$1004,$AI129)="","",INDEX(입력_운동!$E$5:$E$1004,$AI129)))</f>
        <v/>
      </c>
      <c r="R129" s="25" t="str">
        <f aca="false">IF($AI129=0,"",IF(INDEX(입력_운동!$F$5:$F$1004,$AI129)="","",INDEX(입력_운동!$F$5:$F$1004,$AI129)))</f>
        <v/>
      </c>
      <c r="S129" s="25" t="str">
        <f aca="false">IF($AJ129=0,"",IF(INDEX(입력_측정!$C$5:$C$1004,$AJ129)="","",INDEX(입력_측정!$C$5:$C$1004,$AJ129)))</f>
        <v/>
      </c>
      <c r="T129" s="25" t="str">
        <f aca="false">IF($AJ129=0,"",IF(INDEX(입력_측정!$D$5:$D$1004,$AJ129)="","",INDEX(입력_측정!$D$5:$D$1004,$AJ129)))</f>
        <v/>
      </c>
      <c r="U129" s="25" t="str">
        <f aca="false">IF($AJ129=0,"",IF(INDEX(입력_측정!$E$5:$E$1004,$AJ129)="","",INDEX(입력_측정!$E$5:$E$1004,$AJ129)))</f>
        <v/>
      </c>
      <c r="V129" s="25" t="str">
        <f aca="false">IF($AJ129=0,"",IF(INDEX(입력_측정!$F$5:$F$1004,$AJ129)="","",INDEX(입력_측정!$F$5:$F$1004,$AJ129)))</f>
        <v/>
      </c>
      <c r="W129" s="25" t="str">
        <f aca="false">IF($AK129=0,"",IF(INDEX(입력_상담!$D$5:$D$1004,$AK129)="","",INDEX(입력_상담!$D$5:$D$1004,$AK129)))</f>
        <v/>
      </c>
      <c r="X129" s="25" t="str">
        <f aca="false">IF($AJ129=0,"",IF(INDEX(입력_측정!$I$5:$I$1004,$AJ129)="","",INDEX(입력_측정!$I$5:$I$1004,$AJ129)))</f>
        <v/>
      </c>
      <c r="Y129" s="25" t="str">
        <f aca="false">IF($AJ129=0,"",IF(INDEX(입력_측정!$J$5:$J$1004,$AJ129)="","",INDEX(입력_측정!$J$5:$J$1004,$AJ129)))</f>
        <v/>
      </c>
      <c r="Z129" s="25" t="str">
        <f aca="false">IF(OR(X129="긴급",LEFT(Y129,2)="긴급",W129="필요",W129="완료"),"대상","")</f>
        <v/>
      </c>
      <c r="AA129" s="59" t="str">
        <f aca="false">IF(M129&lt;&gt;"",M129,IF(AK129&gt;0,IF(W129="필요","추가상담 대기","완료"),IF(AJ129&gt;0,"결과상담 대기",IF(AI129&gt;0,"측정 대기","미방문"))))</f>
        <v>미방문</v>
      </c>
      <c r="AB129" s="60" t="str">
        <f aca="false">IF($AI129=0,"",IF(INDEX(입력_운동!$A$5:$A$1004,$AI129)="","",INDEX(입력_운동!$A$5:$A$1004,$AI129)))</f>
        <v/>
      </c>
      <c r="AC129" s="60" t="str">
        <f aca="false">IF($AJ129=0,"",IF(INDEX(입력_측정!$A$5:$A$1004,$AJ129)="","",INDEX(입력_측정!$A$5:$A$1004,$AJ129)))</f>
        <v/>
      </c>
      <c r="AD129" s="60" t="str">
        <f aca="false">IF($AK129=0,"",IF(INDEX(입력_상담!$A$5:$A$1004,$AK129)="","",INDEX(입력_상담!$A$5:$A$1004,$AK129)))</f>
        <v/>
      </c>
      <c r="AE129" s="25" t="str">
        <f aca="false">IF(AND(ISNUMBER(AB129),ISNUMBER(AC129)),IF(AC129&gt;=AB129,ROUND((AC129-AB129)*1440,0),""),"")</f>
        <v/>
      </c>
      <c r="AF129" s="25" t="str">
        <f aca="false">IF(AND(ISNUMBER(AC129),ISNUMBER(AD129)),IF(AD129&gt;=AC129,ROUND((AD129-AC129)*1440,0),""),"")</f>
        <v/>
      </c>
      <c r="AG129" s="25" t="str">
        <f aca="false">IF(AND(AA129="완료",ISNUMBER(AB129),ISNUMBER(AD129)),IF(AD129&gt;=AB129,ROUND((AD129-AB129)*1440,0),""),"")</f>
        <v/>
      </c>
      <c r="AH129" s="61" t="str">
        <f aca="false">IF(AND(AK129&gt;0,AJ129=0),"측정 기록 없음",IF(AND(AJ129&gt;0,AI129=0),"운동평가 기록 없음",IF(OR(COUNTIF(입력_운동!$B$5:$B$1004,$A129)&gt;1,COUNTIF(입력_측정!$B$5:$B$1004,$A129)&gt;1),"중복 입력","")))</f>
        <v/>
      </c>
      <c r="AI129" s="62" t="n">
        <f aca="false">SUMPRODUCT(MAX((입력_운동!$B$5:$B$1004=$A129)*(ROW(입력_운동!$B$5:$B$1004)-4)))</f>
        <v>0</v>
      </c>
      <c r="AJ129" s="62" t="n">
        <f aca="false">SUMPRODUCT(MAX((입력_측정!$B$5:$B$1004=$A129)*(ROW(입력_측정!$B$5:$B$1004)-4)))</f>
        <v>0</v>
      </c>
      <c r="AK129" s="62" t="n">
        <f aca="false">SUMPRODUCT(MAX((입력_상담!$B$5:$B$1004=$A129)*(ROW(입력_상담!$B$5:$B$1004)-4)))</f>
        <v>0</v>
      </c>
    </row>
    <row r="130" customFormat="false" ht="15" hidden="false" customHeight="false" outlineLevel="0" collapsed="false">
      <c r="A130" s="55" t="n">
        <v>126</v>
      </c>
      <c r="B130" s="56"/>
      <c r="C130" s="24"/>
      <c r="D130" s="24"/>
      <c r="E130" s="56"/>
      <c r="F130" s="57"/>
      <c r="G130" s="58"/>
      <c r="H130" s="56"/>
      <c r="I130" s="24"/>
      <c r="J130" s="24"/>
      <c r="K130" s="24"/>
      <c r="L130" s="24"/>
      <c r="M130" s="24"/>
      <c r="N130" s="56"/>
      <c r="O130" s="25" t="str">
        <f aca="false">IF($AI130=0,"",IF(INDEX(입력_운동!$C$5:$C$1004,$AI130)="","",INDEX(입력_운동!$C$5:$C$1004,$AI130)))</f>
        <v/>
      </c>
      <c r="P130" s="25" t="str">
        <f aca="false">IF($AI130=0,"",IF(INDEX(입력_운동!$D$5:$D$1004,$AI130)="","",INDEX(입력_운동!$D$5:$D$1004,$AI130)))</f>
        <v/>
      </c>
      <c r="Q130" s="25" t="str">
        <f aca="false">IF($AI130=0,"",IF(INDEX(입력_운동!$E$5:$E$1004,$AI130)="","",INDEX(입력_운동!$E$5:$E$1004,$AI130)))</f>
        <v/>
      </c>
      <c r="R130" s="25" t="str">
        <f aca="false">IF($AI130=0,"",IF(INDEX(입력_운동!$F$5:$F$1004,$AI130)="","",INDEX(입력_운동!$F$5:$F$1004,$AI130)))</f>
        <v/>
      </c>
      <c r="S130" s="25" t="str">
        <f aca="false">IF($AJ130=0,"",IF(INDEX(입력_측정!$C$5:$C$1004,$AJ130)="","",INDEX(입력_측정!$C$5:$C$1004,$AJ130)))</f>
        <v/>
      </c>
      <c r="T130" s="25" t="str">
        <f aca="false">IF($AJ130=0,"",IF(INDEX(입력_측정!$D$5:$D$1004,$AJ130)="","",INDEX(입력_측정!$D$5:$D$1004,$AJ130)))</f>
        <v/>
      </c>
      <c r="U130" s="25" t="str">
        <f aca="false">IF($AJ130=0,"",IF(INDEX(입력_측정!$E$5:$E$1004,$AJ130)="","",INDEX(입력_측정!$E$5:$E$1004,$AJ130)))</f>
        <v/>
      </c>
      <c r="V130" s="25" t="str">
        <f aca="false">IF($AJ130=0,"",IF(INDEX(입력_측정!$F$5:$F$1004,$AJ130)="","",INDEX(입력_측정!$F$5:$F$1004,$AJ130)))</f>
        <v/>
      </c>
      <c r="W130" s="25" t="str">
        <f aca="false">IF($AK130=0,"",IF(INDEX(입력_상담!$D$5:$D$1004,$AK130)="","",INDEX(입력_상담!$D$5:$D$1004,$AK130)))</f>
        <v/>
      </c>
      <c r="X130" s="25" t="str">
        <f aca="false">IF($AJ130=0,"",IF(INDEX(입력_측정!$I$5:$I$1004,$AJ130)="","",INDEX(입력_측정!$I$5:$I$1004,$AJ130)))</f>
        <v/>
      </c>
      <c r="Y130" s="25" t="str">
        <f aca="false">IF($AJ130=0,"",IF(INDEX(입력_측정!$J$5:$J$1004,$AJ130)="","",INDEX(입력_측정!$J$5:$J$1004,$AJ130)))</f>
        <v/>
      </c>
      <c r="Z130" s="25" t="str">
        <f aca="false">IF(OR(X130="긴급",LEFT(Y130,2)="긴급",W130="필요",W130="완료"),"대상","")</f>
        <v/>
      </c>
      <c r="AA130" s="59" t="str">
        <f aca="false">IF(M130&lt;&gt;"",M130,IF(AK130&gt;0,IF(W130="필요","추가상담 대기","완료"),IF(AJ130&gt;0,"결과상담 대기",IF(AI130&gt;0,"측정 대기","미방문"))))</f>
        <v>미방문</v>
      </c>
      <c r="AB130" s="60" t="str">
        <f aca="false">IF($AI130=0,"",IF(INDEX(입력_운동!$A$5:$A$1004,$AI130)="","",INDEX(입력_운동!$A$5:$A$1004,$AI130)))</f>
        <v/>
      </c>
      <c r="AC130" s="60" t="str">
        <f aca="false">IF($AJ130=0,"",IF(INDEX(입력_측정!$A$5:$A$1004,$AJ130)="","",INDEX(입력_측정!$A$5:$A$1004,$AJ130)))</f>
        <v/>
      </c>
      <c r="AD130" s="60" t="str">
        <f aca="false">IF($AK130=0,"",IF(INDEX(입력_상담!$A$5:$A$1004,$AK130)="","",INDEX(입력_상담!$A$5:$A$1004,$AK130)))</f>
        <v/>
      </c>
      <c r="AE130" s="25" t="str">
        <f aca="false">IF(AND(ISNUMBER(AB130),ISNUMBER(AC130)),IF(AC130&gt;=AB130,ROUND((AC130-AB130)*1440,0),""),"")</f>
        <v/>
      </c>
      <c r="AF130" s="25" t="str">
        <f aca="false">IF(AND(ISNUMBER(AC130),ISNUMBER(AD130)),IF(AD130&gt;=AC130,ROUND((AD130-AC130)*1440,0),""),"")</f>
        <v/>
      </c>
      <c r="AG130" s="25" t="str">
        <f aca="false">IF(AND(AA130="완료",ISNUMBER(AB130),ISNUMBER(AD130)),IF(AD130&gt;=AB130,ROUND((AD130-AB130)*1440,0),""),"")</f>
        <v/>
      </c>
      <c r="AH130" s="61" t="str">
        <f aca="false">IF(AND(AK130&gt;0,AJ130=0),"측정 기록 없음",IF(AND(AJ130&gt;0,AI130=0),"운동평가 기록 없음",IF(OR(COUNTIF(입력_운동!$B$5:$B$1004,$A130)&gt;1,COUNTIF(입력_측정!$B$5:$B$1004,$A130)&gt;1),"중복 입력","")))</f>
        <v/>
      </c>
      <c r="AI130" s="62" t="n">
        <f aca="false">SUMPRODUCT(MAX((입력_운동!$B$5:$B$1004=$A130)*(ROW(입력_운동!$B$5:$B$1004)-4)))</f>
        <v>0</v>
      </c>
      <c r="AJ130" s="62" t="n">
        <f aca="false">SUMPRODUCT(MAX((입력_측정!$B$5:$B$1004=$A130)*(ROW(입력_측정!$B$5:$B$1004)-4)))</f>
        <v>0</v>
      </c>
      <c r="AK130" s="62" t="n">
        <f aca="false">SUMPRODUCT(MAX((입력_상담!$B$5:$B$1004=$A130)*(ROW(입력_상담!$B$5:$B$1004)-4)))</f>
        <v>0</v>
      </c>
    </row>
    <row r="131" customFormat="false" ht="15" hidden="false" customHeight="false" outlineLevel="0" collapsed="false">
      <c r="A131" s="55" t="n">
        <v>127</v>
      </c>
      <c r="B131" s="56"/>
      <c r="C131" s="24"/>
      <c r="D131" s="24"/>
      <c r="E131" s="56"/>
      <c r="F131" s="57"/>
      <c r="G131" s="58"/>
      <c r="H131" s="56"/>
      <c r="I131" s="24"/>
      <c r="J131" s="24"/>
      <c r="K131" s="24"/>
      <c r="L131" s="24"/>
      <c r="M131" s="24"/>
      <c r="N131" s="56"/>
      <c r="O131" s="25" t="str">
        <f aca="false">IF($AI131=0,"",IF(INDEX(입력_운동!$C$5:$C$1004,$AI131)="","",INDEX(입력_운동!$C$5:$C$1004,$AI131)))</f>
        <v/>
      </c>
      <c r="P131" s="25" t="str">
        <f aca="false">IF($AI131=0,"",IF(INDEX(입력_운동!$D$5:$D$1004,$AI131)="","",INDEX(입력_운동!$D$5:$D$1004,$AI131)))</f>
        <v/>
      </c>
      <c r="Q131" s="25" t="str">
        <f aca="false">IF($AI131=0,"",IF(INDEX(입력_운동!$E$5:$E$1004,$AI131)="","",INDEX(입력_운동!$E$5:$E$1004,$AI131)))</f>
        <v/>
      </c>
      <c r="R131" s="25" t="str">
        <f aca="false">IF($AI131=0,"",IF(INDEX(입력_운동!$F$5:$F$1004,$AI131)="","",INDEX(입력_운동!$F$5:$F$1004,$AI131)))</f>
        <v/>
      </c>
      <c r="S131" s="25" t="str">
        <f aca="false">IF($AJ131=0,"",IF(INDEX(입력_측정!$C$5:$C$1004,$AJ131)="","",INDEX(입력_측정!$C$5:$C$1004,$AJ131)))</f>
        <v/>
      </c>
      <c r="T131" s="25" t="str">
        <f aca="false">IF($AJ131=0,"",IF(INDEX(입력_측정!$D$5:$D$1004,$AJ131)="","",INDEX(입력_측정!$D$5:$D$1004,$AJ131)))</f>
        <v/>
      </c>
      <c r="U131" s="25" t="str">
        <f aca="false">IF($AJ131=0,"",IF(INDEX(입력_측정!$E$5:$E$1004,$AJ131)="","",INDEX(입력_측정!$E$5:$E$1004,$AJ131)))</f>
        <v/>
      </c>
      <c r="V131" s="25" t="str">
        <f aca="false">IF($AJ131=0,"",IF(INDEX(입력_측정!$F$5:$F$1004,$AJ131)="","",INDEX(입력_측정!$F$5:$F$1004,$AJ131)))</f>
        <v/>
      </c>
      <c r="W131" s="25" t="str">
        <f aca="false">IF($AK131=0,"",IF(INDEX(입력_상담!$D$5:$D$1004,$AK131)="","",INDEX(입력_상담!$D$5:$D$1004,$AK131)))</f>
        <v/>
      </c>
      <c r="X131" s="25" t="str">
        <f aca="false">IF($AJ131=0,"",IF(INDEX(입력_측정!$I$5:$I$1004,$AJ131)="","",INDEX(입력_측정!$I$5:$I$1004,$AJ131)))</f>
        <v/>
      </c>
      <c r="Y131" s="25" t="str">
        <f aca="false">IF($AJ131=0,"",IF(INDEX(입력_측정!$J$5:$J$1004,$AJ131)="","",INDEX(입력_측정!$J$5:$J$1004,$AJ131)))</f>
        <v/>
      </c>
      <c r="Z131" s="25" t="str">
        <f aca="false">IF(OR(X131="긴급",LEFT(Y131,2)="긴급",W131="필요",W131="완료"),"대상","")</f>
        <v/>
      </c>
      <c r="AA131" s="59" t="str">
        <f aca="false">IF(M131&lt;&gt;"",M131,IF(AK131&gt;0,IF(W131="필요","추가상담 대기","완료"),IF(AJ131&gt;0,"결과상담 대기",IF(AI131&gt;0,"측정 대기","미방문"))))</f>
        <v>미방문</v>
      </c>
      <c r="AB131" s="60" t="str">
        <f aca="false">IF($AI131=0,"",IF(INDEX(입력_운동!$A$5:$A$1004,$AI131)="","",INDEX(입력_운동!$A$5:$A$1004,$AI131)))</f>
        <v/>
      </c>
      <c r="AC131" s="60" t="str">
        <f aca="false">IF($AJ131=0,"",IF(INDEX(입력_측정!$A$5:$A$1004,$AJ131)="","",INDEX(입력_측정!$A$5:$A$1004,$AJ131)))</f>
        <v/>
      </c>
      <c r="AD131" s="60" t="str">
        <f aca="false">IF($AK131=0,"",IF(INDEX(입력_상담!$A$5:$A$1004,$AK131)="","",INDEX(입력_상담!$A$5:$A$1004,$AK131)))</f>
        <v/>
      </c>
      <c r="AE131" s="25" t="str">
        <f aca="false">IF(AND(ISNUMBER(AB131),ISNUMBER(AC131)),IF(AC131&gt;=AB131,ROUND((AC131-AB131)*1440,0),""),"")</f>
        <v/>
      </c>
      <c r="AF131" s="25" t="str">
        <f aca="false">IF(AND(ISNUMBER(AC131),ISNUMBER(AD131)),IF(AD131&gt;=AC131,ROUND((AD131-AC131)*1440,0),""),"")</f>
        <v/>
      </c>
      <c r="AG131" s="25" t="str">
        <f aca="false">IF(AND(AA131="완료",ISNUMBER(AB131),ISNUMBER(AD131)),IF(AD131&gt;=AB131,ROUND((AD131-AB131)*1440,0),""),"")</f>
        <v/>
      </c>
      <c r="AH131" s="61" t="str">
        <f aca="false">IF(AND(AK131&gt;0,AJ131=0),"측정 기록 없음",IF(AND(AJ131&gt;0,AI131=0),"운동평가 기록 없음",IF(OR(COUNTIF(입력_운동!$B$5:$B$1004,$A131)&gt;1,COUNTIF(입력_측정!$B$5:$B$1004,$A131)&gt;1),"중복 입력","")))</f>
        <v/>
      </c>
      <c r="AI131" s="62" t="n">
        <f aca="false">SUMPRODUCT(MAX((입력_운동!$B$5:$B$1004=$A131)*(ROW(입력_운동!$B$5:$B$1004)-4)))</f>
        <v>0</v>
      </c>
      <c r="AJ131" s="62" t="n">
        <f aca="false">SUMPRODUCT(MAX((입력_측정!$B$5:$B$1004=$A131)*(ROW(입력_측정!$B$5:$B$1004)-4)))</f>
        <v>0</v>
      </c>
      <c r="AK131" s="62" t="n">
        <f aca="false">SUMPRODUCT(MAX((입력_상담!$B$5:$B$1004=$A131)*(ROW(입력_상담!$B$5:$B$1004)-4)))</f>
        <v>0</v>
      </c>
    </row>
    <row r="132" customFormat="false" ht="15" hidden="false" customHeight="false" outlineLevel="0" collapsed="false">
      <c r="A132" s="55" t="n">
        <v>128</v>
      </c>
      <c r="B132" s="56"/>
      <c r="C132" s="24"/>
      <c r="D132" s="24"/>
      <c r="E132" s="56"/>
      <c r="F132" s="57"/>
      <c r="G132" s="58"/>
      <c r="H132" s="56"/>
      <c r="I132" s="24"/>
      <c r="J132" s="24"/>
      <c r="K132" s="24"/>
      <c r="L132" s="24"/>
      <c r="M132" s="24"/>
      <c r="N132" s="56"/>
      <c r="O132" s="25" t="str">
        <f aca="false">IF($AI132=0,"",IF(INDEX(입력_운동!$C$5:$C$1004,$AI132)="","",INDEX(입력_운동!$C$5:$C$1004,$AI132)))</f>
        <v/>
      </c>
      <c r="P132" s="25" t="str">
        <f aca="false">IF($AI132=0,"",IF(INDEX(입력_운동!$D$5:$D$1004,$AI132)="","",INDEX(입력_운동!$D$5:$D$1004,$AI132)))</f>
        <v/>
      </c>
      <c r="Q132" s="25" t="str">
        <f aca="false">IF($AI132=0,"",IF(INDEX(입력_운동!$E$5:$E$1004,$AI132)="","",INDEX(입력_운동!$E$5:$E$1004,$AI132)))</f>
        <v/>
      </c>
      <c r="R132" s="25" t="str">
        <f aca="false">IF($AI132=0,"",IF(INDEX(입력_운동!$F$5:$F$1004,$AI132)="","",INDEX(입력_운동!$F$5:$F$1004,$AI132)))</f>
        <v/>
      </c>
      <c r="S132" s="25" t="str">
        <f aca="false">IF($AJ132=0,"",IF(INDEX(입력_측정!$C$5:$C$1004,$AJ132)="","",INDEX(입력_측정!$C$5:$C$1004,$AJ132)))</f>
        <v/>
      </c>
      <c r="T132" s="25" t="str">
        <f aca="false">IF($AJ132=0,"",IF(INDEX(입력_측정!$D$5:$D$1004,$AJ132)="","",INDEX(입력_측정!$D$5:$D$1004,$AJ132)))</f>
        <v/>
      </c>
      <c r="U132" s="25" t="str">
        <f aca="false">IF($AJ132=0,"",IF(INDEX(입력_측정!$E$5:$E$1004,$AJ132)="","",INDEX(입력_측정!$E$5:$E$1004,$AJ132)))</f>
        <v/>
      </c>
      <c r="V132" s="25" t="str">
        <f aca="false">IF($AJ132=0,"",IF(INDEX(입력_측정!$F$5:$F$1004,$AJ132)="","",INDEX(입력_측정!$F$5:$F$1004,$AJ132)))</f>
        <v/>
      </c>
      <c r="W132" s="25" t="str">
        <f aca="false">IF($AK132=0,"",IF(INDEX(입력_상담!$D$5:$D$1004,$AK132)="","",INDEX(입력_상담!$D$5:$D$1004,$AK132)))</f>
        <v/>
      </c>
      <c r="X132" s="25" t="str">
        <f aca="false">IF($AJ132=0,"",IF(INDEX(입력_측정!$I$5:$I$1004,$AJ132)="","",INDEX(입력_측정!$I$5:$I$1004,$AJ132)))</f>
        <v/>
      </c>
      <c r="Y132" s="25" t="str">
        <f aca="false">IF($AJ132=0,"",IF(INDEX(입력_측정!$J$5:$J$1004,$AJ132)="","",INDEX(입력_측정!$J$5:$J$1004,$AJ132)))</f>
        <v/>
      </c>
      <c r="Z132" s="25" t="str">
        <f aca="false">IF(OR(X132="긴급",LEFT(Y132,2)="긴급",W132="필요",W132="완료"),"대상","")</f>
        <v/>
      </c>
      <c r="AA132" s="59" t="str">
        <f aca="false">IF(M132&lt;&gt;"",M132,IF(AK132&gt;0,IF(W132="필요","추가상담 대기","완료"),IF(AJ132&gt;0,"결과상담 대기",IF(AI132&gt;0,"측정 대기","미방문"))))</f>
        <v>미방문</v>
      </c>
      <c r="AB132" s="60" t="str">
        <f aca="false">IF($AI132=0,"",IF(INDEX(입력_운동!$A$5:$A$1004,$AI132)="","",INDEX(입력_운동!$A$5:$A$1004,$AI132)))</f>
        <v/>
      </c>
      <c r="AC132" s="60" t="str">
        <f aca="false">IF($AJ132=0,"",IF(INDEX(입력_측정!$A$5:$A$1004,$AJ132)="","",INDEX(입력_측정!$A$5:$A$1004,$AJ132)))</f>
        <v/>
      </c>
      <c r="AD132" s="60" t="str">
        <f aca="false">IF($AK132=0,"",IF(INDEX(입력_상담!$A$5:$A$1004,$AK132)="","",INDEX(입력_상담!$A$5:$A$1004,$AK132)))</f>
        <v/>
      </c>
      <c r="AE132" s="25" t="str">
        <f aca="false">IF(AND(ISNUMBER(AB132),ISNUMBER(AC132)),IF(AC132&gt;=AB132,ROUND((AC132-AB132)*1440,0),""),"")</f>
        <v/>
      </c>
      <c r="AF132" s="25" t="str">
        <f aca="false">IF(AND(ISNUMBER(AC132),ISNUMBER(AD132)),IF(AD132&gt;=AC132,ROUND((AD132-AC132)*1440,0),""),"")</f>
        <v/>
      </c>
      <c r="AG132" s="25" t="str">
        <f aca="false">IF(AND(AA132="완료",ISNUMBER(AB132),ISNUMBER(AD132)),IF(AD132&gt;=AB132,ROUND((AD132-AB132)*1440,0),""),"")</f>
        <v/>
      </c>
      <c r="AH132" s="61" t="str">
        <f aca="false">IF(AND(AK132&gt;0,AJ132=0),"측정 기록 없음",IF(AND(AJ132&gt;0,AI132=0),"운동평가 기록 없음",IF(OR(COUNTIF(입력_운동!$B$5:$B$1004,$A132)&gt;1,COUNTIF(입력_측정!$B$5:$B$1004,$A132)&gt;1),"중복 입력","")))</f>
        <v/>
      </c>
      <c r="AI132" s="62" t="n">
        <f aca="false">SUMPRODUCT(MAX((입력_운동!$B$5:$B$1004=$A132)*(ROW(입력_운동!$B$5:$B$1004)-4)))</f>
        <v>0</v>
      </c>
      <c r="AJ132" s="62" t="n">
        <f aca="false">SUMPRODUCT(MAX((입력_측정!$B$5:$B$1004=$A132)*(ROW(입력_측정!$B$5:$B$1004)-4)))</f>
        <v>0</v>
      </c>
      <c r="AK132" s="62" t="n">
        <f aca="false">SUMPRODUCT(MAX((입력_상담!$B$5:$B$1004=$A132)*(ROW(입력_상담!$B$5:$B$1004)-4)))</f>
        <v>0</v>
      </c>
    </row>
    <row r="133" customFormat="false" ht="15" hidden="false" customHeight="false" outlineLevel="0" collapsed="false">
      <c r="A133" s="55" t="n">
        <v>129</v>
      </c>
      <c r="B133" s="56"/>
      <c r="C133" s="24"/>
      <c r="D133" s="24"/>
      <c r="E133" s="56"/>
      <c r="F133" s="57"/>
      <c r="G133" s="58"/>
      <c r="H133" s="56"/>
      <c r="I133" s="24"/>
      <c r="J133" s="24"/>
      <c r="K133" s="24"/>
      <c r="L133" s="24"/>
      <c r="M133" s="24"/>
      <c r="N133" s="56"/>
      <c r="O133" s="25" t="str">
        <f aca="false">IF($AI133=0,"",IF(INDEX(입력_운동!$C$5:$C$1004,$AI133)="","",INDEX(입력_운동!$C$5:$C$1004,$AI133)))</f>
        <v/>
      </c>
      <c r="P133" s="25" t="str">
        <f aca="false">IF($AI133=0,"",IF(INDEX(입력_운동!$D$5:$D$1004,$AI133)="","",INDEX(입력_운동!$D$5:$D$1004,$AI133)))</f>
        <v/>
      </c>
      <c r="Q133" s="25" t="str">
        <f aca="false">IF($AI133=0,"",IF(INDEX(입력_운동!$E$5:$E$1004,$AI133)="","",INDEX(입력_운동!$E$5:$E$1004,$AI133)))</f>
        <v/>
      </c>
      <c r="R133" s="25" t="str">
        <f aca="false">IF($AI133=0,"",IF(INDEX(입력_운동!$F$5:$F$1004,$AI133)="","",INDEX(입력_운동!$F$5:$F$1004,$AI133)))</f>
        <v/>
      </c>
      <c r="S133" s="25" t="str">
        <f aca="false">IF($AJ133=0,"",IF(INDEX(입력_측정!$C$5:$C$1004,$AJ133)="","",INDEX(입력_측정!$C$5:$C$1004,$AJ133)))</f>
        <v/>
      </c>
      <c r="T133" s="25" t="str">
        <f aca="false">IF($AJ133=0,"",IF(INDEX(입력_측정!$D$5:$D$1004,$AJ133)="","",INDEX(입력_측정!$D$5:$D$1004,$AJ133)))</f>
        <v/>
      </c>
      <c r="U133" s="25" t="str">
        <f aca="false">IF($AJ133=0,"",IF(INDEX(입력_측정!$E$5:$E$1004,$AJ133)="","",INDEX(입력_측정!$E$5:$E$1004,$AJ133)))</f>
        <v/>
      </c>
      <c r="V133" s="25" t="str">
        <f aca="false">IF($AJ133=0,"",IF(INDEX(입력_측정!$F$5:$F$1004,$AJ133)="","",INDEX(입력_측정!$F$5:$F$1004,$AJ133)))</f>
        <v/>
      </c>
      <c r="W133" s="25" t="str">
        <f aca="false">IF($AK133=0,"",IF(INDEX(입력_상담!$D$5:$D$1004,$AK133)="","",INDEX(입력_상담!$D$5:$D$1004,$AK133)))</f>
        <v/>
      </c>
      <c r="X133" s="25" t="str">
        <f aca="false">IF($AJ133=0,"",IF(INDEX(입력_측정!$I$5:$I$1004,$AJ133)="","",INDEX(입력_측정!$I$5:$I$1004,$AJ133)))</f>
        <v/>
      </c>
      <c r="Y133" s="25" t="str">
        <f aca="false">IF($AJ133=0,"",IF(INDEX(입력_측정!$J$5:$J$1004,$AJ133)="","",INDEX(입력_측정!$J$5:$J$1004,$AJ133)))</f>
        <v/>
      </c>
      <c r="Z133" s="25" t="str">
        <f aca="false">IF(OR(X133="긴급",LEFT(Y133,2)="긴급",W133="필요",W133="완료"),"대상","")</f>
        <v/>
      </c>
      <c r="AA133" s="59" t="str">
        <f aca="false">IF(M133&lt;&gt;"",M133,IF(AK133&gt;0,IF(W133="필요","추가상담 대기","완료"),IF(AJ133&gt;0,"결과상담 대기",IF(AI133&gt;0,"측정 대기","미방문"))))</f>
        <v>미방문</v>
      </c>
      <c r="AB133" s="60" t="str">
        <f aca="false">IF($AI133=0,"",IF(INDEX(입력_운동!$A$5:$A$1004,$AI133)="","",INDEX(입력_운동!$A$5:$A$1004,$AI133)))</f>
        <v/>
      </c>
      <c r="AC133" s="60" t="str">
        <f aca="false">IF($AJ133=0,"",IF(INDEX(입력_측정!$A$5:$A$1004,$AJ133)="","",INDEX(입력_측정!$A$5:$A$1004,$AJ133)))</f>
        <v/>
      </c>
      <c r="AD133" s="60" t="str">
        <f aca="false">IF($AK133=0,"",IF(INDEX(입력_상담!$A$5:$A$1004,$AK133)="","",INDEX(입력_상담!$A$5:$A$1004,$AK133)))</f>
        <v/>
      </c>
      <c r="AE133" s="25" t="str">
        <f aca="false">IF(AND(ISNUMBER(AB133),ISNUMBER(AC133)),IF(AC133&gt;=AB133,ROUND((AC133-AB133)*1440,0),""),"")</f>
        <v/>
      </c>
      <c r="AF133" s="25" t="str">
        <f aca="false">IF(AND(ISNUMBER(AC133),ISNUMBER(AD133)),IF(AD133&gt;=AC133,ROUND((AD133-AC133)*1440,0),""),"")</f>
        <v/>
      </c>
      <c r="AG133" s="25" t="str">
        <f aca="false">IF(AND(AA133="완료",ISNUMBER(AB133),ISNUMBER(AD133)),IF(AD133&gt;=AB133,ROUND((AD133-AB133)*1440,0),""),"")</f>
        <v/>
      </c>
      <c r="AH133" s="61" t="str">
        <f aca="false">IF(AND(AK133&gt;0,AJ133=0),"측정 기록 없음",IF(AND(AJ133&gt;0,AI133=0),"운동평가 기록 없음",IF(OR(COUNTIF(입력_운동!$B$5:$B$1004,$A133)&gt;1,COUNTIF(입력_측정!$B$5:$B$1004,$A133)&gt;1),"중복 입력","")))</f>
        <v/>
      </c>
      <c r="AI133" s="62" t="n">
        <f aca="false">SUMPRODUCT(MAX((입력_운동!$B$5:$B$1004=$A133)*(ROW(입력_운동!$B$5:$B$1004)-4)))</f>
        <v>0</v>
      </c>
      <c r="AJ133" s="62" t="n">
        <f aca="false">SUMPRODUCT(MAX((입력_측정!$B$5:$B$1004=$A133)*(ROW(입력_측정!$B$5:$B$1004)-4)))</f>
        <v>0</v>
      </c>
      <c r="AK133" s="62" t="n">
        <f aca="false">SUMPRODUCT(MAX((입력_상담!$B$5:$B$1004=$A133)*(ROW(입력_상담!$B$5:$B$1004)-4)))</f>
        <v>0</v>
      </c>
    </row>
    <row r="134" customFormat="false" ht="15" hidden="false" customHeight="false" outlineLevel="0" collapsed="false">
      <c r="A134" s="55" t="n">
        <v>130</v>
      </c>
      <c r="B134" s="56"/>
      <c r="C134" s="24"/>
      <c r="D134" s="24"/>
      <c r="E134" s="56"/>
      <c r="F134" s="57"/>
      <c r="G134" s="58"/>
      <c r="H134" s="56"/>
      <c r="I134" s="24"/>
      <c r="J134" s="24"/>
      <c r="K134" s="24"/>
      <c r="L134" s="24"/>
      <c r="M134" s="24"/>
      <c r="N134" s="56"/>
      <c r="O134" s="25" t="str">
        <f aca="false">IF($AI134=0,"",IF(INDEX(입력_운동!$C$5:$C$1004,$AI134)="","",INDEX(입력_운동!$C$5:$C$1004,$AI134)))</f>
        <v/>
      </c>
      <c r="P134" s="25" t="str">
        <f aca="false">IF($AI134=0,"",IF(INDEX(입력_운동!$D$5:$D$1004,$AI134)="","",INDEX(입력_운동!$D$5:$D$1004,$AI134)))</f>
        <v/>
      </c>
      <c r="Q134" s="25" t="str">
        <f aca="false">IF($AI134=0,"",IF(INDEX(입력_운동!$E$5:$E$1004,$AI134)="","",INDEX(입력_운동!$E$5:$E$1004,$AI134)))</f>
        <v/>
      </c>
      <c r="R134" s="25" t="str">
        <f aca="false">IF($AI134=0,"",IF(INDEX(입력_운동!$F$5:$F$1004,$AI134)="","",INDEX(입력_운동!$F$5:$F$1004,$AI134)))</f>
        <v/>
      </c>
      <c r="S134" s="25" t="str">
        <f aca="false">IF($AJ134=0,"",IF(INDEX(입력_측정!$C$5:$C$1004,$AJ134)="","",INDEX(입력_측정!$C$5:$C$1004,$AJ134)))</f>
        <v/>
      </c>
      <c r="T134" s="25" t="str">
        <f aca="false">IF($AJ134=0,"",IF(INDEX(입력_측정!$D$5:$D$1004,$AJ134)="","",INDEX(입력_측정!$D$5:$D$1004,$AJ134)))</f>
        <v/>
      </c>
      <c r="U134" s="25" t="str">
        <f aca="false">IF($AJ134=0,"",IF(INDEX(입력_측정!$E$5:$E$1004,$AJ134)="","",INDEX(입력_측정!$E$5:$E$1004,$AJ134)))</f>
        <v/>
      </c>
      <c r="V134" s="25" t="str">
        <f aca="false">IF($AJ134=0,"",IF(INDEX(입력_측정!$F$5:$F$1004,$AJ134)="","",INDEX(입력_측정!$F$5:$F$1004,$AJ134)))</f>
        <v/>
      </c>
      <c r="W134" s="25" t="str">
        <f aca="false">IF($AK134=0,"",IF(INDEX(입력_상담!$D$5:$D$1004,$AK134)="","",INDEX(입력_상담!$D$5:$D$1004,$AK134)))</f>
        <v/>
      </c>
      <c r="X134" s="25" t="str">
        <f aca="false">IF($AJ134=0,"",IF(INDEX(입력_측정!$I$5:$I$1004,$AJ134)="","",INDEX(입력_측정!$I$5:$I$1004,$AJ134)))</f>
        <v/>
      </c>
      <c r="Y134" s="25" t="str">
        <f aca="false">IF($AJ134=0,"",IF(INDEX(입력_측정!$J$5:$J$1004,$AJ134)="","",INDEX(입력_측정!$J$5:$J$1004,$AJ134)))</f>
        <v/>
      </c>
      <c r="Z134" s="25" t="str">
        <f aca="false">IF(OR(X134="긴급",LEFT(Y134,2)="긴급",W134="필요",W134="완료"),"대상","")</f>
        <v/>
      </c>
      <c r="AA134" s="59" t="str">
        <f aca="false">IF(M134&lt;&gt;"",M134,IF(AK134&gt;0,IF(W134="필요","추가상담 대기","완료"),IF(AJ134&gt;0,"결과상담 대기",IF(AI134&gt;0,"측정 대기","미방문"))))</f>
        <v>미방문</v>
      </c>
      <c r="AB134" s="60" t="str">
        <f aca="false">IF($AI134=0,"",IF(INDEX(입력_운동!$A$5:$A$1004,$AI134)="","",INDEX(입력_운동!$A$5:$A$1004,$AI134)))</f>
        <v/>
      </c>
      <c r="AC134" s="60" t="str">
        <f aca="false">IF($AJ134=0,"",IF(INDEX(입력_측정!$A$5:$A$1004,$AJ134)="","",INDEX(입력_측정!$A$5:$A$1004,$AJ134)))</f>
        <v/>
      </c>
      <c r="AD134" s="60" t="str">
        <f aca="false">IF($AK134=0,"",IF(INDEX(입력_상담!$A$5:$A$1004,$AK134)="","",INDEX(입력_상담!$A$5:$A$1004,$AK134)))</f>
        <v/>
      </c>
      <c r="AE134" s="25" t="str">
        <f aca="false">IF(AND(ISNUMBER(AB134),ISNUMBER(AC134)),IF(AC134&gt;=AB134,ROUND((AC134-AB134)*1440,0),""),"")</f>
        <v/>
      </c>
      <c r="AF134" s="25" t="str">
        <f aca="false">IF(AND(ISNUMBER(AC134),ISNUMBER(AD134)),IF(AD134&gt;=AC134,ROUND((AD134-AC134)*1440,0),""),"")</f>
        <v/>
      </c>
      <c r="AG134" s="25" t="str">
        <f aca="false">IF(AND(AA134="완료",ISNUMBER(AB134),ISNUMBER(AD134)),IF(AD134&gt;=AB134,ROUND((AD134-AB134)*1440,0),""),"")</f>
        <v/>
      </c>
      <c r="AH134" s="61" t="str">
        <f aca="false">IF(AND(AK134&gt;0,AJ134=0),"측정 기록 없음",IF(AND(AJ134&gt;0,AI134=0),"운동평가 기록 없음",IF(OR(COUNTIF(입력_운동!$B$5:$B$1004,$A134)&gt;1,COUNTIF(입력_측정!$B$5:$B$1004,$A134)&gt;1),"중복 입력","")))</f>
        <v/>
      </c>
      <c r="AI134" s="62" t="n">
        <f aca="false">SUMPRODUCT(MAX((입력_운동!$B$5:$B$1004=$A134)*(ROW(입력_운동!$B$5:$B$1004)-4)))</f>
        <v>0</v>
      </c>
      <c r="AJ134" s="62" t="n">
        <f aca="false">SUMPRODUCT(MAX((입력_측정!$B$5:$B$1004=$A134)*(ROW(입력_측정!$B$5:$B$1004)-4)))</f>
        <v>0</v>
      </c>
      <c r="AK134" s="62" t="n">
        <f aca="false">SUMPRODUCT(MAX((입력_상담!$B$5:$B$1004=$A134)*(ROW(입력_상담!$B$5:$B$1004)-4)))</f>
        <v>0</v>
      </c>
    </row>
    <row r="135" customFormat="false" ht="15" hidden="false" customHeight="false" outlineLevel="0" collapsed="false">
      <c r="A135" s="55" t="n">
        <v>131</v>
      </c>
      <c r="B135" s="56"/>
      <c r="C135" s="24"/>
      <c r="D135" s="24"/>
      <c r="E135" s="56"/>
      <c r="F135" s="57"/>
      <c r="G135" s="58"/>
      <c r="H135" s="56"/>
      <c r="I135" s="24"/>
      <c r="J135" s="24"/>
      <c r="K135" s="24"/>
      <c r="L135" s="24"/>
      <c r="M135" s="24"/>
      <c r="N135" s="56"/>
      <c r="O135" s="25" t="str">
        <f aca="false">IF($AI135=0,"",IF(INDEX(입력_운동!$C$5:$C$1004,$AI135)="","",INDEX(입력_운동!$C$5:$C$1004,$AI135)))</f>
        <v/>
      </c>
      <c r="P135" s="25" t="str">
        <f aca="false">IF($AI135=0,"",IF(INDEX(입력_운동!$D$5:$D$1004,$AI135)="","",INDEX(입력_운동!$D$5:$D$1004,$AI135)))</f>
        <v/>
      </c>
      <c r="Q135" s="25" t="str">
        <f aca="false">IF($AI135=0,"",IF(INDEX(입력_운동!$E$5:$E$1004,$AI135)="","",INDEX(입력_운동!$E$5:$E$1004,$AI135)))</f>
        <v/>
      </c>
      <c r="R135" s="25" t="str">
        <f aca="false">IF($AI135=0,"",IF(INDEX(입력_운동!$F$5:$F$1004,$AI135)="","",INDEX(입력_운동!$F$5:$F$1004,$AI135)))</f>
        <v/>
      </c>
      <c r="S135" s="25" t="str">
        <f aca="false">IF($AJ135=0,"",IF(INDEX(입력_측정!$C$5:$C$1004,$AJ135)="","",INDEX(입력_측정!$C$5:$C$1004,$AJ135)))</f>
        <v/>
      </c>
      <c r="T135" s="25" t="str">
        <f aca="false">IF($AJ135=0,"",IF(INDEX(입력_측정!$D$5:$D$1004,$AJ135)="","",INDEX(입력_측정!$D$5:$D$1004,$AJ135)))</f>
        <v/>
      </c>
      <c r="U135" s="25" t="str">
        <f aca="false">IF($AJ135=0,"",IF(INDEX(입력_측정!$E$5:$E$1004,$AJ135)="","",INDEX(입력_측정!$E$5:$E$1004,$AJ135)))</f>
        <v/>
      </c>
      <c r="V135" s="25" t="str">
        <f aca="false">IF($AJ135=0,"",IF(INDEX(입력_측정!$F$5:$F$1004,$AJ135)="","",INDEX(입력_측정!$F$5:$F$1004,$AJ135)))</f>
        <v/>
      </c>
      <c r="W135" s="25" t="str">
        <f aca="false">IF($AK135=0,"",IF(INDEX(입력_상담!$D$5:$D$1004,$AK135)="","",INDEX(입력_상담!$D$5:$D$1004,$AK135)))</f>
        <v/>
      </c>
      <c r="X135" s="25" t="str">
        <f aca="false">IF($AJ135=0,"",IF(INDEX(입력_측정!$I$5:$I$1004,$AJ135)="","",INDEX(입력_측정!$I$5:$I$1004,$AJ135)))</f>
        <v/>
      </c>
      <c r="Y135" s="25" t="str">
        <f aca="false">IF($AJ135=0,"",IF(INDEX(입력_측정!$J$5:$J$1004,$AJ135)="","",INDEX(입력_측정!$J$5:$J$1004,$AJ135)))</f>
        <v/>
      </c>
      <c r="Z135" s="25" t="str">
        <f aca="false">IF(OR(X135="긴급",LEFT(Y135,2)="긴급",W135="필요",W135="완료"),"대상","")</f>
        <v/>
      </c>
      <c r="AA135" s="59" t="str">
        <f aca="false">IF(M135&lt;&gt;"",M135,IF(AK135&gt;0,IF(W135="필요","추가상담 대기","완료"),IF(AJ135&gt;0,"결과상담 대기",IF(AI135&gt;0,"측정 대기","미방문"))))</f>
        <v>미방문</v>
      </c>
      <c r="AB135" s="60" t="str">
        <f aca="false">IF($AI135=0,"",IF(INDEX(입력_운동!$A$5:$A$1004,$AI135)="","",INDEX(입력_운동!$A$5:$A$1004,$AI135)))</f>
        <v/>
      </c>
      <c r="AC135" s="60" t="str">
        <f aca="false">IF($AJ135=0,"",IF(INDEX(입력_측정!$A$5:$A$1004,$AJ135)="","",INDEX(입력_측정!$A$5:$A$1004,$AJ135)))</f>
        <v/>
      </c>
      <c r="AD135" s="60" t="str">
        <f aca="false">IF($AK135=0,"",IF(INDEX(입력_상담!$A$5:$A$1004,$AK135)="","",INDEX(입력_상담!$A$5:$A$1004,$AK135)))</f>
        <v/>
      </c>
      <c r="AE135" s="25" t="str">
        <f aca="false">IF(AND(ISNUMBER(AB135),ISNUMBER(AC135)),IF(AC135&gt;=AB135,ROUND((AC135-AB135)*1440,0),""),"")</f>
        <v/>
      </c>
      <c r="AF135" s="25" t="str">
        <f aca="false">IF(AND(ISNUMBER(AC135),ISNUMBER(AD135)),IF(AD135&gt;=AC135,ROUND((AD135-AC135)*1440,0),""),"")</f>
        <v/>
      </c>
      <c r="AG135" s="25" t="str">
        <f aca="false">IF(AND(AA135="완료",ISNUMBER(AB135),ISNUMBER(AD135)),IF(AD135&gt;=AB135,ROUND((AD135-AB135)*1440,0),""),"")</f>
        <v/>
      </c>
      <c r="AH135" s="61" t="str">
        <f aca="false">IF(AND(AK135&gt;0,AJ135=0),"측정 기록 없음",IF(AND(AJ135&gt;0,AI135=0),"운동평가 기록 없음",IF(OR(COUNTIF(입력_운동!$B$5:$B$1004,$A135)&gt;1,COUNTIF(입력_측정!$B$5:$B$1004,$A135)&gt;1),"중복 입력","")))</f>
        <v/>
      </c>
      <c r="AI135" s="62" t="n">
        <f aca="false">SUMPRODUCT(MAX((입력_운동!$B$5:$B$1004=$A135)*(ROW(입력_운동!$B$5:$B$1004)-4)))</f>
        <v>0</v>
      </c>
      <c r="AJ135" s="62" t="n">
        <f aca="false">SUMPRODUCT(MAX((입력_측정!$B$5:$B$1004=$A135)*(ROW(입력_측정!$B$5:$B$1004)-4)))</f>
        <v>0</v>
      </c>
      <c r="AK135" s="62" t="n">
        <f aca="false">SUMPRODUCT(MAX((입력_상담!$B$5:$B$1004=$A135)*(ROW(입력_상담!$B$5:$B$1004)-4)))</f>
        <v>0</v>
      </c>
    </row>
    <row r="136" customFormat="false" ht="15" hidden="false" customHeight="false" outlineLevel="0" collapsed="false">
      <c r="A136" s="55" t="n">
        <v>132</v>
      </c>
      <c r="B136" s="56"/>
      <c r="C136" s="24"/>
      <c r="D136" s="24"/>
      <c r="E136" s="56"/>
      <c r="F136" s="57"/>
      <c r="G136" s="58"/>
      <c r="H136" s="56"/>
      <c r="I136" s="24"/>
      <c r="J136" s="24"/>
      <c r="K136" s="24"/>
      <c r="L136" s="24"/>
      <c r="M136" s="24"/>
      <c r="N136" s="56"/>
      <c r="O136" s="25" t="str">
        <f aca="false">IF($AI136=0,"",IF(INDEX(입력_운동!$C$5:$C$1004,$AI136)="","",INDEX(입력_운동!$C$5:$C$1004,$AI136)))</f>
        <v/>
      </c>
      <c r="P136" s="25" t="str">
        <f aca="false">IF($AI136=0,"",IF(INDEX(입력_운동!$D$5:$D$1004,$AI136)="","",INDEX(입력_운동!$D$5:$D$1004,$AI136)))</f>
        <v/>
      </c>
      <c r="Q136" s="25" t="str">
        <f aca="false">IF($AI136=0,"",IF(INDEX(입력_운동!$E$5:$E$1004,$AI136)="","",INDEX(입력_운동!$E$5:$E$1004,$AI136)))</f>
        <v/>
      </c>
      <c r="R136" s="25" t="str">
        <f aca="false">IF($AI136=0,"",IF(INDEX(입력_운동!$F$5:$F$1004,$AI136)="","",INDEX(입력_운동!$F$5:$F$1004,$AI136)))</f>
        <v/>
      </c>
      <c r="S136" s="25" t="str">
        <f aca="false">IF($AJ136=0,"",IF(INDEX(입력_측정!$C$5:$C$1004,$AJ136)="","",INDEX(입력_측정!$C$5:$C$1004,$AJ136)))</f>
        <v/>
      </c>
      <c r="T136" s="25" t="str">
        <f aca="false">IF($AJ136=0,"",IF(INDEX(입력_측정!$D$5:$D$1004,$AJ136)="","",INDEX(입력_측정!$D$5:$D$1004,$AJ136)))</f>
        <v/>
      </c>
      <c r="U136" s="25" t="str">
        <f aca="false">IF($AJ136=0,"",IF(INDEX(입력_측정!$E$5:$E$1004,$AJ136)="","",INDEX(입력_측정!$E$5:$E$1004,$AJ136)))</f>
        <v/>
      </c>
      <c r="V136" s="25" t="str">
        <f aca="false">IF($AJ136=0,"",IF(INDEX(입력_측정!$F$5:$F$1004,$AJ136)="","",INDEX(입력_측정!$F$5:$F$1004,$AJ136)))</f>
        <v/>
      </c>
      <c r="W136" s="25" t="str">
        <f aca="false">IF($AK136=0,"",IF(INDEX(입력_상담!$D$5:$D$1004,$AK136)="","",INDEX(입력_상담!$D$5:$D$1004,$AK136)))</f>
        <v/>
      </c>
      <c r="X136" s="25" t="str">
        <f aca="false">IF($AJ136=0,"",IF(INDEX(입력_측정!$I$5:$I$1004,$AJ136)="","",INDEX(입력_측정!$I$5:$I$1004,$AJ136)))</f>
        <v/>
      </c>
      <c r="Y136" s="25" t="str">
        <f aca="false">IF($AJ136=0,"",IF(INDEX(입력_측정!$J$5:$J$1004,$AJ136)="","",INDEX(입력_측정!$J$5:$J$1004,$AJ136)))</f>
        <v/>
      </c>
      <c r="Z136" s="25" t="str">
        <f aca="false">IF(OR(X136="긴급",LEFT(Y136,2)="긴급",W136="필요",W136="완료"),"대상","")</f>
        <v/>
      </c>
      <c r="AA136" s="59" t="str">
        <f aca="false">IF(M136&lt;&gt;"",M136,IF(AK136&gt;0,IF(W136="필요","추가상담 대기","완료"),IF(AJ136&gt;0,"결과상담 대기",IF(AI136&gt;0,"측정 대기","미방문"))))</f>
        <v>미방문</v>
      </c>
      <c r="AB136" s="60" t="str">
        <f aca="false">IF($AI136=0,"",IF(INDEX(입력_운동!$A$5:$A$1004,$AI136)="","",INDEX(입력_운동!$A$5:$A$1004,$AI136)))</f>
        <v/>
      </c>
      <c r="AC136" s="60" t="str">
        <f aca="false">IF($AJ136=0,"",IF(INDEX(입력_측정!$A$5:$A$1004,$AJ136)="","",INDEX(입력_측정!$A$5:$A$1004,$AJ136)))</f>
        <v/>
      </c>
      <c r="AD136" s="60" t="str">
        <f aca="false">IF($AK136=0,"",IF(INDEX(입력_상담!$A$5:$A$1004,$AK136)="","",INDEX(입력_상담!$A$5:$A$1004,$AK136)))</f>
        <v/>
      </c>
      <c r="AE136" s="25" t="str">
        <f aca="false">IF(AND(ISNUMBER(AB136),ISNUMBER(AC136)),IF(AC136&gt;=AB136,ROUND((AC136-AB136)*1440,0),""),"")</f>
        <v/>
      </c>
      <c r="AF136" s="25" t="str">
        <f aca="false">IF(AND(ISNUMBER(AC136),ISNUMBER(AD136)),IF(AD136&gt;=AC136,ROUND((AD136-AC136)*1440,0),""),"")</f>
        <v/>
      </c>
      <c r="AG136" s="25" t="str">
        <f aca="false">IF(AND(AA136="완료",ISNUMBER(AB136),ISNUMBER(AD136)),IF(AD136&gt;=AB136,ROUND((AD136-AB136)*1440,0),""),"")</f>
        <v/>
      </c>
      <c r="AH136" s="61" t="str">
        <f aca="false">IF(AND(AK136&gt;0,AJ136=0),"측정 기록 없음",IF(AND(AJ136&gt;0,AI136=0),"운동평가 기록 없음",IF(OR(COUNTIF(입력_운동!$B$5:$B$1004,$A136)&gt;1,COUNTIF(입력_측정!$B$5:$B$1004,$A136)&gt;1),"중복 입력","")))</f>
        <v/>
      </c>
      <c r="AI136" s="62" t="n">
        <f aca="false">SUMPRODUCT(MAX((입력_운동!$B$5:$B$1004=$A136)*(ROW(입력_운동!$B$5:$B$1004)-4)))</f>
        <v>0</v>
      </c>
      <c r="AJ136" s="62" t="n">
        <f aca="false">SUMPRODUCT(MAX((입력_측정!$B$5:$B$1004=$A136)*(ROW(입력_측정!$B$5:$B$1004)-4)))</f>
        <v>0</v>
      </c>
      <c r="AK136" s="62" t="n">
        <f aca="false">SUMPRODUCT(MAX((입력_상담!$B$5:$B$1004=$A136)*(ROW(입력_상담!$B$5:$B$1004)-4)))</f>
        <v>0</v>
      </c>
    </row>
    <row r="137" customFormat="false" ht="15" hidden="false" customHeight="false" outlineLevel="0" collapsed="false">
      <c r="A137" s="55" t="n">
        <v>133</v>
      </c>
      <c r="B137" s="56"/>
      <c r="C137" s="24"/>
      <c r="D137" s="24"/>
      <c r="E137" s="56"/>
      <c r="F137" s="57"/>
      <c r="G137" s="58"/>
      <c r="H137" s="56"/>
      <c r="I137" s="24"/>
      <c r="J137" s="24"/>
      <c r="K137" s="24"/>
      <c r="L137" s="24"/>
      <c r="M137" s="24"/>
      <c r="N137" s="56"/>
      <c r="O137" s="25" t="str">
        <f aca="false">IF($AI137=0,"",IF(INDEX(입력_운동!$C$5:$C$1004,$AI137)="","",INDEX(입력_운동!$C$5:$C$1004,$AI137)))</f>
        <v/>
      </c>
      <c r="P137" s="25" t="str">
        <f aca="false">IF($AI137=0,"",IF(INDEX(입력_운동!$D$5:$D$1004,$AI137)="","",INDEX(입력_운동!$D$5:$D$1004,$AI137)))</f>
        <v/>
      </c>
      <c r="Q137" s="25" t="str">
        <f aca="false">IF($AI137=0,"",IF(INDEX(입력_운동!$E$5:$E$1004,$AI137)="","",INDEX(입력_운동!$E$5:$E$1004,$AI137)))</f>
        <v/>
      </c>
      <c r="R137" s="25" t="str">
        <f aca="false">IF($AI137=0,"",IF(INDEX(입력_운동!$F$5:$F$1004,$AI137)="","",INDEX(입력_운동!$F$5:$F$1004,$AI137)))</f>
        <v/>
      </c>
      <c r="S137" s="25" t="str">
        <f aca="false">IF($AJ137=0,"",IF(INDEX(입력_측정!$C$5:$C$1004,$AJ137)="","",INDEX(입력_측정!$C$5:$C$1004,$AJ137)))</f>
        <v/>
      </c>
      <c r="T137" s="25" t="str">
        <f aca="false">IF($AJ137=0,"",IF(INDEX(입력_측정!$D$5:$D$1004,$AJ137)="","",INDEX(입력_측정!$D$5:$D$1004,$AJ137)))</f>
        <v/>
      </c>
      <c r="U137" s="25" t="str">
        <f aca="false">IF($AJ137=0,"",IF(INDEX(입력_측정!$E$5:$E$1004,$AJ137)="","",INDEX(입력_측정!$E$5:$E$1004,$AJ137)))</f>
        <v/>
      </c>
      <c r="V137" s="25" t="str">
        <f aca="false">IF($AJ137=0,"",IF(INDEX(입력_측정!$F$5:$F$1004,$AJ137)="","",INDEX(입력_측정!$F$5:$F$1004,$AJ137)))</f>
        <v/>
      </c>
      <c r="W137" s="25" t="str">
        <f aca="false">IF($AK137=0,"",IF(INDEX(입력_상담!$D$5:$D$1004,$AK137)="","",INDEX(입력_상담!$D$5:$D$1004,$AK137)))</f>
        <v/>
      </c>
      <c r="X137" s="25" t="str">
        <f aca="false">IF($AJ137=0,"",IF(INDEX(입력_측정!$I$5:$I$1004,$AJ137)="","",INDEX(입력_측정!$I$5:$I$1004,$AJ137)))</f>
        <v/>
      </c>
      <c r="Y137" s="25" t="str">
        <f aca="false">IF($AJ137=0,"",IF(INDEX(입력_측정!$J$5:$J$1004,$AJ137)="","",INDEX(입력_측정!$J$5:$J$1004,$AJ137)))</f>
        <v/>
      </c>
      <c r="Z137" s="25" t="str">
        <f aca="false">IF(OR(X137="긴급",LEFT(Y137,2)="긴급",W137="필요",W137="완료"),"대상","")</f>
        <v/>
      </c>
      <c r="AA137" s="59" t="str">
        <f aca="false">IF(M137&lt;&gt;"",M137,IF(AK137&gt;0,IF(W137="필요","추가상담 대기","완료"),IF(AJ137&gt;0,"결과상담 대기",IF(AI137&gt;0,"측정 대기","미방문"))))</f>
        <v>미방문</v>
      </c>
      <c r="AB137" s="60" t="str">
        <f aca="false">IF($AI137=0,"",IF(INDEX(입력_운동!$A$5:$A$1004,$AI137)="","",INDEX(입력_운동!$A$5:$A$1004,$AI137)))</f>
        <v/>
      </c>
      <c r="AC137" s="60" t="str">
        <f aca="false">IF($AJ137=0,"",IF(INDEX(입력_측정!$A$5:$A$1004,$AJ137)="","",INDEX(입력_측정!$A$5:$A$1004,$AJ137)))</f>
        <v/>
      </c>
      <c r="AD137" s="60" t="str">
        <f aca="false">IF($AK137=0,"",IF(INDEX(입력_상담!$A$5:$A$1004,$AK137)="","",INDEX(입력_상담!$A$5:$A$1004,$AK137)))</f>
        <v/>
      </c>
      <c r="AE137" s="25" t="str">
        <f aca="false">IF(AND(ISNUMBER(AB137),ISNUMBER(AC137)),IF(AC137&gt;=AB137,ROUND((AC137-AB137)*1440,0),""),"")</f>
        <v/>
      </c>
      <c r="AF137" s="25" t="str">
        <f aca="false">IF(AND(ISNUMBER(AC137),ISNUMBER(AD137)),IF(AD137&gt;=AC137,ROUND((AD137-AC137)*1440,0),""),"")</f>
        <v/>
      </c>
      <c r="AG137" s="25" t="str">
        <f aca="false">IF(AND(AA137="완료",ISNUMBER(AB137),ISNUMBER(AD137)),IF(AD137&gt;=AB137,ROUND((AD137-AB137)*1440,0),""),"")</f>
        <v/>
      </c>
      <c r="AH137" s="61" t="str">
        <f aca="false">IF(AND(AK137&gt;0,AJ137=0),"측정 기록 없음",IF(AND(AJ137&gt;0,AI137=0),"운동평가 기록 없음",IF(OR(COUNTIF(입력_운동!$B$5:$B$1004,$A137)&gt;1,COUNTIF(입력_측정!$B$5:$B$1004,$A137)&gt;1),"중복 입력","")))</f>
        <v/>
      </c>
      <c r="AI137" s="62" t="n">
        <f aca="false">SUMPRODUCT(MAX((입력_운동!$B$5:$B$1004=$A137)*(ROW(입력_운동!$B$5:$B$1004)-4)))</f>
        <v>0</v>
      </c>
      <c r="AJ137" s="62" t="n">
        <f aca="false">SUMPRODUCT(MAX((입력_측정!$B$5:$B$1004=$A137)*(ROW(입력_측정!$B$5:$B$1004)-4)))</f>
        <v>0</v>
      </c>
      <c r="AK137" s="62" t="n">
        <f aca="false">SUMPRODUCT(MAX((입력_상담!$B$5:$B$1004=$A137)*(ROW(입력_상담!$B$5:$B$1004)-4)))</f>
        <v>0</v>
      </c>
    </row>
    <row r="138" customFormat="false" ht="15" hidden="false" customHeight="false" outlineLevel="0" collapsed="false">
      <c r="A138" s="55" t="n">
        <v>134</v>
      </c>
      <c r="B138" s="56"/>
      <c r="C138" s="24"/>
      <c r="D138" s="24"/>
      <c r="E138" s="56"/>
      <c r="F138" s="57"/>
      <c r="G138" s="58"/>
      <c r="H138" s="56"/>
      <c r="I138" s="24"/>
      <c r="J138" s="24"/>
      <c r="K138" s="24"/>
      <c r="L138" s="24"/>
      <c r="M138" s="24"/>
      <c r="N138" s="56"/>
      <c r="O138" s="25" t="str">
        <f aca="false">IF($AI138=0,"",IF(INDEX(입력_운동!$C$5:$C$1004,$AI138)="","",INDEX(입력_운동!$C$5:$C$1004,$AI138)))</f>
        <v/>
      </c>
      <c r="P138" s="25" t="str">
        <f aca="false">IF($AI138=0,"",IF(INDEX(입력_운동!$D$5:$D$1004,$AI138)="","",INDEX(입력_운동!$D$5:$D$1004,$AI138)))</f>
        <v/>
      </c>
      <c r="Q138" s="25" t="str">
        <f aca="false">IF($AI138=0,"",IF(INDEX(입력_운동!$E$5:$E$1004,$AI138)="","",INDEX(입력_운동!$E$5:$E$1004,$AI138)))</f>
        <v/>
      </c>
      <c r="R138" s="25" t="str">
        <f aca="false">IF($AI138=0,"",IF(INDEX(입력_운동!$F$5:$F$1004,$AI138)="","",INDEX(입력_운동!$F$5:$F$1004,$AI138)))</f>
        <v/>
      </c>
      <c r="S138" s="25" t="str">
        <f aca="false">IF($AJ138=0,"",IF(INDEX(입력_측정!$C$5:$C$1004,$AJ138)="","",INDEX(입력_측정!$C$5:$C$1004,$AJ138)))</f>
        <v/>
      </c>
      <c r="T138" s="25" t="str">
        <f aca="false">IF($AJ138=0,"",IF(INDEX(입력_측정!$D$5:$D$1004,$AJ138)="","",INDEX(입력_측정!$D$5:$D$1004,$AJ138)))</f>
        <v/>
      </c>
      <c r="U138" s="25" t="str">
        <f aca="false">IF($AJ138=0,"",IF(INDEX(입력_측정!$E$5:$E$1004,$AJ138)="","",INDEX(입력_측정!$E$5:$E$1004,$AJ138)))</f>
        <v/>
      </c>
      <c r="V138" s="25" t="str">
        <f aca="false">IF($AJ138=0,"",IF(INDEX(입력_측정!$F$5:$F$1004,$AJ138)="","",INDEX(입력_측정!$F$5:$F$1004,$AJ138)))</f>
        <v/>
      </c>
      <c r="W138" s="25" t="str">
        <f aca="false">IF($AK138=0,"",IF(INDEX(입력_상담!$D$5:$D$1004,$AK138)="","",INDEX(입력_상담!$D$5:$D$1004,$AK138)))</f>
        <v/>
      </c>
      <c r="X138" s="25" t="str">
        <f aca="false">IF($AJ138=0,"",IF(INDEX(입력_측정!$I$5:$I$1004,$AJ138)="","",INDEX(입력_측정!$I$5:$I$1004,$AJ138)))</f>
        <v/>
      </c>
      <c r="Y138" s="25" t="str">
        <f aca="false">IF($AJ138=0,"",IF(INDEX(입력_측정!$J$5:$J$1004,$AJ138)="","",INDEX(입력_측정!$J$5:$J$1004,$AJ138)))</f>
        <v/>
      </c>
      <c r="Z138" s="25" t="str">
        <f aca="false">IF(OR(X138="긴급",LEFT(Y138,2)="긴급",W138="필요",W138="완료"),"대상","")</f>
        <v/>
      </c>
      <c r="AA138" s="59" t="str">
        <f aca="false">IF(M138&lt;&gt;"",M138,IF(AK138&gt;0,IF(W138="필요","추가상담 대기","완료"),IF(AJ138&gt;0,"결과상담 대기",IF(AI138&gt;0,"측정 대기","미방문"))))</f>
        <v>미방문</v>
      </c>
      <c r="AB138" s="60" t="str">
        <f aca="false">IF($AI138=0,"",IF(INDEX(입력_운동!$A$5:$A$1004,$AI138)="","",INDEX(입력_운동!$A$5:$A$1004,$AI138)))</f>
        <v/>
      </c>
      <c r="AC138" s="60" t="str">
        <f aca="false">IF($AJ138=0,"",IF(INDEX(입력_측정!$A$5:$A$1004,$AJ138)="","",INDEX(입력_측정!$A$5:$A$1004,$AJ138)))</f>
        <v/>
      </c>
      <c r="AD138" s="60" t="str">
        <f aca="false">IF($AK138=0,"",IF(INDEX(입력_상담!$A$5:$A$1004,$AK138)="","",INDEX(입력_상담!$A$5:$A$1004,$AK138)))</f>
        <v/>
      </c>
      <c r="AE138" s="25" t="str">
        <f aca="false">IF(AND(ISNUMBER(AB138),ISNUMBER(AC138)),IF(AC138&gt;=AB138,ROUND((AC138-AB138)*1440,0),""),"")</f>
        <v/>
      </c>
      <c r="AF138" s="25" t="str">
        <f aca="false">IF(AND(ISNUMBER(AC138),ISNUMBER(AD138)),IF(AD138&gt;=AC138,ROUND((AD138-AC138)*1440,0),""),"")</f>
        <v/>
      </c>
      <c r="AG138" s="25" t="str">
        <f aca="false">IF(AND(AA138="완료",ISNUMBER(AB138),ISNUMBER(AD138)),IF(AD138&gt;=AB138,ROUND((AD138-AB138)*1440,0),""),"")</f>
        <v/>
      </c>
      <c r="AH138" s="61" t="str">
        <f aca="false">IF(AND(AK138&gt;0,AJ138=0),"측정 기록 없음",IF(AND(AJ138&gt;0,AI138=0),"운동평가 기록 없음",IF(OR(COUNTIF(입력_운동!$B$5:$B$1004,$A138)&gt;1,COUNTIF(입력_측정!$B$5:$B$1004,$A138)&gt;1),"중복 입력","")))</f>
        <v/>
      </c>
      <c r="AI138" s="62" t="n">
        <f aca="false">SUMPRODUCT(MAX((입력_운동!$B$5:$B$1004=$A138)*(ROW(입력_운동!$B$5:$B$1004)-4)))</f>
        <v>0</v>
      </c>
      <c r="AJ138" s="62" t="n">
        <f aca="false">SUMPRODUCT(MAX((입력_측정!$B$5:$B$1004=$A138)*(ROW(입력_측정!$B$5:$B$1004)-4)))</f>
        <v>0</v>
      </c>
      <c r="AK138" s="62" t="n">
        <f aca="false">SUMPRODUCT(MAX((입력_상담!$B$5:$B$1004=$A138)*(ROW(입력_상담!$B$5:$B$1004)-4)))</f>
        <v>0</v>
      </c>
    </row>
    <row r="139" customFormat="false" ht="15" hidden="false" customHeight="false" outlineLevel="0" collapsed="false">
      <c r="A139" s="55" t="n">
        <v>135</v>
      </c>
      <c r="B139" s="56"/>
      <c r="C139" s="24"/>
      <c r="D139" s="24"/>
      <c r="E139" s="56"/>
      <c r="F139" s="57"/>
      <c r="G139" s="58"/>
      <c r="H139" s="56"/>
      <c r="I139" s="24"/>
      <c r="J139" s="24"/>
      <c r="K139" s="24"/>
      <c r="L139" s="24"/>
      <c r="M139" s="24"/>
      <c r="N139" s="56"/>
      <c r="O139" s="25" t="str">
        <f aca="false">IF($AI139=0,"",IF(INDEX(입력_운동!$C$5:$C$1004,$AI139)="","",INDEX(입력_운동!$C$5:$C$1004,$AI139)))</f>
        <v/>
      </c>
      <c r="P139" s="25" t="str">
        <f aca="false">IF($AI139=0,"",IF(INDEX(입력_운동!$D$5:$D$1004,$AI139)="","",INDEX(입력_운동!$D$5:$D$1004,$AI139)))</f>
        <v/>
      </c>
      <c r="Q139" s="25" t="str">
        <f aca="false">IF($AI139=0,"",IF(INDEX(입력_운동!$E$5:$E$1004,$AI139)="","",INDEX(입력_운동!$E$5:$E$1004,$AI139)))</f>
        <v/>
      </c>
      <c r="R139" s="25" t="str">
        <f aca="false">IF($AI139=0,"",IF(INDEX(입력_운동!$F$5:$F$1004,$AI139)="","",INDEX(입력_운동!$F$5:$F$1004,$AI139)))</f>
        <v/>
      </c>
      <c r="S139" s="25" t="str">
        <f aca="false">IF($AJ139=0,"",IF(INDEX(입력_측정!$C$5:$C$1004,$AJ139)="","",INDEX(입력_측정!$C$5:$C$1004,$AJ139)))</f>
        <v/>
      </c>
      <c r="T139" s="25" t="str">
        <f aca="false">IF($AJ139=0,"",IF(INDEX(입력_측정!$D$5:$D$1004,$AJ139)="","",INDEX(입력_측정!$D$5:$D$1004,$AJ139)))</f>
        <v/>
      </c>
      <c r="U139" s="25" t="str">
        <f aca="false">IF($AJ139=0,"",IF(INDEX(입력_측정!$E$5:$E$1004,$AJ139)="","",INDEX(입력_측정!$E$5:$E$1004,$AJ139)))</f>
        <v/>
      </c>
      <c r="V139" s="25" t="str">
        <f aca="false">IF($AJ139=0,"",IF(INDEX(입력_측정!$F$5:$F$1004,$AJ139)="","",INDEX(입력_측정!$F$5:$F$1004,$AJ139)))</f>
        <v/>
      </c>
      <c r="W139" s="25" t="str">
        <f aca="false">IF($AK139=0,"",IF(INDEX(입력_상담!$D$5:$D$1004,$AK139)="","",INDEX(입력_상담!$D$5:$D$1004,$AK139)))</f>
        <v/>
      </c>
      <c r="X139" s="25" t="str">
        <f aca="false">IF($AJ139=0,"",IF(INDEX(입력_측정!$I$5:$I$1004,$AJ139)="","",INDEX(입력_측정!$I$5:$I$1004,$AJ139)))</f>
        <v/>
      </c>
      <c r="Y139" s="25" t="str">
        <f aca="false">IF($AJ139=0,"",IF(INDEX(입력_측정!$J$5:$J$1004,$AJ139)="","",INDEX(입력_측정!$J$5:$J$1004,$AJ139)))</f>
        <v/>
      </c>
      <c r="Z139" s="25" t="str">
        <f aca="false">IF(OR(X139="긴급",LEFT(Y139,2)="긴급",W139="필요",W139="완료"),"대상","")</f>
        <v/>
      </c>
      <c r="AA139" s="59" t="str">
        <f aca="false">IF(M139&lt;&gt;"",M139,IF(AK139&gt;0,IF(W139="필요","추가상담 대기","완료"),IF(AJ139&gt;0,"결과상담 대기",IF(AI139&gt;0,"측정 대기","미방문"))))</f>
        <v>미방문</v>
      </c>
      <c r="AB139" s="60" t="str">
        <f aca="false">IF($AI139=0,"",IF(INDEX(입력_운동!$A$5:$A$1004,$AI139)="","",INDEX(입력_운동!$A$5:$A$1004,$AI139)))</f>
        <v/>
      </c>
      <c r="AC139" s="60" t="str">
        <f aca="false">IF($AJ139=0,"",IF(INDEX(입력_측정!$A$5:$A$1004,$AJ139)="","",INDEX(입력_측정!$A$5:$A$1004,$AJ139)))</f>
        <v/>
      </c>
      <c r="AD139" s="60" t="str">
        <f aca="false">IF($AK139=0,"",IF(INDEX(입력_상담!$A$5:$A$1004,$AK139)="","",INDEX(입력_상담!$A$5:$A$1004,$AK139)))</f>
        <v/>
      </c>
      <c r="AE139" s="25" t="str">
        <f aca="false">IF(AND(ISNUMBER(AB139),ISNUMBER(AC139)),IF(AC139&gt;=AB139,ROUND((AC139-AB139)*1440,0),""),"")</f>
        <v/>
      </c>
      <c r="AF139" s="25" t="str">
        <f aca="false">IF(AND(ISNUMBER(AC139),ISNUMBER(AD139)),IF(AD139&gt;=AC139,ROUND((AD139-AC139)*1440,0),""),"")</f>
        <v/>
      </c>
      <c r="AG139" s="25" t="str">
        <f aca="false">IF(AND(AA139="완료",ISNUMBER(AB139),ISNUMBER(AD139)),IF(AD139&gt;=AB139,ROUND((AD139-AB139)*1440,0),""),"")</f>
        <v/>
      </c>
      <c r="AH139" s="61" t="str">
        <f aca="false">IF(AND(AK139&gt;0,AJ139=0),"측정 기록 없음",IF(AND(AJ139&gt;0,AI139=0),"운동평가 기록 없음",IF(OR(COUNTIF(입력_운동!$B$5:$B$1004,$A139)&gt;1,COUNTIF(입력_측정!$B$5:$B$1004,$A139)&gt;1),"중복 입력","")))</f>
        <v/>
      </c>
      <c r="AI139" s="62" t="n">
        <f aca="false">SUMPRODUCT(MAX((입력_운동!$B$5:$B$1004=$A139)*(ROW(입력_운동!$B$5:$B$1004)-4)))</f>
        <v>0</v>
      </c>
      <c r="AJ139" s="62" t="n">
        <f aca="false">SUMPRODUCT(MAX((입력_측정!$B$5:$B$1004=$A139)*(ROW(입력_측정!$B$5:$B$1004)-4)))</f>
        <v>0</v>
      </c>
      <c r="AK139" s="62" t="n">
        <f aca="false">SUMPRODUCT(MAX((입력_상담!$B$5:$B$1004=$A139)*(ROW(입력_상담!$B$5:$B$1004)-4)))</f>
        <v>0</v>
      </c>
    </row>
    <row r="140" customFormat="false" ht="15" hidden="false" customHeight="false" outlineLevel="0" collapsed="false">
      <c r="A140" s="55" t="n">
        <v>136</v>
      </c>
      <c r="B140" s="56"/>
      <c r="C140" s="24"/>
      <c r="D140" s="24"/>
      <c r="E140" s="56"/>
      <c r="F140" s="57"/>
      <c r="G140" s="58"/>
      <c r="H140" s="56"/>
      <c r="I140" s="24"/>
      <c r="J140" s="24"/>
      <c r="K140" s="24"/>
      <c r="L140" s="24"/>
      <c r="M140" s="24"/>
      <c r="N140" s="56"/>
      <c r="O140" s="25" t="str">
        <f aca="false">IF($AI140=0,"",IF(INDEX(입력_운동!$C$5:$C$1004,$AI140)="","",INDEX(입력_운동!$C$5:$C$1004,$AI140)))</f>
        <v/>
      </c>
      <c r="P140" s="25" t="str">
        <f aca="false">IF($AI140=0,"",IF(INDEX(입력_운동!$D$5:$D$1004,$AI140)="","",INDEX(입력_운동!$D$5:$D$1004,$AI140)))</f>
        <v/>
      </c>
      <c r="Q140" s="25" t="str">
        <f aca="false">IF($AI140=0,"",IF(INDEX(입력_운동!$E$5:$E$1004,$AI140)="","",INDEX(입력_운동!$E$5:$E$1004,$AI140)))</f>
        <v/>
      </c>
      <c r="R140" s="25" t="str">
        <f aca="false">IF($AI140=0,"",IF(INDEX(입력_운동!$F$5:$F$1004,$AI140)="","",INDEX(입력_운동!$F$5:$F$1004,$AI140)))</f>
        <v/>
      </c>
      <c r="S140" s="25" t="str">
        <f aca="false">IF($AJ140=0,"",IF(INDEX(입력_측정!$C$5:$C$1004,$AJ140)="","",INDEX(입력_측정!$C$5:$C$1004,$AJ140)))</f>
        <v/>
      </c>
      <c r="T140" s="25" t="str">
        <f aca="false">IF($AJ140=0,"",IF(INDEX(입력_측정!$D$5:$D$1004,$AJ140)="","",INDEX(입력_측정!$D$5:$D$1004,$AJ140)))</f>
        <v/>
      </c>
      <c r="U140" s="25" t="str">
        <f aca="false">IF($AJ140=0,"",IF(INDEX(입력_측정!$E$5:$E$1004,$AJ140)="","",INDEX(입력_측정!$E$5:$E$1004,$AJ140)))</f>
        <v/>
      </c>
      <c r="V140" s="25" t="str">
        <f aca="false">IF($AJ140=0,"",IF(INDEX(입력_측정!$F$5:$F$1004,$AJ140)="","",INDEX(입력_측정!$F$5:$F$1004,$AJ140)))</f>
        <v/>
      </c>
      <c r="W140" s="25" t="str">
        <f aca="false">IF($AK140=0,"",IF(INDEX(입력_상담!$D$5:$D$1004,$AK140)="","",INDEX(입력_상담!$D$5:$D$1004,$AK140)))</f>
        <v/>
      </c>
      <c r="X140" s="25" t="str">
        <f aca="false">IF($AJ140=0,"",IF(INDEX(입력_측정!$I$5:$I$1004,$AJ140)="","",INDEX(입력_측정!$I$5:$I$1004,$AJ140)))</f>
        <v/>
      </c>
      <c r="Y140" s="25" t="str">
        <f aca="false">IF($AJ140=0,"",IF(INDEX(입력_측정!$J$5:$J$1004,$AJ140)="","",INDEX(입력_측정!$J$5:$J$1004,$AJ140)))</f>
        <v/>
      </c>
      <c r="Z140" s="25" t="str">
        <f aca="false">IF(OR(X140="긴급",LEFT(Y140,2)="긴급",W140="필요",W140="완료"),"대상","")</f>
        <v/>
      </c>
      <c r="AA140" s="59" t="str">
        <f aca="false">IF(M140&lt;&gt;"",M140,IF(AK140&gt;0,IF(W140="필요","추가상담 대기","완료"),IF(AJ140&gt;0,"결과상담 대기",IF(AI140&gt;0,"측정 대기","미방문"))))</f>
        <v>미방문</v>
      </c>
      <c r="AB140" s="60" t="str">
        <f aca="false">IF($AI140=0,"",IF(INDEX(입력_운동!$A$5:$A$1004,$AI140)="","",INDEX(입력_운동!$A$5:$A$1004,$AI140)))</f>
        <v/>
      </c>
      <c r="AC140" s="60" t="str">
        <f aca="false">IF($AJ140=0,"",IF(INDEX(입력_측정!$A$5:$A$1004,$AJ140)="","",INDEX(입력_측정!$A$5:$A$1004,$AJ140)))</f>
        <v/>
      </c>
      <c r="AD140" s="60" t="str">
        <f aca="false">IF($AK140=0,"",IF(INDEX(입력_상담!$A$5:$A$1004,$AK140)="","",INDEX(입력_상담!$A$5:$A$1004,$AK140)))</f>
        <v/>
      </c>
      <c r="AE140" s="25" t="str">
        <f aca="false">IF(AND(ISNUMBER(AB140),ISNUMBER(AC140)),IF(AC140&gt;=AB140,ROUND((AC140-AB140)*1440,0),""),"")</f>
        <v/>
      </c>
      <c r="AF140" s="25" t="str">
        <f aca="false">IF(AND(ISNUMBER(AC140),ISNUMBER(AD140)),IF(AD140&gt;=AC140,ROUND((AD140-AC140)*1440,0),""),"")</f>
        <v/>
      </c>
      <c r="AG140" s="25" t="str">
        <f aca="false">IF(AND(AA140="완료",ISNUMBER(AB140),ISNUMBER(AD140)),IF(AD140&gt;=AB140,ROUND((AD140-AB140)*1440,0),""),"")</f>
        <v/>
      </c>
      <c r="AH140" s="61" t="str">
        <f aca="false">IF(AND(AK140&gt;0,AJ140=0),"측정 기록 없음",IF(AND(AJ140&gt;0,AI140=0),"운동평가 기록 없음",IF(OR(COUNTIF(입력_운동!$B$5:$B$1004,$A140)&gt;1,COUNTIF(입력_측정!$B$5:$B$1004,$A140)&gt;1),"중복 입력","")))</f>
        <v/>
      </c>
      <c r="AI140" s="62" t="n">
        <f aca="false">SUMPRODUCT(MAX((입력_운동!$B$5:$B$1004=$A140)*(ROW(입력_운동!$B$5:$B$1004)-4)))</f>
        <v>0</v>
      </c>
      <c r="AJ140" s="62" t="n">
        <f aca="false">SUMPRODUCT(MAX((입력_측정!$B$5:$B$1004=$A140)*(ROW(입력_측정!$B$5:$B$1004)-4)))</f>
        <v>0</v>
      </c>
      <c r="AK140" s="62" t="n">
        <f aca="false">SUMPRODUCT(MAX((입력_상담!$B$5:$B$1004=$A140)*(ROW(입력_상담!$B$5:$B$1004)-4)))</f>
        <v>0</v>
      </c>
    </row>
    <row r="141" customFormat="false" ht="15" hidden="false" customHeight="false" outlineLevel="0" collapsed="false">
      <c r="A141" s="55" t="n">
        <v>137</v>
      </c>
      <c r="B141" s="56"/>
      <c r="C141" s="24"/>
      <c r="D141" s="24"/>
      <c r="E141" s="56"/>
      <c r="F141" s="57"/>
      <c r="G141" s="58"/>
      <c r="H141" s="56"/>
      <c r="I141" s="24"/>
      <c r="J141" s="24"/>
      <c r="K141" s="24"/>
      <c r="L141" s="24"/>
      <c r="M141" s="24"/>
      <c r="N141" s="56"/>
      <c r="O141" s="25" t="str">
        <f aca="false">IF($AI141=0,"",IF(INDEX(입력_운동!$C$5:$C$1004,$AI141)="","",INDEX(입력_운동!$C$5:$C$1004,$AI141)))</f>
        <v/>
      </c>
      <c r="P141" s="25" t="str">
        <f aca="false">IF($AI141=0,"",IF(INDEX(입력_운동!$D$5:$D$1004,$AI141)="","",INDEX(입력_운동!$D$5:$D$1004,$AI141)))</f>
        <v/>
      </c>
      <c r="Q141" s="25" t="str">
        <f aca="false">IF($AI141=0,"",IF(INDEX(입력_운동!$E$5:$E$1004,$AI141)="","",INDEX(입력_운동!$E$5:$E$1004,$AI141)))</f>
        <v/>
      </c>
      <c r="R141" s="25" t="str">
        <f aca="false">IF($AI141=0,"",IF(INDEX(입력_운동!$F$5:$F$1004,$AI141)="","",INDEX(입력_운동!$F$5:$F$1004,$AI141)))</f>
        <v/>
      </c>
      <c r="S141" s="25" t="str">
        <f aca="false">IF($AJ141=0,"",IF(INDEX(입력_측정!$C$5:$C$1004,$AJ141)="","",INDEX(입력_측정!$C$5:$C$1004,$AJ141)))</f>
        <v/>
      </c>
      <c r="T141" s="25" t="str">
        <f aca="false">IF($AJ141=0,"",IF(INDEX(입력_측정!$D$5:$D$1004,$AJ141)="","",INDEX(입력_측정!$D$5:$D$1004,$AJ141)))</f>
        <v/>
      </c>
      <c r="U141" s="25" t="str">
        <f aca="false">IF($AJ141=0,"",IF(INDEX(입력_측정!$E$5:$E$1004,$AJ141)="","",INDEX(입력_측정!$E$5:$E$1004,$AJ141)))</f>
        <v/>
      </c>
      <c r="V141" s="25" t="str">
        <f aca="false">IF($AJ141=0,"",IF(INDEX(입력_측정!$F$5:$F$1004,$AJ141)="","",INDEX(입력_측정!$F$5:$F$1004,$AJ141)))</f>
        <v/>
      </c>
      <c r="W141" s="25" t="str">
        <f aca="false">IF($AK141=0,"",IF(INDEX(입력_상담!$D$5:$D$1004,$AK141)="","",INDEX(입력_상담!$D$5:$D$1004,$AK141)))</f>
        <v/>
      </c>
      <c r="X141" s="25" t="str">
        <f aca="false">IF($AJ141=0,"",IF(INDEX(입력_측정!$I$5:$I$1004,$AJ141)="","",INDEX(입력_측정!$I$5:$I$1004,$AJ141)))</f>
        <v/>
      </c>
      <c r="Y141" s="25" t="str">
        <f aca="false">IF($AJ141=0,"",IF(INDEX(입력_측정!$J$5:$J$1004,$AJ141)="","",INDEX(입력_측정!$J$5:$J$1004,$AJ141)))</f>
        <v/>
      </c>
      <c r="Z141" s="25" t="str">
        <f aca="false">IF(OR(X141="긴급",LEFT(Y141,2)="긴급",W141="필요",W141="완료"),"대상","")</f>
        <v/>
      </c>
      <c r="AA141" s="59" t="str">
        <f aca="false">IF(M141&lt;&gt;"",M141,IF(AK141&gt;0,IF(W141="필요","추가상담 대기","완료"),IF(AJ141&gt;0,"결과상담 대기",IF(AI141&gt;0,"측정 대기","미방문"))))</f>
        <v>미방문</v>
      </c>
      <c r="AB141" s="60" t="str">
        <f aca="false">IF($AI141=0,"",IF(INDEX(입력_운동!$A$5:$A$1004,$AI141)="","",INDEX(입력_운동!$A$5:$A$1004,$AI141)))</f>
        <v/>
      </c>
      <c r="AC141" s="60" t="str">
        <f aca="false">IF($AJ141=0,"",IF(INDEX(입력_측정!$A$5:$A$1004,$AJ141)="","",INDEX(입력_측정!$A$5:$A$1004,$AJ141)))</f>
        <v/>
      </c>
      <c r="AD141" s="60" t="str">
        <f aca="false">IF($AK141=0,"",IF(INDEX(입력_상담!$A$5:$A$1004,$AK141)="","",INDEX(입력_상담!$A$5:$A$1004,$AK141)))</f>
        <v/>
      </c>
      <c r="AE141" s="25" t="str">
        <f aca="false">IF(AND(ISNUMBER(AB141),ISNUMBER(AC141)),IF(AC141&gt;=AB141,ROUND((AC141-AB141)*1440,0),""),"")</f>
        <v/>
      </c>
      <c r="AF141" s="25" t="str">
        <f aca="false">IF(AND(ISNUMBER(AC141),ISNUMBER(AD141)),IF(AD141&gt;=AC141,ROUND((AD141-AC141)*1440,0),""),"")</f>
        <v/>
      </c>
      <c r="AG141" s="25" t="str">
        <f aca="false">IF(AND(AA141="완료",ISNUMBER(AB141),ISNUMBER(AD141)),IF(AD141&gt;=AB141,ROUND((AD141-AB141)*1440,0),""),"")</f>
        <v/>
      </c>
      <c r="AH141" s="61" t="str">
        <f aca="false">IF(AND(AK141&gt;0,AJ141=0),"측정 기록 없음",IF(AND(AJ141&gt;0,AI141=0),"운동평가 기록 없음",IF(OR(COUNTIF(입력_운동!$B$5:$B$1004,$A141)&gt;1,COUNTIF(입력_측정!$B$5:$B$1004,$A141)&gt;1),"중복 입력","")))</f>
        <v/>
      </c>
      <c r="AI141" s="62" t="n">
        <f aca="false">SUMPRODUCT(MAX((입력_운동!$B$5:$B$1004=$A141)*(ROW(입력_운동!$B$5:$B$1004)-4)))</f>
        <v>0</v>
      </c>
      <c r="AJ141" s="62" t="n">
        <f aca="false">SUMPRODUCT(MAX((입력_측정!$B$5:$B$1004=$A141)*(ROW(입력_측정!$B$5:$B$1004)-4)))</f>
        <v>0</v>
      </c>
      <c r="AK141" s="62" t="n">
        <f aca="false">SUMPRODUCT(MAX((입력_상담!$B$5:$B$1004=$A141)*(ROW(입력_상담!$B$5:$B$1004)-4)))</f>
        <v>0</v>
      </c>
    </row>
    <row r="142" customFormat="false" ht="15" hidden="false" customHeight="false" outlineLevel="0" collapsed="false">
      <c r="A142" s="55" t="n">
        <v>138</v>
      </c>
      <c r="B142" s="56"/>
      <c r="C142" s="24"/>
      <c r="D142" s="24"/>
      <c r="E142" s="56"/>
      <c r="F142" s="57"/>
      <c r="G142" s="58"/>
      <c r="H142" s="56"/>
      <c r="I142" s="24"/>
      <c r="J142" s="24"/>
      <c r="K142" s="24"/>
      <c r="L142" s="24"/>
      <c r="M142" s="24"/>
      <c r="N142" s="56"/>
      <c r="O142" s="25" t="str">
        <f aca="false">IF($AI142=0,"",IF(INDEX(입력_운동!$C$5:$C$1004,$AI142)="","",INDEX(입력_운동!$C$5:$C$1004,$AI142)))</f>
        <v/>
      </c>
      <c r="P142" s="25" t="str">
        <f aca="false">IF($AI142=0,"",IF(INDEX(입력_운동!$D$5:$D$1004,$AI142)="","",INDEX(입력_운동!$D$5:$D$1004,$AI142)))</f>
        <v/>
      </c>
      <c r="Q142" s="25" t="str">
        <f aca="false">IF($AI142=0,"",IF(INDEX(입력_운동!$E$5:$E$1004,$AI142)="","",INDEX(입력_운동!$E$5:$E$1004,$AI142)))</f>
        <v/>
      </c>
      <c r="R142" s="25" t="str">
        <f aca="false">IF($AI142=0,"",IF(INDEX(입력_운동!$F$5:$F$1004,$AI142)="","",INDEX(입력_운동!$F$5:$F$1004,$AI142)))</f>
        <v/>
      </c>
      <c r="S142" s="25" t="str">
        <f aca="false">IF($AJ142=0,"",IF(INDEX(입력_측정!$C$5:$C$1004,$AJ142)="","",INDEX(입력_측정!$C$5:$C$1004,$AJ142)))</f>
        <v/>
      </c>
      <c r="T142" s="25" t="str">
        <f aca="false">IF($AJ142=0,"",IF(INDEX(입력_측정!$D$5:$D$1004,$AJ142)="","",INDEX(입력_측정!$D$5:$D$1004,$AJ142)))</f>
        <v/>
      </c>
      <c r="U142" s="25" t="str">
        <f aca="false">IF($AJ142=0,"",IF(INDEX(입력_측정!$E$5:$E$1004,$AJ142)="","",INDEX(입력_측정!$E$5:$E$1004,$AJ142)))</f>
        <v/>
      </c>
      <c r="V142" s="25" t="str">
        <f aca="false">IF($AJ142=0,"",IF(INDEX(입력_측정!$F$5:$F$1004,$AJ142)="","",INDEX(입력_측정!$F$5:$F$1004,$AJ142)))</f>
        <v/>
      </c>
      <c r="W142" s="25" t="str">
        <f aca="false">IF($AK142=0,"",IF(INDEX(입력_상담!$D$5:$D$1004,$AK142)="","",INDEX(입력_상담!$D$5:$D$1004,$AK142)))</f>
        <v/>
      </c>
      <c r="X142" s="25" t="str">
        <f aca="false">IF($AJ142=0,"",IF(INDEX(입력_측정!$I$5:$I$1004,$AJ142)="","",INDEX(입력_측정!$I$5:$I$1004,$AJ142)))</f>
        <v/>
      </c>
      <c r="Y142" s="25" t="str">
        <f aca="false">IF($AJ142=0,"",IF(INDEX(입력_측정!$J$5:$J$1004,$AJ142)="","",INDEX(입력_측정!$J$5:$J$1004,$AJ142)))</f>
        <v/>
      </c>
      <c r="Z142" s="25" t="str">
        <f aca="false">IF(OR(X142="긴급",LEFT(Y142,2)="긴급",W142="필요",W142="완료"),"대상","")</f>
        <v/>
      </c>
      <c r="AA142" s="59" t="str">
        <f aca="false">IF(M142&lt;&gt;"",M142,IF(AK142&gt;0,IF(W142="필요","추가상담 대기","완료"),IF(AJ142&gt;0,"결과상담 대기",IF(AI142&gt;0,"측정 대기","미방문"))))</f>
        <v>미방문</v>
      </c>
      <c r="AB142" s="60" t="str">
        <f aca="false">IF($AI142=0,"",IF(INDEX(입력_운동!$A$5:$A$1004,$AI142)="","",INDEX(입력_운동!$A$5:$A$1004,$AI142)))</f>
        <v/>
      </c>
      <c r="AC142" s="60" t="str">
        <f aca="false">IF($AJ142=0,"",IF(INDEX(입력_측정!$A$5:$A$1004,$AJ142)="","",INDEX(입력_측정!$A$5:$A$1004,$AJ142)))</f>
        <v/>
      </c>
      <c r="AD142" s="60" t="str">
        <f aca="false">IF($AK142=0,"",IF(INDEX(입력_상담!$A$5:$A$1004,$AK142)="","",INDEX(입력_상담!$A$5:$A$1004,$AK142)))</f>
        <v/>
      </c>
      <c r="AE142" s="25" t="str">
        <f aca="false">IF(AND(ISNUMBER(AB142),ISNUMBER(AC142)),IF(AC142&gt;=AB142,ROUND((AC142-AB142)*1440,0),""),"")</f>
        <v/>
      </c>
      <c r="AF142" s="25" t="str">
        <f aca="false">IF(AND(ISNUMBER(AC142),ISNUMBER(AD142)),IF(AD142&gt;=AC142,ROUND((AD142-AC142)*1440,0),""),"")</f>
        <v/>
      </c>
      <c r="AG142" s="25" t="str">
        <f aca="false">IF(AND(AA142="완료",ISNUMBER(AB142),ISNUMBER(AD142)),IF(AD142&gt;=AB142,ROUND((AD142-AB142)*1440,0),""),"")</f>
        <v/>
      </c>
      <c r="AH142" s="61" t="str">
        <f aca="false">IF(AND(AK142&gt;0,AJ142=0),"측정 기록 없음",IF(AND(AJ142&gt;0,AI142=0),"운동평가 기록 없음",IF(OR(COUNTIF(입력_운동!$B$5:$B$1004,$A142)&gt;1,COUNTIF(입력_측정!$B$5:$B$1004,$A142)&gt;1),"중복 입력","")))</f>
        <v/>
      </c>
      <c r="AI142" s="62" t="n">
        <f aca="false">SUMPRODUCT(MAX((입력_운동!$B$5:$B$1004=$A142)*(ROW(입력_운동!$B$5:$B$1004)-4)))</f>
        <v>0</v>
      </c>
      <c r="AJ142" s="62" t="n">
        <f aca="false">SUMPRODUCT(MAX((입력_측정!$B$5:$B$1004=$A142)*(ROW(입력_측정!$B$5:$B$1004)-4)))</f>
        <v>0</v>
      </c>
      <c r="AK142" s="62" t="n">
        <f aca="false">SUMPRODUCT(MAX((입력_상담!$B$5:$B$1004=$A142)*(ROW(입력_상담!$B$5:$B$1004)-4)))</f>
        <v>0</v>
      </c>
    </row>
    <row r="143" customFormat="false" ht="15" hidden="false" customHeight="false" outlineLevel="0" collapsed="false">
      <c r="A143" s="55" t="n">
        <v>139</v>
      </c>
      <c r="B143" s="56"/>
      <c r="C143" s="24"/>
      <c r="D143" s="24"/>
      <c r="E143" s="56"/>
      <c r="F143" s="57"/>
      <c r="G143" s="58"/>
      <c r="H143" s="56"/>
      <c r="I143" s="24"/>
      <c r="J143" s="24"/>
      <c r="K143" s="24"/>
      <c r="L143" s="24"/>
      <c r="M143" s="24"/>
      <c r="N143" s="56"/>
      <c r="O143" s="25" t="str">
        <f aca="false">IF($AI143=0,"",IF(INDEX(입력_운동!$C$5:$C$1004,$AI143)="","",INDEX(입력_운동!$C$5:$C$1004,$AI143)))</f>
        <v/>
      </c>
      <c r="P143" s="25" t="str">
        <f aca="false">IF($AI143=0,"",IF(INDEX(입력_운동!$D$5:$D$1004,$AI143)="","",INDEX(입력_운동!$D$5:$D$1004,$AI143)))</f>
        <v/>
      </c>
      <c r="Q143" s="25" t="str">
        <f aca="false">IF($AI143=0,"",IF(INDEX(입력_운동!$E$5:$E$1004,$AI143)="","",INDEX(입력_운동!$E$5:$E$1004,$AI143)))</f>
        <v/>
      </c>
      <c r="R143" s="25" t="str">
        <f aca="false">IF($AI143=0,"",IF(INDEX(입력_운동!$F$5:$F$1004,$AI143)="","",INDEX(입력_운동!$F$5:$F$1004,$AI143)))</f>
        <v/>
      </c>
      <c r="S143" s="25" t="str">
        <f aca="false">IF($AJ143=0,"",IF(INDEX(입력_측정!$C$5:$C$1004,$AJ143)="","",INDEX(입력_측정!$C$5:$C$1004,$AJ143)))</f>
        <v/>
      </c>
      <c r="T143" s="25" t="str">
        <f aca="false">IF($AJ143=0,"",IF(INDEX(입력_측정!$D$5:$D$1004,$AJ143)="","",INDEX(입력_측정!$D$5:$D$1004,$AJ143)))</f>
        <v/>
      </c>
      <c r="U143" s="25" t="str">
        <f aca="false">IF($AJ143=0,"",IF(INDEX(입력_측정!$E$5:$E$1004,$AJ143)="","",INDEX(입력_측정!$E$5:$E$1004,$AJ143)))</f>
        <v/>
      </c>
      <c r="V143" s="25" t="str">
        <f aca="false">IF($AJ143=0,"",IF(INDEX(입력_측정!$F$5:$F$1004,$AJ143)="","",INDEX(입력_측정!$F$5:$F$1004,$AJ143)))</f>
        <v/>
      </c>
      <c r="W143" s="25" t="str">
        <f aca="false">IF($AK143=0,"",IF(INDEX(입력_상담!$D$5:$D$1004,$AK143)="","",INDEX(입력_상담!$D$5:$D$1004,$AK143)))</f>
        <v/>
      </c>
      <c r="X143" s="25" t="str">
        <f aca="false">IF($AJ143=0,"",IF(INDEX(입력_측정!$I$5:$I$1004,$AJ143)="","",INDEX(입력_측정!$I$5:$I$1004,$AJ143)))</f>
        <v/>
      </c>
      <c r="Y143" s="25" t="str">
        <f aca="false">IF($AJ143=0,"",IF(INDEX(입력_측정!$J$5:$J$1004,$AJ143)="","",INDEX(입력_측정!$J$5:$J$1004,$AJ143)))</f>
        <v/>
      </c>
      <c r="Z143" s="25" t="str">
        <f aca="false">IF(OR(X143="긴급",LEFT(Y143,2)="긴급",W143="필요",W143="완료"),"대상","")</f>
        <v/>
      </c>
      <c r="AA143" s="59" t="str">
        <f aca="false">IF(M143&lt;&gt;"",M143,IF(AK143&gt;0,IF(W143="필요","추가상담 대기","완료"),IF(AJ143&gt;0,"결과상담 대기",IF(AI143&gt;0,"측정 대기","미방문"))))</f>
        <v>미방문</v>
      </c>
      <c r="AB143" s="60" t="str">
        <f aca="false">IF($AI143=0,"",IF(INDEX(입력_운동!$A$5:$A$1004,$AI143)="","",INDEX(입력_운동!$A$5:$A$1004,$AI143)))</f>
        <v/>
      </c>
      <c r="AC143" s="60" t="str">
        <f aca="false">IF($AJ143=0,"",IF(INDEX(입력_측정!$A$5:$A$1004,$AJ143)="","",INDEX(입력_측정!$A$5:$A$1004,$AJ143)))</f>
        <v/>
      </c>
      <c r="AD143" s="60" t="str">
        <f aca="false">IF($AK143=0,"",IF(INDEX(입력_상담!$A$5:$A$1004,$AK143)="","",INDEX(입력_상담!$A$5:$A$1004,$AK143)))</f>
        <v/>
      </c>
      <c r="AE143" s="25" t="str">
        <f aca="false">IF(AND(ISNUMBER(AB143),ISNUMBER(AC143)),IF(AC143&gt;=AB143,ROUND((AC143-AB143)*1440,0),""),"")</f>
        <v/>
      </c>
      <c r="AF143" s="25" t="str">
        <f aca="false">IF(AND(ISNUMBER(AC143),ISNUMBER(AD143)),IF(AD143&gt;=AC143,ROUND((AD143-AC143)*1440,0),""),"")</f>
        <v/>
      </c>
      <c r="AG143" s="25" t="str">
        <f aca="false">IF(AND(AA143="완료",ISNUMBER(AB143),ISNUMBER(AD143)),IF(AD143&gt;=AB143,ROUND((AD143-AB143)*1440,0),""),"")</f>
        <v/>
      </c>
      <c r="AH143" s="61" t="str">
        <f aca="false">IF(AND(AK143&gt;0,AJ143=0),"측정 기록 없음",IF(AND(AJ143&gt;0,AI143=0),"운동평가 기록 없음",IF(OR(COUNTIF(입력_운동!$B$5:$B$1004,$A143)&gt;1,COUNTIF(입력_측정!$B$5:$B$1004,$A143)&gt;1),"중복 입력","")))</f>
        <v/>
      </c>
      <c r="AI143" s="62" t="n">
        <f aca="false">SUMPRODUCT(MAX((입력_운동!$B$5:$B$1004=$A143)*(ROW(입력_운동!$B$5:$B$1004)-4)))</f>
        <v>0</v>
      </c>
      <c r="AJ143" s="62" t="n">
        <f aca="false">SUMPRODUCT(MAX((입력_측정!$B$5:$B$1004=$A143)*(ROW(입력_측정!$B$5:$B$1004)-4)))</f>
        <v>0</v>
      </c>
      <c r="AK143" s="62" t="n">
        <f aca="false">SUMPRODUCT(MAX((입력_상담!$B$5:$B$1004=$A143)*(ROW(입력_상담!$B$5:$B$1004)-4)))</f>
        <v>0</v>
      </c>
    </row>
    <row r="144" customFormat="false" ht="15" hidden="false" customHeight="false" outlineLevel="0" collapsed="false">
      <c r="A144" s="55" t="n">
        <v>140</v>
      </c>
      <c r="B144" s="56"/>
      <c r="C144" s="24"/>
      <c r="D144" s="24"/>
      <c r="E144" s="56"/>
      <c r="F144" s="57"/>
      <c r="G144" s="58"/>
      <c r="H144" s="56"/>
      <c r="I144" s="24"/>
      <c r="J144" s="24"/>
      <c r="K144" s="24"/>
      <c r="L144" s="24"/>
      <c r="M144" s="24"/>
      <c r="N144" s="56"/>
      <c r="O144" s="25" t="str">
        <f aca="false">IF($AI144=0,"",IF(INDEX(입력_운동!$C$5:$C$1004,$AI144)="","",INDEX(입력_운동!$C$5:$C$1004,$AI144)))</f>
        <v/>
      </c>
      <c r="P144" s="25" t="str">
        <f aca="false">IF($AI144=0,"",IF(INDEX(입력_운동!$D$5:$D$1004,$AI144)="","",INDEX(입력_운동!$D$5:$D$1004,$AI144)))</f>
        <v/>
      </c>
      <c r="Q144" s="25" t="str">
        <f aca="false">IF($AI144=0,"",IF(INDEX(입력_운동!$E$5:$E$1004,$AI144)="","",INDEX(입력_운동!$E$5:$E$1004,$AI144)))</f>
        <v/>
      </c>
      <c r="R144" s="25" t="str">
        <f aca="false">IF($AI144=0,"",IF(INDEX(입력_운동!$F$5:$F$1004,$AI144)="","",INDEX(입력_운동!$F$5:$F$1004,$AI144)))</f>
        <v/>
      </c>
      <c r="S144" s="25" t="str">
        <f aca="false">IF($AJ144=0,"",IF(INDEX(입력_측정!$C$5:$C$1004,$AJ144)="","",INDEX(입력_측정!$C$5:$C$1004,$AJ144)))</f>
        <v/>
      </c>
      <c r="T144" s="25" t="str">
        <f aca="false">IF($AJ144=0,"",IF(INDEX(입력_측정!$D$5:$D$1004,$AJ144)="","",INDEX(입력_측정!$D$5:$D$1004,$AJ144)))</f>
        <v/>
      </c>
      <c r="U144" s="25" t="str">
        <f aca="false">IF($AJ144=0,"",IF(INDEX(입력_측정!$E$5:$E$1004,$AJ144)="","",INDEX(입력_측정!$E$5:$E$1004,$AJ144)))</f>
        <v/>
      </c>
      <c r="V144" s="25" t="str">
        <f aca="false">IF($AJ144=0,"",IF(INDEX(입력_측정!$F$5:$F$1004,$AJ144)="","",INDEX(입력_측정!$F$5:$F$1004,$AJ144)))</f>
        <v/>
      </c>
      <c r="W144" s="25" t="str">
        <f aca="false">IF($AK144=0,"",IF(INDEX(입력_상담!$D$5:$D$1004,$AK144)="","",INDEX(입력_상담!$D$5:$D$1004,$AK144)))</f>
        <v/>
      </c>
      <c r="X144" s="25" t="str">
        <f aca="false">IF($AJ144=0,"",IF(INDEX(입력_측정!$I$5:$I$1004,$AJ144)="","",INDEX(입력_측정!$I$5:$I$1004,$AJ144)))</f>
        <v/>
      </c>
      <c r="Y144" s="25" t="str">
        <f aca="false">IF($AJ144=0,"",IF(INDEX(입력_측정!$J$5:$J$1004,$AJ144)="","",INDEX(입력_측정!$J$5:$J$1004,$AJ144)))</f>
        <v/>
      </c>
      <c r="Z144" s="25" t="str">
        <f aca="false">IF(OR(X144="긴급",LEFT(Y144,2)="긴급",W144="필요",W144="완료"),"대상","")</f>
        <v/>
      </c>
      <c r="AA144" s="59" t="str">
        <f aca="false">IF(M144&lt;&gt;"",M144,IF(AK144&gt;0,IF(W144="필요","추가상담 대기","완료"),IF(AJ144&gt;0,"결과상담 대기",IF(AI144&gt;0,"측정 대기","미방문"))))</f>
        <v>미방문</v>
      </c>
      <c r="AB144" s="60" t="str">
        <f aca="false">IF($AI144=0,"",IF(INDEX(입력_운동!$A$5:$A$1004,$AI144)="","",INDEX(입력_운동!$A$5:$A$1004,$AI144)))</f>
        <v/>
      </c>
      <c r="AC144" s="60" t="str">
        <f aca="false">IF($AJ144=0,"",IF(INDEX(입력_측정!$A$5:$A$1004,$AJ144)="","",INDEX(입력_측정!$A$5:$A$1004,$AJ144)))</f>
        <v/>
      </c>
      <c r="AD144" s="60" t="str">
        <f aca="false">IF($AK144=0,"",IF(INDEX(입력_상담!$A$5:$A$1004,$AK144)="","",INDEX(입력_상담!$A$5:$A$1004,$AK144)))</f>
        <v/>
      </c>
      <c r="AE144" s="25" t="str">
        <f aca="false">IF(AND(ISNUMBER(AB144),ISNUMBER(AC144)),IF(AC144&gt;=AB144,ROUND((AC144-AB144)*1440,0),""),"")</f>
        <v/>
      </c>
      <c r="AF144" s="25" t="str">
        <f aca="false">IF(AND(ISNUMBER(AC144),ISNUMBER(AD144)),IF(AD144&gt;=AC144,ROUND((AD144-AC144)*1440,0),""),"")</f>
        <v/>
      </c>
      <c r="AG144" s="25" t="str">
        <f aca="false">IF(AND(AA144="완료",ISNUMBER(AB144),ISNUMBER(AD144)),IF(AD144&gt;=AB144,ROUND((AD144-AB144)*1440,0),""),"")</f>
        <v/>
      </c>
      <c r="AH144" s="61" t="str">
        <f aca="false">IF(AND(AK144&gt;0,AJ144=0),"측정 기록 없음",IF(AND(AJ144&gt;0,AI144=0),"운동평가 기록 없음",IF(OR(COUNTIF(입력_운동!$B$5:$B$1004,$A144)&gt;1,COUNTIF(입력_측정!$B$5:$B$1004,$A144)&gt;1),"중복 입력","")))</f>
        <v/>
      </c>
      <c r="AI144" s="62" t="n">
        <f aca="false">SUMPRODUCT(MAX((입력_운동!$B$5:$B$1004=$A144)*(ROW(입력_운동!$B$5:$B$1004)-4)))</f>
        <v>0</v>
      </c>
      <c r="AJ144" s="62" t="n">
        <f aca="false">SUMPRODUCT(MAX((입력_측정!$B$5:$B$1004=$A144)*(ROW(입력_측정!$B$5:$B$1004)-4)))</f>
        <v>0</v>
      </c>
      <c r="AK144" s="62" t="n">
        <f aca="false">SUMPRODUCT(MAX((입력_상담!$B$5:$B$1004=$A144)*(ROW(입력_상담!$B$5:$B$1004)-4)))</f>
        <v>0</v>
      </c>
    </row>
    <row r="145" customFormat="false" ht="15" hidden="false" customHeight="false" outlineLevel="0" collapsed="false">
      <c r="A145" s="55" t="n">
        <v>141</v>
      </c>
      <c r="B145" s="56"/>
      <c r="C145" s="24"/>
      <c r="D145" s="24"/>
      <c r="E145" s="56"/>
      <c r="F145" s="57"/>
      <c r="G145" s="58"/>
      <c r="H145" s="56"/>
      <c r="I145" s="24"/>
      <c r="J145" s="24"/>
      <c r="K145" s="24"/>
      <c r="L145" s="24"/>
      <c r="M145" s="24"/>
      <c r="N145" s="56"/>
      <c r="O145" s="25" t="str">
        <f aca="false">IF($AI145=0,"",IF(INDEX(입력_운동!$C$5:$C$1004,$AI145)="","",INDEX(입력_운동!$C$5:$C$1004,$AI145)))</f>
        <v/>
      </c>
      <c r="P145" s="25" t="str">
        <f aca="false">IF($AI145=0,"",IF(INDEX(입력_운동!$D$5:$D$1004,$AI145)="","",INDEX(입력_운동!$D$5:$D$1004,$AI145)))</f>
        <v/>
      </c>
      <c r="Q145" s="25" t="str">
        <f aca="false">IF($AI145=0,"",IF(INDEX(입력_운동!$E$5:$E$1004,$AI145)="","",INDEX(입력_운동!$E$5:$E$1004,$AI145)))</f>
        <v/>
      </c>
      <c r="R145" s="25" t="str">
        <f aca="false">IF($AI145=0,"",IF(INDEX(입력_운동!$F$5:$F$1004,$AI145)="","",INDEX(입력_운동!$F$5:$F$1004,$AI145)))</f>
        <v/>
      </c>
      <c r="S145" s="25" t="str">
        <f aca="false">IF($AJ145=0,"",IF(INDEX(입력_측정!$C$5:$C$1004,$AJ145)="","",INDEX(입력_측정!$C$5:$C$1004,$AJ145)))</f>
        <v/>
      </c>
      <c r="T145" s="25" t="str">
        <f aca="false">IF($AJ145=0,"",IF(INDEX(입력_측정!$D$5:$D$1004,$AJ145)="","",INDEX(입력_측정!$D$5:$D$1004,$AJ145)))</f>
        <v/>
      </c>
      <c r="U145" s="25" t="str">
        <f aca="false">IF($AJ145=0,"",IF(INDEX(입력_측정!$E$5:$E$1004,$AJ145)="","",INDEX(입력_측정!$E$5:$E$1004,$AJ145)))</f>
        <v/>
      </c>
      <c r="V145" s="25" t="str">
        <f aca="false">IF($AJ145=0,"",IF(INDEX(입력_측정!$F$5:$F$1004,$AJ145)="","",INDEX(입력_측정!$F$5:$F$1004,$AJ145)))</f>
        <v/>
      </c>
      <c r="W145" s="25" t="str">
        <f aca="false">IF($AK145=0,"",IF(INDEX(입력_상담!$D$5:$D$1004,$AK145)="","",INDEX(입력_상담!$D$5:$D$1004,$AK145)))</f>
        <v/>
      </c>
      <c r="X145" s="25" t="str">
        <f aca="false">IF($AJ145=0,"",IF(INDEX(입력_측정!$I$5:$I$1004,$AJ145)="","",INDEX(입력_측정!$I$5:$I$1004,$AJ145)))</f>
        <v/>
      </c>
      <c r="Y145" s="25" t="str">
        <f aca="false">IF($AJ145=0,"",IF(INDEX(입력_측정!$J$5:$J$1004,$AJ145)="","",INDEX(입력_측정!$J$5:$J$1004,$AJ145)))</f>
        <v/>
      </c>
      <c r="Z145" s="25" t="str">
        <f aca="false">IF(OR(X145="긴급",LEFT(Y145,2)="긴급",W145="필요",W145="완료"),"대상","")</f>
        <v/>
      </c>
      <c r="AA145" s="59" t="str">
        <f aca="false">IF(M145&lt;&gt;"",M145,IF(AK145&gt;0,IF(W145="필요","추가상담 대기","완료"),IF(AJ145&gt;0,"결과상담 대기",IF(AI145&gt;0,"측정 대기","미방문"))))</f>
        <v>미방문</v>
      </c>
      <c r="AB145" s="60" t="str">
        <f aca="false">IF($AI145=0,"",IF(INDEX(입력_운동!$A$5:$A$1004,$AI145)="","",INDEX(입력_운동!$A$5:$A$1004,$AI145)))</f>
        <v/>
      </c>
      <c r="AC145" s="60" t="str">
        <f aca="false">IF($AJ145=0,"",IF(INDEX(입력_측정!$A$5:$A$1004,$AJ145)="","",INDEX(입력_측정!$A$5:$A$1004,$AJ145)))</f>
        <v/>
      </c>
      <c r="AD145" s="60" t="str">
        <f aca="false">IF($AK145=0,"",IF(INDEX(입력_상담!$A$5:$A$1004,$AK145)="","",INDEX(입력_상담!$A$5:$A$1004,$AK145)))</f>
        <v/>
      </c>
      <c r="AE145" s="25" t="str">
        <f aca="false">IF(AND(ISNUMBER(AB145),ISNUMBER(AC145)),IF(AC145&gt;=AB145,ROUND((AC145-AB145)*1440,0),""),"")</f>
        <v/>
      </c>
      <c r="AF145" s="25" t="str">
        <f aca="false">IF(AND(ISNUMBER(AC145),ISNUMBER(AD145)),IF(AD145&gt;=AC145,ROUND((AD145-AC145)*1440,0),""),"")</f>
        <v/>
      </c>
      <c r="AG145" s="25" t="str">
        <f aca="false">IF(AND(AA145="완료",ISNUMBER(AB145),ISNUMBER(AD145)),IF(AD145&gt;=AB145,ROUND((AD145-AB145)*1440,0),""),"")</f>
        <v/>
      </c>
      <c r="AH145" s="61" t="str">
        <f aca="false">IF(AND(AK145&gt;0,AJ145=0),"측정 기록 없음",IF(AND(AJ145&gt;0,AI145=0),"운동평가 기록 없음",IF(OR(COUNTIF(입력_운동!$B$5:$B$1004,$A145)&gt;1,COUNTIF(입력_측정!$B$5:$B$1004,$A145)&gt;1),"중복 입력","")))</f>
        <v/>
      </c>
      <c r="AI145" s="62" t="n">
        <f aca="false">SUMPRODUCT(MAX((입력_운동!$B$5:$B$1004=$A145)*(ROW(입력_운동!$B$5:$B$1004)-4)))</f>
        <v>0</v>
      </c>
      <c r="AJ145" s="62" t="n">
        <f aca="false">SUMPRODUCT(MAX((입력_측정!$B$5:$B$1004=$A145)*(ROW(입력_측정!$B$5:$B$1004)-4)))</f>
        <v>0</v>
      </c>
      <c r="AK145" s="62" t="n">
        <f aca="false">SUMPRODUCT(MAX((입력_상담!$B$5:$B$1004=$A145)*(ROW(입력_상담!$B$5:$B$1004)-4)))</f>
        <v>0</v>
      </c>
    </row>
    <row r="146" customFormat="false" ht="15" hidden="false" customHeight="false" outlineLevel="0" collapsed="false">
      <c r="A146" s="55" t="n">
        <v>142</v>
      </c>
      <c r="B146" s="56"/>
      <c r="C146" s="24"/>
      <c r="D146" s="24"/>
      <c r="E146" s="56"/>
      <c r="F146" s="57"/>
      <c r="G146" s="58"/>
      <c r="H146" s="56"/>
      <c r="I146" s="24"/>
      <c r="J146" s="24"/>
      <c r="K146" s="24"/>
      <c r="L146" s="24"/>
      <c r="M146" s="24"/>
      <c r="N146" s="56"/>
      <c r="O146" s="25" t="str">
        <f aca="false">IF($AI146=0,"",IF(INDEX(입력_운동!$C$5:$C$1004,$AI146)="","",INDEX(입력_운동!$C$5:$C$1004,$AI146)))</f>
        <v/>
      </c>
      <c r="P146" s="25" t="str">
        <f aca="false">IF($AI146=0,"",IF(INDEX(입력_운동!$D$5:$D$1004,$AI146)="","",INDEX(입력_운동!$D$5:$D$1004,$AI146)))</f>
        <v/>
      </c>
      <c r="Q146" s="25" t="str">
        <f aca="false">IF($AI146=0,"",IF(INDEX(입력_운동!$E$5:$E$1004,$AI146)="","",INDEX(입력_운동!$E$5:$E$1004,$AI146)))</f>
        <v/>
      </c>
      <c r="R146" s="25" t="str">
        <f aca="false">IF($AI146=0,"",IF(INDEX(입력_운동!$F$5:$F$1004,$AI146)="","",INDEX(입력_운동!$F$5:$F$1004,$AI146)))</f>
        <v/>
      </c>
      <c r="S146" s="25" t="str">
        <f aca="false">IF($AJ146=0,"",IF(INDEX(입력_측정!$C$5:$C$1004,$AJ146)="","",INDEX(입력_측정!$C$5:$C$1004,$AJ146)))</f>
        <v/>
      </c>
      <c r="T146" s="25" t="str">
        <f aca="false">IF($AJ146=0,"",IF(INDEX(입력_측정!$D$5:$D$1004,$AJ146)="","",INDEX(입력_측정!$D$5:$D$1004,$AJ146)))</f>
        <v/>
      </c>
      <c r="U146" s="25" t="str">
        <f aca="false">IF($AJ146=0,"",IF(INDEX(입력_측정!$E$5:$E$1004,$AJ146)="","",INDEX(입력_측정!$E$5:$E$1004,$AJ146)))</f>
        <v/>
      </c>
      <c r="V146" s="25" t="str">
        <f aca="false">IF($AJ146=0,"",IF(INDEX(입력_측정!$F$5:$F$1004,$AJ146)="","",INDEX(입력_측정!$F$5:$F$1004,$AJ146)))</f>
        <v/>
      </c>
      <c r="W146" s="25" t="str">
        <f aca="false">IF($AK146=0,"",IF(INDEX(입력_상담!$D$5:$D$1004,$AK146)="","",INDEX(입력_상담!$D$5:$D$1004,$AK146)))</f>
        <v/>
      </c>
      <c r="X146" s="25" t="str">
        <f aca="false">IF($AJ146=0,"",IF(INDEX(입력_측정!$I$5:$I$1004,$AJ146)="","",INDEX(입력_측정!$I$5:$I$1004,$AJ146)))</f>
        <v/>
      </c>
      <c r="Y146" s="25" t="str">
        <f aca="false">IF($AJ146=0,"",IF(INDEX(입력_측정!$J$5:$J$1004,$AJ146)="","",INDEX(입력_측정!$J$5:$J$1004,$AJ146)))</f>
        <v/>
      </c>
      <c r="Z146" s="25" t="str">
        <f aca="false">IF(OR(X146="긴급",LEFT(Y146,2)="긴급",W146="필요",W146="완료"),"대상","")</f>
        <v/>
      </c>
      <c r="AA146" s="59" t="str">
        <f aca="false">IF(M146&lt;&gt;"",M146,IF(AK146&gt;0,IF(W146="필요","추가상담 대기","완료"),IF(AJ146&gt;0,"결과상담 대기",IF(AI146&gt;0,"측정 대기","미방문"))))</f>
        <v>미방문</v>
      </c>
      <c r="AB146" s="60" t="str">
        <f aca="false">IF($AI146=0,"",IF(INDEX(입력_운동!$A$5:$A$1004,$AI146)="","",INDEX(입력_운동!$A$5:$A$1004,$AI146)))</f>
        <v/>
      </c>
      <c r="AC146" s="60" t="str">
        <f aca="false">IF($AJ146=0,"",IF(INDEX(입력_측정!$A$5:$A$1004,$AJ146)="","",INDEX(입력_측정!$A$5:$A$1004,$AJ146)))</f>
        <v/>
      </c>
      <c r="AD146" s="60" t="str">
        <f aca="false">IF($AK146=0,"",IF(INDEX(입력_상담!$A$5:$A$1004,$AK146)="","",INDEX(입력_상담!$A$5:$A$1004,$AK146)))</f>
        <v/>
      </c>
      <c r="AE146" s="25" t="str">
        <f aca="false">IF(AND(ISNUMBER(AB146),ISNUMBER(AC146)),IF(AC146&gt;=AB146,ROUND((AC146-AB146)*1440,0),""),"")</f>
        <v/>
      </c>
      <c r="AF146" s="25" t="str">
        <f aca="false">IF(AND(ISNUMBER(AC146),ISNUMBER(AD146)),IF(AD146&gt;=AC146,ROUND((AD146-AC146)*1440,0),""),"")</f>
        <v/>
      </c>
      <c r="AG146" s="25" t="str">
        <f aca="false">IF(AND(AA146="완료",ISNUMBER(AB146),ISNUMBER(AD146)),IF(AD146&gt;=AB146,ROUND((AD146-AB146)*1440,0),""),"")</f>
        <v/>
      </c>
      <c r="AH146" s="61" t="str">
        <f aca="false">IF(AND(AK146&gt;0,AJ146=0),"측정 기록 없음",IF(AND(AJ146&gt;0,AI146=0),"운동평가 기록 없음",IF(OR(COUNTIF(입력_운동!$B$5:$B$1004,$A146)&gt;1,COUNTIF(입력_측정!$B$5:$B$1004,$A146)&gt;1),"중복 입력","")))</f>
        <v/>
      </c>
      <c r="AI146" s="62" t="n">
        <f aca="false">SUMPRODUCT(MAX((입력_운동!$B$5:$B$1004=$A146)*(ROW(입력_운동!$B$5:$B$1004)-4)))</f>
        <v>0</v>
      </c>
      <c r="AJ146" s="62" t="n">
        <f aca="false">SUMPRODUCT(MAX((입력_측정!$B$5:$B$1004=$A146)*(ROW(입력_측정!$B$5:$B$1004)-4)))</f>
        <v>0</v>
      </c>
      <c r="AK146" s="62" t="n">
        <f aca="false">SUMPRODUCT(MAX((입력_상담!$B$5:$B$1004=$A146)*(ROW(입력_상담!$B$5:$B$1004)-4)))</f>
        <v>0</v>
      </c>
    </row>
    <row r="147" customFormat="false" ht="15" hidden="false" customHeight="false" outlineLevel="0" collapsed="false">
      <c r="A147" s="55" t="n">
        <v>143</v>
      </c>
      <c r="B147" s="56"/>
      <c r="C147" s="24"/>
      <c r="D147" s="24"/>
      <c r="E147" s="56"/>
      <c r="F147" s="57"/>
      <c r="G147" s="58"/>
      <c r="H147" s="56"/>
      <c r="I147" s="24"/>
      <c r="J147" s="24"/>
      <c r="K147" s="24"/>
      <c r="L147" s="24"/>
      <c r="M147" s="24"/>
      <c r="N147" s="56"/>
      <c r="O147" s="25" t="str">
        <f aca="false">IF($AI147=0,"",IF(INDEX(입력_운동!$C$5:$C$1004,$AI147)="","",INDEX(입력_운동!$C$5:$C$1004,$AI147)))</f>
        <v/>
      </c>
      <c r="P147" s="25" t="str">
        <f aca="false">IF($AI147=0,"",IF(INDEX(입력_운동!$D$5:$D$1004,$AI147)="","",INDEX(입력_운동!$D$5:$D$1004,$AI147)))</f>
        <v/>
      </c>
      <c r="Q147" s="25" t="str">
        <f aca="false">IF($AI147=0,"",IF(INDEX(입력_운동!$E$5:$E$1004,$AI147)="","",INDEX(입력_운동!$E$5:$E$1004,$AI147)))</f>
        <v/>
      </c>
      <c r="R147" s="25" t="str">
        <f aca="false">IF($AI147=0,"",IF(INDEX(입력_운동!$F$5:$F$1004,$AI147)="","",INDEX(입력_운동!$F$5:$F$1004,$AI147)))</f>
        <v/>
      </c>
      <c r="S147" s="25" t="str">
        <f aca="false">IF($AJ147=0,"",IF(INDEX(입력_측정!$C$5:$C$1004,$AJ147)="","",INDEX(입력_측정!$C$5:$C$1004,$AJ147)))</f>
        <v/>
      </c>
      <c r="T147" s="25" t="str">
        <f aca="false">IF($AJ147=0,"",IF(INDEX(입력_측정!$D$5:$D$1004,$AJ147)="","",INDEX(입력_측정!$D$5:$D$1004,$AJ147)))</f>
        <v/>
      </c>
      <c r="U147" s="25" t="str">
        <f aca="false">IF($AJ147=0,"",IF(INDEX(입력_측정!$E$5:$E$1004,$AJ147)="","",INDEX(입력_측정!$E$5:$E$1004,$AJ147)))</f>
        <v/>
      </c>
      <c r="V147" s="25" t="str">
        <f aca="false">IF($AJ147=0,"",IF(INDEX(입력_측정!$F$5:$F$1004,$AJ147)="","",INDEX(입력_측정!$F$5:$F$1004,$AJ147)))</f>
        <v/>
      </c>
      <c r="W147" s="25" t="str">
        <f aca="false">IF($AK147=0,"",IF(INDEX(입력_상담!$D$5:$D$1004,$AK147)="","",INDEX(입력_상담!$D$5:$D$1004,$AK147)))</f>
        <v/>
      </c>
      <c r="X147" s="25" t="str">
        <f aca="false">IF($AJ147=0,"",IF(INDEX(입력_측정!$I$5:$I$1004,$AJ147)="","",INDEX(입력_측정!$I$5:$I$1004,$AJ147)))</f>
        <v/>
      </c>
      <c r="Y147" s="25" t="str">
        <f aca="false">IF($AJ147=0,"",IF(INDEX(입력_측정!$J$5:$J$1004,$AJ147)="","",INDEX(입력_측정!$J$5:$J$1004,$AJ147)))</f>
        <v/>
      </c>
      <c r="Z147" s="25" t="str">
        <f aca="false">IF(OR(X147="긴급",LEFT(Y147,2)="긴급",W147="필요",W147="완료"),"대상","")</f>
        <v/>
      </c>
      <c r="AA147" s="59" t="str">
        <f aca="false">IF(M147&lt;&gt;"",M147,IF(AK147&gt;0,IF(W147="필요","추가상담 대기","완료"),IF(AJ147&gt;0,"결과상담 대기",IF(AI147&gt;0,"측정 대기","미방문"))))</f>
        <v>미방문</v>
      </c>
      <c r="AB147" s="60" t="str">
        <f aca="false">IF($AI147=0,"",IF(INDEX(입력_운동!$A$5:$A$1004,$AI147)="","",INDEX(입력_운동!$A$5:$A$1004,$AI147)))</f>
        <v/>
      </c>
      <c r="AC147" s="60" t="str">
        <f aca="false">IF($AJ147=0,"",IF(INDEX(입력_측정!$A$5:$A$1004,$AJ147)="","",INDEX(입력_측정!$A$5:$A$1004,$AJ147)))</f>
        <v/>
      </c>
      <c r="AD147" s="60" t="str">
        <f aca="false">IF($AK147=0,"",IF(INDEX(입력_상담!$A$5:$A$1004,$AK147)="","",INDEX(입력_상담!$A$5:$A$1004,$AK147)))</f>
        <v/>
      </c>
      <c r="AE147" s="25" t="str">
        <f aca="false">IF(AND(ISNUMBER(AB147),ISNUMBER(AC147)),IF(AC147&gt;=AB147,ROUND((AC147-AB147)*1440,0),""),"")</f>
        <v/>
      </c>
      <c r="AF147" s="25" t="str">
        <f aca="false">IF(AND(ISNUMBER(AC147),ISNUMBER(AD147)),IF(AD147&gt;=AC147,ROUND((AD147-AC147)*1440,0),""),"")</f>
        <v/>
      </c>
      <c r="AG147" s="25" t="str">
        <f aca="false">IF(AND(AA147="완료",ISNUMBER(AB147),ISNUMBER(AD147)),IF(AD147&gt;=AB147,ROUND((AD147-AB147)*1440,0),""),"")</f>
        <v/>
      </c>
      <c r="AH147" s="61" t="str">
        <f aca="false">IF(AND(AK147&gt;0,AJ147=0),"측정 기록 없음",IF(AND(AJ147&gt;0,AI147=0),"운동평가 기록 없음",IF(OR(COUNTIF(입력_운동!$B$5:$B$1004,$A147)&gt;1,COUNTIF(입력_측정!$B$5:$B$1004,$A147)&gt;1),"중복 입력","")))</f>
        <v/>
      </c>
      <c r="AI147" s="62" t="n">
        <f aca="false">SUMPRODUCT(MAX((입력_운동!$B$5:$B$1004=$A147)*(ROW(입력_운동!$B$5:$B$1004)-4)))</f>
        <v>0</v>
      </c>
      <c r="AJ147" s="62" t="n">
        <f aca="false">SUMPRODUCT(MAX((입력_측정!$B$5:$B$1004=$A147)*(ROW(입력_측정!$B$5:$B$1004)-4)))</f>
        <v>0</v>
      </c>
      <c r="AK147" s="62" t="n">
        <f aca="false">SUMPRODUCT(MAX((입력_상담!$B$5:$B$1004=$A147)*(ROW(입력_상담!$B$5:$B$1004)-4)))</f>
        <v>0</v>
      </c>
    </row>
    <row r="148" customFormat="false" ht="15" hidden="false" customHeight="false" outlineLevel="0" collapsed="false">
      <c r="A148" s="55" t="n">
        <v>144</v>
      </c>
      <c r="B148" s="56"/>
      <c r="C148" s="24"/>
      <c r="D148" s="24"/>
      <c r="E148" s="56"/>
      <c r="F148" s="57"/>
      <c r="G148" s="58"/>
      <c r="H148" s="56"/>
      <c r="I148" s="24"/>
      <c r="J148" s="24"/>
      <c r="K148" s="24"/>
      <c r="L148" s="24"/>
      <c r="M148" s="24"/>
      <c r="N148" s="56"/>
      <c r="O148" s="25" t="str">
        <f aca="false">IF($AI148=0,"",IF(INDEX(입력_운동!$C$5:$C$1004,$AI148)="","",INDEX(입력_운동!$C$5:$C$1004,$AI148)))</f>
        <v/>
      </c>
      <c r="P148" s="25" t="str">
        <f aca="false">IF($AI148=0,"",IF(INDEX(입력_운동!$D$5:$D$1004,$AI148)="","",INDEX(입력_운동!$D$5:$D$1004,$AI148)))</f>
        <v/>
      </c>
      <c r="Q148" s="25" t="str">
        <f aca="false">IF($AI148=0,"",IF(INDEX(입력_운동!$E$5:$E$1004,$AI148)="","",INDEX(입력_운동!$E$5:$E$1004,$AI148)))</f>
        <v/>
      </c>
      <c r="R148" s="25" t="str">
        <f aca="false">IF($AI148=0,"",IF(INDEX(입력_운동!$F$5:$F$1004,$AI148)="","",INDEX(입력_운동!$F$5:$F$1004,$AI148)))</f>
        <v/>
      </c>
      <c r="S148" s="25" t="str">
        <f aca="false">IF($AJ148=0,"",IF(INDEX(입력_측정!$C$5:$C$1004,$AJ148)="","",INDEX(입력_측정!$C$5:$C$1004,$AJ148)))</f>
        <v/>
      </c>
      <c r="T148" s="25" t="str">
        <f aca="false">IF($AJ148=0,"",IF(INDEX(입력_측정!$D$5:$D$1004,$AJ148)="","",INDEX(입력_측정!$D$5:$D$1004,$AJ148)))</f>
        <v/>
      </c>
      <c r="U148" s="25" t="str">
        <f aca="false">IF($AJ148=0,"",IF(INDEX(입력_측정!$E$5:$E$1004,$AJ148)="","",INDEX(입력_측정!$E$5:$E$1004,$AJ148)))</f>
        <v/>
      </c>
      <c r="V148" s="25" t="str">
        <f aca="false">IF($AJ148=0,"",IF(INDEX(입력_측정!$F$5:$F$1004,$AJ148)="","",INDEX(입력_측정!$F$5:$F$1004,$AJ148)))</f>
        <v/>
      </c>
      <c r="W148" s="25" t="str">
        <f aca="false">IF($AK148=0,"",IF(INDEX(입력_상담!$D$5:$D$1004,$AK148)="","",INDEX(입력_상담!$D$5:$D$1004,$AK148)))</f>
        <v/>
      </c>
      <c r="X148" s="25" t="str">
        <f aca="false">IF($AJ148=0,"",IF(INDEX(입력_측정!$I$5:$I$1004,$AJ148)="","",INDEX(입력_측정!$I$5:$I$1004,$AJ148)))</f>
        <v/>
      </c>
      <c r="Y148" s="25" t="str">
        <f aca="false">IF($AJ148=0,"",IF(INDEX(입력_측정!$J$5:$J$1004,$AJ148)="","",INDEX(입력_측정!$J$5:$J$1004,$AJ148)))</f>
        <v/>
      </c>
      <c r="Z148" s="25" t="str">
        <f aca="false">IF(OR(X148="긴급",LEFT(Y148,2)="긴급",W148="필요",W148="완료"),"대상","")</f>
        <v/>
      </c>
      <c r="AA148" s="59" t="str">
        <f aca="false">IF(M148&lt;&gt;"",M148,IF(AK148&gt;0,IF(W148="필요","추가상담 대기","완료"),IF(AJ148&gt;0,"결과상담 대기",IF(AI148&gt;0,"측정 대기","미방문"))))</f>
        <v>미방문</v>
      </c>
      <c r="AB148" s="60" t="str">
        <f aca="false">IF($AI148=0,"",IF(INDEX(입력_운동!$A$5:$A$1004,$AI148)="","",INDEX(입력_운동!$A$5:$A$1004,$AI148)))</f>
        <v/>
      </c>
      <c r="AC148" s="60" t="str">
        <f aca="false">IF($AJ148=0,"",IF(INDEX(입력_측정!$A$5:$A$1004,$AJ148)="","",INDEX(입력_측정!$A$5:$A$1004,$AJ148)))</f>
        <v/>
      </c>
      <c r="AD148" s="60" t="str">
        <f aca="false">IF($AK148=0,"",IF(INDEX(입력_상담!$A$5:$A$1004,$AK148)="","",INDEX(입력_상담!$A$5:$A$1004,$AK148)))</f>
        <v/>
      </c>
      <c r="AE148" s="25" t="str">
        <f aca="false">IF(AND(ISNUMBER(AB148),ISNUMBER(AC148)),IF(AC148&gt;=AB148,ROUND((AC148-AB148)*1440,0),""),"")</f>
        <v/>
      </c>
      <c r="AF148" s="25" t="str">
        <f aca="false">IF(AND(ISNUMBER(AC148),ISNUMBER(AD148)),IF(AD148&gt;=AC148,ROUND((AD148-AC148)*1440,0),""),"")</f>
        <v/>
      </c>
      <c r="AG148" s="25" t="str">
        <f aca="false">IF(AND(AA148="완료",ISNUMBER(AB148),ISNUMBER(AD148)),IF(AD148&gt;=AB148,ROUND((AD148-AB148)*1440,0),""),"")</f>
        <v/>
      </c>
      <c r="AH148" s="61" t="str">
        <f aca="false">IF(AND(AK148&gt;0,AJ148=0),"측정 기록 없음",IF(AND(AJ148&gt;0,AI148=0),"운동평가 기록 없음",IF(OR(COUNTIF(입력_운동!$B$5:$B$1004,$A148)&gt;1,COUNTIF(입력_측정!$B$5:$B$1004,$A148)&gt;1),"중복 입력","")))</f>
        <v/>
      </c>
      <c r="AI148" s="62" t="n">
        <f aca="false">SUMPRODUCT(MAX((입력_운동!$B$5:$B$1004=$A148)*(ROW(입력_운동!$B$5:$B$1004)-4)))</f>
        <v>0</v>
      </c>
      <c r="AJ148" s="62" t="n">
        <f aca="false">SUMPRODUCT(MAX((입력_측정!$B$5:$B$1004=$A148)*(ROW(입력_측정!$B$5:$B$1004)-4)))</f>
        <v>0</v>
      </c>
      <c r="AK148" s="62" t="n">
        <f aca="false">SUMPRODUCT(MAX((입력_상담!$B$5:$B$1004=$A148)*(ROW(입력_상담!$B$5:$B$1004)-4)))</f>
        <v>0</v>
      </c>
    </row>
    <row r="149" customFormat="false" ht="15" hidden="false" customHeight="false" outlineLevel="0" collapsed="false">
      <c r="A149" s="55" t="n">
        <v>145</v>
      </c>
      <c r="B149" s="56"/>
      <c r="C149" s="24"/>
      <c r="D149" s="24"/>
      <c r="E149" s="56"/>
      <c r="F149" s="57"/>
      <c r="G149" s="58"/>
      <c r="H149" s="56"/>
      <c r="I149" s="24"/>
      <c r="J149" s="24"/>
      <c r="K149" s="24"/>
      <c r="L149" s="24"/>
      <c r="M149" s="24"/>
      <c r="N149" s="56"/>
      <c r="O149" s="25" t="str">
        <f aca="false">IF($AI149=0,"",IF(INDEX(입력_운동!$C$5:$C$1004,$AI149)="","",INDEX(입력_운동!$C$5:$C$1004,$AI149)))</f>
        <v/>
      </c>
      <c r="P149" s="25" t="str">
        <f aca="false">IF($AI149=0,"",IF(INDEX(입력_운동!$D$5:$D$1004,$AI149)="","",INDEX(입력_운동!$D$5:$D$1004,$AI149)))</f>
        <v/>
      </c>
      <c r="Q149" s="25" t="str">
        <f aca="false">IF($AI149=0,"",IF(INDEX(입력_운동!$E$5:$E$1004,$AI149)="","",INDEX(입력_운동!$E$5:$E$1004,$AI149)))</f>
        <v/>
      </c>
      <c r="R149" s="25" t="str">
        <f aca="false">IF($AI149=0,"",IF(INDEX(입력_운동!$F$5:$F$1004,$AI149)="","",INDEX(입력_운동!$F$5:$F$1004,$AI149)))</f>
        <v/>
      </c>
      <c r="S149" s="25" t="str">
        <f aca="false">IF($AJ149=0,"",IF(INDEX(입력_측정!$C$5:$C$1004,$AJ149)="","",INDEX(입력_측정!$C$5:$C$1004,$AJ149)))</f>
        <v/>
      </c>
      <c r="T149" s="25" t="str">
        <f aca="false">IF($AJ149=0,"",IF(INDEX(입력_측정!$D$5:$D$1004,$AJ149)="","",INDEX(입력_측정!$D$5:$D$1004,$AJ149)))</f>
        <v/>
      </c>
      <c r="U149" s="25" t="str">
        <f aca="false">IF($AJ149=0,"",IF(INDEX(입력_측정!$E$5:$E$1004,$AJ149)="","",INDEX(입력_측정!$E$5:$E$1004,$AJ149)))</f>
        <v/>
      </c>
      <c r="V149" s="25" t="str">
        <f aca="false">IF($AJ149=0,"",IF(INDEX(입력_측정!$F$5:$F$1004,$AJ149)="","",INDEX(입력_측정!$F$5:$F$1004,$AJ149)))</f>
        <v/>
      </c>
      <c r="W149" s="25" t="str">
        <f aca="false">IF($AK149=0,"",IF(INDEX(입력_상담!$D$5:$D$1004,$AK149)="","",INDEX(입력_상담!$D$5:$D$1004,$AK149)))</f>
        <v/>
      </c>
      <c r="X149" s="25" t="str">
        <f aca="false">IF($AJ149=0,"",IF(INDEX(입력_측정!$I$5:$I$1004,$AJ149)="","",INDEX(입력_측정!$I$5:$I$1004,$AJ149)))</f>
        <v/>
      </c>
      <c r="Y149" s="25" t="str">
        <f aca="false">IF($AJ149=0,"",IF(INDEX(입력_측정!$J$5:$J$1004,$AJ149)="","",INDEX(입력_측정!$J$5:$J$1004,$AJ149)))</f>
        <v/>
      </c>
      <c r="Z149" s="25" t="str">
        <f aca="false">IF(OR(X149="긴급",LEFT(Y149,2)="긴급",W149="필요",W149="완료"),"대상","")</f>
        <v/>
      </c>
      <c r="AA149" s="59" t="str">
        <f aca="false">IF(M149&lt;&gt;"",M149,IF(AK149&gt;0,IF(W149="필요","추가상담 대기","완료"),IF(AJ149&gt;0,"결과상담 대기",IF(AI149&gt;0,"측정 대기","미방문"))))</f>
        <v>미방문</v>
      </c>
      <c r="AB149" s="60" t="str">
        <f aca="false">IF($AI149=0,"",IF(INDEX(입력_운동!$A$5:$A$1004,$AI149)="","",INDEX(입력_운동!$A$5:$A$1004,$AI149)))</f>
        <v/>
      </c>
      <c r="AC149" s="60" t="str">
        <f aca="false">IF($AJ149=0,"",IF(INDEX(입력_측정!$A$5:$A$1004,$AJ149)="","",INDEX(입력_측정!$A$5:$A$1004,$AJ149)))</f>
        <v/>
      </c>
      <c r="AD149" s="60" t="str">
        <f aca="false">IF($AK149=0,"",IF(INDEX(입력_상담!$A$5:$A$1004,$AK149)="","",INDEX(입력_상담!$A$5:$A$1004,$AK149)))</f>
        <v/>
      </c>
      <c r="AE149" s="25" t="str">
        <f aca="false">IF(AND(ISNUMBER(AB149),ISNUMBER(AC149)),IF(AC149&gt;=AB149,ROUND((AC149-AB149)*1440,0),""),"")</f>
        <v/>
      </c>
      <c r="AF149" s="25" t="str">
        <f aca="false">IF(AND(ISNUMBER(AC149),ISNUMBER(AD149)),IF(AD149&gt;=AC149,ROUND((AD149-AC149)*1440,0),""),"")</f>
        <v/>
      </c>
      <c r="AG149" s="25" t="str">
        <f aca="false">IF(AND(AA149="완료",ISNUMBER(AB149),ISNUMBER(AD149)),IF(AD149&gt;=AB149,ROUND((AD149-AB149)*1440,0),""),"")</f>
        <v/>
      </c>
      <c r="AH149" s="61" t="str">
        <f aca="false">IF(AND(AK149&gt;0,AJ149=0),"측정 기록 없음",IF(AND(AJ149&gt;0,AI149=0),"운동평가 기록 없음",IF(OR(COUNTIF(입력_운동!$B$5:$B$1004,$A149)&gt;1,COUNTIF(입력_측정!$B$5:$B$1004,$A149)&gt;1),"중복 입력","")))</f>
        <v/>
      </c>
      <c r="AI149" s="62" t="n">
        <f aca="false">SUMPRODUCT(MAX((입력_운동!$B$5:$B$1004=$A149)*(ROW(입력_운동!$B$5:$B$1004)-4)))</f>
        <v>0</v>
      </c>
      <c r="AJ149" s="62" t="n">
        <f aca="false">SUMPRODUCT(MAX((입력_측정!$B$5:$B$1004=$A149)*(ROW(입력_측정!$B$5:$B$1004)-4)))</f>
        <v>0</v>
      </c>
      <c r="AK149" s="62" t="n">
        <f aca="false">SUMPRODUCT(MAX((입력_상담!$B$5:$B$1004=$A149)*(ROW(입력_상담!$B$5:$B$1004)-4)))</f>
        <v>0</v>
      </c>
    </row>
    <row r="150" customFormat="false" ht="15" hidden="false" customHeight="false" outlineLevel="0" collapsed="false">
      <c r="A150" s="55" t="n">
        <v>146</v>
      </c>
      <c r="B150" s="56"/>
      <c r="C150" s="24"/>
      <c r="D150" s="24"/>
      <c r="E150" s="56"/>
      <c r="F150" s="57"/>
      <c r="G150" s="58"/>
      <c r="H150" s="56"/>
      <c r="I150" s="24"/>
      <c r="J150" s="24"/>
      <c r="K150" s="24"/>
      <c r="L150" s="24"/>
      <c r="M150" s="24"/>
      <c r="N150" s="56"/>
      <c r="O150" s="25" t="str">
        <f aca="false">IF($AI150=0,"",IF(INDEX(입력_운동!$C$5:$C$1004,$AI150)="","",INDEX(입력_운동!$C$5:$C$1004,$AI150)))</f>
        <v/>
      </c>
      <c r="P150" s="25" t="str">
        <f aca="false">IF($AI150=0,"",IF(INDEX(입력_운동!$D$5:$D$1004,$AI150)="","",INDEX(입력_운동!$D$5:$D$1004,$AI150)))</f>
        <v/>
      </c>
      <c r="Q150" s="25" t="str">
        <f aca="false">IF($AI150=0,"",IF(INDEX(입력_운동!$E$5:$E$1004,$AI150)="","",INDEX(입력_운동!$E$5:$E$1004,$AI150)))</f>
        <v/>
      </c>
      <c r="R150" s="25" t="str">
        <f aca="false">IF($AI150=0,"",IF(INDEX(입력_운동!$F$5:$F$1004,$AI150)="","",INDEX(입력_운동!$F$5:$F$1004,$AI150)))</f>
        <v/>
      </c>
      <c r="S150" s="25" t="str">
        <f aca="false">IF($AJ150=0,"",IF(INDEX(입력_측정!$C$5:$C$1004,$AJ150)="","",INDEX(입력_측정!$C$5:$C$1004,$AJ150)))</f>
        <v/>
      </c>
      <c r="T150" s="25" t="str">
        <f aca="false">IF($AJ150=0,"",IF(INDEX(입력_측정!$D$5:$D$1004,$AJ150)="","",INDEX(입력_측정!$D$5:$D$1004,$AJ150)))</f>
        <v/>
      </c>
      <c r="U150" s="25" t="str">
        <f aca="false">IF($AJ150=0,"",IF(INDEX(입력_측정!$E$5:$E$1004,$AJ150)="","",INDEX(입력_측정!$E$5:$E$1004,$AJ150)))</f>
        <v/>
      </c>
      <c r="V150" s="25" t="str">
        <f aca="false">IF($AJ150=0,"",IF(INDEX(입력_측정!$F$5:$F$1004,$AJ150)="","",INDEX(입력_측정!$F$5:$F$1004,$AJ150)))</f>
        <v/>
      </c>
      <c r="W150" s="25" t="str">
        <f aca="false">IF($AK150=0,"",IF(INDEX(입력_상담!$D$5:$D$1004,$AK150)="","",INDEX(입력_상담!$D$5:$D$1004,$AK150)))</f>
        <v/>
      </c>
      <c r="X150" s="25" t="str">
        <f aca="false">IF($AJ150=0,"",IF(INDEX(입력_측정!$I$5:$I$1004,$AJ150)="","",INDEX(입력_측정!$I$5:$I$1004,$AJ150)))</f>
        <v/>
      </c>
      <c r="Y150" s="25" t="str">
        <f aca="false">IF($AJ150=0,"",IF(INDEX(입력_측정!$J$5:$J$1004,$AJ150)="","",INDEX(입력_측정!$J$5:$J$1004,$AJ150)))</f>
        <v/>
      </c>
      <c r="Z150" s="25" t="str">
        <f aca="false">IF(OR(X150="긴급",LEFT(Y150,2)="긴급",W150="필요",W150="완료"),"대상","")</f>
        <v/>
      </c>
      <c r="AA150" s="59" t="str">
        <f aca="false">IF(M150&lt;&gt;"",M150,IF(AK150&gt;0,IF(W150="필요","추가상담 대기","완료"),IF(AJ150&gt;0,"결과상담 대기",IF(AI150&gt;0,"측정 대기","미방문"))))</f>
        <v>미방문</v>
      </c>
      <c r="AB150" s="60" t="str">
        <f aca="false">IF($AI150=0,"",IF(INDEX(입력_운동!$A$5:$A$1004,$AI150)="","",INDEX(입력_운동!$A$5:$A$1004,$AI150)))</f>
        <v/>
      </c>
      <c r="AC150" s="60" t="str">
        <f aca="false">IF($AJ150=0,"",IF(INDEX(입력_측정!$A$5:$A$1004,$AJ150)="","",INDEX(입력_측정!$A$5:$A$1004,$AJ150)))</f>
        <v/>
      </c>
      <c r="AD150" s="60" t="str">
        <f aca="false">IF($AK150=0,"",IF(INDEX(입력_상담!$A$5:$A$1004,$AK150)="","",INDEX(입력_상담!$A$5:$A$1004,$AK150)))</f>
        <v/>
      </c>
      <c r="AE150" s="25" t="str">
        <f aca="false">IF(AND(ISNUMBER(AB150),ISNUMBER(AC150)),IF(AC150&gt;=AB150,ROUND((AC150-AB150)*1440,0),""),"")</f>
        <v/>
      </c>
      <c r="AF150" s="25" t="str">
        <f aca="false">IF(AND(ISNUMBER(AC150),ISNUMBER(AD150)),IF(AD150&gt;=AC150,ROUND((AD150-AC150)*1440,0),""),"")</f>
        <v/>
      </c>
      <c r="AG150" s="25" t="str">
        <f aca="false">IF(AND(AA150="완료",ISNUMBER(AB150),ISNUMBER(AD150)),IF(AD150&gt;=AB150,ROUND((AD150-AB150)*1440,0),""),"")</f>
        <v/>
      </c>
      <c r="AH150" s="61" t="str">
        <f aca="false">IF(AND(AK150&gt;0,AJ150=0),"측정 기록 없음",IF(AND(AJ150&gt;0,AI150=0),"운동평가 기록 없음",IF(OR(COUNTIF(입력_운동!$B$5:$B$1004,$A150)&gt;1,COUNTIF(입력_측정!$B$5:$B$1004,$A150)&gt;1),"중복 입력","")))</f>
        <v/>
      </c>
      <c r="AI150" s="62" t="n">
        <f aca="false">SUMPRODUCT(MAX((입력_운동!$B$5:$B$1004=$A150)*(ROW(입력_운동!$B$5:$B$1004)-4)))</f>
        <v>0</v>
      </c>
      <c r="AJ150" s="62" t="n">
        <f aca="false">SUMPRODUCT(MAX((입력_측정!$B$5:$B$1004=$A150)*(ROW(입력_측정!$B$5:$B$1004)-4)))</f>
        <v>0</v>
      </c>
      <c r="AK150" s="62" t="n">
        <f aca="false">SUMPRODUCT(MAX((입력_상담!$B$5:$B$1004=$A150)*(ROW(입력_상담!$B$5:$B$1004)-4)))</f>
        <v>0</v>
      </c>
    </row>
    <row r="151" customFormat="false" ht="15" hidden="false" customHeight="false" outlineLevel="0" collapsed="false">
      <c r="A151" s="55" t="n">
        <v>147</v>
      </c>
      <c r="B151" s="56"/>
      <c r="C151" s="24"/>
      <c r="D151" s="24"/>
      <c r="E151" s="56"/>
      <c r="F151" s="57"/>
      <c r="G151" s="58"/>
      <c r="H151" s="56"/>
      <c r="I151" s="24"/>
      <c r="J151" s="24"/>
      <c r="K151" s="24"/>
      <c r="L151" s="24"/>
      <c r="M151" s="24"/>
      <c r="N151" s="56"/>
      <c r="O151" s="25" t="str">
        <f aca="false">IF($AI151=0,"",IF(INDEX(입력_운동!$C$5:$C$1004,$AI151)="","",INDEX(입력_운동!$C$5:$C$1004,$AI151)))</f>
        <v/>
      </c>
      <c r="P151" s="25" t="str">
        <f aca="false">IF($AI151=0,"",IF(INDEX(입력_운동!$D$5:$D$1004,$AI151)="","",INDEX(입력_운동!$D$5:$D$1004,$AI151)))</f>
        <v/>
      </c>
      <c r="Q151" s="25" t="str">
        <f aca="false">IF($AI151=0,"",IF(INDEX(입력_운동!$E$5:$E$1004,$AI151)="","",INDEX(입력_운동!$E$5:$E$1004,$AI151)))</f>
        <v/>
      </c>
      <c r="R151" s="25" t="str">
        <f aca="false">IF($AI151=0,"",IF(INDEX(입력_운동!$F$5:$F$1004,$AI151)="","",INDEX(입력_운동!$F$5:$F$1004,$AI151)))</f>
        <v/>
      </c>
      <c r="S151" s="25" t="str">
        <f aca="false">IF($AJ151=0,"",IF(INDEX(입력_측정!$C$5:$C$1004,$AJ151)="","",INDEX(입력_측정!$C$5:$C$1004,$AJ151)))</f>
        <v/>
      </c>
      <c r="T151" s="25" t="str">
        <f aca="false">IF($AJ151=0,"",IF(INDEX(입력_측정!$D$5:$D$1004,$AJ151)="","",INDEX(입력_측정!$D$5:$D$1004,$AJ151)))</f>
        <v/>
      </c>
      <c r="U151" s="25" t="str">
        <f aca="false">IF($AJ151=0,"",IF(INDEX(입력_측정!$E$5:$E$1004,$AJ151)="","",INDEX(입력_측정!$E$5:$E$1004,$AJ151)))</f>
        <v/>
      </c>
      <c r="V151" s="25" t="str">
        <f aca="false">IF($AJ151=0,"",IF(INDEX(입력_측정!$F$5:$F$1004,$AJ151)="","",INDEX(입력_측정!$F$5:$F$1004,$AJ151)))</f>
        <v/>
      </c>
      <c r="W151" s="25" t="str">
        <f aca="false">IF($AK151=0,"",IF(INDEX(입력_상담!$D$5:$D$1004,$AK151)="","",INDEX(입력_상담!$D$5:$D$1004,$AK151)))</f>
        <v/>
      </c>
      <c r="X151" s="25" t="str">
        <f aca="false">IF($AJ151=0,"",IF(INDEX(입력_측정!$I$5:$I$1004,$AJ151)="","",INDEX(입력_측정!$I$5:$I$1004,$AJ151)))</f>
        <v/>
      </c>
      <c r="Y151" s="25" t="str">
        <f aca="false">IF($AJ151=0,"",IF(INDEX(입력_측정!$J$5:$J$1004,$AJ151)="","",INDEX(입력_측정!$J$5:$J$1004,$AJ151)))</f>
        <v/>
      </c>
      <c r="Z151" s="25" t="str">
        <f aca="false">IF(OR(X151="긴급",LEFT(Y151,2)="긴급",W151="필요",W151="완료"),"대상","")</f>
        <v/>
      </c>
      <c r="AA151" s="59" t="str">
        <f aca="false">IF(M151&lt;&gt;"",M151,IF(AK151&gt;0,IF(W151="필요","추가상담 대기","완료"),IF(AJ151&gt;0,"결과상담 대기",IF(AI151&gt;0,"측정 대기","미방문"))))</f>
        <v>미방문</v>
      </c>
      <c r="AB151" s="60" t="str">
        <f aca="false">IF($AI151=0,"",IF(INDEX(입력_운동!$A$5:$A$1004,$AI151)="","",INDEX(입력_운동!$A$5:$A$1004,$AI151)))</f>
        <v/>
      </c>
      <c r="AC151" s="60" t="str">
        <f aca="false">IF($AJ151=0,"",IF(INDEX(입력_측정!$A$5:$A$1004,$AJ151)="","",INDEX(입력_측정!$A$5:$A$1004,$AJ151)))</f>
        <v/>
      </c>
      <c r="AD151" s="60" t="str">
        <f aca="false">IF($AK151=0,"",IF(INDEX(입력_상담!$A$5:$A$1004,$AK151)="","",INDEX(입력_상담!$A$5:$A$1004,$AK151)))</f>
        <v/>
      </c>
      <c r="AE151" s="25" t="str">
        <f aca="false">IF(AND(ISNUMBER(AB151),ISNUMBER(AC151)),IF(AC151&gt;=AB151,ROUND((AC151-AB151)*1440,0),""),"")</f>
        <v/>
      </c>
      <c r="AF151" s="25" t="str">
        <f aca="false">IF(AND(ISNUMBER(AC151),ISNUMBER(AD151)),IF(AD151&gt;=AC151,ROUND((AD151-AC151)*1440,0),""),"")</f>
        <v/>
      </c>
      <c r="AG151" s="25" t="str">
        <f aca="false">IF(AND(AA151="완료",ISNUMBER(AB151),ISNUMBER(AD151)),IF(AD151&gt;=AB151,ROUND((AD151-AB151)*1440,0),""),"")</f>
        <v/>
      </c>
      <c r="AH151" s="61" t="str">
        <f aca="false">IF(AND(AK151&gt;0,AJ151=0),"측정 기록 없음",IF(AND(AJ151&gt;0,AI151=0),"운동평가 기록 없음",IF(OR(COUNTIF(입력_운동!$B$5:$B$1004,$A151)&gt;1,COUNTIF(입력_측정!$B$5:$B$1004,$A151)&gt;1),"중복 입력","")))</f>
        <v/>
      </c>
      <c r="AI151" s="62" t="n">
        <f aca="false">SUMPRODUCT(MAX((입력_운동!$B$5:$B$1004=$A151)*(ROW(입력_운동!$B$5:$B$1004)-4)))</f>
        <v>0</v>
      </c>
      <c r="AJ151" s="62" t="n">
        <f aca="false">SUMPRODUCT(MAX((입력_측정!$B$5:$B$1004=$A151)*(ROW(입력_측정!$B$5:$B$1004)-4)))</f>
        <v>0</v>
      </c>
      <c r="AK151" s="62" t="n">
        <f aca="false">SUMPRODUCT(MAX((입력_상담!$B$5:$B$1004=$A151)*(ROW(입력_상담!$B$5:$B$1004)-4)))</f>
        <v>0</v>
      </c>
    </row>
    <row r="152" customFormat="false" ht="15" hidden="false" customHeight="false" outlineLevel="0" collapsed="false">
      <c r="A152" s="55" t="n">
        <v>148</v>
      </c>
      <c r="B152" s="56"/>
      <c r="C152" s="24"/>
      <c r="D152" s="24"/>
      <c r="E152" s="56"/>
      <c r="F152" s="57"/>
      <c r="G152" s="58"/>
      <c r="H152" s="56"/>
      <c r="I152" s="24"/>
      <c r="J152" s="24"/>
      <c r="K152" s="24"/>
      <c r="L152" s="24"/>
      <c r="M152" s="24"/>
      <c r="N152" s="56"/>
      <c r="O152" s="25" t="str">
        <f aca="false">IF($AI152=0,"",IF(INDEX(입력_운동!$C$5:$C$1004,$AI152)="","",INDEX(입력_운동!$C$5:$C$1004,$AI152)))</f>
        <v/>
      </c>
      <c r="P152" s="25" t="str">
        <f aca="false">IF($AI152=0,"",IF(INDEX(입력_운동!$D$5:$D$1004,$AI152)="","",INDEX(입력_운동!$D$5:$D$1004,$AI152)))</f>
        <v/>
      </c>
      <c r="Q152" s="25" t="str">
        <f aca="false">IF($AI152=0,"",IF(INDEX(입력_운동!$E$5:$E$1004,$AI152)="","",INDEX(입력_운동!$E$5:$E$1004,$AI152)))</f>
        <v/>
      </c>
      <c r="R152" s="25" t="str">
        <f aca="false">IF($AI152=0,"",IF(INDEX(입력_운동!$F$5:$F$1004,$AI152)="","",INDEX(입력_운동!$F$5:$F$1004,$AI152)))</f>
        <v/>
      </c>
      <c r="S152" s="25" t="str">
        <f aca="false">IF($AJ152=0,"",IF(INDEX(입력_측정!$C$5:$C$1004,$AJ152)="","",INDEX(입력_측정!$C$5:$C$1004,$AJ152)))</f>
        <v/>
      </c>
      <c r="T152" s="25" t="str">
        <f aca="false">IF($AJ152=0,"",IF(INDEX(입력_측정!$D$5:$D$1004,$AJ152)="","",INDEX(입력_측정!$D$5:$D$1004,$AJ152)))</f>
        <v/>
      </c>
      <c r="U152" s="25" t="str">
        <f aca="false">IF($AJ152=0,"",IF(INDEX(입력_측정!$E$5:$E$1004,$AJ152)="","",INDEX(입력_측정!$E$5:$E$1004,$AJ152)))</f>
        <v/>
      </c>
      <c r="V152" s="25" t="str">
        <f aca="false">IF($AJ152=0,"",IF(INDEX(입력_측정!$F$5:$F$1004,$AJ152)="","",INDEX(입력_측정!$F$5:$F$1004,$AJ152)))</f>
        <v/>
      </c>
      <c r="W152" s="25" t="str">
        <f aca="false">IF($AK152=0,"",IF(INDEX(입력_상담!$D$5:$D$1004,$AK152)="","",INDEX(입력_상담!$D$5:$D$1004,$AK152)))</f>
        <v/>
      </c>
      <c r="X152" s="25" t="str">
        <f aca="false">IF($AJ152=0,"",IF(INDEX(입력_측정!$I$5:$I$1004,$AJ152)="","",INDEX(입력_측정!$I$5:$I$1004,$AJ152)))</f>
        <v/>
      </c>
      <c r="Y152" s="25" t="str">
        <f aca="false">IF($AJ152=0,"",IF(INDEX(입력_측정!$J$5:$J$1004,$AJ152)="","",INDEX(입력_측정!$J$5:$J$1004,$AJ152)))</f>
        <v/>
      </c>
      <c r="Z152" s="25" t="str">
        <f aca="false">IF(OR(X152="긴급",LEFT(Y152,2)="긴급",W152="필요",W152="완료"),"대상","")</f>
        <v/>
      </c>
      <c r="AA152" s="59" t="str">
        <f aca="false">IF(M152&lt;&gt;"",M152,IF(AK152&gt;0,IF(W152="필요","추가상담 대기","완료"),IF(AJ152&gt;0,"결과상담 대기",IF(AI152&gt;0,"측정 대기","미방문"))))</f>
        <v>미방문</v>
      </c>
      <c r="AB152" s="60" t="str">
        <f aca="false">IF($AI152=0,"",IF(INDEX(입력_운동!$A$5:$A$1004,$AI152)="","",INDEX(입력_운동!$A$5:$A$1004,$AI152)))</f>
        <v/>
      </c>
      <c r="AC152" s="60" t="str">
        <f aca="false">IF($AJ152=0,"",IF(INDEX(입력_측정!$A$5:$A$1004,$AJ152)="","",INDEX(입력_측정!$A$5:$A$1004,$AJ152)))</f>
        <v/>
      </c>
      <c r="AD152" s="60" t="str">
        <f aca="false">IF($AK152=0,"",IF(INDEX(입력_상담!$A$5:$A$1004,$AK152)="","",INDEX(입력_상담!$A$5:$A$1004,$AK152)))</f>
        <v/>
      </c>
      <c r="AE152" s="25" t="str">
        <f aca="false">IF(AND(ISNUMBER(AB152),ISNUMBER(AC152)),IF(AC152&gt;=AB152,ROUND((AC152-AB152)*1440,0),""),"")</f>
        <v/>
      </c>
      <c r="AF152" s="25" t="str">
        <f aca="false">IF(AND(ISNUMBER(AC152),ISNUMBER(AD152)),IF(AD152&gt;=AC152,ROUND((AD152-AC152)*1440,0),""),"")</f>
        <v/>
      </c>
      <c r="AG152" s="25" t="str">
        <f aca="false">IF(AND(AA152="완료",ISNUMBER(AB152),ISNUMBER(AD152)),IF(AD152&gt;=AB152,ROUND((AD152-AB152)*1440,0),""),"")</f>
        <v/>
      </c>
      <c r="AH152" s="61" t="str">
        <f aca="false">IF(AND(AK152&gt;0,AJ152=0),"측정 기록 없음",IF(AND(AJ152&gt;0,AI152=0),"운동평가 기록 없음",IF(OR(COUNTIF(입력_운동!$B$5:$B$1004,$A152)&gt;1,COUNTIF(입력_측정!$B$5:$B$1004,$A152)&gt;1),"중복 입력","")))</f>
        <v/>
      </c>
      <c r="AI152" s="62" t="n">
        <f aca="false">SUMPRODUCT(MAX((입력_운동!$B$5:$B$1004=$A152)*(ROW(입력_운동!$B$5:$B$1004)-4)))</f>
        <v>0</v>
      </c>
      <c r="AJ152" s="62" t="n">
        <f aca="false">SUMPRODUCT(MAX((입력_측정!$B$5:$B$1004=$A152)*(ROW(입력_측정!$B$5:$B$1004)-4)))</f>
        <v>0</v>
      </c>
      <c r="AK152" s="62" t="n">
        <f aca="false">SUMPRODUCT(MAX((입력_상담!$B$5:$B$1004=$A152)*(ROW(입력_상담!$B$5:$B$1004)-4)))</f>
        <v>0</v>
      </c>
    </row>
    <row r="153" customFormat="false" ht="15" hidden="false" customHeight="false" outlineLevel="0" collapsed="false">
      <c r="A153" s="55" t="n">
        <v>149</v>
      </c>
      <c r="B153" s="56"/>
      <c r="C153" s="24"/>
      <c r="D153" s="24"/>
      <c r="E153" s="56"/>
      <c r="F153" s="57"/>
      <c r="G153" s="58"/>
      <c r="H153" s="56"/>
      <c r="I153" s="24"/>
      <c r="J153" s="24"/>
      <c r="K153" s="24"/>
      <c r="L153" s="24"/>
      <c r="M153" s="24"/>
      <c r="N153" s="56"/>
      <c r="O153" s="25" t="str">
        <f aca="false">IF($AI153=0,"",IF(INDEX(입력_운동!$C$5:$C$1004,$AI153)="","",INDEX(입력_운동!$C$5:$C$1004,$AI153)))</f>
        <v/>
      </c>
      <c r="P153" s="25" t="str">
        <f aca="false">IF($AI153=0,"",IF(INDEX(입력_운동!$D$5:$D$1004,$AI153)="","",INDEX(입력_운동!$D$5:$D$1004,$AI153)))</f>
        <v/>
      </c>
      <c r="Q153" s="25" t="str">
        <f aca="false">IF($AI153=0,"",IF(INDEX(입력_운동!$E$5:$E$1004,$AI153)="","",INDEX(입력_운동!$E$5:$E$1004,$AI153)))</f>
        <v/>
      </c>
      <c r="R153" s="25" t="str">
        <f aca="false">IF($AI153=0,"",IF(INDEX(입력_운동!$F$5:$F$1004,$AI153)="","",INDEX(입력_운동!$F$5:$F$1004,$AI153)))</f>
        <v/>
      </c>
      <c r="S153" s="25" t="str">
        <f aca="false">IF($AJ153=0,"",IF(INDEX(입력_측정!$C$5:$C$1004,$AJ153)="","",INDEX(입력_측정!$C$5:$C$1004,$AJ153)))</f>
        <v/>
      </c>
      <c r="T153" s="25" t="str">
        <f aca="false">IF($AJ153=0,"",IF(INDEX(입력_측정!$D$5:$D$1004,$AJ153)="","",INDEX(입력_측정!$D$5:$D$1004,$AJ153)))</f>
        <v/>
      </c>
      <c r="U153" s="25" t="str">
        <f aca="false">IF($AJ153=0,"",IF(INDEX(입력_측정!$E$5:$E$1004,$AJ153)="","",INDEX(입력_측정!$E$5:$E$1004,$AJ153)))</f>
        <v/>
      </c>
      <c r="V153" s="25" t="str">
        <f aca="false">IF($AJ153=0,"",IF(INDEX(입력_측정!$F$5:$F$1004,$AJ153)="","",INDEX(입력_측정!$F$5:$F$1004,$AJ153)))</f>
        <v/>
      </c>
      <c r="W153" s="25" t="str">
        <f aca="false">IF($AK153=0,"",IF(INDEX(입력_상담!$D$5:$D$1004,$AK153)="","",INDEX(입력_상담!$D$5:$D$1004,$AK153)))</f>
        <v/>
      </c>
      <c r="X153" s="25" t="str">
        <f aca="false">IF($AJ153=0,"",IF(INDEX(입력_측정!$I$5:$I$1004,$AJ153)="","",INDEX(입력_측정!$I$5:$I$1004,$AJ153)))</f>
        <v/>
      </c>
      <c r="Y153" s="25" t="str">
        <f aca="false">IF($AJ153=0,"",IF(INDEX(입력_측정!$J$5:$J$1004,$AJ153)="","",INDEX(입력_측정!$J$5:$J$1004,$AJ153)))</f>
        <v/>
      </c>
      <c r="Z153" s="25" t="str">
        <f aca="false">IF(OR(X153="긴급",LEFT(Y153,2)="긴급",W153="필요",W153="완료"),"대상","")</f>
        <v/>
      </c>
      <c r="AA153" s="59" t="str">
        <f aca="false">IF(M153&lt;&gt;"",M153,IF(AK153&gt;0,IF(W153="필요","추가상담 대기","완료"),IF(AJ153&gt;0,"결과상담 대기",IF(AI153&gt;0,"측정 대기","미방문"))))</f>
        <v>미방문</v>
      </c>
      <c r="AB153" s="60" t="str">
        <f aca="false">IF($AI153=0,"",IF(INDEX(입력_운동!$A$5:$A$1004,$AI153)="","",INDEX(입력_운동!$A$5:$A$1004,$AI153)))</f>
        <v/>
      </c>
      <c r="AC153" s="60" t="str">
        <f aca="false">IF($AJ153=0,"",IF(INDEX(입력_측정!$A$5:$A$1004,$AJ153)="","",INDEX(입력_측정!$A$5:$A$1004,$AJ153)))</f>
        <v/>
      </c>
      <c r="AD153" s="60" t="str">
        <f aca="false">IF($AK153=0,"",IF(INDEX(입력_상담!$A$5:$A$1004,$AK153)="","",INDEX(입력_상담!$A$5:$A$1004,$AK153)))</f>
        <v/>
      </c>
      <c r="AE153" s="25" t="str">
        <f aca="false">IF(AND(ISNUMBER(AB153),ISNUMBER(AC153)),IF(AC153&gt;=AB153,ROUND((AC153-AB153)*1440,0),""),"")</f>
        <v/>
      </c>
      <c r="AF153" s="25" t="str">
        <f aca="false">IF(AND(ISNUMBER(AC153),ISNUMBER(AD153)),IF(AD153&gt;=AC153,ROUND((AD153-AC153)*1440,0),""),"")</f>
        <v/>
      </c>
      <c r="AG153" s="25" t="str">
        <f aca="false">IF(AND(AA153="완료",ISNUMBER(AB153),ISNUMBER(AD153)),IF(AD153&gt;=AB153,ROUND((AD153-AB153)*1440,0),""),"")</f>
        <v/>
      </c>
      <c r="AH153" s="61" t="str">
        <f aca="false">IF(AND(AK153&gt;0,AJ153=0),"측정 기록 없음",IF(AND(AJ153&gt;0,AI153=0),"운동평가 기록 없음",IF(OR(COUNTIF(입력_운동!$B$5:$B$1004,$A153)&gt;1,COUNTIF(입력_측정!$B$5:$B$1004,$A153)&gt;1),"중복 입력","")))</f>
        <v/>
      </c>
      <c r="AI153" s="62" t="n">
        <f aca="false">SUMPRODUCT(MAX((입력_운동!$B$5:$B$1004=$A153)*(ROW(입력_운동!$B$5:$B$1004)-4)))</f>
        <v>0</v>
      </c>
      <c r="AJ153" s="62" t="n">
        <f aca="false">SUMPRODUCT(MAX((입력_측정!$B$5:$B$1004=$A153)*(ROW(입력_측정!$B$5:$B$1004)-4)))</f>
        <v>0</v>
      </c>
      <c r="AK153" s="62" t="n">
        <f aca="false">SUMPRODUCT(MAX((입력_상담!$B$5:$B$1004=$A153)*(ROW(입력_상담!$B$5:$B$1004)-4)))</f>
        <v>0</v>
      </c>
    </row>
    <row r="154" customFormat="false" ht="15" hidden="false" customHeight="false" outlineLevel="0" collapsed="false">
      <c r="A154" s="55" t="n">
        <v>150</v>
      </c>
      <c r="B154" s="56"/>
      <c r="C154" s="24"/>
      <c r="D154" s="24"/>
      <c r="E154" s="56"/>
      <c r="F154" s="57"/>
      <c r="G154" s="58"/>
      <c r="H154" s="56"/>
      <c r="I154" s="24"/>
      <c r="J154" s="24"/>
      <c r="K154" s="24"/>
      <c r="L154" s="24"/>
      <c r="M154" s="24"/>
      <c r="N154" s="56"/>
      <c r="O154" s="25" t="str">
        <f aca="false">IF($AI154=0,"",IF(INDEX(입력_운동!$C$5:$C$1004,$AI154)="","",INDEX(입력_운동!$C$5:$C$1004,$AI154)))</f>
        <v/>
      </c>
      <c r="P154" s="25" t="str">
        <f aca="false">IF($AI154=0,"",IF(INDEX(입력_운동!$D$5:$D$1004,$AI154)="","",INDEX(입력_운동!$D$5:$D$1004,$AI154)))</f>
        <v/>
      </c>
      <c r="Q154" s="25" t="str">
        <f aca="false">IF($AI154=0,"",IF(INDEX(입력_운동!$E$5:$E$1004,$AI154)="","",INDEX(입력_운동!$E$5:$E$1004,$AI154)))</f>
        <v/>
      </c>
      <c r="R154" s="25" t="str">
        <f aca="false">IF($AI154=0,"",IF(INDEX(입력_운동!$F$5:$F$1004,$AI154)="","",INDEX(입력_운동!$F$5:$F$1004,$AI154)))</f>
        <v/>
      </c>
      <c r="S154" s="25" t="str">
        <f aca="false">IF($AJ154=0,"",IF(INDEX(입력_측정!$C$5:$C$1004,$AJ154)="","",INDEX(입력_측정!$C$5:$C$1004,$AJ154)))</f>
        <v/>
      </c>
      <c r="T154" s="25" t="str">
        <f aca="false">IF($AJ154=0,"",IF(INDEX(입력_측정!$D$5:$D$1004,$AJ154)="","",INDEX(입력_측정!$D$5:$D$1004,$AJ154)))</f>
        <v/>
      </c>
      <c r="U154" s="25" t="str">
        <f aca="false">IF($AJ154=0,"",IF(INDEX(입력_측정!$E$5:$E$1004,$AJ154)="","",INDEX(입력_측정!$E$5:$E$1004,$AJ154)))</f>
        <v/>
      </c>
      <c r="V154" s="25" t="str">
        <f aca="false">IF($AJ154=0,"",IF(INDEX(입력_측정!$F$5:$F$1004,$AJ154)="","",INDEX(입력_측정!$F$5:$F$1004,$AJ154)))</f>
        <v/>
      </c>
      <c r="W154" s="25" t="str">
        <f aca="false">IF($AK154=0,"",IF(INDEX(입력_상담!$D$5:$D$1004,$AK154)="","",INDEX(입력_상담!$D$5:$D$1004,$AK154)))</f>
        <v/>
      </c>
      <c r="X154" s="25" t="str">
        <f aca="false">IF($AJ154=0,"",IF(INDEX(입력_측정!$I$5:$I$1004,$AJ154)="","",INDEX(입력_측정!$I$5:$I$1004,$AJ154)))</f>
        <v/>
      </c>
      <c r="Y154" s="25" t="str">
        <f aca="false">IF($AJ154=0,"",IF(INDEX(입력_측정!$J$5:$J$1004,$AJ154)="","",INDEX(입력_측정!$J$5:$J$1004,$AJ154)))</f>
        <v/>
      </c>
      <c r="Z154" s="25" t="str">
        <f aca="false">IF(OR(X154="긴급",LEFT(Y154,2)="긴급",W154="필요",W154="완료"),"대상","")</f>
        <v/>
      </c>
      <c r="AA154" s="59" t="str">
        <f aca="false">IF(M154&lt;&gt;"",M154,IF(AK154&gt;0,IF(W154="필요","추가상담 대기","완료"),IF(AJ154&gt;0,"결과상담 대기",IF(AI154&gt;0,"측정 대기","미방문"))))</f>
        <v>미방문</v>
      </c>
      <c r="AB154" s="60" t="str">
        <f aca="false">IF($AI154=0,"",IF(INDEX(입력_운동!$A$5:$A$1004,$AI154)="","",INDEX(입력_운동!$A$5:$A$1004,$AI154)))</f>
        <v/>
      </c>
      <c r="AC154" s="60" t="str">
        <f aca="false">IF($AJ154=0,"",IF(INDEX(입력_측정!$A$5:$A$1004,$AJ154)="","",INDEX(입력_측정!$A$5:$A$1004,$AJ154)))</f>
        <v/>
      </c>
      <c r="AD154" s="60" t="str">
        <f aca="false">IF($AK154=0,"",IF(INDEX(입력_상담!$A$5:$A$1004,$AK154)="","",INDEX(입력_상담!$A$5:$A$1004,$AK154)))</f>
        <v/>
      </c>
      <c r="AE154" s="25" t="str">
        <f aca="false">IF(AND(ISNUMBER(AB154),ISNUMBER(AC154)),IF(AC154&gt;=AB154,ROUND((AC154-AB154)*1440,0),""),"")</f>
        <v/>
      </c>
      <c r="AF154" s="25" t="str">
        <f aca="false">IF(AND(ISNUMBER(AC154),ISNUMBER(AD154)),IF(AD154&gt;=AC154,ROUND((AD154-AC154)*1440,0),""),"")</f>
        <v/>
      </c>
      <c r="AG154" s="25" t="str">
        <f aca="false">IF(AND(AA154="완료",ISNUMBER(AB154),ISNUMBER(AD154)),IF(AD154&gt;=AB154,ROUND((AD154-AB154)*1440,0),""),"")</f>
        <v/>
      </c>
      <c r="AH154" s="61" t="str">
        <f aca="false">IF(AND(AK154&gt;0,AJ154=0),"측정 기록 없음",IF(AND(AJ154&gt;0,AI154=0),"운동평가 기록 없음",IF(OR(COUNTIF(입력_운동!$B$5:$B$1004,$A154)&gt;1,COUNTIF(입력_측정!$B$5:$B$1004,$A154)&gt;1),"중복 입력","")))</f>
        <v/>
      </c>
      <c r="AI154" s="62" t="n">
        <f aca="false">SUMPRODUCT(MAX((입력_운동!$B$5:$B$1004=$A154)*(ROW(입력_운동!$B$5:$B$1004)-4)))</f>
        <v>0</v>
      </c>
      <c r="AJ154" s="62" t="n">
        <f aca="false">SUMPRODUCT(MAX((입력_측정!$B$5:$B$1004=$A154)*(ROW(입력_측정!$B$5:$B$1004)-4)))</f>
        <v>0</v>
      </c>
      <c r="AK154" s="62" t="n">
        <f aca="false">SUMPRODUCT(MAX((입력_상담!$B$5:$B$1004=$A154)*(ROW(입력_상담!$B$5:$B$1004)-4)))</f>
        <v>0</v>
      </c>
    </row>
    <row r="155" customFormat="false" ht="15" hidden="false" customHeight="false" outlineLevel="0" collapsed="false">
      <c r="A155" s="55" t="n">
        <v>151</v>
      </c>
      <c r="B155" s="56"/>
      <c r="C155" s="24"/>
      <c r="D155" s="24"/>
      <c r="E155" s="56"/>
      <c r="F155" s="57"/>
      <c r="G155" s="58"/>
      <c r="H155" s="56"/>
      <c r="I155" s="24"/>
      <c r="J155" s="24"/>
      <c r="K155" s="24"/>
      <c r="L155" s="24"/>
      <c r="M155" s="24"/>
      <c r="N155" s="56"/>
      <c r="O155" s="25" t="str">
        <f aca="false">IF($AI155=0,"",IF(INDEX(입력_운동!$C$5:$C$1004,$AI155)="","",INDEX(입력_운동!$C$5:$C$1004,$AI155)))</f>
        <v/>
      </c>
      <c r="P155" s="25" t="str">
        <f aca="false">IF($AI155=0,"",IF(INDEX(입력_운동!$D$5:$D$1004,$AI155)="","",INDEX(입력_운동!$D$5:$D$1004,$AI155)))</f>
        <v/>
      </c>
      <c r="Q155" s="25" t="str">
        <f aca="false">IF($AI155=0,"",IF(INDEX(입력_운동!$E$5:$E$1004,$AI155)="","",INDEX(입력_운동!$E$5:$E$1004,$AI155)))</f>
        <v/>
      </c>
      <c r="R155" s="25" t="str">
        <f aca="false">IF($AI155=0,"",IF(INDEX(입력_운동!$F$5:$F$1004,$AI155)="","",INDEX(입력_운동!$F$5:$F$1004,$AI155)))</f>
        <v/>
      </c>
      <c r="S155" s="25" t="str">
        <f aca="false">IF($AJ155=0,"",IF(INDEX(입력_측정!$C$5:$C$1004,$AJ155)="","",INDEX(입력_측정!$C$5:$C$1004,$AJ155)))</f>
        <v/>
      </c>
      <c r="T155" s="25" t="str">
        <f aca="false">IF($AJ155=0,"",IF(INDEX(입력_측정!$D$5:$D$1004,$AJ155)="","",INDEX(입력_측정!$D$5:$D$1004,$AJ155)))</f>
        <v/>
      </c>
      <c r="U155" s="25" t="str">
        <f aca="false">IF($AJ155=0,"",IF(INDEX(입력_측정!$E$5:$E$1004,$AJ155)="","",INDEX(입력_측정!$E$5:$E$1004,$AJ155)))</f>
        <v/>
      </c>
      <c r="V155" s="25" t="str">
        <f aca="false">IF($AJ155=0,"",IF(INDEX(입력_측정!$F$5:$F$1004,$AJ155)="","",INDEX(입력_측정!$F$5:$F$1004,$AJ155)))</f>
        <v/>
      </c>
      <c r="W155" s="25" t="str">
        <f aca="false">IF($AK155=0,"",IF(INDEX(입력_상담!$D$5:$D$1004,$AK155)="","",INDEX(입력_상담!$D$5:$D$1004,$AK155)))</f>
        <v/>
      </c>
      <c r="X155" s="25" t="str">
        <f aca="false">IF($AJ155=0,"",IF(INDEX(입력_측정!$I$5:$I$1004,$AJ155)="","",INDEX(입력_측정!$I$5:$I$1004,$AJ155)))</f>
        <v/>
      </c>
      <c r="Y155" s="25" t="str">
        <f aca="false">IF($AJ155=0,"",IF(INDEX(입력_측정!$J$5:$J$1004,$AJ155)="","",INDEX(입력_측정!$J$5:$J$1004,$AJ155)))</f>
        <v/>
      </c>
      <c r="Z155" s="25" t="str">
        <f aca="false">IF(OR(X155="긴급",LEFT(Y155,2)="긴급",W155="필요",W155="완료"),"대상","")</f>
        <v/>
      </c>
      <c r="AA155" s="59" t="str">
        <f aca="false">IF(M155&lt;&gt;"",M155,IF(AK155&gt;0,IF(W155="필요","추가상담 대기","완료"),IF(AJ155&gt;0,"결과상담 대기",IF(AI155&gt;0,"측정 대기","미방문"))))</f>
        <v>미방문</v>
      </c>
      <c r="AB155" s="60" t="str">
        <f aca="false">IF($AI155=0,"",IF(INDEX(입력_운동!$A$5:$A$1004,$AI155)="","",INDEX(입력_운동!$A$5:$A$1004,$AI155)))</f>
        <v/>
      </c>
      <c r="AC155" s="60" t="str">
        <f aca="false">IF($AJ155=0,"",IF(INDEX(입력_측정!$A$5:$A$1004,$AJ155)="","",INDEX(입력_측정!$A$5:$A$1004,$AJ155)))</f>
        <v/>
      </c>
      <c r="AD155" s="60" t="str">
        <f aca="false">IF($AK155=0,"",IF(INDEX(입력_상담!$A$5:$A$1004,$AK155)="","",INDEX(입력_상담!$A$5:$A$1004,$AK155)))</f>
        <v/>
      </c>
      <c r="AE155" s="25" t="str">
        <f aca="false">IF(AND(ISNUMBER(AB155),ISNUMBER(AC155)),IF(AC155&gt;=AB155,ROUND((AC155-AB155)*1440,0),""),"")</f>
        <v/>
      </c>
      <c r="AF155" s="25" t="str">
        <f aca="false">IF(AND(ISNUMBER(AC155),ISNUMBER(AD155)),IF(AD155&gt;=AC155,ROUND((AD155-AC155)*1440,0),""),"")</f>
        <v/>
      </c>
      <c r="AG155" s="25" t="str">
        <f aca="false">IF(AND(AA155="완료",ISNUMBER(AB155),ISNUMBER(AD155)),IF(AD155&gt;=AB155,ROUND((AD155-AB155)*1440,0),""),"")</f>
        <v/>
      </c>
      <c r="AH155" s="61" t="str">
        <f aca="false">IF(AND(AK155&gt;0,AJ155=0),"측정 기록 없음",IF(AND(AJ155&gt;0,AI155=0),"운동평가 기록 없음",IF(OR(COUNTIF(입력_운동!$B$5:$B$1004,$A155)&gt;1,COUNTIF(입력_측정!$B$5:$B$1004,$A155)&gt;1),"중복 입력","")))</f>
        <v/>
      </c>
      <c r="AI155" s="62" t="n">
        <f aca="false">SUMPRODUCT(MAX((입력_운동!$B$5:$B$1004=$A155)*(ROW(입력_운동!$B$5:$B$1004)-4)))</f>
        <v>0</v>
      </c>
      <c r="AJ155" s="62" t="n">
        <f aca="false">SUMPRODUCT(MAX((입력_측정!$B$5:$B$1004=$A155)*(ROW(입력_측정!$B$5:$B$1004)-4)))</f>
        <v>0</v>
      </c>
      <c r="AK155" s="62" t="n">
        <f aca="false">SUMPRODUCT(MAX((입력_상담!$B$5:$B$1004=$A155)*(ROW(입력_상담!$B$5:$B$1004)-4)))</f>
        <v>0</v>
      </c>
    </row>
    <row r="156" customFormat="false" ht="15" hidden="false" customHeight="false" outlineLevel="0" collapsed="false">
      <c r="A156" s="55" t="n">
        <v>152</v>
      </c>
      <c r="B156" s="56"/>
      <c r="C156" s="24"/>
      <c r="D156" s="24"/>
      <c r="E156" s="56"/>
      <c r="F156" s="57"/>
      <c r="G156" s="58"/>
      <c r="H156" s="56"/>
      <c r="I156" s="24"/>
      <c r="J156" s="24"/>
      <c r="K156" s="24"/>
      <c r="L156" s="24"/>
      <c r="M156" s="24"/>
      <c r="N156" s="56"/>
      <c r="O156" s="25" t="str">
        <f aca="false">IF($AI156=0,"",IF(INDEX(입력_운동!$C$5:$C$1004,$AI156)="","",INDEX(입력_운동!$C$5:$C$1004,$AI156)))</f>
        <v/>
      </c>
      <c r="P156" s="25" t="str">
        <f aca="false">IF($AI156=0,"",IF(INDEX(입력_운동!$D$5:$D$1004,$AI156)="","",INDEX(입력_운동!$D$5:$D$1004,$AI156)))</f>
        <v/>
      </c>
      <c r="Q156" s="25" t="str">
        <f aca="false">IF($AI156=0,"",IF(INDEX(입력_운동!$E$5:$E$1004,$AI156)="","",INDEX(입력_운동!$E$5:$E$1004,$AI156)))</f>
        <v/>
      </c>
      <c r="R156" s="25" t="str">
        <f aca="false">IF($AI156=0,"",IF(INDEX(입력_운동!$F$5:$F$1004,$AI156)="","",INDEX(입력_운동!$F$5:$F$1004,$AI156)))</f>
        <v/>
      </c>
      <c r="S156" s="25" t="str">
        <f aca="false">IF($AJ156=0,"",IF(INDEX(입력_측정!$C$5:$C$1004,$AJ156)="","",INDEX(입력_측정!$C$5:$C$1004,$AJ156)))</f>
        <v/>
      </c>
      <c r="T156" s="25" t="str">
        <f aca="false">IF($AJ156=0,"",IF(INDEX(입력_측정!$D$5:$D$1004,$AJ156)="","",INDEX(입력_측정!$D$5:$D$1004,$AJ156)))</f>
        <v/>
      </c>
      <c r="U156" s="25" t="str">
        <f aca="false">IF($AJ156=0,"",IF(INDEX(입력_측정!$E$5:$E$1004,$AJ156)="","",INDEX(입력_측정!$E$5:$E$1004,$AJ156)))</f>
        <v/>
      </c>
      <c r="V156" s="25" t="str">
        <f aca="false">IF($AJ156=0,"",IF(INDEX(입력_측정!$F$5:$F$1004,$AJ156)="","",INDEX(입력_측정!$F$5:$F$1004,$AJ156)))</f>
        <v/>
      </c>
      <c r="W156" s="25" t="str">
        <f aca="false">IF($AK156=0,"",IF(INDEX(입력_상담!$D$5:$D$1004,$AK156)="","",INDEX(입력_상담!$D$5:$D$1004,$AK156)))</f>
        <v/>
      </c>
      <c r="X156" s="25" t="str">
        <f aca="false">IF($AJ156=0,"",IF(INDEX(입력_측정!$I$5:$I$1004,$AJ156)="","",INDEX(입력_측정!$I$5:$I$1004,$AJ156)))</f>
        <v/>
      </c>
      <c r="Y156" s="25" t="str">
        <f aca="false">IF($AJ156=0,"",IF(INDEX(입력_측정!$J$5:$J$1004,$AJ156)="","",INDEX(입력_측정!$J$5:$J$1004,$AJ156)))</f>
        <v/>
      </c>
      <c r="Z156" s="25" t="str">
        <f aca="false">IF(OR(X156="긴급",LEFT(Y156,2)="긴급",W156="필요",W156="완료"),"대상","")</f>
        <v/>
      </c>
      <c r="AA156" s="59" t="str">
        <f aca="false">IF(M156&lt;&gt;"",M156,IF(AK156&gt;0,IF(W156="필요","추가상담 대기","완료"),IF(AJ156&gt;0,"결과상담 대기",IF(AI156&gt;0,"측정 대기","미방문"))))</f>
        <v>미방문</v>
      </c>
      <c r="AB156" s="60" t="str">
        <f aca="false">IF($AI156=0,"",IF(INDEX(입력_운동!$A$5:$A$1004,$AI156)="","",INDEX(입력_운동!$A$5:$A$1004,$AI156)))</f>
        <v/>
      </c>
      <c r="AC156" s="60" t="str">
        <f aca="false">IF($AJ156=0,"",IF(INDEX(입력_측정!$A$5:$A$1004,$AJ156)="","",INDEX(입력_측정!$A$5:$A$1004,$AJ156)))</f>
        <v/>
      </c>
      <c r="AD156" s="60" t="str">
        <f aca="false">IF($AK156=0,"",IF(INDEX(입력_상담!$A$5:$A$1004,$AK156)="","",INDEX(입력_상담!$A$5:$A$1004,$AK156)))</f>
        <v/>
      </c>
      <c r="AE156" s="25" t="str">
        <f aca="false">IF(AND(ISNUMBER(AB156),ISNUMBER(AC156)),IF(AC156&gt;=AB156,ROUND((AC156-AB156)*1440,0),""),"")</f>
        <v/>
      </c>
      <c r="AF156" s="25" t="str">
        <f aca="false">IF(AND(ISNUMBER(AC156),ISNUMBER(AD156)),IF(AD156&gt;=AC156,ROUND((AD156-AC156)*1440,0),""),"")</f>
        <v/>
      </c>
      <c r="AG156" s="25" t="str">
        <f aca="false">IF(AND(AA156="완료",ISNUMBER(AB156),ISNUMBER(AD156)),IF(AD156&gt;=AB156,ROUND((AD156-AB156)*1440,0),""),"")</f>
        <v/>
      </c>
      <c r="AH156" s="61" t="str">
        <f aca="false">IF(AND(AK156&gt;0,AJ156=0),"측정 기록 없음",IF(AND(AJ156&gt;0,AI156=0),"운동평가 기록 없음",IF(OR(COUNTIF(입력_운동!$B$5:$B$1004,$A156)&gt;1,COUNTIF(입력_측정!$B$5:$B$1004,$A156)&gt;1),"중복 입력","")))</f>
        <v/>
      </c>
      <c r="AI156" s="62" t="n">
        <f aca="false">SUMPRODUCT(MAX((입력_운동!$B$5:$B$1004=$A156)*(ROW(입력_운동!$B$5:$B$1004)-4)))</f>
        <v>0</v>
      </c>
      <c r="AJ156" s="62" t="n">
        <f aca="false">SUMPRODUCT(MAX((입력_측정!$B$5:$B$1004=$A156)*(ROW(입력_측정!$B$5:$B$1004)-4)))</f>
        <v>0</v>
      </c>
      <c r="AK156" s="62" t="n">
        <f aca="false">SUMPRODUCT(MAX((입력_상담!$B$5:$B$1004=$A156)*(ROW(입력_상담!$B$5:$B$1004)-4)))</f>
        <v>0</v>
      </c>
    </row>
    <row r="157" customFormat="false" ht="15" hidden="false" customHeight="false" outlineLevel="0" collapsed="false">
      <c r="A157" s="55" t="n">
        <v>153</v>
      </c>
      <c r="B157" s="56"/>
      <c r="C157" s="24"/>
      <c r="D157" s="24"/>
      <c r="E157" s="56"/>
      <c r="F157" s="57"/>
      <c r="G157" s="58"/>
      <c r="H157" s="56"/>
      <c r="I157" s="24"/>
      <c r="J157" s="24"/>
      <c r="K157" s="24"/>
      <c r="L157" s="24"/>
      <c r="M157" s="24"/>
      <c r="N157" s="56"/>
      <c r="O157" s="25" t="str">
        <f aca="false">IF($AI157=0,"",IF(INDEX(입력_운동!$C$5:$C$1004,$AI157)="","",INDEX(입력_운동!$C$5:$C$1004,$AI157)))</f>
        <v/>
      </c>
      <c r="P157" s="25" t="str">
        <f aca="false">IF($AI157=0,"",IF(INDEX(입력_운동!$D$5:$D$1004,$AI157)="","",INDEX(입력_운동!$D$5:$D$1004,$AI157)))</f>
        <v/>
      </c>
      <c r="Q157" s="25" t="str">
        <f aca="false">IF($AI157=0,"",IF(INDEX(입력_운동!$E$5:$E$1004,$AI157)="","",INDEX(입력_운동!$E$5:$E$1004,$AI157)))</f>
        <v/>
      </c>
      <c r="R157" s="25" t="str">
        <f aca="false">IF($AI157=0,"",IF(INDEX(입력_운동!$F$5:$F$1004,$AI157)="","",INDEX(입력_운동!$F$5:$F$1004,$AI157)))</f>
        <v/>
      </c>
      <c r="S157" s="25" t="str">
        <f aca="false">IF($AJ157=0,"",IF(INDEX(입력_측정!$C$5:$C$1004,$AJ157)="","",INDEX(입력_측정!$C$5:$C$1004,$AJ157)))</f>
        <v/>
      </c>
      <c r="T157" s="25" t="str">
        <f aca="false">IF($AJ157=0,"",IF(INDEX(입력_측정!$D$5:$D$1004,$AJ157)="","",INDEX(입력_측정!$D$5:$D$1004,$AJ157)))</f>
        <v/>
      </c>
      <c r="U157" s="25" t="str">
        <f aca="false">IF($AJ157=0,"",IF(INDEX(입력_측정!$E$5:$E$1004,$AJ157)="","",INDEX(입력_측정!$E$5:$E$1004,$AJ157)))</f>
        <v/>
      </c>
      <c r="V157" s="25" t="str">
        <f aca="false">IF($AJ157=0,"",IF(INDEX(입력_측정!$F$5:$F$1004,$AJ157)="","",INDEX(입력_측정!$F$5:$F$1004,$AJ157)))</f>
        <v/>
      </c>
      <c r="W157" s="25" t="str">
        <f aca="false">IF($AK157=0,"",IF(INDEX(입력_상담!$D$5:$D$1004,$AK157)="","",INDEX(입력_상담!$D$5:$D$1004,$AK157)))</f>
        <v/>
      </c>
      <c r="X157" s="25" t="str">
        <f aca="false">IF($AJ157=0,"",IF(INDEX(입력_측정!$I$5:$I$1004,$AJ157)="","",INDEX(입력_측정!$I$5:$I$1004,$AJ157)))</f>
        <v/>
      </c>
      <c r="Y157" s="25" t="str">
        <f aca="false">IF($AJ157=0,"",IF(INDEX(입력_측정!$J$5:$J$1004,$AJ157)="","",INDEX(입력_측정!$J$5:$J$1004,$AJ157)))</f>
        <v/>
      </c>
      <c r="Z157" s="25" t="str">
        <f aca="false">IF(OR(X157="긴급",LEFT(Y157,2)="긴급",W157="필요",W157="완료"),"대상","")</f>
        <v/>
      </c>
      <c r="AA157" s="59" t="str">
        <f aca="false">IF(M157&lt;&gt;"",M157,IF(AK157&gt;0,IF(W157="필요","추가상담 대기","완료"),IF(AJ157&gt;0,"결과상담 대기",IF(AI157&gt;0,"측정 대기","미방문"))))</f>
        <v>미방문</v>
      </c>
      <c r="AB157" s="60" t="str">
        <f aca="false">IF($AI157=0,"",IF(INDEX(입력_운동!$A$5:$A$1004,$AI157)="","",INDEX(입력_운동!$A$5:$A$1004,$AI157)))</f>
        <v/>
      </c>
      <c r="AC157" s="60" t="str">
        <f aca="false">IF($AJ157=0,"",IF(INDEX(입력_측정!$A$5:$A$1004,$AJ157)="","",INDEX(입력_측정!$A$5:$A$1004,$AJ157)))</f>
        <v/>
      </c>
      <c r="AD157" s="60" t="str">
        <f aca="false">IF($AK157=0,"",IF(INDEX(입력_상담!$A$5:$A$1004,$AK157)="","",INDEX(입력_상담!$A$5:$A$1004,$AK157)))</f>
        <v/>
      </c>
      <c r="AE157" s="25" t="str">
        <f aca="false">IF(AND(ISNUMBER(AB157),ISNUMBER(AC157)),IF(AC157&gt;=AB157,ROUND((AC157-AB157)*1440,0),""),"")</f>
        <v/>
      </c>
      <c r="AF157" s="25" t="str">
        <f aca="false">IF(AND(ISNUMBER(AC157),ISNUMBER(AD157)),IF(AD157&gt;=AC157,ROUND((AD157-AC157)*1440,0),""),"")</f>
        <v/>
      </c>
      <c r="AG157" s="25" t="str">
        <f aca="false">IF(AND(AA157="완료",ISNUMBER(AB157),ISNUMBER(AD157)),IF(AD157&gt;=AB157,ROUND((AD157-AB157)*1440,0),""),"")</f>
        <v/>
      </c>
      <c r="AH157" s="61" t="str">
        <f aca="false">IF(AND(AK157&gt;0,AJ157=0),"측정 기록 없음",IF(AND(AJ157&gt;0,AI157=0),"운동평가 기록 없음",IF(OR(COUNTIF(입력_운동!$B$5:$B$1004,$A157)&gt;1,COUNTIF(입력_측정!$B$5:$B$1004,$A157)&gt;1),"중복 입력","")))</f>
        <v/>
      </c>
      <c r="AI157" s="62" t="n">
        <f aca="false">SUMPRODUCT(MAX((입력_운동!$B$5:$B$1004=$A157)*(ROW(입력_운동!$B$5:$B$1004)-4)))</f>
        <v>0</v>
      </c>
      <c r="AJ157" s="62" t="n">
        <f aca="false">SUMPRODUCT(MAX((입력_측정!$B$5:$B$1004=$A157)*(ROW(입력_측정!$B$5:$B$1004)-4)))</f>
        <v>0</v>
      </c>
      <c r="AK157" s="62" t="n">
        <f aca="false">SUMPRODUCT(MAX((입력_상담!$B$5:$B$1004=$A157)*(ROW(입력_상담!$B$5:$B$1004)-4)))</f>
        <v>0</v>
      </c>
    </row>
    <row r="158" customFormat="false" ht="15" hidden="false" customHeight="false" outlineLevel="0" collapsed="false">
      <c r="A158" s="55" t="n">
        <v>154</v>
      </c>
      <c r="B158" s="56"/>
      <c r="C158" s="24"/>
      <c r="D158" s="24"/>
      <c r="E158" s="56"/>
      <c r="F158" s="57"/>
      <c r="G158" s="58"/>
      <c r="H158" s="56"/>
      <c r="I158" s="24"/>
      <c r="J158" s="24"/>
      <c r="K158" s="24"/>
      <c r="L158" s="24"/>
      <c r="M158" s="24"/>
      <c r="N158" s="56"/>
      <c r="O158" s="25" t="str">
        <f aca="false">IF($AI158=0,"",IF(INDEX(입력_운동!$C$5:$C$1004,$AI158)="","",INDEX(입력_운동!$C$5:$C$1004,$AI158)))</f>
        <v/>
      </c>
      <c r="P158" s="25" t="str">
        <f aca="false">IF($AI158=0,"",IF(INDEX(입력_운동!$D$5:$D$1004,$AI158)="","",INDEX(입력_운동!$D$5:$D$1004,$AI158)))</f>
        <v/>
      </c>
      <c r="Q158" s="25" t="str">
        <f aca="false">IF($AI158=0,"",IF(INDEX(입력_운동!$E$5:$E$1004,$AI158)="","",INDEX(입력_운동!$E$5:$E$1004,$AI158)))</f>
        <v/>
      </c>
      <c r="R158" s="25" t="str">
        <f aca="false">IF($AI158=0,"",IF(INDEX(입력_운동!$F$5:$F$1004,$AI158)="","",INDEX(입력_운동!$F$5:$F$1004,$AI158)))</f>
        <v/>
      </c>
      <c r="S158" s="25" t="str">
        <f aca="false">IF($AJ158=0,"",IF(INDEX(입력_측정!$C$5:$C$1004,$AJ158)="","",INDEX(입력_측정!$C$5:$C$1004,$AJ158)))</f>
        <v/>
      </c>
      <c r="T158" s="25" t="str">
        <f aca="false">IF($AJ158=0,"",IF(INDEX(입력_측정!$D$5:$D$1004,$AJ158)="","",INDEX(입력_측정!$D$5:$D$1004,$AJ158)))</f>
        <v/>
      </c>
      <c r="U158" s="25" t="str">
        <f aca="false">IF($AJ158=0,"",IF(INDEX(입력_측정!$E$5:$E$1004,$AJ158)="","",INDEX(입력_측정!$E$5:$E$1004,$AJ158)))</f>
        <v/>
      </c>
      <c r="V158" s="25" t="str">
        <f aca="false">IF($AJ158=0,"",IF(INDEX(입력_측정!$F$5:$F$1004,$AJ158)="","",INDEX(입력_측정!$F$5:$F$1004,$AJ158)))</f>
        <v/>
      </c>
      <c r="W158" s="25" t="str">
        <f aca="false">IF($AK158=0,"",IF(INDEX(입력_상담!$D$5:$D$1004,$AK158)="","",INDEX(입력_상담!$D$5:$D$1004,$AK158)))</f>
        <v/>
      </c>
      <c r="X158" s="25" t="str">
        <f aca="false">IF($AJ158=0,"",IF(INDEX(입력_측정!$I$5:$I$1004,$AJ158)="","",INDEX(입력_측정!$I$5:$I$1004,$AJ158)))</f>
        <v/>
      </c>
      <c r="Y158" s="25" t="str">
        <f aca="false">IF($AJ158=0,"",IF(INDEX(입력_측정!$J$5:$J$1004,$AJ158)="","",INDEX(입력_측정!$J$5:$J$1004,$AJ158)))</f>
        <v/>
      </c>
      <c r="Z158" s="25" t="str">
        <f aca="false">IF(OR(X158="긴급",LEFT(Y158,2)="긴급",W158="필요",W158="완료"),"대상","")</f>
        <v/>
      </c>
      <c r="AA158" s="59" t="str">
        <f aca="false">IF(M158&lt;&gt;"",M158,IF(AK158&gt;0,IF(W158="필요","추가상담 대기","완료"),IF(AJ158&gt;0,"결과상담 대기",IF(AI158&gt;0,"측정 대기","미방문"))))</f>
        <v>미방문</v>
      </c>
      <c r="AB158" s="60" t="str">
        <f aca="false">IF($AI158=0,"",IF(INDEX(입력_운동!$A$5:$A$1004,$AI158)="","",INDEX(입력_운동!$A$5:$A$1004,$AI158)))</f>
        <v/>
      </c>
      <c r="AC158" s="60" t="str">
        <f aca="false">IF($AJ158=0,"",IF(INDEX(입력_측정!$A$5:$A$1004,$AJ158)="","",INDEX(입력_측정!$A$5:$A$1004,$AJ158)))</f>
        <v/>
      </c>
      <c r="AD158" s="60" t="str">
        <f aca="false">IF($AK158=0,"",IF(INDEX(입력_상담!$A$5:$A$1004,$AK158)="","",INDEX(입력_상담!$A$5:$A$1004,$AK158)))</f>
        <v/>
      </c>
      <c r="AE158" s="25" t="str">
        <f aca="false">IF(AND(ISNUMBER(AB158),ISNUMBER(AC158)),IF(AC158&gt;=AB158,ROUND((AC158-AB158)*1440,0),""),"")</f>
        <v/>
      </c>
      <c r="AF158" s="25" t="str">
        <f aca="false">IF(AND(ISNUMBER(AC158),ISNUMBER(AD158)),IF(AD158&gt;=AC158,ROUND((AD158-AC158)*1440,0),""),"")</f>
        <v/>
      </c>
      <c r="AG158" s="25" t="str">
        <f aca="false">IF(AND(AA158="완료",ISNUMBER(AB158),ISNUMBER(AD158)),IF(AD158&gt;=AB158,ROUND((AD158-AB158)*1440,0),""),"")</f>
        <v/>
      </c>
      <c r="AH158" s="61" t="str">
        <f aca="false">IF(AND(AK158&gt;0,AJ158=0),"측정 기록 없음",IF(AND(AJ158&gt;0,AI158=0),"운동평가 기록 없음",IF(OR(COUNTIF(입력_운동!$B$5:$B$1004,$A158)&gt;1,COUNTIF(입력_측정!$B$5:$B$1004,$A158)&gt;1),"중복 입력","")))</f>
        <v/>
      </c>
      <c r="AI158" s="62" t="n">
        <f aca="false">SUMPRODUCT(MAX((입력_운동!$B$5:$B$1004=$A158)*(ROW(입력_운동!$B$5:$B$1004)-4)))</f>
        <v>0</v>
      </c>
      <c r="AJ158" s="62" t="n">
        <f aca="false">SUMPRODUCT(MAX((입력_측정!$B$5:$B$1004=$A158)*(ROW(입력_측정!$B$5:$B$1004)-4)))</f>
        <v>0</v>
      </c>
      <c r="AK158" s="62" t="n">
        <f aca="false">SUMPRODUCT(MAX((입력_상담!$B$5:$B$1004=$A158)*(ROW(입력_상담!$B$5:$B$1004)-4)))</f>
        <v>0</v>
      </c>
    </row>
    <row r="159" customFormat="false" ht="15" hidden="false" customHeight="false" outlineLevel="0" collapsed="false">
      <c r="A159" s="55" t="n">
        <v>155</v>
      </c>
      <c r="B159" s="56"/>
      <c r="C159" s="24"/>
      <c r="D159" s="24"/>
      <c r="E159" s="56"/>
      <c r="F159" s="57"/>
      <c r="G159" s="58"/>
      <c r="H159" s="56"/>
      <c r="I159" s="24"/>
      <c r="J159" s="24"/>
      <c r="K159" s="24"/>
      <c r="L159" s="24"/>
      <c r="M159" s="24"/>
      <c r="N159" s="56"/>
      <c r="O159" s="25" t="str">
        <f aca="false">IF($AI159=0,"",IF(INDEX(입력_운동!$C$5:$C$1004,$AI159)="","",INDEX(입력_운동!$C$5:$C$1004,$AI159)))</f>
        <v/>
      </c>
      <c r="P159" s="25" t="str">
        <f aca="false">IF($AI159=0,"",IF(INDEX(입력_운동!$D$5:$D$1004,$AI159)="","",INDEX(입력_운동!$D$5:$D$1004,$AI159)))</f>
        <v/>
      </c>
      <c r="Q159" s="25" t="str">
        <f aca="false">IF($AI159=0,"",IF(INDEX(입력_운동!$E$5:$E$1004,$AI159)="","",INDEX(입력_운동!$E$5:$E$1004,$AI159)))</f>
        <v/>
      </c>
      <c r="R159" s="25" t="str">
        <f aca="false">IF($AI159=0,"",IF(INDEX(입력_운동!$F$5:$F$1004,$AI159)="","",INDEX(입력_운동!$F$5:$F$1004,$AI159)))</f>
        <v/>
      </c>
      <c r="S159" s="25" t="str">
        <f aca="false">IF($AJ159=0,"",IF(INDEX(입력_측정!$C$5:$C$1004,$AJ159)="","",INDEX(입력_측정!$C$5:$C$1004,$AJ159)))</f>
        <v/>
      </c>
      <c r="T159" s="25" t="str">
        <f aca="false">IF($AJ159=0,"",IF(INDEX(입력_측정!$D$5:$D$1004,$AJ159)="","",INDEX(입력_측정!$D$5:$D$1004,$AJ159)))</f>
        <v/>
      </c>
      <c r="U159" s="25" t="str">
        <f aca="false">IF($AJ159=0,"",IF(INDEX(입력_측정!$E$5:$E$1004,$AJ159)="","",INDEX(입력_측정!$E$5:$E$1004,$AJ159)))</f>
        <v/>
      </c>
      <c r="V159" s="25" t="str">
        <f aca="false">IF($AJ159=0,"",IF(INDEX(입력_측정!$F$5:$F$1004,$AJ159)="","",INDEX(입력_측정!$F$5:$F$1004,$AJ159)))</f>
        <v/>
      </c>
      <c r="W159" s="25" t="str">
        <f aca="false">IF($AK159=0,"",IF(INDEX(입력_상담!$D$5:$D$1004,$AK159)="","",INDEX(입력_상담!$D$5:$D$1004,$AK159)))</f>
        <v/>
      </c>
      <c r="X159" s="25" t="str">
        <f aca="false">IF($AJ159=0,"",IF(INDEX(입력_측정!$I$5:$I$1004,$AJ159)="","",INDEX(입력_측정!$I$5:$I$1004,$AJ159)))</f>
        <v/>
      </c>
      <c r="Y159" s="25" t="str">
        <f aca="false">IF($AJ159=0,"",IF(INDEX(입력_측정!$J$5:$J$1004,$AJ159)="","",INDEX(입력_측정!$J$5:$J$1004,$AJ159)))</f>
        <v/>
      </c>
      <c r="Z159" s="25" t="str">
        <f aca="false">IF(OR(X159="긴급",LEFT(Y159,2)="긴급",W159="필요",W159="완료"),"대상","")</f>
        <v/>
      </c>
      <c r="AA159" s="59" t="str">
        <f aca="false">IF(M159&lt;&gt;"",M159,IF(AK159&gt;0,IF(W159="필요","추가상담 대기","완료"),IF(AJ159&gt;0,"결과상담 대기",IF(AI159&gt;0,"측정 대기","미방문"))))</f>
        <v>미방문</v>
      </c>
      <c r="AB159" s="60" t="str">
        <f aca="false">IF($AI159=0,"",IF(INDEX(입력_운동!$A$5:$A$1004,$AI159)="","",INDEX(입력_운동!$A$5:$A$1004,$AI159)))</f>
        <v/>
      </c>
      <c r="AC159" s="60" t="str">
        <f aca="false">IF($AJ159=0,"",IF(INDEX(입력_측정!$A$5:$A$1004,$AJ159)="","",INDEX(입력_측정!$A$5:$A$1004,$AJ159)))</f>
        <v/>
      </c>
      <c r="AD159" s="60" t="str">
        <f aca="false">IF($AK159=0,"",IF(INDEX(입력_상담!$A$5:$A$1004,$AK159)="","",INDEX(입력_상담!$A$5:$A$1004,$AK159)))</f>
        <v/>
      </c>
      <c r="AE159" s="25" t="str">
        <f aca="false">IF(AND(ISNUMBER(AB159),ISNUMBER(AC159)),IF(AC159&gt;=AB159,ROUND((AC159-AB159)*1440,0),""),"")</f>
        <v/>
      </c>
      <c r="AF159" s="25" t="str">
        <f aca="false">IF(AND(ISNUMBER(AC159),ISNUMBER(AD159)),IF(AD159&gt;=AC159,ROUND((AD159-AC159)*1440,0),""),"")</f>
        <v/>
      </c>
      <c r="AG159" s="25" t="str">
        <f aca="false">IF(AND(AA159="완료",ISNUMBER(AB159),ISNUMBER(AD159)),IF(AD159&gt;=AB159,ROUND((AD159-AB159)*1440,0),""),"")</f>
        <v/>
      </c>
      <c r="AH159" s="61" t="str">
        <f aca="false">IF(AND(AK159&gt;0,AJ159=0),"측정 기록 없음",IF(AND(AJ159&gt;0,AI159=0),"운동평가 기록 없음",IF(OR(COUNTIF(입력_운동!$B$5:$B$1004,$A159)&gt;1,COUNTIF(입력_측정!$B$5:$B$1004,$A159)&gt;1),"중복 입력","")))</f>
        <v/>
      </c>
      <c r="AI159" s="62" t="n">
        <f aca="false">SUMPRODUCT(MAX((입력_운동!$B$5:$B$1004=$A159)*(ROW(입력_운동!$B$5:$B$1004)-4)))</f>
        <v>0</v>
      </c>
      <c r="AJ159" s="62" t="n">
        <f aca="false">SUMPRODUCT(MAX((입력_측정!$B$5:$B$1004=$A159)*(ROW(입력_측정!$B$5:$B$1004)-4)))</f>
        <v>0</v>
      </c>
      <c r="AK159" s="62" t="n">
        <f aca="false">SUMPRODUCT(MAX((입력_상담!$B$5:$B$1004=$A159)*(ROW(입력_상담!$B$5:$B$1004)-4)))</f>
        <v>0</v>
      </c>
    </row>
    <row r="160" customFormat="false" ht="15" hidden="false" customHeight="false" outlineLevel="0" collapsed="false">
      <c r="A160" s="55" t="n">
        <v>156</v>
      </c>
      <c r="B160" s="56"/>
      <c r="C160" s="24"/>
      <c r="D160" s="24"/>
      <c r="E160" s="56"/>
      <c r="F160" s="57"/>
      <c r="G160" s="58"/>
      <c r="H160" s="56"/>
      <c r="I160" s="24"/>
      <c r="J160" s="24"/>
      <c r="K160" s="24"/>
      <c r="L160" s="24"/>
      <c r="M160" s="24"/>
      <c r="N160" s="56"/>
      <c r="O160" s="25" t="str">
        <f aca="false">IF($AI160=0,"",IF(INDEX(입력_운동!$C$5:$C$1004,$AI160)="","",INDEX(입력_운동!$C$5:$C$1004,$AI160)))</f>
        <v/>
      </c>
      <c r="P160" s="25" t="str">
        <f aca="false">IF($AI160=0,"",IF(INDEX(입력_운동!$D$5:$D$1004,$AI160)="","",INDEX(입력_운동!$D$5:$D$1004,$AI160)))</f>
        <v/>
      </c>
      <c r="Q160" s="25" t="str">
        <f aca="false">IF($AI160=0,"",IF(INDEX(입력_운동!$E$5:$E$1004,$AI160)="","",INDEX(입력_운동!$E$5:$E$1004,$AI160)))</f>
        <v/>
      </c>
      <c r="R160" s="25" t="str">
        <f aca="false">IF($AI160=0,"",IF(INDEX(입력_운동!$F$5:$F$1004,$AI160)="","",INDEX(입력_운동!$F$5:$F$1004,$AI160)))</f>
        <v/>
      </c>
      <c r="S160" s="25" t="str">
        <f aca="false">IF($AJ160=0,"",IF(INDEX(입력_측정!$C$5:$C$1004,$AJ160)="","",INDEX(입력_측정!$C$5:$C$1004,$AJ160)))</f>
        <v/>
      </c>
      <c r="T160" s="25" t="str">
        <f aca="false">IF($AJ160=0,"",IF(INDEX(입력_측정!$D$5:$D$1004,$AJ160)="","",INDEX(입력_측정!$D$5:$D$1004,$AJ160)))</f>
        <v/>
      </c>
      <c r="U160" s="25" t="str">
        <f aca="false">IF($AJ160=0,"",IF(INDEX(입력_측정!$E$5:$E$1004,$AJ160)="","",INDEX(입력_측정!$E$5:$E$1004,$AJ160)))</f>
        <v/>
      </c>
      <c r="V160" s="25" t="str">
        <f aca="false">IF($AJ160=0,"",IF(INDEX(입력_측정!$F$5:$F$1004,$AJ160)="","",INDEX(입력_측정!$F$5:$F$1004,$AJ160)))</f>
        <v/>
      </c>
      <c r="W160" s="25" t="str">
        <f aca="false">IF($AK160=0,"",IF(INDEX(입력_상담!$D$5:$D$1004,$AK160)="","",INDEX(입력_상담!$D$5:$D$1004,$AK160)))</f>
        <v/>
      </c>
      <c r="X160" s="25" t="str">
        <f aca="false">IF($AJ160=0,"",IF(INDEX(입력_측정!$I$5:$I$1004,$AJ160)="","",INDEX(입력_측정!$I$5:$I$1004,$AJ160)))</f>
        <v/>
      </c>
      <c r="Y160" s="25" t="str">
        <f aca="false">IF($AJ160=0,"",IF(INDEX(입력_측정!$J$5:$J$1004,$AJ160)="","",INDEX(입력_측정!$J$5:$J$1004,$AJ160)))</f>
        <v/>
      </c>
      <c r="Z160" s="25" t="str">
        <f aca="false">IF(OR(X160="긴급",LEFT(Y160,2)="긴급",W160="필요",W160="완료"),"대상","")</f>
        <v/>
      </c>
      <c r="AA160" s="59" t="str">
        <f aca="false">IF(M160&lt;&gt;"",M160,IF(AK160&gt;0,IF(W160="필요","추가상담 대기","완료"),IF(AJ160&gt;0,"결과상담 대기",IF(AI160&gt;0,"측정 대기","미방문"))))</f>
        <v>미방문</v>
      </c>
      <c r="AB160" s="60" t="str">
        <f aca="false">IF($AI160=0,"",IF(INDEX(입력_운동!$A$5:$A$1004,$AI160)="","",INDEX(입력_운동!$A$5:$A$1004,$AI160)))</f>
        <v/>
      </c>
      <c r="AC160" s="60" t="str">
        <f aca="false">IF($AJ160=0,"",IF(INDEX(입력_측정!$A$5:$A$1004,$AJ160)="","",INDEX(입력_측정!$A$5:$A$1004,$AJ160)))</f>
        <v/>
      </c>
      <c r="AD160" s="60" t="str">
        <f aca="false">IF($AK160=0,"",IF(INDEX(입력_상담!$A$5:$A$1004,$AK160)="","",INDEX(입력_상담!$A$5:$A$1004,$AK160)))</f>
        <v/>
      </c>
      <c r="AE160" s="25" t="str">
        <f aca="false">IF(AND(ISNUMBER(AB160),ISNUMBER(AC160)),IF(AC160&gt;=AB160,ROUND((AC160-AB160)*1440,0),""),"")</f>
        <v/>
      </c>
      <c r="AF160" s="25" t="str">
        <f aca="false">IF(AND(ISNUMBER(AC160),ISNUMBER(AD160)),IF(AD160&gt;=AC160,ROUND((AD160-AC160)*1440,0),""),"")</f>
        <v/>
      </c>
      <c r="AG160" s="25" t="str">
        <f aca="false">IF(AND(AA160="완료",ISNUMBER(AB160),ISNUMBER(AD160)),IF(AD160&gt;=AB160,ROUND((AD160-AB160)*1440,0),""),"")</f>
        <v/>
      </c>
      <c r="AH160" s="61" t="str">
        <f aca="false">IF(AND(AK160&gt;0,AJ160=0),"측정 기록 없음",IF(AND(AJ160&gt;0,AI160=0),"운동평가 기록 없음",IF(OR(COUNTIF(입력_운동!$B$5:$B$1004,$A160)&gt;1,COUNTIF(입력_측정!$B$5:$B$1004,$A160)&gt;1),"중복 입력","")))</f>
        <v/>
      </c>
      <c r="AI160" s="62" t="n">
        <f aca="false">SUMPRODUCT(MAX((입력_운동!$B$5:$B$1004=$A160)*(ROW(입력_운동!$B$5:$B$1004)-4)))</f>
        <v>0</v>
      </c>
      <c r="AJ160" s="62" t="n">
        <f aca="false">SUMPRODUCT(MAX((입력_측정!$B$5:$B$1004=$A160)*(ROW(입력_측정!$B$5:$B$1004)-4)))</f>
        <v>0</v>
      </c>
      <c r="AK160" s="62" t="n">
        <f aca="false">SUMPRODUCT(MAX((입력_상담!$B$5:$B$1004=$A160)*(ROW(입력_상담!$B$5:$B$1004)-4)))</f>
        <v>0</v>
      </c>
    </row>
    <row r="161" customFormat="false" ht="15" hidden="false" customHeight="false" outlineLevel="0" collapsed="false">
      <c r="A161" s="55" t="n">
        <v>157</v>
      </c>
      <c r="B161" s="56"/>
      <c r="C161" s="24"/>
      <c r="D161" s="24"/>
      <c r="E161" s="56"/>
      <c r="F161" s="57"/>
      <c r="G161" s="58"/>
      <c r="H161" s="56"/>
      <c r="I161" s="24"/>
      <c r="J161" s="24"/>
      <c r="K161" s="24"/>
      <c r="L161" s="24"/>
      <c r="M161" s="24"/>
      <c r="N161" s="56"/>
      <c r="O161" s="25" t="str">
        <f aca="false">IF($AI161=0,"",IF(INDEX(입력_운동!$C$5:$C$1004,$AI161)="","",INDEX(입력_운동!$C$5:$C$1004,$AI161)))</f>
        <v/>
      </c>
      <c r="P161" s="25" t="str">
        <f aca="false">IF($AI161=0,"",IF(INDEX(입력_운동!$D$5:$D$1004,$AI161)="","",INDEX(입력_운동!$D$5:$D$1004,$AI161)))</f>
        <v/>
      </c>
      <c r="Q161" s="25" t="str">
        <f aca="false">IF($AI161=0,"",IF(INDEX(입력_운동!$E$5:$E$1004,$AI161)="","",INDEX(입력_운동!$E$5:$E$1004,$AI161)))</f>
        <v/>
      </c>
      <c r="R161" s="25" t="str">
        <f aca="false">IF($AI161=0,"",IF(INDEX(입력_운동!$F$5:$F$1004,$AI161)="","",INDEX(입력_운동!$F$5:$F$1004,$AI161)))</f>
        <v/>
      </c>
      <c r="S161" s="25" t="str">
        <f aca="false">IF($AJ161=0,"",IF(INDEX(입력_측정!$C$5:$C$1004,$AJ161)="","",INDEX(입력_측정!$C$5:$C$1004,$AJ161)))</f>
        <v/>
      </c>
      <c r="T161" s="25" t="str">
        <f aca="false">IF($AJ161=0,"",IF(INDEX(입력_측정!$D$5:$D$1004,$AJ161)="","",INDEX(입력_측정!$D$5:$D$1004,$AJ161)))</f>
        <v/>
      </c>
      <c r="U161" s="25" t="str">
        <f aca="false">IF($AJ161=0,"",IF(INDEX(입력_측정!$E$5:$E$1004,$AJ161)="","",INDEX(입력_측정!$E$5:$E$1004,$AJ161)))</f>
        <v/>
      </c>
      <c r="V161" s="25" t="str">
        <f aca="false">IF($AJ161=0,"",IF(INDEX(입력_측정!$F$5:$F$1004,$AJ161)="","",INDEX(입력_측정!$F$5:$F$1004,$AJ161)))</f>
        <v/>
      </c>
      <c r="W161" s="25" t="str">
        <f aca="false">IF($AK161=0,"",IF(INDEX(입력_상담!$D$5:$D$1004,$AK161)="","",INDEX(입력_상담!$D$5:$D$1004,$AK161)))</f>
        <v/>
      </c>
      <c r="X161" s="25" t="str">
        <f aca="false">IF($AJ161=0,"",IF(INDEX(입력_측정!$I$5:$I$1004,$AJ161)="","",INDEX(입력_측정!$I$5:$I$1004,$AJ161)))</f>
        <v/>
      </c>
      <c r="Y161" s="25" t="str">
        <f aca="false">IF($AJ161=0,"",IF(INDEX(입력_측정!$J$5:$J$1004,$AJ161)="","",INDEX(입력_측정!$J$5:$J$1004,$AJ161)))</f>
        <v/>
      </c>
      <c r="Z161" s="25" t="str">
        <f aca="false">IF(OR(X161="긴급",LEFT(Y161,2)="긴급",W161="필요",W161="완료"),"대상","")</f>
        <v/>
      </c>
      <c r="AA161" s="59" t="str">
        <f aca="false">IF(M161&lt;&gt;"",M161,IF(AK161&gt;0,IF(W161="필요","추가상담 대기","완료"),IF(AJ161&gt;0,"결과상담 대기",IF(AI161&gt;0,"측정 대기","미방문"))))</f>
        <v>미방문</v>
      </c>
      <c r="AB161" s="60" t="str">
        <f aca="false">IF($AI161=0,"",IF(INDEX(입력_운동!$A$5:$A$1004,$AI161)="","",INDEX(입력_운동!$A$5:$A$1004,$AI161)))</f>
        <v/>
      </c>
      <c r="AC161" s="60" t="str">
        <f aca="false">IF($AJ161=0,"",IF(INDEX(입력_측정!$A$5:$A$1004,$AJ161)="","",INDEX(입력_측정!$A$5:$A$1004,$AJ161)))</f>
        <v/>
      </c>
      <c r="AD161" s="60" t="str">
        <f aca="false">IF($AK161=0,"",IF(INDEX(입력_상담!$A$5:$A$1004,$AK161)="","",INDEX(입력_상담!$A$5:$A$1004,$AK161)))</f>
        <v/>
      </c>
      <c r="AE161" s="25" t="str">
        <f aca="false">IF(AND(ISNUMBER(AB161),ISNUMBER(AC161)),IF(AC161&gt;=AB161,ROUND((AC161-AB161)*1440,0),""),"")</f>
        <v/>
      </c>
      <c r="AF161" s="25" t="str">
        <f aca="false">IF(AND(ISNUMBER(AC161),ISNUMBER(AD161)),IF(AD161&gt;=AC161,ROUND((AD161-AC161)*1440,0),""),"")</f>
        <v/>
      </c>
      <c r="AG161" s="25" t="str">
        <f aca="false">IF(AND(AA161="완료",ISNUMBER(AB161),ISNUMBER(AD161)),IF(AD161&gt;=AB161,ROUND((AD161-AB161)*1440,0),""),"")</f>
        <v/>
      </c>
      <c r="AH161" s="61" t="str">
        <f aca="false">IF(AND(AK161&gt;0,AJ161=0),"측정 기록 없음",IF(AND(AJ161&gt;0,AI161=0),"운동평가 기록 없음",IF(OR(COUNTIF(입력_운동!$B$5:$B$1004,$A161)&gt;1,COUNTIF(입력_측정!$B$5:$B$1004,$A161)&gt;1),"중복 입력","")))</f>
        <v/>
      </c>
      <c r="AI161" s="62" t="n">
        <f aca="false">SUMPRODUCT(MAX((입력_운동!$B$5:$B$1004=$A161)*(ROW(입력_운동!$B$5:$B$1004)-4)))</f>
        <v>0</v>
      </c>
      <c r="AJ161" s="62" t="n">
        <f aca="false">SUMPRODUCT(MAX((입력_측정!$B$5:$B$1004=$A161)*(ROW(입력_측정!$B$5:$B$1004)-4)))</f>
        <v>0</v>
      </c>
      <c r="AK161" s="62" t="n">
        <f aca="false">SUMPRODUCT(MAX((입력_상담!$B$5:$B$1004=$A161)*(ROW(입력_상담!$B$5:$B$1004)-4)))</f>
        <v>0</v>
      </c>
    </row>
    <row r="162" customFormat="false" ht="15" hidden="false" customHeight="false" outlineLevel="0" collapsed="false">
      <c r="A162" s="55" t="n">
        <v>158</v>
      </c>
      <c r="B162" s="56"/>
      <c r="C162" s="24"/>
      <c r="D162" s="24"/>
      <c r="E162" s="56"/>
      <c r="F162" s="57"/>
      <c r="G162" s="58"/>
      <c r="H162" s="56"/>
      <c r="I162" s="24"/>
      <c r="J162" s="24"/>
      <c r="K162" s="24"/>
      <c r="L162" s="24"/>
      <c r="M162" s="24"/>
      <c r="N162" s="56"/>
      <c r="O162" s="25" t="str">
        <f aca="false">IF($AI162=0,"",IF(INDEX(입력_운동!$C$5:$C$1004,$AI162)="","",INDEX(입력_운동!$C$5:$C$1004,$AI162)))</f>
        <v/>
      </c>
      <c r="P162" s="25" t="str">
        <f aca="false">IF($AI162=0,"",IF(INDEX(입력_운동!$D$5:$D$1004,$AI162)="","",INDEX(입력_운동!$D$5:$D$1004,$AI162)))</f>
        <v/>
      </c>
      <c r="Q162" s="25" t="str">
        <f aca="false">IF($AI162=0,"",IF(INDEX(입력_운동!$E$5:$E$1004,$AI162)="","",INDEX(입력_운동!$E$5:$E$1004,$AI162)))</f>
        <v/>
      </c>
      <c r="R162" s="25" t="str">
        <f aca="false">IF($AI162=0,"",IF(INDEX(입력_운동!$F$5:$F$1004,$AI162)="","",INDEX(입력_운동!$F$5:$F$1004,$AI162)))</f>
        <v/>
      </c>
      <c r="S162" s="25" t="str">
        <f aca="false">IF($AJ162=0,"",IF(INDEX(입력_측정!$C$5:$C$1004,$AJ162)="","",INDEX(입력_측정!$C$5:$C$1004,$AJ162)))</f>
        <v/>
      </c>
      <c r="T162" s="25" t="str">
        <f aca="false">IF($AJ162=0,"",IF(INDEX(입력_측정!$D$5:$D$1004,$AJ162)="","",INDEX(입력_측정!$D$5:$D$1004,$AJ162)))</f>
        <v/>
      </c>
      <c r="U162" s="25" t="str">
        <f aca="false">IF($AJ162=0,"",IF(INDEX(입력_측정!$E$5:$E$1004,$AJ162)="","",INDEX(입력_측정!$E$5:$E$1004,$AJ162)))</f>
        <v/>
      </c>
      <c r="V162" s="25" t="str">
        <f aca="false">IF($AJ162=0,"",IF(INDEX(입력_측정!$F$5:$F$1004,$AJ162)="","",INDEX(입력_측정!$F$5:$F$1004,$AJ162)))</f>
        <v/>
      </c>
      <c r="W162" s="25" t="str">
        <f aca="false">IF($AK162=0,"",IF(INDEX(입력_상담!$D$5:$D$1004,$AK162)="","",INDEX(입력_상담!$D$5:$D$1004,$AK162)))</f>
        <v/>
      </c>
      <c r="X162" s="25" t="str">
        <f aca="false">IF($AJ162=0,"",IF(INDEX(입력_측정!$I$5:$I$1004,$AJ162)="","",INDEX(입력_측정!$I$5:$I$1004,$AJ162)))</f>
        <v/>
      </c>
      <c r="Y162" s="25" t="str">
        <f aca="false">IF($AJ162=0,"",IF(INDEX(입력_측정!$J$5:$J$1004,$AJ162)="","",INDEX(입력_측정!$J$5:$J$1004,$AJ162)))</f>
        <v/>
      </c>
      <c r="Z162" s="25" t="str">
        <f aca="false">IF(OR(X162="긴급",LEFT(Y162,2)="긴급",W162="필요",W162="완료"),"대상","")</f>
        <v/>
      </c>
      <c r="AA162" s="59" t="str">
        <f aca="false">IF(M162&lt;&gt;"",M162,IF(AK162&gt;0,IF(W162="필요","추가상담 대기","완료"),IF(AJ162&gt;0,"결과상담 대기",IF(AI162&gt;0,"측정 대기","미방문"))))</f>
        <v>미방문</v>
      </c>
      <c r="AB162" s="60" t="str">
        <f aca="false">IF($AI162=0,"",IF(INDEX(입력_운동!$A$5:$A$1004,$AI162)="","",INDEX(입력_운동!$A$5:$A$1004,$AI162)))</f>
        <v/>
      </c>
      <c r="AC162" s="60" t="str">
        <f aca="false">IF($AJ162=0,"",IF(INDEX(입력_측정!$A$5:$A$1004,$AJ162)="","",INDEX(입력_측정!$A$5:$A$1004,$AJ162)))</f>
        <v/>
      </c>
      <c r="AD162" s="60" t="str">
        <f aca="false">IF($AK162=0,"",IF(INDEX(입력_상담!$A$5:$A$1004,$AK162)="","",INDEX(입력_상담!$A$5:$A$1004,$AK162)))</f>
        <v/>
      </c>
      <c r="AE162" s="25" t="str">
        <f aca="false">IF(AND(ISNUMBER(AB162),ISNUMBER(AC162)),IF(AC162&gt;=AB162,ROUND((AC162-AB162)*1440,0),""),"")</f>
        <v/>
      </c>
      <c r="AF162" s="25" t="str">
        <f aca="false">IF(AND(ISNUMBER(AC162),ISNUMBER(AD162)),IF(AD162&gt;=AC162,ROUND((AD162-AC162)*1440,0),""),"")</f>
        <v/>
      </c>
      <c r="AG162" s="25" t="str">
        <f aca="false">IF(AND(AA162="완료",ISNUMBER(AB162),ISNUMBER(AD162)),IF(AD162&gt;=AB162,ROUND((AD162-AB162)*1440,0),""),"")</f>
        <v/>
      </c>
      <c r="AH162" s="61" t="str">
        <f aca="false">IF(AND(AK162&gt;0,AJ162=0),"측정 기록 없음",IF(AND(AJ162&gt;0,AI162=0),"운동평가 기록 없음",IF(OR(COUNTIF(입력_운동!$B$5:$B$1004,$A162)&gt;1,COUNTIF(입력_측정!$B$5:$B$1004,$A162)&gt;1),"중복 입력","")))</f>
        <v/>
      </c>
      <c r="AI162" s="62" t="n">
        <f aca="false">SUMPRODUCT(MAX((입력_운동!$B$5:$B$1004=$A162)*(ROW(입력_운동!$B$5:$B$1004)-4)))</f>
        <v>0</v>
      </c>
      <c r="AJ162" s="62" t="n">
        <f aca="false">SUMPRODUCT(MAX((입력_측정!$B$5:$B$1004=$A162)*(ROW(입력_측정!$B$5:$B$1004)-4)))</f>
        <v>0</v>
      </c>
      <c r="AK162" s="62" t="n">
        <f aca="false">SUMPRODUCT(MAX((입력_상담!$B$5:$B$1004=$A162)*(ROW(입력_상담!$B$5:$B$1004)-4)))</f>
        <v>0</v>
      </c>
    </row>
    <row r="163" customFormat="false" ht="15" hidden="false" customHeight="false" outlineLevel="0" collapsed="false">
      <c r="A163" s="55" t="n">
        <v>159</v>
      </c>
      <c r="B163" s="56"/>
      <c r="C163" s="24"/>
      <c r="D163" s="24"/>
      <c r="E163" s="56"/>
      <c r="F163" s="57"/>
      <c r="G163" s="58"/>
      <c r="H163" s="56"/>
      <c r="I163" s="24"/>
      <c r="J163" s="24"/>
      <c r="K163" s="24"/>
      <c r="L163" s="24"/>
      <c r="M163" s="24"/>
      <c r="N163" s="56"/>
      <c r="O163" s="25" t="str">
        <f aca="false">IF($AI163=0,"",IF(INDEX(입력_운동!$C$5:$C$1004,$AI163)="","",INDEX(입력_운동!$C$5:$C$1004,$AI163)))</f>
        <v/>
      </c>
      <c r="P163" s="25" t="str">
        <f aca="false">IF($AI163=0,"",IF(INDEX(입력_운동!$D$5:$D$1004,$AI163)="","",INDEX(입력_운동!$D$5:$D$1004,$AI163)))</f>
        <v/>
      </c>
      <c r="Q163" s="25" t="str">
        <f aca="false">IF($AI163=0,"",IF(INDEX(입력_운동!$E$5:$E$1004,$AI163)="","",INDEX(입력_운동!$E$5:$E$1004,$AI163)))</f>
        <v/>
      </c>
      <c r="R163" s="25" t="str">
        <f aca="false">IF($AI163=0,"",IF(INDEX(입력_운동!$F$5:$F$1004,$AI163)="","",INDEX(입력_운동!$F$5:$F$1004,$AI163)))</f>
        <v/>
      </c>
      <c r="S163" s="25" t="str">
        <f aca="false">IF($AJ163=0,"",IF(INDEX(입력_측정!$C$5:$C$1004,$AJ163)="","",INDEX(입력_측정!$C$5:$C$1004,$AJ163)))</f>
        <v/>
      </c>
      <c r="T163" s="25" t="str">
        <f aca="false">IF($AJ163=0,"",IF(INDEX(입력_측정!$D$5:$D$1004,$AJ163)="","",INDEX(입력_측정!$D$5:$D$1004,$AJ163)))</f>
        <v/>
      </c>
      <c r="U163" s="25" t="str">
        <f aca="false">IF($AJ163=0,"",IF(INDEX(입력_측정!$E$5:$E$1004,$AJ163)="","",INDEX(입력_측정!$E$5:$E$1004,$AJ163)))</f>
        <v/>
      </c>
      <c r="V163" s="25" t="str">
        <f aca="false">IF($AJ163=0,"",IF(INDEX(입력_측정!$F$5:$F$1004,$AJ163)="","",INDEX(입력_측정!$F$5:$F$1004,$AJ163)))</f>
        <v/>
      </c>
      <c r="W163" s="25" t="str">
        <f aca="false">IF($AK163=0,"",IF(INDEX(입력_상담!$D$5:$D$1004,$AK163)="","",INDEX(입력_상담!$D$5:$D$1004,$AK163)))</f>
        <v/>
      </c>
      <c r="X163" s="25" t="str">
        <f aca="false">IF($AJ163=0,"",IF(INDEX(입력_측정!$I$5:$I$1004,$AJ163)="","",INDEX(입력_측정!$I$5:$I$1004,$AJ163)))</f>
        <v/>
      </c>
      <c r="Y163" s="25" t="str">
        <f aca="false">IF($AJ163=0,"",IF(INDEX(입력_측정!$J$5:$J$1004,$AJ163)="","",INDEX(입력_측정!$J$5:$J$1004,$AJ163)))</f>
        <v/>
      </c>
      <c r="Z163" s="25" t="str">
        <f aca="false">IF(OR(X163="긴급",LEFT(Y163,2)="긴급",W163="필요",W163="완료"),"대상","")</f>
        <v/>
      </c>
      <c r="AA163" s="59" t="str">
        <f aca="false">IF(M163&lt;&gt;"",M163,IF(AK163&gt;0,IF(W163="필요","추가상담 대기","완료"),IF(AJ163&gt;0,"결과상담 대기",IF(AI163&gt;0,"측정 대기","미방문"))))</f>
        <v>미방문</v>
      </c>
      <c r="AB163" s="60" t="str">
        <f aca="false">IF($AI163=0,"",IF(INDEX(입력_운동!$A$5:$A$1004,$AI163)="","",INDEX(입력_운동!$A$5:$A$1004,$AI163)))</f>
        <v/>
      </c>
      <c r="AC163" s="60" t="str">
        <f aca="false">IF($AJ163=0,"",IF(INDEX(입력_측정!$A$5:$A$1004,$AJ163)="","",INDEX(입력_측정!$A$5:$A$1004,$AJ163)))</f>
        <v/>
      </c>
      <c r="AD163" s="60" t="str">
        <f aca="false">IF($AK163=0,"",IF(INDEX(입력_상담!$A$5:$A$1004,$AK163)="","",INDEX(입력_상담!$A$5:$A$1004,$AK163)))</f>
        <v/>
      </c>
      <c r="AE163" s="25" t="str">
        <f aca="false">IF(AND(ISNUMBER(AB163),ISNUMBER(AC163)),IF(AC163&gt;=AB163,ROUND((AC163-AB163)*1440,0),""),"")</f>
        <v/>
      </c>
      <c r="AF163" s="25" t="str">
        <f aca="false">IF(AND(ISNUMBER(AC163),ISNUMBER(AD163)),IF(AD163&gt;=AC163,ROUND((AD163-AC163)*1440,0),""),"")</f>
        <v/>
      </c>
      <c r="AG163" s="25" t="str">
        <f aca="false">IF(AND(AA163="완료",ISNUMBER(AB163),ISNUMBER(AD163)),IF(AD163&gt;=AB163,ROUND((AD163-AB163)*1440,0),""),"")</f>
        <v/>
      </c>
      <c r="AH163" s="61" t="str">
        <f aca="false">IF(AND(AK163&gt;0,AJ163=0),"측정 기록 없음",IF(AND(AJ163&gt;0,AI163=0),"운동평가 기록 없음",IF(OR(COUNTIF(입력_운동!$B$5:$B$1004,$A163)&gt;1,COUNTIF(입력_측정!$B$5:$B$1004,$A163)&gt;1),"중복 입력","")))</f>
        <v/>
      </c>
      <c r="AI163" s="62" t="n">
        <f aca="false">SUMPRODUCT(MAX((입력_운동!$B$5:$B$1004=$A163)*(ROW(입력_운동!$B$5:$B$1004)-4)))</f>
        <v>0</v>
      </c>
      <c r="AJ163" s="62" t="n">
        <f aca="false">SUMPRODUCT(MAX((입력_측정!$B$5:$B$1004=$A163)*(ROW(입력_측정!$B$5:$B$1004)-4)))</f>
        <v>0</v>
      </c>
      <c r="AK163" s="62" t="n">
        <f aca="false">SUMPRODUCT(MAX((입력_상담!$B$5:$B$1004=$A163)*(ROW(입력_상담!$B$5:$B$1004)-4)))</f>
        <v>0</v>
      </c>
    </row>
    <row r="164" customFormat="false" ht="15" hidden="false" customHeight="false" outlineLevel="0" collapsed="false">
      <c r="A164" s="55" t="n">
        <v>160</v>
      </c>
      <c r="B164" s="56"/>
      <c r="C164" s="24"/>
      <c r="D164" s="24"/>
      <c r="E164" s="56"/>
      <c r="F164" s="57"/>
      <c r="G164" s="58"/>
      <c r="H164" s="56"/>
      <c r="I164" s="24"/>
      <c r="J164" s="24"/>
      <c r="K164" s="24"/>
      <c r="L164" s="24"/>
      <c r="M164" s="24"/>
      <c r="N164" s="56"/>
      <c r="O164" s="25" t="str">
        <f aca="false">IF($AI164=0,"",IF(INDEX(입력_운동!$C$5:$C$1004,$AI164)="","",INDEX(입력_운동!$C$5:$C$1004,$AI164)))</f>
        <v/>
      </c>
      <c r="P164" s="25" t="str">
        <f aca="false">IF($AI164=0,"",IF(INDEX(입력_운동!$D$5:$D$1004,$AI164)="","",INDEX(입력_운동!$D$5:$D$1004,$AI164)))</f>
        <v/>
      </c>
      <c r="Q164" s="25" t="str">
        <f aca="false">IF($AI164=0,"",IF(INDEX(입력_운동!$E$5:$E$1004,$AI164)="","",INDEX(입력_운동!$E$5:$E$1004,$AI164)))</f>
        <v/>
      </c>
      <c r="R164" s="25" t="str">
        <f aca="false">IF($AI164=0,"",IF(INDEX(입력_운동!$F$5:$F$1004,$AI164)="","",INDEX(입력_운동!$F$5:$F$1004,$AI164)))</f>
        <v/>
      </c>
      <c r="S164" s="25" t="str">
        <f aca="false">IF($AJ164=0,"",IF(INDEX(입력_측정!$C$5:$C$1004,$AJ164)="","",INDEX(입력_측정!$C$5:$C$1004,$AJ164)))</f>
        <v/>
      </c>
      <c r="T164" s="25" t="str">
        <f aca="false">IF($AJ164=0,"",IF(INDEX(입력_측정!$D$5:$D$1004,$AJ164)="","",INDEX(입력_측정!$D$5:$D$1004,$AJ164)))</f>
        <v/>
      </c>
      <c r="U164" s="25" t="str">
        <f aca="false">IF($AJ164=0,"",IF(INDEX(입력_측정!$E$5:$E$1004,$AJ164)="","",INDEX(입력_측정!$E$5:$E$1004,$AJ164)))</f>
        <v/>
      </c>
      <c r="V164" s="25" t="str">
        <f aca="false">IF($AJ164=0,"",IF(INDEX(입력_측정!$F$5:$F$1004,$AJ164)="","",INDEX(입력_측정!$F$5:$F$1004,$AJ164)))</f>
        <v/>
      </c>
      <c r="W164" s="25" t="str">
        <f aca="false">IF($AK164=0,"",IF(INDEX(입력_상담!$D$5:$D$1004,$AK164)="","",INDEX(입력_상담!$D$5:$D$1004,$AK164)))</f>
        <v/>
      </c>
      <c r="X164" s="25" t="str">
        <f aca="false">IF($AJ164=0,"",IF(INDEX(입력_측정!$I$5:$I$1004,$AJ164)="","",INDEX(입력_측정!$I$5:$I$1004,$AJ164)))</f>
        <v/>
      </c>
      <c r="Y164" s="25" t="str">
        <f aca="false">IF($AJ164=0,"",IF(INDEX(입력_측정!$J$5:$J$1004,$AJ164)="","",INDEX(입력_측정!$J$5:$J$1004,$AJ164)))</f>
        <v/>
      </c>
      <c r="Z164" s="25" t="str">
        <f aca="false">IF(OR(X164="긴급",LEFT(Y164,2)="긴급",W164="필요",W164="완료"),"대상","")</f>
        <v/>
      </c>
      <c r="AA164" s="59" t="str">
        <f aca="false">IF(M164&lt;&gt;"",M164,IF(AK164&gt;0,IF(W164="필요","추가상담 대기","완료"),IF(AJ164&gt;0,"결과상담 대기",IF(AI164&gt;0,"측정 대기","미방문"))))</f>
        <v>미방문</v>
      </c>
      <c r="AB164" s="60" t="str">
        <f aca="false">IF($AI164=0,"",IF(INDEX(입력_운동!$A$5:$A$1004,$AI164)="","",INDEX(입력_운동!$A$5:$A$1004,$AI164)))</f>
        <v/>
      </c>
      <c r="AC164" s="60" t="str">
        <f aca="false">IF($AJ164=0,"",IF(INDEX(입력_측정!$A$5:$A$1004,$AJ164)="","",INDEX(입력_측정!$A$5:$A$1004,$AJ164)))</f>
        <v/>
      </c>
      <c r="AD164" s="60" t="str">
        <f aca="false">IF($AK164=0,"",IF(INDEX(입력_상담!$A$5:$A$1004,$AK164)="","",INDEX(입력_상담!$A$5:$A$1004,$AK164)))</f>
        <v/>
      </c>
      <c r="AE164" s="25" t="str">
        <f aca="false">IF(AND(ISNUMBER(AB164),ISNUMBER(AC164)),IF(AC164&gt;=AB164,ROUND((AC164-AB164)*1440,0),""),"")</f>
        <v/>
      </c>
      <c r="AF164" s="25" t="str">
        <f aca="false">IF(AND(ISNUMBER(AC164),ISNUMBER(AD164)),IF(AD164&gt;=AC164,ROUND((AD164-AC164)*1440,0),""),"")</f>
        <v/>
      </c>
      <c r="AG164" s="25" t="str">
        <f aca="false">IF(AND(AA164="완료",ISNUMBER(AB164),ISNUMBER(AD164)),IF(AD164&gt;=AB164,ROUND((AD164-AB164)*1440,0),""),"")</f>
        <v/>
      </c>
      <c r="AH164" s="61" t="str">
        <f aca="false">IF(AND(AK164&gt;0,AJ164=0),"측정 기록 없음",IF(AND(AJ164&gt;0,AI164=0),"운동평가 기록 없음",IF(OR(COUNTIF(입력_운동!$B$5:$B$1004,$A164)&gt;1,COUNTIF(입력_측정!$B$5:$B$1004,$A164)&gt;1),"중복 입력","")))</f>
        <v/>
      </c>
      <c r="AI164" s="62" t="n">
        <f aca="false">SUMPRODUCT(MAX((입력_운동!$B$5:$B$1004=$A164)*(ROW(입력_운동!$B$5:$B$1004)-4)))</f>
        <v>0</v>
      </c>
      <c r="AJ164" s="62" t="n">
        <f aca="false">SUMPRODUCT(MAX((입력_측정!$B$5:$B$1004=$A164)*(ROW(입력_측정!$B$5:$B$1004)-4)))</f>
        <v>0</v>
      </c>
      <c r="AK164" s="62" t="n">
        <f aca="false">SUMPRODUCT(MAX((입력_상담!$B$5:$B$1004=$A164)*(ROW(입력_상담!$B$5:$B$1004)-4)))</f>
        <v>0</v>
      </c>
    </row>
    <row r="165" customFormat="false" ht="15" hidden="false" customHeight="false" outlineLevel="0" collapsed="false">
      <c r="A165" s="55" t="n">
        <v>161</v>
      </c>
      <c r="B165" s="56"/>
      <c r="C165" s="24"/>
      <c r="D165" s="24"/>
      <c r="E165" s="56"/>
      <c r="F165" s="57"/>
      <c r="G165" s="58"/>
      <c r="H165" s="56"/>
      <c r="I165" s="24"/>
      <c r="J165" s="24"/>
      <c r="K165" s="24"/>
      <c r="L165" s="24"/>
      <c r="M165" s="24"/>
      <c r="N165" s="56"/>
      <c r="O165" s="25" t="str">
        <f aca="false">IF($AI165=0,"",IF(INDEX(입력_운동!$C$5:$C$1004,$AI165)="","",INDEX(입력_운동!$C$5:$C$1004,$AI165)))</f>
        <v/>
      </c>
      <c r="P165" s="25" t="str">
        <f aca="false">IF($AI165=0,"",IF(INDEX(입력_운동!$D$5:$D$1004,$AI165)="","",INDEX(입력_운동!$D$5:$D$1004,$AI165)))</f>
        <v/>
      </c>
      <c r="Q165" s="25" t="str">
        <f aca="false">IF($AI165=0,"",IF(INDEX(입력_운동!$E$5:$E$1004,$AI165)="","",INDEX(입력_운동!$E$5:$E$1004,$AI165)))</f>
        <v/>
      </c>
      <c r="R165" s="25" t="str">
        <f aca="false">IF($AI165=0,"",IF(INDEX(입력_운동!$F$5:$F$1004,$AI165)="","",INDEX(입력_운동!$F$5:$F$1004,$AI165)))</f>
        <v/>
      </c>
      <c r="S165" s="25" t="str">
        <f aca="false">IF($AJ165=0,"",IF(INDEX(입력_측정!$C$5:$C$1004,$AJ165)="","",INDEX(입력_측정!$C$5:$C$1004,$AJ165)))</f>
        <v/>
      </c>
      <c r="T165" s="25" t="str">
        <f aca="false">IF($AJ165=0,"",IF(INDEX(입력_측정!$D$5:$D$1004,$AJ165)="","",INDEX(입력_측정!$D$5:$D$1004,$AJ165)))</f>
        <v/>
      </c>
      <c r="U165" s="25" t="str">
        <f aca="false">IF($AJ165=0,"",IF(INDEX(입력_측정!$E$5:$E$1004,$AJ165)="","",INDEX(입력_측정!$E$5:$E$1004,$AJ165)))</f>
        <v/>
      </c>
      <c r="V165" s="25" t="str">
        <f aca="false">IF($AJ165=0,"",IF(INDEX(입력_측정!$F$5:$F$1004,$AJ165)="","",INDEX(입력_측정!$F$5:$F$1004,$AJ165)))</f>
        <v/>
      </c>
      <c r="W165" s="25" t="str">
        <f aca="false">IF($AK165=0,"",IF(INDEX(입력_상담!$D$5:$D$1004,$AK165)="","",INDEX(입력_상담!$D$5:$D$1004,$AK165)))</f>
        <v/>
      </c>
      <c r="X165" s="25" t="str">
        <f aca="false">IF($AJ165=0,"",IF(INDEX(입력_측정!$I$5:$I$1004,$AJ165)="","",INDEX(입력_측정!$I$5:$I$1004,$AJ165)))</f>
        <v/>
      </c>
      <c r="Y165" s="25" t="str">
        <f aca="false">IF($AJ165=0,"",IF(INDEX(입력_측정!$J$5:$J$1004,$AJ165)="","",INDEX(입력_측정!$J$5:$J$1004,$AJ165)))</f>
        <v/>
      </c>
      <c r="Z165" s="25" t="str">
        <f aca="false">IF(OR(X165="긴급",LEFT(Y165,2)="긴급",W165="필요",W165="완료"),"대상","")</f>
        <v/>
      </c>
      <c r="AA165" s="59" t="str">
        <f aca="false">IF(M165&lt;&gt;"",M165,IF(AK165&gt;0,IF(W165="필요","추가상담 대기","완료"),IF(AJ165&gt;0,"결과상담 대기",IF(AI165&gt;0,"측정 대기","미방문"))))</f>
        <v>미방문</v>
      </c>
      <c r="AB165" s="60" t="str">
        <f aca="false">IF($AI165=0,"",IF(INDEX(입력_운동!$A$5:$A$1004,$AI165)="","",INDEX(입력_운동!$A$5:$A$1004,$AI165)))</f>
        <v/>
      </c>
      <c r="AC165" s="60" t="str">
        <f aca="false">IF($AJ165=0,"",IF(INDEX(입력_측정!$A$5:$A$1004,$AJ165)="","",INDEX(입력_측정!$A$5:$A$1004,$AJ165)))</f>
        <v/>
      </c>
      <c r="AD165" s="60" t="str">
        <f aca="false">IF($AK165=0,"",IF(INDEX(입력_상담!$A$5:$A$1004,$AK165)="","",INDEX(입력_상담!$A$5:$A$1004,$AK165)))</f>
        <v/>
      </c>
      <c r="AE165" s="25" t="str">
        <f aca="false">IF(AND(ISNUMBER(AB165),ISNUMBER(AC165)),IF(AC165&gt;=AB165,ROUND((AC165-AB165)*1440,0),""),"")</f>
        <v/>
      </c>
      <c r="AF165" s="25" t="str">
        <f aca="false">IF(AND(ISNUMBER(AC165),ISNUMBER(AD165)),IF(AD165&gt;=AC165,ROUND((AD165-AC165)*1440,0),""),"")</f>
        <v/>
      </c>
      <c r="AG165" s="25" t="str">
        <f aca="false">IF(AND(AA165="완료",ISNUMBER(AB165),ISNUMBER(AD165)),IF(AD165&gt;=AB165,ROUND((AD165-AB165)*1440,0),""),"")</f>
        <v/>
      </c>
      <c r="AH165" s="61" t="str">
        <f aca="false">IF(AND(AK165&gt;0,AJ165=0),"측정 기록 없음",IF(AND(AJ165&gt;0,AI165=0),"운동평가 기록 없음",IF(OR(COUNTIF(입력_운동!$B$5:$B$1004,$A165)&gt;1,COUNTIF(입력_측정!$B$5:$B$1004,$A165)&gt;1),"중복 입력","")))</f>
        <v/>
      </c>
      <c r="AI165" s="62" t="n">
        <f aca="false">SUMPRODUCT(MAX((입력_운동!$B$5:$B$1004=$A165)*(ROW(입력_운동!$B$5:$B$1004)-4)))</f>
        <v>0</v>
      </c>
      <c r="AJ165" s="62" t="n">
        <f aca="false">SUMPRODUCT(MAX((입력_측정!$B$5:$B$1004=$A165)*(ROW(입력_측정!$B$5:$B$1004)-4)))</f>
        <v>0</v>
      </c>
      <c r="AK165" s="62" t="n">
        <f aca="false">SUMPRODUCT(MAX((입력_상담!$B$5:$B$1004=$A165)*(ROW(입력_상담!$B$5:$B$1004)-4)))</f>
        <v>0</v>
      </c>
    </row>
    <row r="166" customFormat="false" ht="15" hidden="false" customHeight="false" outlineLevel="0" collapsed="false">
      <c r="A166" s="55" t="n">
        <v>162</v>
      </c>
      <c r="B166" s="56"/>
      <c r="C166" s="24"/>
      <c r="D166" s="24"/>
      <c r="E166" s="56"/>
      <c r="F166" s="57"/>
      <c r="G166" s="58"/>
      <c r="H166" s="56"/>
      <c r="I166" s="24"/>
      <c r="J166" s="24"/>
      <c r="K166" s="24"/>
      <c r="L166" s="24"/>
      <c r="M166" s="24"/>
      <c r="N166" s="56"/>
      <c r="O166" s="25" t="str">
        <f aca="false">IF($AI166=0,"",IF(INDEX(입력_운동!$C$5:$C$1004,$AI166)="","",INDEX(입력_운동!$C$5:$C$1004,$AI166)))</f>
        <v/>
      </c>
      <c r="P166" s="25" t="str">
        <f aca="false">IF($AI166=0,"",IF(INDEX(입력_운동!$D$5:$D$1004,$AI166)="","",INDEX(입력_운동!$D$5:$D$1004,$AI166)))</f>
        <v/>
      </c>
      <c r="Q166" s="25" t="str">
        <f aca="false">IF($AI166=0,"",IF(INDEX(입력_운동!$E$5:$E$1004,$AI166)="","",INDEX(입력_운동!$E$5:$E$1004,$AI166)))</f>
        <v/>
      </c>
      <c r="R166" s="25" t="str">
        <f aca="false">IF($AI166=0,"",IF(INDEX(입력_운동!$F$5:$F$1004,$AI166)="","",INDEX(입력_운동!$F$5:$F$1004,$AI166)))</f>
        <v/>
      </c>
      <c r="S166" s="25" t="str">
        <f aca="false">IF($AJ166=0,"",IF(INDEX(입력_측정!$C$5:$C$1004,$AJ166)="","",INDEX(입력_측정!$C$5:$C$1004,$AJ166)))</f>
        <v/>
      </c>
      <c r="T166" s="25" t="str">
        <f aca="false">IF($AJ166=0,"",IF(INDEX(입력_측정!$D$5:$D$1004,$AJ166)="","",INDEX(입력_측정!$D$5:$D$1004,$AJ166)))</f>
        <v/>
      </c>
      <c r="U166" s="25" t="str">
        <f aca="false">IF($AJ166=0,"",IF(INDEX(입력_측정!$E$5:$E$1004,$AJ166)="","",INDEX(입력_측정!$E$5:$E$1004,$AJ166)))</f>
        <v/>
      </c>
      <c r="V166" s="25" t="str">
        <f aca="false">IF($AJ166=0,"",IF(INDEX(입력_측정!$F$5:$F$1004,$AJ166)="","",INDEX(입력_측정!$F$5:$F$1004,$AJ166)))</f>
        <v/>
      </c>
      <c r="W166" s="25" t="str">
        <f aca="false">IF($AK166=0,"",IF(INDEX(입력_상담!$D$5:$D$1004,$AK166)="","",INDEX(입력_상담!$D$5:$D$1004,$AK166)))</f>
        <v/>
      </c>
      <c r="X166" s="25" t="str">
        <f aca="false">IF($AJ166=0,"",IF(INDEX(입력_측정!$I$5:$I$1004,$AJ166)="","",INDEX(입력_측정!$I$5:$I$1004,$AJ166)))</f>
        <v/>
      </c>
      <c r="Y166" s="25" t="str">
        <f aca="false">IF($AJ166=0,"",IF(INDEX(입력_측정!$J$5:$J$1004,$AJ166)="","",INDEX(입력_측정!$J$5:$J$1004,$AJ166)))</f>
        <v/>
      </c>
      <c r="Z166" s="25" t="str">
        <f aca="false">IF(OR(X166="긴급",LEFT(Y166,2)="긴급",W166="필요",W166="완료"),"대상","")</f>
        <v/>
      </c>
      <c r="AA166" s="59" t="str">
        <f aca="false">IF(M166&lt;&gt;"",M166,IF(AK166&gt;0,IF(W166="필요","추가상담 대기","완료"),IF(AJ166&gt;0,"결과상담 대기",IF(AI166&gt;0,"측정 대기","미방문"))))</f>
        <v>미방문</v>
      </c>
      <c r="AB166" s="60" t="str">
        <f aca="false">IF($AI166=0,"",IF(INDEX(입력_운동!$A$5:$A$1004,$AI166)="","",INDEX(입력_운동!$A$5:$A$1004,$AI166)))</f>
        <v/>
      </c>
      <c r="AC166" s="60" t="str">
        <f aca="false">IF($AJ166=0,"",IF(INDEX(입력_측정!$A$5:$A$1004,$AJ166)="","",INDEX(입력_측정!$A$5:$A$1004,$AJ166)))</f>
        <v/>
      </c>
      <c r="AD166" s="60" t="str">
        <f aca="false">IF($AK166=0,"",IF(INDEX(입력_상담!$A$5:$A$1004,$AK166)="","",INDEX(입력_상담!$A$5:$A$1004,$AK166)))</f>
        <v/>
      </c>
      <c r="AE166" s="25" t="str">
        <f aca="false">IF(AND(ISNUMBER(AB166),ISNUMBER(AC166)),IF(AC166&gt;=AB166,ROUND((AC166-AB166)*1440,0),""),"")</f>
        <v/>
      </c>
      <c r="AF166" s="25" t="str">
        <f aca="false">IF(AND(ISNUMBER(AC166),ISNUMBER(AD166)),IF(AD166&gt;=AC166,ROUND((AD166-AC166)*1440,0),""),"")</f>
        <v/>
      </c>
      <c r="AG166" s="25" t="str">
        <f aca="false">IF(AND(AA166="완료",ISNUMBER(AB166),ISNUMBER(AD166)),IF(AD166&gt;=AB166,ROUND((AD166-AB166)*1440,0),""),"")</f>
        <v/>
      </c>
      <c r="AH166" s="61" t="str">
        <f aca="false">IF(AND(AK166&gt;0,AJ166=0),"측정 기록 없음",IF(AND(AJ166&gt;0,AI166=0),"운동평가 기록 없음",IF(OR(COUNTIF(입력_운동!$B$5:$B$1004,$A166)&gt;1,COUNTIF(입력_측정!$B$5:$B$1004,$A166)&gt;1),"중복 입력","")))</f>
        <v/>
      </c>
      <c r="AI166" s="62" t="n">
        <f aca="false">SUMPRODUCT(MAX((입력_운동!$B$5:$B$1004=$A166)*(ROW(입력_운동!$B$5:$B$1004)-4)))</f>
        <v>0</v>
      </c>
      <c r="AJ166" s="62" t="n">
        <f aca="false">SUMPRODUCT(MAX((입력_측정!$B$5:$B$1004=$A166)*(ROW(입력_측정!$B$5:$B$1004)-4)))</f>
        <v>0</v>
      </c>
      <c r="AK166" s="62" t="n">
        <f aca="false">SUMPRODUCT(MAX((입력_상담!$B$5:$B$1004=$A166)*(ROW(입력_상담!$B$5:$B$1004)-4)))</f>
        <v>0</v>
      </c>
    </row>
    <row r="167" customFormat="false" ht="15" hidden="false" customHeight="false" outlineLevel="0" collapsed="false">
      <c r="A167" s="55" t="n">
        <v>163</v>
      </c>
      <c r="B167" s="56"/>
      <c r="C167" s="24"/>
      <c r="D167" s="24"/>
      <c r="E167" s="56"/>
      <c r="F167" s="57"/>
      <c r="G167" s="58"/>
      <c r="H167" s="56"/>
      <c r="I167" s="24"/>
      <c r="J167" s="24"/>
      <c r="K167" s="24"/>
      <c r="L167" s="24"/>
      <c r="M167" s="24"/>
      <c r="N167" s="56"/>
      <c r="O167" s="25" t="str">
        <f aca="false">IF($AI167=0,"",IF(INDEX(입력_운동!$C$5:$C$1004,$AI167)="","",INDEX(입력_운동!$C$5:$C$1004,$AI167)))</f>
        <v/>
      </c>
      <c r="P167" s="25" t="str">
        <f aca="false">IF($AI167=0,"",IF(INDEX(입력_운동!$D$5:$D$1004,$AI167)="","",INDEX(입력_운동!$D$5:$D$1004,$AI167)))</f>
        <v/>
      </c>
      <c r="Q167" s="25" t="str">
        <f aca="false">IF($AI167=0,"",IF(INDEX(입력_운동!$E$5:$E$1004,$AI167)="","",INDEX(입력_운동!$E$5:$E$1004,$AI167)))</f>
        <v/>
      </c>
      <c r="R167" s="25" t="str">
        <f aca="false">IF($AI167=0,"",IF(INDEX(입력_운동!$F$5:$F$1004,$AI167)="","",INDEX(입력_운동!$F$5:$F$1004,$AI167)))</f>
        <v/>
      </c>
      <c r="S167" s="25" t="str">
        <f aca="false">IF($AJ167=0,"",IF(INDEX(입력_측정!$C$5:$C$1004,$AJ167)="","",INDEX(입력_측정!$C$5:$C$1004,$AJ167)))</f>
        <v/>
      </c>
      <c r="T167" s="25" t="str">
        <f aca="false">IF($AJ167=0,"",IF(INDEX(입력_측정!$D$5:$D$1004,$AJ167)="","",INDEX(입력_측정!$D$5:$D$1004,$AJ167)))</f>
        <v/>
      </c>
      <c r="U167" s="25" t="str">
        <f aca="false">IF($AJ167=0,"",IF(INDEX(입력_측정!$E$5:$E$1004,$AJ167)="","",INDEX(입력_측정!$E$5:$E$1004,$AJ167)))</f>
        <v/>
      </c>
      <c r="V167" s="25" t="str">
        <f aca="false">IF($AJ167=0,"",IF(INDEX(입력_측정!$F$5:$F$1004,$AJ167)="","",INDEX(입력_측정!$F$5:$F$1004,$AJ167)))</f>
        <v/>
      </c>
      <c r="W167" s="25" t="str">
        <f aca="false">IF($AK167=0,"",IF(INDEX(입력_상담!$D$5:$D$1004,$AK167)="","",INDEX(입력_상담!$D$5:$D$1004,$AK167)))</f>
        <v/>
      </c>
      <c r="X167" s="25" t="str">
        <f aca="false">IF($AJ167=0,"",IF(INDEX(입력_측정!$I$5:$I$1004,$AJ167)="","",INDEX(입력_측정!$I$5:$I$1004,$AJ167)))</f>
        <v/>
      </c>
      <c r="Y167" s="25" t="str">
        <f aca="false">IF($AJ167=0,"",IF(INDEX(입력_측정!$J$5:$J$1004,$AJ167)="","",INDEX(입력_측정!$J$5:$J$1004,$AJ167)))</f>
        <v/>
      </c>
      <c r="Z167" s="25" t="str">
        <f aca="false">IF(OR(X167="긴급",LEFT(Y167,2)="긴급",W167="필요",W167="완료"),"대상","")</f>
        <v/>
      </c>
      <c r="AA167" s="59" t="str">
        <f aca="false">IF(M167&lt;&gt;"",M167,IF(AK167&gt;0,IF(W167="필요","추가상담 대기","완료"),IF(AJ167&gt;0,"결과상담 대기",IF(AI167&gt;0,"측정 대기","미방문"))))</f>
        <v>미방문</v>
      </c>
      <c r="AB167" s="60" t="str">
        <f aca="false">IF($AI167=0,"",IF(INDEX(입력_운동!$A$5:$A$1004,$AI167)="","",INDEX(입력_운동!$A$5:$A$1004,$AI167)))</f>
        <v/>
      </c>
      <c r="AC167" s="60" t="str">
        <f aca="false">IF($AJ167=0,"",IF(INDEX(입력_측정!$A$5:$A$1004,$AJ167)="","",INDEX(입력_측정!$A$5:$A$1004,$AJ167)))</f>
        <v/>
      </c>
      <c r="AD167" s="60" t="str">
        <f aca="false">IF($AK167=0,"",IF(INDEX(입력_상담!$A$5:$A$1004,$AK167)="","",INDEX(입력_상담!$A$5:$A$1004,$AK167)))</f>
        <v/>
      </c>
      <c r="AE167" s="25" t="str">
        <f aca="false">IF(AND(ISNUMBER(AB167),ISNUMBER(AC167)),IF(AC167&gt;=AB167,ROUND((AC167-AB167)*1440,0),""),"")</f>
        <v/>
      </c>
      <c r="AF167" s="25" t="str">
        <f aca="false">IF(AND(ISNUMBER(AC167),ISNUMBER(AD167)),IF(AD167&gt;=AC167,ROUND((AD167-AC167)*1440,0),""),"")</f>
        <v/>
      </c>
      <c r="AG167" s="25" t="str">
        <f aca="false">IF(AND(AA167="완료",ISNUMBER(AB167),ISNUMBER(AD167)),IF(AD167&gt;=AB167,ROUND((AD167-AB167)*1440,0),""),"")</f>
        <v/>
      </c>
      <c r="AH167" s="61" t="str">
        <f aca="false">IF(AND(AK167&gt;0,AJ167=0),"측정 기록 없음",IF(AND(AJ167&gt;0,AI167=0),"운동평가 기록 없음",IF(OR(COUNTIF(입력_운동!$B$5:$B$1004,$A167)&gt;1,COUNTIF(입력_측정!$B$5:$B$1004,$A167)&gt;1),"중복 입력","")))</f>
        <v/>
      </c>
      <c r="AI167" s="62" t="n">
        <f aca="false">SUMPRODUCT(MAX((입력_운동!$B$5:$B$1004=$A167)*(ROW(입력_운동!$B$5:$B$1004)-4)))</f>
        <v>0</v>
      </c>
      <c r="AJ167" s="62" t="n">
        <f aca="false">SUMPRODUCT(MAX((입력_측정!$B$5:$B$1004=$A167)*(ROW(입력_측정!$B$5:$B$1004)-4)))</f>
        <v>0</v>
      </c>
      <c r="AK167" s="62" t="n">
        <f aca="false">SUMPRODUCT(MAX((입력_상담!$B$5:$B$1004=$A167)*(ROW(입력_상담!$B$5:$B$1004)-4)))</f>
        <v>0</v>
      </c>
    </row>
    <row r="168" customFormat="false" ht="15" hidden="false" customHeight="false" outlineLevel="0" collapsed="false">
      <c r="A168" s="55" t="n">
        <v>164</v>
      </c>
      <c r="B168" s="56"/>
      <c r="C168" s="24"/>
      <c r="D168" s="24"/>
      <c r="E168" s="56"/>
      <c r="F168" s="57"/>
      <c r="G168" s="58"/>
      <c r="H168" s="56"/>
      <c r="I168" s="24"/>
      <c r="J168" s="24"/>
      <c r="K168" s="24"/>
      <c r="L168" s="24"/>
      <c r="M168" s="24"/>
      <c r="N168" s="56"/>
      <c r="O168" s="25" t="str">
        <f aca="false">IF($AI168=0,"",IF(INDEX(입력_운동!$C$5:$C$1004,$AI168)="","",INDEX(입력_운동!$C$5:$C$1004,$AI168)))</f>
        <v/>
      </c>
      <c r="P168" s="25" t="str">
        <f aca="false">IF($AI168=0,"",IF(INDEX(입력_운동!$D$5:$D$1004,$AI168)="","",INDEX(입력_운동!$D$5:$D$1004,$AI168)))</f>
        <v/>
      </c>
      <c r="Q168" s="25" t="str">
        <f aca="false">IF($AI168=0,"",IF(INDEX(입력_운동!$E$5:$E$1004,$AI168)="","",INDEX(입력_운동!$E$5:$E$1004,$AI168)))</f>
        <v/>
      </c>
      <c r="R168" s="25" t="str">
        <f aca="false">IF($AI168=0,"",IF(INDEX(입력_운동!$F$5:$F$1004,$AI168)="","",INDEX(입력_운동!$F$5:$F$1004,$AI168)))</f>
        <v/>
      </c>
      <c r="S168" s="25" t="str">
        <f aca="false">IF($AJ168=0,"",IF(INDEX(입력_측정!$C$5:$C$1004,$AJ168)="","",INDEX(입력_측정!$C$5:$C$1004,$AJ168)))</f>
        <v/>
      </c>
      <c r="T168" s="25" t="str">
        <f aca="false">IF($AJ168=0,"",IF(INDEX(입력_측정!$D$5:$D$1004,$AJ168)="","",INDEX(입력_측정!$D$5:$D$1004,$AJ168)))</f>
        <v/>
      </c>
      <c r="U168" s="25" t="str">
        <f aca="false">IF($AJ168=0,"",IF(INDEX(입력_측정!$E$5:$E$1004,$AJ168)="","",INDEX(입력_측정!$E$5:$E$1004,$AJ168)))</f>
        <v/>
      </c>
      <c r="V168" s="25" t="str">
        <f aca="false">IF($AJ168=0,"",IF(INDEX(입력_측정!$F$5:$F$1004,$AJ168)="","",INDEX(입력_측정!$F$5:$F$1004,$AJ168)))</f>
        <v/>
      </c>
      <c r="W168" s="25" t="str">
        <f aca="false">IF($AK168=0,"",IF(INDEX(입력_상담!$D$5:$D$1004,$AK168)="","",INDEX(입력_상담!$D$5:$D$1004,$AK168)))</f>
        <v/>
      </c>
      <c r="X168" s="25" t="str">
        <f aca="false">IF($AJ168=0,"",IF(INDEX(입력_측정!$I$5:$I$1004,$AJ168)="","",INDEX(입력_측정!$I$5:$I$1004,$AJ168)))</f>
        <v/>
      </c>
      <c r="Y168" s="25" t="str">
        <f aca="false">IF($AJ168=0,"",IF(INDEX(입력_측정!$J$5:$J$1004,$AJ168)="","",INDEX(입력_측정!$J$5:$J$1004,$AJ168)))</f>
        <v/>
      </c>
      <c r="Z168" s="25" t="str">
        <f aca="false">IF(OR(X168="긴급",LEFT(Y168,2)="긴급",W168="필요",W168="완료"),"대상","")</f>
        <v/>
      </c>
      <c r="AA168" s="59" t="str">
        <f aca="false">IF(M168&lt;&gt;"",M168,IF(AK168&gt;0,IF(W168="필요","추가상담 대기","완료"),IF(AJ168&gt;0,"결과상담 대기",IF(AI168&gt;0,"측정 대기","미방문"))))</f>
        <v>미방문</v>
      </c>
      <c r="AB168" s="60" t="str">
        <f aca="false">IF($AI168=0,"",IF(INDEX(입력_운동!$A$5:$A$1004,$AI168)="","",INDEX(입력_운동!$A$5:$A$1004,$AI168)))</f>
        <v/>
      </c>
      <c r="AC168" s="60" t="str">
        <f aca="false">IF($AJ168=0,"",IF(INDEX(입력_측정!$A$5:$A$1004,$AJ168)="","",INDEX(입력_측정!$A$5:$A$1004,$AJ168)))</f>
        <v/>
      </c>
      <c r="AD168" s="60" t="str">
        <f aca="false">IF($AK168=0,"",IF(INDEX(입력_상담!$A$5:$A$1004,$AK168)="","",INDEX(입력_상담!$A$5:$A$1004,$AK168)))</f>
        <v/>
      </c>
      <c r="AE168" s="25" t="str">
        <f aca="false">IF(AND(ISNUMBER(AB168),ISNUMBER(AC168)),IF(AC168&gt;=AB168,ROUND((AC168-AB168)*1440,0),""),"")</f>
        <v/>
      </c>
      <c r="AF168" s="25" t="str">
        <f aca="false">IF(AND(ISNUMBER(AC168),ISNUMBER(AD168)),IF(AD168&gt;=AC168,ROUND((AD168-AC168)*1440,0),""),"")</f>
        <v/>
      </c>
      <c r="AG168" s="25" t="str">
        <f aca="false">IF(AND(AA168="완료",ISNUMBER(AB168),ISNUMBER(AD168)),IF(AD168&gt;=AB168,ROUND((AD168-AB168)*1440,0),""),"")</f>
        <v/>
      </c>
      <c r="AH168" s="61" t="str">
        <f aca="false">IF(AND(AK168&gt;0,AJ168=0),"측정 기록 없음",IF(AND(AJ168&gt;0,AI168=0),"운동평가 기록 없음",IF(OR(COUNTIF(입력_운동!$B$5:$B$1004,$A168)&gt;1,COUNTIF(입력_측정!$B$5:$B$1004,$A168)&gt;1),"중복 입력","")))</f>
        <v/>
      </c>
      <c r="AI168" s="62" t="n">
        <f aca="false">SUMPRODUCT(MAX((입력_운동!$B$5:$B$1004=$A168)*(ROW(입력_운동!$B$5:$B$1004)-4)))</f>
        <v>0</v>
      </c>
      <c r="AJ168" s="62" t="n">
        <f aca="false">SUMPRODUCT(MAX((입력_측정!$B$5:$B$1004=$A168)*(ROW(입력_측정!$B$5:$B$1004)-4)))</f>
        <v>0</v>
      </c>
      <c r="AK168" s="62" t="n">
        <f aca="false">SUMPRODUCT(MAX((입력_상담!$B$5:$B$1004=$A168)*(ROW(입력_상담!$B$5:$B$1004)-4)))</f>
        <v>0</v>
      </c>
    </row>
    <row r="169" customFormat="false" ht="15" hidden="false" customHeight="false" outlineLevel="0" collapsed="false">
      <c r="A169" s="55" t="n">
        <v>165</v>
      </c>
      <c r="B169" s="56"/>
      <c r="C169" s="24"/>
      <c r="D169" s="24"/>
      <c r="E169" s="56"/>
      <c r="F169" s="57"/>
      <c r="G169" s="58"/>
      <c r="H169" s="56"/>
      <c r="I169" s="24"/>
      <c r="J169" s="24"/>
      <c r="K169" s="24"/>
      <c r="L169" s="24"/>
      <c r="M169" s="24"/>
      <c r="N169" s="56"/>
      <c r="O169" s="25" t="str">
        <f aca="false">IF($AI169=0,"",IF(INDEX(입력_운동!$C$5:$C$1004,$AI169)="","",INDEX(입력_운동!$C$5:$C$1004,$AI169)))</f>
        <v/>
      </c>
      <c r="P169" s="25" t="str">
        <f aca="false">IF($AI169=0,"",IF(INDEX(입력_운동!$D$5:$D$1004,$AI169)="","",INDEX(입력_운동!$D$5:$D$1004,$AI169)))</f>
        <v/>
      </c>
      <c r="Q169" s="25" t="str">
        <f aca="false">IF($AI169=0,"",IF(INDEX(입력_운동!$E$5:$E$1004,$AI169)="","",INDEX(입력_운동!$E$5:$E$1004,$AI169)))</f>
        <v/>
      </c>
      <c r="R169" s="25" t="str">
        <f aca="false">IF($AI169=0,"",IF(INDEX(입력_운동!$F$5:$F$1004,$AI169)="","",INDEX(입력_운동!$F$5:$F$1004,$AI169)))</f>
        <v/>
      </c>
      <c r="S169" s="25" t="str">
        <f aca="false">IF($AJ169=0,"",IF(INDEX(입력_측정!$C$5:$C$1004,$AJ169)="","",INDEX(입력_측정!$C$5:$C$1004,$AJ169)))</f>
        <v/>
      </c>
      <c r="T169" s="25" t="str">
        <f aca="false">IF($AJ169=0,"",IF(INDEX(입력_측정!$D$5:$D$1004,$AJ169)="","",INDEX(입력_측정!$D$5:$D$1004,$AJ169)))</f>
        <v/>
      </c>
      <c r="U169" s="25" t="str">
        <f aca="false">IF($AJ169=0,"",IF(INDEX(입력_측정!$E$5:$E$1004,$AJ169)="","",INDEX(입력_측정!$E$5:$E$1004,$AJ169)))</f>
        <v/>
      </c>
      <c r="V169" s="25" t="str">
        <f aca="false">IF($AJ169=0,"",IF(INDEX(입력_측정!$F$5:$F$1004,$AJ169)="","",INDEX(입력_측정!$F$5:$F$1004,$AJ169)))</f>
        <v/>
      </c>
      <c r="W169" s="25" t="str">
        <f aca="false">IF($AK169=0,"",IF(INDEX(입력_상담!$D$5:$D$1004,$AK169)="","",INDEX(입력_상담!$D$5:$D$1004,$AK169)))</f>
        <v/>
      </c>
      <c r="X169" s="25" t="str">
        <f aca="false">IF($AJ169=0,"",IF(INDEX(입력_측정!$I$5:$I$1004,$AJ169)="","",INDEX(입력_측정!$I$5:$I$1004,$AJ169)))</f>
        <v/>
      </c>
      <c r="Y169" s="25" t="str">
        <f aca="false">IF($AJ169=0,"",IF(INDEX(입력_측정!$J$5:$J$1004,$AJ169)="","",INDEX(입력_측정!$J$5:$J$1004,$AJ169)))</f>
        <v/>
      </c>
      <c r="Z169" s="25" t="str">
        <f aca="false">IF(OR(X169="긴급",LEFT(Y169,2)="긴급",W169="필요",W169="완료"),"대상","")</f>
        <v/>
      </c>
      <c r="AA169" s="59" t="str">
        <f aca="false">IF(M169&lt;&gt;"",M169,IF(AK169&gt;0,IF(W169="필요","추가상담 대기","완료"),IF(AJ169&gt;0,"결과상담 대기",IF(AI169&gt;0,"측정 대기","미방문"))))</f>
        <v>미방문</v>
      </c>
      <c r="AB169" s="60" t="str">
        <f aca="false">IF($AI169=0,"",IF(INDEX(입력_운동!$A$5:$A$1004,$AI169)="","",INDEX(입력_운동!$A$5:$A$1004,$AI169)))</f>
        <v/>
      </c>
      <c r="AC169" s="60" t="str">
        <f aca="false">IF($AJ169=0,"",IF(INDEX(입력_측정!$A$5:$A$1004,$AJ169)="","",INDEX(입력_측정!$A$5:$A$1004,$AJ169)))</f>
        <v/>
      </c>
      <c r="AD169" s="60" t="str">
        <f aca="false">IF($AK169=0,"",IF(INDEX(입력_상담!$A$5:$A$1004,$AK169)="","",INDEX(입력_상담!$A$5:$A$1004,$AK169)))</f>
        <v/>
      </c>
      <c r="AE169" s="25" t="str">
        <f aca="false">IF(AND(ISNUMBER(AB169),ISNUMBER(AC169)),IF(AC169&gt;=AB169,ROUND((AC169-AB169)*1440,0),""),"")</f>
        <v/>
      </c>
      <c r="AF169" s="25" t="str">
        <f aca="false">IF(AND(ISNUMBER(AC169),ISNUMBER(AD169)),IF(AD169&gt;=AC169,ROUND((AD169-AC169)*1440,0),""),"")</f>
        <v/>
      </c>
      <c r="AG169" s="25" t="str">
        <f aca="false">IF(AND(AA169="완료",ISNUMBER(AB169),ISNUMBER(AD169)),IF(AD169&gt;=AB169,ROUND((AD169-AB169)*1440,0),""),"")</f>
        <v/>
      </c>
      <c r="AH169" s="61" t="str">
        <f aca="false">IF(AND(AK169&gt;0,AJ169=0),"측정 기록 없음",IF(AND(AJ169&gt;0,AI169=0),"운동평가 기록 없음",IF(OR(COUNTIF(입력_운동!$B$5:$B$1004,$A169)&gt;1,COUNTIF(입력_측정!$B$5:$B$1004,$A169)&gt;1),"중복 입력","")))</f>
        <v/>
      </c>
      <c r="AI169" s="62" t="n">
        <f aca="false">SUMPRODUCT(MAX((입력_운동!$B$5:$B$1004=$A169)*(ROW(입력_운동!$B$5:$B$1004)-4)))</f>
        <v>0</v>
      </c>
      <c r="AJ169" s="62" t="n">
        <f aca="false">SUMPRODUCT(MAX((입력_측정!$B$5:$B$1004=$A169)*(ROW(입력_측정!$B$5:$B$1004)-4)))</f>
        <v>0</v>
      </c>
      <c r="AK169" s="62" t="n">
        <f aca="false">SUMPRODUCT(MAX((입력_상담!$B$5:$B$1004=$A169)*(ROW(입력_상담!$B$5:$B$1004)-4)))</f>
        <v>0</v>
      </c>
    </row>
    <row r="170" customFormat="false" ht="15" hidden="false" customHeight="false" outlineLevel="0" collapsed="false">
      <c r="A170" s="55" t="n">
        <v>166</v>
      </c>
      <c r="B170" s="56"/>
      <c r="C170" s="24"/>
      <c r="D170" s="24"/>
      <c r="E170" s="56"/>
      <c r="F170" s="57"/>
      <c r="G170" s="58"/>
      <c r="H170" s="56"/>
      <c r="I170" s="24"/>
      <c r="J170" s="24"/>
      <c r="K170" s="24"/>
      <c r="L170" s="24"/>
      <c r="M170" s="24"/>
      <c r="N170" s="56"/>
      <c r="O170" s="25" t="str">
        <f aca="false">IF($AI170=0,"",IF(INDEX(입력_운동!$C$5:$C$1004,$AI170)="","",INDEX(입력_운동!$C$5:$C$1004,$AI170)))</f>
        <v/>
      </c>
      <c r="P170" s="25" t="str">
        <f aca="false">IF($AI170=0,"",IF(INDEX(입력_운동!$D$5:$D$1004,$AI170)="","",INDEX(입력_운동!$D$5:$D$1004,$AI170)))</f>
        <v/>
      </c>
      <c r="Q170" s="25" t="str">
        <f aca="false">IF($AI170=0,"",IF(INDEX(입력_운동!$E$5:$E$1004,$AI170)="","",INDEX(입력_운동!$E$5:$E$1004,$AI170)))</f>
        <v/>
      </c>
      <c r="R170" s="25" t="str">
        <f aca="false">IF($AI170=0,"",IF(INDEX(입력_운동!$F$5:$F$1004,$AI170)="","",INDEX(입력_운동!$F$5:$F$1004,$AI170)))</f>
        <v/>
      </c>
      <c r="S170" s="25" t="str">
        <f aca="false">IF($AJ170=0,"",IF(INDEX(입력_측정!$C$5:$C$1004,$AJ170)="","",INDEX(입력_측정!$C$5:$C$1004,$AJ170)))</f>
        <v/>
      </c>
      <c r="T170" s="25" t="str">
        <f aca="false">IF($AJ170=0,"",IF(INDEX(입력_측정!$D$5:$D$1004,$AJ170)="","",INDEX(입력_측정!$D$5:$D$1004,$AJ170)))</f>
        <v/>
      </c>
      <c r="U170" s="25" t="str">
        <f aca="false">IF($AJ170=0,"",IF(INDEX(입력_측정!$E$5:$E$1004,$AJ170)="","",INDEX(입력_측정!$E$5:$E$1004,$AJ170)))</f>
        <v/>
      </c>
      <c r="V170" s="25" t="str">
        <f aca="false">IF($AJ170=0,"",IF(INDEX(입력_측정!$F$5:$F$1004,$AJ170)="","",INDEX(입력_측정!$F$5:$F$1004,$AJ170)))</f>
        <v/>
      </c>
      <c r="W170" s="25" t="str">
        <f aca="false">IF($AK170=0,"",IF(INDEX(입력_상담!$D$5:$D$1004,$AK170)="","",INDEX(입력_상담!$D$5:$D$1004,$AK170)))</f>
        <v/>
      </c>
      <c r="X170" s="25" t="str">
        <f aca="false">IF($AJ170=0,"",IF(INDEX(입력_측정!$I$5:$I$1004,$AJ170)="","",INDEX(입력_측정!$I$5:$I$1004,$AJ170)))</f>
        <v/>
      </c>
      <c r="Y170" s="25" t="str">
        <f aca="false">IF($AJ170=0,"",IF(INDEX(입력_측정!$J$5:$J$1004,$AJ170)="","",INDEX(입력_측정!$J$5:$J$1004,$AJ170)))</f>
        <v/>
      </c>
      <c r="Z170" s="25" t="str">
        <f aca="false">IF(OR(X170="긴급",LEFT(Y170,2)="긴급",W170="필요",W170="완료"),"대상","")</f>
        <v/>
      </c>
      <c r="AA170" s="59" t="str">
        <f aca="false">IF(M170&lt;&gt;"",M170,IF(AK170&gt;0,IF(W170="필요","추가상담 대기","완료"),IF(AJ170&gt;0,"결과상담 대기",IF(AI170&gt;0,"측정 대기","미방문"))))</f>
        <v>미방문</v>
      </c>
      <c r="AB170" s="60" t="str">
        <f aca="false">IF($AI170=0,"",IF(INDEX(입력_운동!$A$5:$A$1004,$AI170)="","",INDEX(입력_운동!$A$5:$A$1004,$AI170)))</f>
        <v/>
      </c>
      <c r="AC170" s="60" t="str">
        <f aca="false">IF($AJ170=0,"",IF(INDEX(입력_측정!$A$5:$A$1004,$AJ170)="","",INDEX(입력_측정!$A$5:$A$1004,$AJ170)))</f>
        <v/>
      </c>
      <c r="AD170" s="60" t="str">
        <f aca="false">IF($AK170=0,"",IF(INDEX(입력_상담!$A$5:$A$1004,$AK170)="","",INDEX(입력_상담!$A$5:$A$1004,$AK170)))</f>
        <v/>
      </c>
      <c r="AE170" s="25" t="str">
        <f aca="false">IF(AND(ISNUMBER(AB170),ISNUMBER(AC170)),IF(AC170&gt;=AB170,ROUND((AC170-AB170)*1440,0),""),"")</f>
        <v/>
      </c>
      <c r="AF170" s="25" t="str">
        <f aca="false">IF(AND(ISNUMBER(AC170),ISNUMBER(AD170)),IF(AD170&gt;=AC170,ROUND((AD170-AC170)*1440,0),""),"")</f>
        <v/>
      </c>
      <c r="AG170" s="25" t="str">
        <f aca="false">IF(AND(AA170="완료",ISNUMBER(AB170),ISNUMBER(AD170)),IF(AD170&gt;=AB170,ROUND((AD170-AB170)*1440,0),""),"")</f>
        <v/>
      </c>
      <c r="AH170" s="61" t="str">
        <f aca="false">IF(AND(AK170&gt;0,AJ170=0),"측정 기록 없음",IF(AND(AJ170&gt;0,AI170=0),"운동평가 기록 없음",IF(OR(COUNTIF(입력_운동!$B$5:$B$1004,$A170)&gt;1,COUNTIF(입력_측정!$B$5:$B$1004,$A170)&gt;1),"중복 입력","")))</f>
        <v/>
      </c>
      <c r="AI170" s="62" t="n">
        <f aca="false">SUMPRODUCT(MAX((입력_운동!$B$5:$B$1004=$A170)*(ROW(입력_운동!$B$5:$B$1004)-4)))</f>
        <v>0</v>
      </c>
      <c r="AJ170" s="62" t="n">
        <f aca="false">SUMPRODUCT(MAX((입력_측정!$B$5:$B$1004=$A170)*(ROW(입력_측정!$B$5:$B$1004)-4)))</f>
        <v>0</v>
      </c>
      <c r="AK170" s="62" t="n">
        <f aca="false">SUMPRODUCT(MAX((입력_상담!$B$5:$B$1004=$A170)*(ROW(입력_상담!$B$5:$B$1004)-4)))</f>
        <v>0</v>
      </c>
    </row>
    <row r="171" customFormat="false" ht="15" hidden="false" customHeight="false" outlineLevel="0" collapsed="false">
      <c r="A171" s="55" t="n">
        <v>167</v>
      </c>
      <c r="B171" s="56"/>
      <c r="C171" s="24"/>
      <c r="D171" s="24"/>
      <c r="E171" s="56"/>
      <c r="F171" s="57"/>
      <c r="G171" s="58"/>
      <c r="H171" s="56"/>
      <c r="I171" s="24"/>
      <c r="J171" s="24"/>
      <c r="K171" s="24"/>
      <c r="L171" s="24"/>
      <c r="M171" s="24"/>
      <c r="N171" s="56"/>
      <c r="O171" s="25" t="str">
        <f aca="false">IF($AI171=0,"",IF(INDEX(입력_운동!$C$5:$C$1004,$AI171)="","",INDEX(입력_운동!$C$5:$C$1004,$AI171)))</f>
        <v/>
      </c>
      <c r="P171" s="25" t="str">
        <f aca="false">IF($AI171=0,"",IF(INDEX(입력_운동!$D$5:$D$1004,$AI171)="","",INDEX(입력_운동!$D$5:$D$1004,$AI171)))</f>
        <v/>
      </c>
      <c r="Q171" s="25" t="str">
        <f aca="false">IF($AI171=0,"",IF(INDEX(입력_운동!$E$5:$E$1004,$AI171)="","",INDEX(입력_운동!$E$5:$E$1004,$AI171)))</f>
        <v/>
      </c>
      <c r="R171" s="25" t="str">
        <f aca="false">IF($AI171=0,"",IF(INDEX(입력_운동!$F$5:$F$1004,$AI171)="","",INDEX(입력_운동!$F$5:$F$1004,$AI171)))</f>
        <v/>
      </c>
      <c r="S171" s="25" t="str">
        <f aca="false">IF($AJ171=0,"",IF(INDEX(입력_측정!$C$5:$C$1004,$AJ171)="","",INDEX(입력_측정!$C$5:$C$1004,$AJ171)))</f>
        <v/>
      </c>
      <c r="T171" s="25" t="str">
        <f aca="false">IF($AJ171=0,"",IF(INDEX(입력_측정!$D$5:$D$1004,$AJ171)="","",INDEX(입력_측정!$D$5:$D$1004,$AJ171)))</f>
        <v/>
      </c>
      <c r="U171" s="25" t="str">
        <f aca="false">IF($AJ171=0,"",IF(INDEX(입력_측정!$E$5:$E$1004,$AJ171)="","",INDEX(입력_측정!$E$5:$E$1004,$AJ171)))</f>
        <v/>
      </c>
      <c r="V171" s="25" t="str">
        <f aca="false">IF($AJ171=0,"",IF(INDEX(입력_측정!$F$5:$F$1004,$AJ171)="","",INDEX(입력_측정!$F$5:$F$1004,$AJ171)))</f>
        <v/>
      </c>
      <c r="W171" s="25" t="str">
        <f aca="false">IF($AK171=0,"",IF(INDEX(입력_상담!$D$5:$D$1004,$AK171)="","",INDEX(입력_상담!$D$5:$D$1004,$AK171)))</f>
        <v/>
      </c>
      <c r="X171" s="25" t="str">
        <f aca="false">IF($AJ171=0,"",IF(INDEX(입력_측정!$I$5:$I$1004,$AJ171)="","",INDEX(입력_측정!$I$5:$I$1004,$AJ171)))</f>
        <v/>
      </c>
      <c r="Y171" s="25" t="str">
        <f aca="false">IF($AJ171=0,"",IF(INDEX(입력_측정!$J$5:$J$1004,$AJ171)="","",INDEX(입력_측정!$J$5:$J$1004,$AJ171)))</f>
        <v/>
      </c>
      <c r="Z171" s="25" t="str">
        <f aca="false">IF(OR(X171="긴급",LEFT(Y171,2)="긴급",W171="필요",W171="완료"),"대상","")</f>
        <v/>
      </c>
      <c r="AA171" s="59" t="str">
        <f aca="false">IF(M171&lt;&gt;"",M171,IF(AK171&gt;0,IF(W171="필요","추가상담 대기","완료"),IF(AJ171&gt;0,"결과상담 대기",IF(AI171&gt;0,"측정 대기","미방문"))))</f>
        <v>미방문</v>
      </c>
      <c r="AB171" s="60" t="str">
        <f aca="false">IF($AI171=0,"",IF(INDEX(입력_운동!$A$5:$A$1004,$AI171)="","",INDEX(입력_운동!$A$5:$A$1004,$AI171)))</f>
        <v/>
      </c>
      <c r="AC171" s="60" t="str">
        <f aca="false">IF($AJ171=0,"",IF(INDEX(입력_측정!$A$5:$A$1004,$AJ171)="","",INDEX(입력_측정!$A$5:$A$1004,$AJ171)))</f>
        <v/>
      </c>
      <c r="AD171" s="60" t="str">
        <f aca="false">IF($AK171=0,"",IF(INDEX(입력_상담!$A$5:$A$1004,$AK171)="","",INDEX(입력_상담!$A$5:$A$1004,$AK171)))</f>
        <v/>
      </c>
      <c r="AE171" s="25" t="str">
        <f aca="false">IF(AND(ISNUMBER(AB171),ISNUMBER(AC171)),IF(AC171&gt;=AB171,ROUND((AC171-AB171)*1440,0),""),"")</f>
        <v/>
      </c>
      <c r="AF171" s="25" t="str">
        <f aca="false">IF(AND(ISNUMBER(AC171),ISNUMBER(AD171)),IF(AD171&gt;=AC171,ROUND((AD171-AC171)*1440,0),""),"")</f>
        <v/>
      </c>
      <c r="AG171" s="25" t="str">
        <f aca="false">IF(AND(AA171="완료",ISNUMBER(AB171),ISNUMBER(AD171)),IF(AD171&gt;=AB171,ROUND((AD171-AB171)*1440,0),""),"")</f>
        <v/>
      </c>
      <c r="AH171" s="61" t="str">
        <f aca="false">IF(AND(AK171&gt;0,AJ171=0),"측정 기록 없음",IF(AND(AJ171&gt;0,AI171=0),"운동평가 기록 없음",IF(OR(COUNTIF(입력_운동!$B$5:$B$1004,$A171)&gt;1,COUNTIF(입력_측정!$B$5:$B$1004,$A171)&gt;1),"중복 입력","")))</f>
        <v/>
      </c>
      <c r="AI171" s="62" t="n">
        <f aca="false">SUMPRODUCT(MAX((입력_운동!$B$5:$B$1004=$A171)*(ROW(입력_운동!$B$5:$B$1004)-4)))</f>
        <v>0</v>
      </c>
      <c r="AJ171" s="62" t="n">
        <f aca="false">SUMPRODUCT(MAX((입력_측정!$B$5:$B$1004=$A171)*(ROW(입력_측정!$B$5:$B$1004)-4)))</f>
        <v>0</v>
      </c>
      <c r="AK171" s="62" t="n">
        <f aca="false">SUMPRODUCT(MAX((입력_상담!$B$5:$B$1004=$A171)*(ROW(입력_상담!$B$5:$B$1004)-4)))</f>
        <v>0</v>
      </c>
    </row>
    <row r="172" customFormat="false" ht="15" hidden="false" customHeight="false" outlineLevel="0" collapsed="false">
      <c r="A172" s="55" t="n">
        <v>168</v>
      </c>
      <c r="B172" s="56"/>
      <c r="C172" s="24"/>
      <c r="D172" s="24"/>
      <c r="E172" s="56"/>
      <c r="F172" s="57"/>
      <c r="G172" s="58"/>
      <c r="H172" s="56"/>
      <c r="I172" s="24"/>
      <c r="J172" s="24"/>
      <c r="K172" s="24"/>
      <c r="L172" s="24"/>
      <c r="M172" s="24"/>
      <c r="N172" s="56"/>
      <c r="O172" s="25" t="str">
        <f aca="false">IF($AI172=0,"",IF(INDEX(입력_운동!$C$5:$C$1004,$AI172)="","",INDEX(입력_운동!$C$5:$C$1004,$AI172)))</f>
        <v/>
      </c>
      <c r="P172" s="25" t="str">
        <f aca="false">IF($AI172=0,"",IF(INDEX(입력_운동!$D$5:$D$1004,$AI172)="","",INDEX(입력_운동!$D$5:$D$1004,$AI172)))</f>
        <v/>
      </c>
      <c r="Q172" s="25" t="str">
        <f aca="false">IF($AI172=0,"",IF(INDEX(입력_운동!$E$5:$E$1004,$AI172)="","",INDEX(입력_운동!$E$5:$E$1004,$AI172)))</f>
        <v/>
      </c>
      <c r="R172" s="25" t="str">
        <f aca="false">IF($AI172=0,"",IF(INDEX(입력_운동!$F$5:$F$1004,$AI172)="","",INDEX(입력_운동!$F$5:$F$1004,$AI172)))</f>
        <v/>
      </c>
      <c r="S172" s="25" t="str">
        <f aca="false">IF($AJ172=0,"",IF(INDEX(입력_측정!$C$5:$C$1004,$AJ172)="","",INDEX(입력_측정!$C$5:$C$1004,$AJ172)))</f>
        <v/>
      </c>
      <c r="T172" s="25" t="str">
        <f aca="false">IF($AJ172=0,"",IF(INDEX(입력_측정!$D$5:$D$1004,$AJ172)="","",INDEX(입력_측정!$D$5:$D$1004,$AJ172)))</f>
        <v/>
      </c>
      <c r="U172" s="25" t="str">
        <f aca="false">IF($AJ172=0,"",IF(INDEX(입력_측정!$E$5:$E$1004,$AJ172)="","",INDEX(입력_측정!$E$5:$E$1004,$AJ172)))</f>
        <v/>
      </c>
      <c r="V172" s="25" t="str">
        <f aca="false">IF($AJ172=0,"",IF(INDEX(입력_측정!$F$5:$F$1004,$AJ172)="","",INDEX(입력_측정!$F$5:$F$1004,$AJ172)))</f>
        <v/>
      </c>
      <c r="W172" s="25" t="str">
        <f aca="false">IF($AK172=0,"",IF(INDEX(입력_상담!$D$5:$D$1004,$AK172)="","",INDEX(입력_상담!$D$5:$D$1004,$AK172)))</f>
        <v/>
      </c>
      <c r="X172" s="25" t="str">
        <f aca="false">IF($AJ172=0,"",IF(INDEX(입력_측정!$I$5:$I$1004,$AJ172)="","",INDEX(입력_측정!$I$5:$I$1004,$AJ172)))</f>
        <v/>
      </c>
      <c r="Y172" s="25" t="str">
        <f aca="false">IF($AJ172=0,"",IF(INDEX(입력_측정!$J$5:$J$1004,$AJ172)="","",INDEX(입력_측정!$J$5:$J$1004,$AJ172)))</f>
        <v/>
      </c>
      <c r="Z172" s="25" t="str">
        <f aca="false">IF(OR(X172="긴급",LEFT(Y172,2)="긴급",W172="필요",W172="완료"),"대상","")</f>
        <v/>
      </c>
      <c r="AA172" s="59" t="str">
        <f aca="false">IF(M172&lt;&gt;"",M172,IF(AK172&gt;0,IF(W172="필요","추가상담 대기","완료"),IF(AJ172&gt;0,"결과상담 대기",IF(AI172&gt;0,"측정 대기","미방문"))))</f>
        <v>미방문</v>
      </c>
      <c r="AB172" s="60" t="str">
        <f aca="false">IF($AI172=0,"",IF(INDEX(입력_운동!$A$5:$A$1004,$AI172)="","",INDEX(입력_운동!$A$5:$A$1004,$AI172)))</f>
        <v/>
      </c>
      <c r="AC172" s="60" t="str">
        <f aca="false">IF($AJ172=0,"",IF(INDEX(입력_측정!$A$5:$A$1004,$AJ172)="","",INDEX(입력_측정!$A$5:$A$1004,$AJ172)))</f>
        <v/>
      </c>
      <c r="AD172" s="60" t="str">
        <f aca="false">IF($AK172=0,"",IF(INDEX(입력_상담!$A$5:$A$1004,$AK172)="","",INDEX(입력_상담!$A$5:$A$1004,$AK172)))</f>
        <v/>
      </c>
      <c r="AE172" s="25" t="str">
        <f aca="false">IF(AND(ISNUMBER(AB172),ISNUMBER(AC172)),IF(AC172&gt;=AB172,ROUND((AC172-AB172)*1440,0),""),"")</f>
        <v/>
      </c>
      <c r="AF172" s="25" t="str">
        <f aca="false">IF(AND(ISNUMBER(AC172),ISNUMBER(AD172)),IF(AD172&gt;=AC172,ROUND((AD172-AC172)*1440,0),""),"")</f>
        <v/>
      </c>
      <c r="AG172" s="25" t="str">
        <f aca="false">IF(AND(AA172="완료",ISNUMBER(AB172),ISNUMBER(AD172)),IF(AD172&gt;=AB172,ROUND((AD172-AB172)*1440,0),""),"")</f>
        <v/>
      </c>
      <c r="AH172" s="61" t="str">
        <f aca="false">IF(AND(AK172&gt;0,AJ172=0),"측정 기록 없음",IF(AND(AJ172&gt;0,AI172=0),"운동평가 기록 없음",IF(OR(COUNTIF(입력_운동!$B$5:$B$1004,$A172)&gt;1,COUNTIF(입력_측정!$B$5:$B$1004,$A172)&gt;1),"중복 입력","")))</f>
        <v/>
      </c>
      <c r="AI172" s="62" t="n">
        <f aca="false">SUMPRODUCT(MAX((입력_운동!$B$5:$B$1004=$A172)*(ROW(입력_운동!$B$5:$B$1004)-4)))</f>
        <v>0</v>
      </c>
      <c r="AJ172" s="62" t="n">
        <f aca="false">SUMPRODUCT(MAX((입력_측정!$B$5:$B$1004=$A172)*(ROW(입력_측정!$B$5:$B$1004)-4)))</f>
        <v>0</v>
      </c>
      <c r="AK172" s="62" t="n">
        <f aca="false">SUMPRODUCT(MAX((입력_상담!$B$5:$B$1004=$A172)*(ROW(입력_상담!$B$5:$B$1004)-4)))</f>
        <v>0</v>
      </c>
    </row>
    <row r="173" customFormat="false" ht="15" hidden="false" customHeight="false" outlineLevel="0" collapsed="false">
      <c r="A173" s="55" t="n">
        <v>169</v>
      </c>
      <c r="B173" s="56"/>
      <c r="C173" s="24"/>
      <c r="D173" s="24"/>
      <c r="E173" s="56"/>
      <c r="F173" s="57"/>
      <c r="G173" s="58"/>
      <c r="H173" s="56"/>
      <c r="I173" s="24"/>
      <c r="J173" s="24"/>
      <c r="K173" s="24"/>
      <c r="L173" s="24"/>
      <c r="M173" s="24"/>
      <c r="N173" s="56"/>
      <c r="O173" s="25" t="str">
        <f aca="false">IF($AI173=0,"",IF(INDEX(입력_운동!$C$5:$C$1004,$AI173)="","",INDEX(입력_운동!$C$5:$C$1004,$AI173)))</f>
        <v/>
      </c>
      <c r="P173" s="25" t="str">
        <f aca="false">IF($AI173=0,"",IF(INDEX(입력_운동!$D$5:$D$1004,$AI173)="","",INDEX(입력_운동!$D$5:$D$1004,$AI173)))</f>
        <v/>
      </c>
      <c r="Q173" s="25" t="str">
        <f aca="false">IF($AI173=0,"",IF(INDEX(입력_운동!$E$5:$E$1004,$AI173)="","",INDEX(입력_운동!$E$5:$E$1004,$AI173)))</f>
        <v/>
      </c>
      <c r="R173" s="25" t="str">
        <f aca="false">IF($AI173=0,"",IF(INDEX(입력_운동!$F$5:$F$1004,$AI173)="","",INDEX(입력_운동!$F$5:$F$1004,$AI173)))</f>
        <v/>
      </c>
      <c r="S173" s="25" t="str">
        <f aca="false">IF($AJ173=0,"",IF(INDEX(입력_측정!$C$5:$C$1004,$AJ173)="","",INDEX(입력_측정!$C$5:$C$1004,$AJ173)))</f>
        <v/>
      </c>
      <c r="T173" s="25" t="str">
        <f aca="false">IF($AJ173=0,"",IF(INDEX(입력_측정!$D$5:$D$1004,$AJ173)="","",INDEX(입력_측정!$D$5:$D$1004,$AJ173)))</f>
        <v/>
      </c>
      <c r="U173" s="25" t="str">
        <f aca="false">IF($AJ173=0,"",IF(INDEX(입력_측정!$E$5:$E$1004,$AJ173)="","",INDEX(입력_측정!$E$5:$E$1004,$AJ173)))</f>
        <v/>
      </c>
      <c r="V173" s="25" t="str">
        <f aca="false">IF($AJ173=0,"",IF(INDEX(입력_측정!$F$5:$F$1004,$AJ173)="","",INDEX(입력_측정!$F$5:$F$1004,$AJ173)))</f>
        <v/>
      </c>
      <c r="W173" s="25" t="str">
        <f aca="false">IF($AK173=0,"",IF(INDEX(입력_상담!$D$5:$D$1004,$AK173)="","",INDEX(입력_상담!$D$5:$D$1004,$AK173)))</f>
        <v/>
      </c>
      <c r="X173" s="25" t="str">
        <f aca="false">IF($AJ173=0,"",IF(INDEX(입력_측정!$I$5:$I$1004,$AJ173)="","",INDEX(입력_측정!$I$5:$I$1004,$AJ173)))</f>
        <v/>
      </c>
      <c r="Y173" s="25" t="str">
        <f aca="false">IF($AJ173=0,"",IF(INDEX(입력_측정!$J$5:$J$1004,$AJ173)="","",INDEX(입력_측정!$J$5:$J$1004,$AJ173)))</f>
        <v/>
      </c>
      <c r="Z173" s="25" t="str">
        <f aca="false">IF(OR(X173="긴급",LEFT(Y173,2)="긴급",W173="필요",W173="완료"),"대상","")</f>
        <v/>
      </c>
      <c r="AA173" s="59" t="str">
        <f aca="false">IF(M173&lt;&gt;"",M173,IF(AK173&gt;0,IF(W173="필요","추가상담 대기","완료"),IF(AJ173&gt;0,"결과상담 대기",IF(AI173&gt;0,"측정 대기","미방문"))))</f>
        <v>미방문</v>
      </c>
      <c r="AB173" s="60" t="str">
        <f aca="false">IF($AI173=0,"",IF(INDEX(입력_운동!$A$5:$A$1004,$AI173)="","",INDEX(입력_운동!$A$5:$A$1004,$AI173)))</f>
        <v/>
      </c>
      <c r="AC173" s="60" t="str">
        <f aca="false">IF($AJ173=0,"",IF(INDEX(입력_측정!$A$5:$A$1004,$AJ173)="","",INDEX(입력_측정!$A$5:$A$1004,$AJ173)))</f>
        <v/>
      </c>
      <c r="AD173" s="60" t="str">
        <f aca="false">IF($AK173=0,"",IF(INDEX(입력_상담!$A$5:$A$1004,$AK173)="","",INDEX(입력_상담!$A$5:$A$1004,$AK173)))</f>
        <v/>
      </c>
      <c r="AE173" s="25" t="str">
        <f aca="false">IF(AND(ISNUMBER(AB173),ISNUMBER(AC173)),IF(AC173&gt;=AB173,ROUND((AC173-AB173)*1440,0),""),"")</f>
        <v/>
      </c>
      <c r="AF173" s="25" t="str">
        <f aca="false">IF(AND(ISNUMBER(AC173),ISNUMBER(AD173)),IF(AD173&gt;=AC173,ROUND((AD173-AC173)*1440,0),""),"")</f>
        <v/>
      </c>
      <c r="AG173" s="25" t="str">
        <f aca="false">IF(AND(AA173="완료",ISNUMBER(AB173),ISNUMBER(AD173)),IF(AD173&gt;=AB173,ROUND((AD173-AB173)*1440,0),""),"")</f>
        <v/>
      </c>
      <c r="AH173" s="61" t="str">
        <f aca="false">IF(AND(AK173&gt;0,AJ173=0),"측정 기록 없음",IF(AND(AJ173&gt;0,AI173=0),"운동평가 기록 없음",IF(OR(COUNTIF(입력_운동!$B$5:$B$1004,$A173)&gt;1,COUNTIF(입력_측정!$B$5:$B$1004,$A173)&gt;1),"중복 입력","")))</f>
        <v/>
      </c>
      <c r="AI173" s="62" t="n">
        <f aca="false">SUMPRODUCT(MAX((입력_운동!$B$5:$B$1004=$A173)*(ROW(입력_운동!$B$5:$B$1004)-4)))</f>
        <v>0</v>
      </c>
      <c r="AJ173" s="62" t="n">
        <f aca="false">SUMPRODUCT(MAX((입력_측정!$B$5:$B$1004=$A173)*(ROW(입력_측정!$B$5:$B$1004)-4)))</f>
        <v>0</v>
      </c>
      <c r="AK173" s="62" t="n">
        <f aca="false">SUMPRODUCT(MAX((입력_상담!$B$5:$B$1004=$A173)*(ROW(입력_상담!$B$5:$B$1004)-4)))</f>
        <v>0</v>
      </c>
    </row>
    <row r="174" customFormat="false" ht="15" hidden="false" customHeight="false" outlineLevel="0" collapsed="false">
      <c r="A174" s="55" t="n">
        <v>170</v>
      </c>
      <c r="B174" s="56"/>
      <c r="C174" s="24"/>
      <c r="D174" s="24"/>
      <c r="E174" s="56"/>
      <c r="F174" s="57"/>
      <c r="G174" s="58"/>
      <c r="H174" s="56"/>
      <c r="I174" s="24"/>
      <c r="J174" s="24"/>
      <c r="K174" s="24"/>
      <c r="L174" s="24"/>
      <c r="M174" s="24"/>
      <c r="N174" s="56"/>
      <c r="O174" s="25" t="str">
        <f aca="false">IF($AI174=0,"",IF(INDEX(입력_운동!$C$5:$C$1004,$AI174)="","",INDEX(입력_운동!$C$5:$C$1004,$AI174)))</f>
        <v/>
      </c>
      <c r="P174" s="25" t="str">
        <f aca="false">IF($AI174=0,"",IF(INDEX(입력_운동!$D$5:$D$1004,$AI174)="","",INDEX(입력_운동!$D$5:$D$1004,$AI174)))</f>
        <v/>
      </c>
      <c r="Q174" s="25" t="str">
        <f aca="false">IF($AI174=0,"",IF(INDEX(입력_운동!$E$5:$E$1004,$AI174)="","",INDEX(입력_운동!$E$5:$E$1004,$AI174)))</f>
        <v/>
      </c>
      <c r="R174" s="25" t="str">
        <f aca="false">IF($AI174=0,"",IF(INDEX(입력_운동!$F$5:$F$1004,$AI174)="","",INDEX(입력_운동!$F$5:$F$1004,$AI174)))</f>
        <v/>
      </c>
      <c r="S174" s="25" t="str">
        <f aca="false">IF($AJ174=0,"",IF(INDEX(입력_측정!$C$5:$C$1004,$AJ174)="","",INDEX(입력_측정!$C$5:$C$1004,$AJ174)))</f>
        <v/>
      </c>
      <c r="T174" s="25" t="str">
        <f aca="false">IF($AJ174=0,"",IF(INDEX(입력_측정!$D$5:$D$1004,$AJ174)="","",INDEX(입력_측정!$D$5:$D$1004,$AJ174)))</f>
        <v/>
      </c>
      <c r="U174" s="25" t="str">
        <f aca="false">IF($AJ174=0,"",IF(INDEX(입력_측정!$E$5:$E$1004,$AJ174)="","",INDEX(입력_측정!$E$5:$E$1004,$AJ174)))</f>
        <v/>
      </c>
      <c r="V174" s="25" t="str">
        <f aca="false">IF($AJ174=0,"",IF(INDEX(입력_측정!$F$5:$F$1004,$AJ174)="","",INDEX(입력_측정!$F$5:$F$1004,$AJ174)))</f>
        <v/>
      </c>
      <c r="W174" s="25" t="str">
        <f aca="false">IF($AK174=0,"",IF(INDEX(입력_상담!$D$5:$D$1004,$AK174)="","",INDEX(입력_상담!$D$5:$D$1004,$AK174)))</f>
        <v/>
      </c>
      <c r="X174" s="25" t="str">
        <f aca="false">IF($AJ174=0,"",IF(INDEX(입력_측정!$I$5:$I$1004,$AJ174)="","",INDEX(입력_측정!$I$5:$I$1004,$AJ174)))</f>
        <v/>
      </c>
      <c r="Y174" s="25" t="str">
        <f aca="false">IF($AJ174=0,"",IF(INDEX(입력_측정!$J$5:$J$1004,$AJ174)="","",INDEX(입력_측정!$J$5:$J$1004,$AJ174)))</f>
        <v/>
      </c>
      <c r="Z174" s="25" t="str">
        <f aca="false">IF(OR(X174="긴급",LEFT(Y174,2)="긴급",W174="필요",W174="완료"),"대상","")</f>
        <v/>
      </c>
      <c r="AA174" s="59" t="str">
        <f aca="false">IF(M174&lt;&gt;"",M174,IF(AK174&gt;0,IF(W174="필요","추가상담 대기","완료"),IF(AJ174&gt;0,"결과상담 대기",IF(AI174&gt;0,"측정 대기","미방문"))))</f>
        <v>미방문</v>
      </c>
      <c r="AB174" s="60" t="str">
        <f aca="false">IF($AI174=0,"",IF(INDEX(입력_운동!$A$5:$A$1004,$AI174)="","",INDEX(입력_운동!$A$5:$A$1004,$AI174)))</f>
        <v/>
      </c>
      <c r="AC174" s="60" t="str">
        <f aca="false">IF($AJ174=0,"",IF(INDEX(입력_측정!$A$5:$A$1004,$AJ174)="","",INDEX(입력_측정!$A$5:$A$1004,$AJ174)))</f>
        <v/>
      </c>
      <c r="AD174" s="60" t="str">
        <f aca="false">IF($AK174=0,"",IF(INDEX(입력_상담!$A$5:$A$1004,$AK174)="","",INDEX(입력_상담!$A$5:$A$1004,$AK174)))</f>
        <v/>
      </c>
      <c r="AE174" s="25" t="str">
        <f aca="false">IF(AND(ISNUMBER(AB174),ISNUMBER(AC174)),IF(AC174&gt;=AB174,ROUND((AC174-AB174)*1440,0),""),"")</f>
        <v/>
      </c>
      <c r="AF174" s="25" t="str">
        <f aca="false">IF(AND(ISNUMBER(AC174),ISNUMBER(AD174)),IF(AD174&gt;=AC174,ROUND((AD174-AC174)*1440,0),""),"")</f>
        <v/>
      </c>
      <c r="AG174" s="25" t="str">
        <f aca="false">IF(AND(AA174="완료",ISNUMBER(AB174),ISNUMBER(AD174)),IF(AD174&gt;=AB174,ROUND((AD174-AB174)*1440,0),""),"")</f>
        <v/>
      </c>
      <c r="AH174" s="61" t="str">
        <f aca="false">IF(AND(AK174&gt;0,AJ174=0),"측정 기록 없음",IF(AND(AJ174&gt;0,AI174=0),"운동평가 기록 없음",IF(OR(COUNTIF(입력_운동!$B$5:$B$1004,$A174)&gt;1,COUNTIF(입력_측정!$B$5:$B$1004,$A174)&gt;1),"중복 입력","")))</f>
        <v/>
      </c>
      <c r="AI174" s="62" t="n">
        <f aca="false">SUMPRODUCT(MAX((입력_운동!$B$5:$B$1004=$A174)*(ROW(입력_운동!$B$5:$B$1004)-4)))</f>
        <v>0</v>
      </c>
      <c r="AJ174" s="62" t="n">
        <f aca="false">SUMPRODUCT(MAX((입력_측정!$B$5:$B$1004=$A174)*(ROW(입력_측정!$B$5:$B$1004)-4)))</f>
        <v>0</v>
      </c>
      <c r="AK174" s="62" t="n">
        <f aca="false">SUMPRODUCT(MAX((입력_상담!$B$5:$B$1004=$A174)*(ROW(입력_상담!$B$5:$B$1004)-4)))</f>
        <v>0</v>
      </c>
    </row>
    <row r="175" customFormat="false" ht="15" hidden="false" customHeight="false" outlineLevel="0" collapsed="false">
      <c r="A175" s="55" t="n">
        <v>171</v>
      </c>
      <c r="B175" s="56"/>
      <c r="C175" s="24"/>
      <c r="D175" s="24"/>
      <c r="E175" s="56"/>
      <c r="F175" s="57"/>
      <c r="G175" s="58"/>
      <c r="H175" s="56"/>
      <c r="I175" s="24"/>
      <c r="J175" s="24"/>
      <c r="K175" s="24"/>
      <c r="L175" s="24"/>
      <c r="M175" s="24"/>
      <c r="N175" s="56"/>
      <c r="O175" s="25" t="str">
        <f aca="false">IF($AI175=0,"",IF(INDEX(입력_운동!$C$5:$C$1004,$AI175)="","",INDEX(입력_운동!$C$5:$C$1004,$AI175)))</f>
        <v/>
      </c>
      <c r="P175" s="25" t="str">
        <f aca="false">IF($AI175=0,"",IF(INDEX(입력_운동!$D$5:$D$1004,$AI175)="","",INDEX(입력_운동!$D$5:$D$1004,$AI175)))</f>
        <v/>
      </c>
      <c r="Q175" s="25" t="str">
        <f aca="false">IF($AI175=0,"",IF(INDEX(입력_운동!$E$5:$E$1004,$AI175)="","",INDEX(입력_운동!$E$5:$E$1004,$AI175)))</f>
        <v/>
      </c>
      <c r="R175" s="25" t="str">
        <f aca="false">IF($AI175=0,"",IF(INDEX(입력_운동!$F$5:$F$1004,$AI175)="","",INDEX(입력_운동!$F$5:$F$1004,$AI175)))</f>
        <v/>
      </c>
      <c r="S175" s="25" t="str">
        <f aca="false">IF($AJ175=0,"",IF(INDEX(입력_측정!$C$5:$C$1004,$AJ175)="","",INDEX(입력_측정!$C$5:$C$1004,$AJ175)))</f>
        <v/>
      </c>
      <c r="T175" s="25" t="str">
        <f aca="false">IF($AJ175=0,"",IF(INDEX(입력_측정!$D$5:$D$1004,$AJ175)="","",INDEX(입력_측정!$D$5:$D$1004,$AJ175)))</f>
        <v/>
      </c>
      <c r="U175" s="25" t="str">
        <f aca="false">IF($AJ175=0,"",IF(INDEX(입력_측정!$E$5:$E$1004,$AJ175)="","",INDEX(입력_측정!$E$5:$E$1004,$AJ175)))</f>
        <v/>
      </c>
      <c r="V175" s="25" t="str">
        <f aca="false">IF($AJ175=0,"",IF(INDEX(입력_측정!$F$5:$F$1004,$AJ175)="","",INDEX(입력_측정!$F$5:$F$1004,$AJ175)))</f>
        <v/>
      </c>
      <c r="W175" s="25" t="str">
        <f aca="false">IF($AK175=0,"",IF(INDEX(입력_상담!$D$5:$D$1004,$AK175)="","",INDEX(입력_상담!$D$5:$D$1004,$AK175)))</f>
        <v/>
      </c>
      <c r="X175" s="25" t="str">
        <f aca="false">IF($AJ175=0,"",IF(INDEX(입력_측정!$I$5:$I$1004,$AJ175)="","",INDEX(입력_측정!$I$5:$I$1004,$AJ175)))</f>
        <v/>
      </c>
      <c r="Y175" s="25" t="str">
        <f aca="false">IF($AJ175=0,"",IF(INDEX(입력_측정!$J$5:$J$1004,$AJ175)="","",INDEX(입력_측정!$J$5:$J$1004,$AJ175)))</f>
        <v/>
      </c>
      <c r="Z175" s="25" t="str">
        <f aca="false">IF(OR(X175="긴급",LEFT(Y175,2)="긴급",W175="필요",W175="완료"),"대상","")</f>
        <v/>
      </c>
      <c r="AA175" s="59" t="str">
        <f aca="false">IF(M175&lt;&gt;"",M175,IF(AK175&gt;0,IF(W175="필요","추가상담 대기","완료"),IF(AJ175&gt;0,"결과상담 대기",IF(AI175&gt;0,"측정 대기","미방문"))))</f>
        <v>미방문</v>
      </c>
      <c r="AB175" s="60" t="str">
        <f aca="false">IF($AI175=0,"",IF(INDEX(입력_운동!$A$5:$A$1004,$AI175)="","",INDEX(입력_운동!$A$5:$A$1004,$AI175)))</f>
        <v/>
      </c>
      <c r="AC175" s="60" t="str">
        <f aca="false">IF($AJ175=0,"",IF(INDEX(입력_측정!$A$5:$A$1004,$AJ175)="","",INDEX(입력_측정!$A$5:$A$1004,$AJ175)))</f>
        <v/>
      </c>
      <c r="AD175" s="60" t="str">
        <f aca="false">IF($AK175=0,"",IF(INDEX(입력_상담!$A$5:$A$1004,$AK175)="","",INDEX(입력_상담!$A$5:$A$1004,$AK175)))</f>
        <v/>
      </c>
      <c r="AE175" s="25" t="str">
        <f aca="false">IF(AND(ISNUMBER(AB175),ISNUMBER(AC175)),IF(AC175&gt;=AB175,ROUND((AC175-AB175)*1440,0),""),"")</f>
        <v/>
      </c>
      <c r="AF175" s="25" t="str">
        <f aca="false">IF(AND(ISNUMBER(AC175),ISNUMBER(AD175)),IF(AD175&gt;=AC175,ROUND((AD175-AC175)*1440,0),""),"")</f>
        <v/>
      </c>
      <c r="AG175" s="25" t="str">
        <f aca="false">IF(AND(AA175="완료",ISNUMBER(AB175),ISNUMBER(AD175)),IF(AD175&gt;=AB175,ROUND((AD175-AB175)*1440,0),""),"")</f>
        <v/>
      </c>
      <c r="AH175" s="61" t="str">
        <f aca="false">IF(AND(AK175&gt;0,AJ175=0),"측정 기록 없음",IF(AND(AJ175&gt;0,AI175=0),"운동평가 기록 없음",IF(OR(COUNTIF(입력_운동!$B$5:$B$1004,$A175)&gt;1,COUNTIF(입력_측정!$B$5:$B$1004,$A175)&gt;1),"중복 입력","")))</f>
        <v/>
      </c>
      <c r="AI175" s="62" t="n">
        <f aca="false">SUMPRODUCT(MAX((입력_운동!$B$5:$B$1004=$A175)*(ROW(입력_운동!$B$5:$B$1004)-4)))</f>
        <v>0</v>
      </c>
      <c r="AJ175" s="62" t="n">
        <f aca="false">SUMPRODUCT(MAX((입력_측정!$B$5:$B$1004=$A175)*(ROW(입력_측정!$B$5:$B$1004)-4)))</f>
        <v>0</v>
      </c>
      <c r="AK175" s="62" t="n">
        <f aca="false">SUMPRODUCT(MAX((입력_상담!$B$5:$B$1004=$A175)*(ROW(입력_상담!$B$5:$B$1004)-4)))</f>
        <v>0</v>
      </c>
    </row>
    <row r="176" customFormat="false" ht="15" hidden="false" customHeight="false" outlineLevel="0" collapsed="false">
      <c r="A176" s="55" t="n">
        <v>172</v>
      </c>
      <c r="B176" s="56"/>
      <c r="C176" s="24"/>
      <c r="D176" s="24"/>
      <c r="E176" s="56"/>
      <c r="F176" s="57"/>
      <c r="G176" s="58"/>
      <c r="H176" s="56"/>
      <c r="I176" s="24"/>
      <c r="J176" s="24"/>
      <c r="K176" s="24"/>
      <c r="L176" s="24"/>
      <c r="M176" s="24"/>
      <c r="N176" s="56"/>
      <c r="O176" s="25" t="str">
        <f aca="false">IF($AI176=0,"",IF(INDEX(입력_운동!$C$5:$C$1004,$AI176)="","",INDEX(입력_운동!$C$5:$C$1004,$AI176)))</f>
        <v/>
      </c>
      <c r="P176" s="25" t="str">
        <f aca="false">IF($AI176=0,"",IF(INDEX(입력_운동!$D$5:$D$1004,$AI176)="","",INDEX(입력_운동!$D$5:$D$1004,$AI176)))</f>
        <v/>
      </c>
      <c r="Q176" s="25" t="str">
        <f aca="false">IF($AI176=0,"",IF(INDEX(입력_운동!$E$5:$E$1004,$AI176)="","",INDEX(입력_운동!$E$5:$E$1004,$AI176)))</f>
        <v/>
      </c>
      <c r="R176" s="25" t="str">
        <f aca="false">IF($AI176=0,"",IF(INDEX(입력_운동!$F$5:$F$1004,$AI176)="","",INDEX(입력_운동!$F$5:$F$1004,$AI176)))</f>
        <v/>
      </c>
      <c r="S176" s="25" t="str">
        <f aca="false">IF($AJ176=0,"",IF(INDEX(입력_측정!$C$5:$C$1004,$AJ176)="","",INDEX(입력_측정!$C$5:$C$1004,$AJ176)))</f>
        <v/>
      </c>
      <c r="T176" s="25" t="str">
        <f aca="false">IF($AJ176=0,"",IF(INDEX(입력_측정!$D$5:$D$1004,$AJ176)="","",INDEX(입력_측정!$D$5:$D$1004,$AJ176)))</f>
        <v/>
      </c>
      <c r="U176" s="25" t="str">
        <f aca="false">IF($AJ176=0,"",IF(INDEX(입력_측정!$E$5:$E$1004,$AJ176)="","",INDEX(입력_측정!$E$5:$E$1004,$AJ176)))</f>
        <v/>
      </c>
      <c r="V176" s="25" t="str">
        <f aca="false">IF($AJ176=0,"",IF(INDEX(입력_측정!$F$5:$F$1004,$AJ176)="","",INDEX(입력_측정!$F$5:$F$1004,$AJ176)))</f>
        <v/>
      </c>
      <c r="W176" s="25" t="str">
        <f aca="false">IF($AK176=0,"",IF(INDEX(입력_상담!$D$5:$D$1004,$AK176)="","",INDEX(입력_상담!$D$5:$D$1004,$AK176)))</f>
        <v/>
      </c>
      <c r="X176" s="25" t="str">
        <f aca="false">IF($AJ176=0,"",IF(INDEX(입력_측정!$I$5:$I$1004,$AJ176)="","",INDEX(입력_측정!$I$5:$I$1004,$AJ176)))</f>
        <v/>
      </c>
      <c r="Y176" s="25" t="str">
        <f aca="false">IF($AJ176=0,"",IF(INDEX(입력_측정!$J$5:$J$1004,$AJ176)="","",INDEX(입력_측정!$J$5:$J$1004,$AJ176)))</f>
        <v/>
      </c>
      <c r="Z176" s="25" t="str">
        <f aca="false">IF(OR(X176="긴급",LEFT(Y176,2)="긴급",W176="필요",W176="완료"),"대상","")</f>
        <v/>
      </c>
      <c r="AA176" s="59" t="str">
        <f aca="false">IF(M176&lt;&gt;"",M176,IF(AK176&gt;0,IF(W176="필요","추가상담 대기","완료"),IF(AJ176&gt;0,"결과상담 대기",IF(AI176&gt;0,"측정 대기","미방문"))))</f>
        <v>미방문</v>
      </c>
      <c r="AB176" s="60" t="str">
        <f aca="false">IF($AI176=0,"",IF(INDEX(입력_운동!$A$5:$A$1004,$AI176)="","",INDEX(입력_운동!$A$5:$A$1004,$AI176)))</f>
        <v/>
      </c>
      <c r="AC176" s="60" t="str">
        <f aca="false">IF($AJ176=0,"",IF(INDEX(입력_측정!$A$5:$A$1004,$AJ176)="","",INDEX(입력_측정!$A$5:$A$1004,$AJ176)))</f>
        <v/>
      </c>
      <c r="AD176" s="60" t="str">
        <f aca="false">IF($AK176=0,"",IF(INDEX(입력_상담!$A$5:$A$1004,$AK176)="","",INDEX(입력_상담!$A$5:$A$1004,$AK176)))</f>
        <v/>
      </c>
      <c r="AE176" s="25" t="str">
        <f aca="false">IF(AND(ISNUMBER(AB176),ISNUMBER(AC176)),IF(AC176&gt;=AB176,ROUND((AC176-AB176)*1440,0),""),"")</f>
        <v/>
      </c>
      <c r="AF176" s="25" t="str">
        <f aca="false">IF(AND(ISNUMBER(AC176),ISNUMBER(AD176)),IF(AD176&gt;=AC176,ROUND((AD176-AC176)*1440,0),""),"")</f>
        <v/>
      </c>
      <c r="AG176" s="25" t="str">
        <f aca="false">IF(AND(AA176="완료",ISNUMBER(AB176),ISNUMBER(AD176)),IF(AD176&gt;=AB176,ROUND((AD176-AB176)*1440,0),""),"")</f>
        <v/>
      </c>
      <c r="AH176" s="61" t="str">
        <f aca="false">IF(AND(AK176&gt;0,AJ176=0),"측정 기록 없음",IF(AND(AJ176&gt;0,AI176=0),"운동평가 기록 없음",IF(OR(COUNTIF(입력_운동!$B$5:$B$1004,$A176)&gt;1,COUNTIF(입력_측정!$B$5:$B$1004,$A176)&gt;1),"중복 입력","")))</f>
        <v/>
      </c>
      <c r="AI176" s="62" t="n">
        <f aca="false">SUMPRODUCT(MAX((입력_운동!$B$5:$B$1004=$A176)*(ROW(입력_운동!$B$5:$B$1004)-4)))</f>
        <v>0</v>
      </c>
      <c r="AJ176" s="62" t="n">
        <f aca="false">SUMPRODUCT(MAX((입력_측정!$B$5:$B$1004=$A176)*(ROW(입력_측정!$B$5:$B$1004)-4)))</f>
        <v>0</v>
      </c>
      <c r="AK176" s="62" t="n">
        <f aca="false">SUMPRODUCT(MAX((입력_상담!$B$5:$B$1004=$A176)*(ROW(입력_상담!$B$5:$B$1004)-4)))</f>
        <v>0</v>
      </c>
    </row>
    <row r="177" customFormat="false" ht="15" hidden="false" customHeight="false" outlineLevel="0" collapsed="false">
      <c r="A177" s="55" t="n">
        <v>173</v>
      </c>
      <c r="B177" s="56"/>
      <c r="C177" s="24"/>
      <c r="D177" s="24"/>
      <c r="E177" s="56"/>
      <c r="F177" s="57"/>
      <c r="G177" s="58"/>
      <c r="H177" s="56"/>
      <c r="I177" s="24"/>
      <c r="J177" s="24"/>
      <c r="K177" s="24"/>
      <c r="L177" s="24"/>
      <c r="M177" s="24"/>
      <c r="N177" s="56"/>
      <c r="O177" s="25" t="str">
        <f aca="false">IF($AI177=0,"",IF(INDEX(입력_운동!$C$5:$C$1004,$AI177)="","",INDEX(입력_운동!$C$5:$C$1004,$AI177)))</f>
        <v/>
      </c>
      <c r="P177" s="25" t="str">
        <f aca="false">IF($AI177=0,"",IF(INDEX(입력_운동!$D$5:$D$1004,$AI177)="","",INDEX(입력_운동!$D$5:$D$1004,$AI177)))</f>
        <v/>
      </c>
      <c r="Q177" s="25" t="str">
        <f aca="false">IF($AI177=0,"",IF(INDEX(입력_운동!$E$5:$E$1004,$AI177)="","",INDEX(입력_운동!$E$5:$E$1004,$AI177)))</f>
        <v/>
      </c>
      <c r="R177" s="25" t="str">
        <f aca="false">IF($AI177=0,"",IF(INDEX(입력_운동!$F$5:$F$1004,$AI177)="","",INDEX(입력_운동!$F$5:$F$1004,$AI177)))</f>
        <v/>
      </c>
      <c r="S177" s="25" t="str">
        <f aca="false">IF($AJ177=0,"",IF(INDEX(입력_측정!$C$5:$C$1004,$AJ177)="","",INDEX(입력_측정!$C$5:$C$1004,$AJ177)))</f>
        <v/>
      </c>
      <c r="T177" s="25" t="str">
        <f aca="false">IF($AJ177=0,"",IF(INDEX(입력_측정!$D$5:$D$1004,$AJ177)="","",INDEX(입력_측정!$D$5:$D$1004,$AJ177)))</f>
        <v/>
      </c>
      <c r="U177" s="25" t="str">
        <f aca="false">IF($AJ177=0,"",IF(INDEX(입력_측정!$E$5:$E$1004,$AJ177)="","",INDEX(입력_측정!$E$5:$E$1004,$AJ177)))</f>
        <v/>
      </c>
      <c r="V177" s="25" t="str">
        <f aca="false">IF($AJ177=0,"",IF(INDEX(입력_측정!$F$5:$F$1004,$AJ177)="","",INDEX(입력_측정!$F$5:$F$1004,$AJ177)))</f>
        <v/>
      </c>
      <c r="W177" s="25" t="str">
        <f aca="false">IF($AK177=0,"",IF(INDEX(입력_상담!$D$5:$D$1004,$AK177)="","",INDEX(입력_상담!$D$5:$D$1004,$AK177)))</f>
        <v/>
      </c>
      <c r="X177" s="25" t="str">
        <f aca="false">IF($AJ177=0,"",IF(INDEX(입력_측정!$I$5:$I$1004,$AJ177)="","",INDEX(입력_측정!$I$5:$I$1004,$AJ177)))</f>
        <v/>
      </c>
      <c r="Y177" s="25" t="str">
        <f aca="false">IF($AJ177=0,"",IF(INDEX(입력_측정!$J$5:$J$1004,$AJ177)="","",INDEX(입력_측정!$J$5:$J$1004,$AJ177)))</f>
        <v/>
      </c>
      <c r="Z177" s="25" t="str">
        <f aca="false">IF(OR(X177="긴급",LEFT(Y177,2)="긴급",W177="필요",W177="완료"),"대상","")</f>
        <v/>
      </c>
      <c r="AA177" s="59" t="str">
        <f aca="false">IF(M177&lt;&gt;"",M177,IF(AK177&gt;0,IF(W177="필요","추가상담 대기","완료"),IF(AJ177&gt;0,"결과상담 대기",IF(AI177&gt;0,"측정 대기","미방문"))))</f>
        <v>미방문</v>
      </c>
      <c r="AB177" s="60" t="str">
        <f aca="false">IF($AI177=0,"",IF(INDEX(입력_운동!$A$5:$A$1004,$AI177)="","",INDEX(입력_운동!$A$5:$A$1004,$AI177)))</f>
        <v/>
      </c>
      <c r="AC177" s="60" t="str">
        <f aca="false">IF($AJ177=0,"",IF(INDEX(입력_측정!$A$5:$A$1004,$AJ177)="","",INDEX(입력_측정!$A$5:$A$1004,$AJ177)))</f>
        <v/>
      </c>
      <c r="AD177" s="60" t="str">
        <f aca="false">IF($AK177=0,"",IF(INDEX(입력_상담!$A$5:$A$1004,$AK177)="","",INDEX(입력_상담!$A$5:$A$1004,$AK177)))</f>
        <v/>
      </c>
      <c r="AE177" s="25" t="str">
        <f aca="false">IF(AND(ISNUMBER(AB177),ISNUMBER(AC177)),IF(AC177&gt;=AB177,ROUND((AC177-AB177)*1440,0),""),"")</f>
        <v/>
      </c>
      <c r="AF177" s="25" t="str">
        <f aca="false">IF(AND(ISNUMBER(AC177),ISNUMBER(AD177)),IF(AD177&gt;=AC177,ROUND((AD177-AC177)*1440,0),""),"")</f>
        <v/>
      </c>
      <c r="AG177" s="25" t="str">
        <f aca="false">IF(AND(AA177="완료",ISNUMBER(AB177),ISNUMBER(AD177)),IF(AD177&gt;=AB177,ROUND((AD177-AB177)*1440,0),""),"")</f>
        <v/>
      </c>
      <c r="AH177" s="61" t="str">
        <f aca="false">IF(AND(AK177&gt;0,AJ177=0),"측정 기록 없음",IF(AND(AJ177&gt;0,AI177=0),"운동평가 기록 없음",IF(OR(COUNTIF(입력_운동!$B$5:$B$1004,$A177)&gt;1,COUNTIF(입력_측정!$B$5:$B$1004,$A177)&gt;1),"중복 입력","")))</f>
        <v/>
      </c>
      <c r="AI177" s="62" t="n">
        <f aca="false">SUMPRODUCT(MAX((입력_운동!$B$5:$B$1004=$A177)*(ROW(입력_운동!$B$5:$B$1004)-4)))</f>
        <v>0</v>
      </c>
      <c r="AJ177" s="62" t="n">
        <f aca="false">SUMPRODUCT(MAX((입력_측정!$B$5:$B$1004=$A177)*(ROW(입력_측정!$B$5:$B$1004)-4)))</f>
        <v>0</v>
      </c>
      <c r="AK177" s="62" t="n">
        <f aca="false">SUMPRODUCT(MAX((입력_상담!$B$5:$B$1004=$A177)*(ROW(입력_상담!$B$5:$B$1004)-4)))</f>
        <v>0</v>
      </c>
    </row>
    <row r="178" customFormat="false" ht="15" hidden="false" customHeight="false" outlineLevel="0" collapsed="false">
      <c r="A178" s="55" t="n">
        <v>174</v>
      </c>
      <c r="B178" s="56"/>
      <c r="C178" s="24"/>
      <c r="D178" s="24"/>
      <c r="E178" s="56"/>
      <c r="F178" s="57"/>
      <c r="G178" s="58"/>
      <c r="H178" s="56"/>
      <c r="I178" s="24"/>
      <c r="J178" s="24"/>
      <c r="K178" s="24"/>
      <c r="L178" s="24"/>
      <c r="M178" s="24"/>
      <c r="N178" s="56"/>
      <c r="O178" s="25" t="str">
        <f aca="false">IF($AI178=0,"",IF(INDEX(입력_운동!$C$5:$C$1004,$AI178)="","",INDEX(입력_운동!$C$5:$C$1004,$AI178)))</f>
        <v/>
      </c>
      <c r="P178" s="25" t="str">
        <f aca="false">IF($AI178=0,"",IF(INDEX(입력_운동!$D$5:$D$1004,$AI178)="","",INDEX(입력_운동!$D$5:$D$1004,$AI178)))</f>
        <v/>
      </c>
      <c r="Q178" s="25" t="str">
        <f aca="false">IF($AI178=0,"",IF(INDEX(입력_운동!$E$5:$E$1004,$AI178)="","",INDEX(입력_운동!$E$5:$E$1004,$AI178)))</f>
        <v/>
      </c>
      <c r="R178" s="25" t="str">
        <f aca="false">IF($AI178=0,"",IF(INDEX(입력_운동!$F$5:$F$1004,$AI178)="","",INDEX(입력_운동!$F$5:$F$1004,$AI178)))</f>
        <v/>
      </c>
      <c r="S178" s="25" t="str">
        <f aca="false">IF($AJ178=0,"",IF(INDEX(입력_측정!$C$5:$C$1004,$AJ178)="","",INDEX(입력_측정!$C$5:$C$1004,$AJ178)))</f>
        <v/>
      </c>
      <c r="T178" s="25" t="str">
        <f aca="false">IF($AJ178=0,"",IF(INDEX(입력_측정!$D$5:$D$1004,$AJ178)="","",INDEX(입력_측정!$D$5:$D$1004,$AJ178)))</f>
        <v/>
      </c>
      <c r="U178" s="25" t="str">
        <f aca="false">IF($AJ178=0,"",IF(INDEX(입력_측정!$E$5:$E$1004,$AJ178)="","",INDEX(입력_측정!$E$5:$E$1004,$AJ178)))</f>
        <v/>
      </c>
      <c r="V178" s="25" t="str">
        <f aca="false">IF($AJ178=0,"",IF(INDEX(입력_측정!$F$5:$F$1004,$AJ178)="","",INDEX(입력_측정!$F$5:$F$1004,$AJ178)))</f>
        <v/>
      </c>
      <c r="W178" s="25" t="str">
        <f aca="false">IF($AK178=0,"",IF(INDEX(입력_상담!$D$5:$D$1004,$AK178)="","",INDEX(입력_상담!$D$5:$D$1004,$AK178)))</f>
        <v/>
      </c>
      <c r="X178" s="25" t="str">
        <f aca="false">IF($AJ178=0,"",IF(INDEX(입력_측정!$I$5:$I$1004,$AJ178)="","",INDEX(입력_측정!$I$5:$I$1004,$AJ178)))</f>
        <v/>
      </c>
      <c r="Y178" s="25" t="str">
        <f aca="false">IF($AJ178=0,"",IF(INDEX(입력_측정!$J$5:$J$1004,$AJ178)="","",INDEX(입력_측정!$J$5:$J$1004,$AJ178)))</f>
        <v/>
      </c>
      <c r="Z178" s="25" t="str">
        <f aca="false">IF(OR(X178="긴급",LEFT(Y178,2)="긴급",W178="필요",W178="완료"),"대상","")</f>
        <v/>
      </c>
      <c r="AA178" s="59" t="str">
        <f aca="false">IF(M178&lt;&gt;"",M178,IF(AK178&gt;0,IF(W178="필요","추가상담 대기","완료"),IF(AJ178&gt;0,"결과상담 대기",IF(AI178&gt;0,"측정 대기","미방문"))))</f>
        <v>미방문</v>
      </c>
      <c r="AB178" s="60" t="str">
        <f aca="false">IF($AI178=0,"",IF(INDEX(입력_운동!$A$5:$A$1004,$AI178)="","",INDEX(입력_운동!$A$5:$A$1004,$AI178)))</f>
        <v/>
      </c>
      <c r="AC178" s="60" t="str">
        <f aca="false">IF($AJ178=0,"",IF(INDEX(입력_측정!$A$5:$A$1004,$AJ178)="","",INDEX(입력_측정!$A$5:$A$1004,$AJ178)))</f>
        <v/>
      </c>
      <c r="AD178" s="60" t="str">
        <f aca="false">IF($AK178=0,"",IF(INDEX(입력_상담!$A$5:$A$1004,$AK178)="","",INDEX(입력_상담!$A$5:$A$1004,$AK178)))</f>
        <v/>
      </c>
      <c r="AE178" s="25" t="str">
        <f aca="false">IF(AND(ISNUMBER(AB178),ISNUMBER(AC178)),IF(AC178&gt;=AB178,ROUND((AC178-AB178)*1440,0),""),"")</f>
        <v/>
      </c>
      <c r="AF178" s="25" t="str">
        <f aca="false">IF(AND(ISNUMBER(AC178),ISNUMBER(AD178)),IF(AD178&gt;=AC178,ROUND((AD178-AC178)*1440,0),""),"")</f>
        <v/>
      </c>
      <c r="AG178" s="25" t="str">
        <f aca="false">IF(AND(AA178="완료",ISNUMBER(AB178),ISNUMBER(AD178)),IF(AD178&gt;=AB178,ROUND((AD178-AB178)*1440,0),""),"")</f>
        <v/>
      </c>
      <c r="AH178" s="61" t="str">
        <f aca="false">IF(AND(AK178&gt;0,AJ178=0),"측정 기록 없음",IF(AND(AJ178&gt;0,AI178=0),"운동평가 기록 없음",IF(OR(COUNTIF(입력_운동!$B$5:$B$1004,$A178)&gt;1,COUNTIF(입력_측정!$B$5:$B$1004,$A178)&gt;1),"중복 입력","")))</f>
        <v/>
      </c>
      <c r="AI178" s="62" t="n">
        <f aca="false">SUMPRODUCT(MAX((입력_운동!$B$5:$B$1004=$A178)*(ROW(입력_운동!$B$5:$B$1004)-4)))</f>
        <v>0</v>
      </c>
      <c r="AJ178" s="62" t="n">
        <f aca="false">SUMPRODUCT(MAX((입력_측정!$B$5:$B$1004=$A178)*(ROW(입력_측정!$B$5:$B$1004)-4)))</f>
        <v>0</v>
      </c>
      <c r="AK178" s="62" t="n">
        <f aca="false">SUMPRODUCT(MAX((입력_상담!$B$5:$B$1004=$A178)*(ROW(입력_상담!$B$5:$B$1004)-4)))</f>
        <v>0</v>
      </c>
    </row>
    <row r="179" customFormat="false" ht="15" hidden="false" customHeight="false" outlineLevel="0" collapsed="false">
      <c r="A179" s="55" t="n">
        <v>175</v>
      </c>
      <c r="B179" s="56"/>
      <c r="C179" s="24"/>
      <c r="D179" s="24"/>
      <c r="E179" s="56"/>
      <c r="F179" s="57"/>
      <c r="G179" s="58"/>
      <c r="H179" s="56"/>
      <c r="I179" s="24"/>
      <c r="J179" s="24"/>
      <c r="K179" s="24"/>
      <c r="L179" s="24"/>
      <c r="M179" s="24"/>
      <c r="N179" s="56"/>
      <c r="O179" s="25" t="str">
        <f aca="false">IF($AI179=0,"",IF(INDEX(입력_운동!$C$5:$C$1004,$AI179)="","",INDEX(입력_운동!$C$5:$C$1004,$AI179)))</f>
        <v/>
      </c>
      <c r="P179" s="25" t="str">
        <f aca="false">IF($AI179=0,"",IF(INDEX(입력_운동!$D$5:$D$1004,$AI179)="","",INDEX(입력_운동!$D$5:$D$1004,$AI179)))</f>
        <v/>
      </c>
      <c r="Q179" s="25" t="str">
        <f aca="false">IF($AI179=0,"",IF(INDEX(입력_운동!$E$5:$E$1004,$AI179)="","",INDEX(입력_운동!$E$5:$E$1004,$AI179)))</f>
        <v/>
      </c>
      <c r="R179" s="25" t="str">
        <f aca="false">IF($AI179=0,"",IF(INDEX(입력_운동!$F$5:$F$1004,$AI179)="","",INDEX(입력_운동!$F$5:$F$1004,$AI179)))</f>
        <v/>
      </c>
      <c r="S179" s="25" t="str">
        <f aca="false">IF($AJ179=0,"",IF(INDEX(입력_측정!$C$5:$C$1004,$AJ179)="","",INDEX(입력_측정!$C$5:$C$1004,$AJ179)))</f>
        <v/>
      </c>
      <c r="T179" s="25" t="str">
        <f aca="false">IF($AJ179=0,"",IF(INDEX(입력_측정!$D$5:$D$1004,$AJ179)="","",INDEX(입력_측정!$D$5:$D$1004,$AJ179)))</f>
        <v/>
      </c>
      <c r="U179" s="25" t="str">
        <f aca="false">IF($AJ179=0,"",IF(INDEX(입력_측정!$E$5:$E$1004,$AJ179)="","",INDEX(입력_측정!$E$5:$E$1004,$AJ179)))</f>
        <v/>
      </c>
      <c r="V179" s="25" t="str">
        <f aca="false">IF($AJ179=0,"",IF(INDEX(입력_측정!$F$5:$F$1004,$AJ179)="","",INDEX(입력_측정!$F$5:$F$1004,$AJ179)))</f>
        <v/>
      </c>
      <c r="W179" s="25" t="str">
        <f aca="false">IF($AK179=0,"",IF(INDEX(입력_상담!$D$5:$D$1004,$AK179)="","",INDEX(입력_상담!$D$5:$D$1004,$AK179)))</f>
        <v/>
      </c>
      <c r="X179" s="25" t="str">
        <f aca="false">IF($AJ179=0,"",IF(INDEX(입력_측정!$I$5:$I$1004,$AJ179)="","",INDEX(입력_측정!$I$5:$I$1004,$AJ179)))</f>
        <v/>
      </c>
      <c r="Y179" s="25" t="str">
        <f aca="false">IF($AJ179=0,"",IF(INDEX(입력_측정!$J$5:$J$1004,$AJ179)="","",INDEX(입력_측정!$J$5:$J$1004,$AJ179)))</f>
        <v/>
      </c>
      <c r="Z179" s="25" t="str">
        <f aca="false">IF(OR(X179="긴급",LEFT(Y179,2)="긴급",W179="필요",W179="완료"),"대상","")</f>
        <v/>
      </c>
      <c r="AA179" s="59" t="str">
        <f aca="false">IF(M179&lt;&gt;"",M179,IF(AK179&gt;0,IF(W179="필요","추가상담 대기","완료"),IF(AJ179&gt;0,"결과상담 대기",IF(AI179&gt;0,"측정 대기","미방문"))))</f>
        <v>미방문</v>
      </c>
      <c r="AB179" s="60" t="str">
        <f aca="false">IF($AI179=0,"",IF(INDEX(입력_운동!$A$5:$A$1004,$AI179)="","",INDEX(입력_운동!$A$5:$A$1004,$AI179)))</f>
        <v/>
      </c>
      <c r="AC179" s="60" t="str">
        <f aca="false">IF($AJ179=0,"",IF(INDEX(입력_측정!$A$5:$A$1004,$AJ179)="","",INDEX(입력_측정!$A$5:$A$1004,$AJ179)))</f>
        <v/>
      </c>
      <c r="AD179" s="60" t="str">
        <f aca="false">IF($AK179=0,"",IF(INDEX(입력_상담!$A$5:$A$1004,$AK179)="","",INDEX(입력_상담!$A$5:$A$1004,$AK179)))</f>
        <v/>
      </c>
      <c r="AE179" s="25" t="str">
        <f aca="false">IF(AND(ISNUMBER(AB179),ISNUMBER(AC179)),IF(AC179&gt;=AB179,ROUND((AC179-AB179)*1440,0),""),"")</f>
        <v/>
      </c>
      <c r="AF179" s="25" t="str">
        <f aca="false">IF(AND(ISNUMBER(AC179),ISNUMBER(AD179)),IF(AD179&gt;=AC179,ROUND((AD179-AC179)*1440,0),""),"")</f>
        <v/>
      </c>
      <c r="AG179" s="25" t="str">
        <f aca="false">IF(AND(AA179="완료",ISNUMBER(AB179),ISNUMBER(AD179)),IF(AD179&gt;=AB179,ROUND((AD179-AB179)*1440,0),""),"")</f>
        <v/>
      </c>
      <c r="AH179" s="61" t="str">
        <f aca="false">IF(AND(AK179&gt;0,AJ179=0),"측정 기록 없음",IF(AND(AJ179&gt;0,AI179=0),"운동평가 기록 없음",IF(OR(COUNTIF(입력_운동!$B$5:$B$1004,$A179)&gt;1,COUNTIF(입력_측정!$B$5:$B$1004,$A179)&gt;1),"중복 입력","")))</f>
        <v/>
      </c>
      <c r="AI179" s="62" t="n">
        <f aca="false">SUMPRODUCT(MAX((입력_운동!$B$5:$B$1004=$A179)*(ROW(입력_운동!$B$5:$B$1004)-4)))</f>
        <v>0</v>
      </c>
      <c r="AJ179" s="62" t="n">
        <f aca="false">SUMPRODUCT(MAX((입력_측정!$B$5:$B$1004=$A179)*(ROW(입력_측정!$B$5:$B$1004)-4)))</f>
        <v>0</v>
      </c>
      <c r="AK179" s="62" t="n">
        <f aca="false">SUMPRODUCT(MAX((입력_상담!$B$5:$B$1004=$A179)*(ROW(입력_상담!$B$5:$B$1004)-4)))</f>
        <v>0</v>
      </c>
    </row>
    <row r="180" customFormat="false" ht="15" hidden="false" customHeight="false" outlineLevel="0" collapsed="false">
      <c r="A180" s="55" t="n">
        <v>176</v>
      </c>
      <c r="B180" s="56"/>
      <c r="C180" s="24"/>
      <c r="D180" s="24"/>
      <c r="E180" s="56"/>
      <c r="F180" s="57"/>
      <c r="G180" s="58"/>
      <c r="H180" s="56"/>
      <c r="I180" s="24"/>
      <c r="J180" s="24"/>
      <c r="K180" s="24"/>
      <c r="L180" s="24"/>
      <c r="M180" s="24"/>
      <c r="N180" s="56"/>
      <c r="O180" s="25" t="str">
        <f aca="false">IF($AI180=0,"",IF(INDEX(입력_운동!$C$5:$C$1004,$AI180)="","",INDEX(입력_운동!$C$5:$C$1004,$AI180)))</f>
        <v/>
      </c>
      <c r="P180" s="25" t="str">
        <f aca="false">IF($AI180=0,"",IF(INDEX(입력_운동!$D$5:$D$1004,$AI180)="","",INDEX(입력_운동!$D$5:$D$1004,$AI180)))</f>
        <v/>
      </c>
      <c r="Q180" s="25" t="str">
        <f aca="false">IF($AI180=0,"",IF(INDEX(입력_운동!$E$5:$E$1004,$AI180)="","",INDEX(입력_운동!$E$5:$E$1004,$AI180)))</f>
        <v/>
      </c>
      <c r="R180" s="25" t="str">
        <f aca="false">IF($AI180=0,"",IF(INDEX(입력_운동!$F$5:$F$1004,$AI180)="","",INDEX(입력_운동!$F$5:$F$1004,$AI180)))</f>
        <v/>
      </c>
      <c r="S180" s="25" t="str">
        <f aca="false">IF($AJ180=0,"",IF(INDEX(입력_측정!$C$5:$C$1004,$AJ180)="","",INDEX(입력_측정!$C$5:$C$1004,$AJ180)))</f>
        <v/>
      </c>
      <c r="T180" s="25" t="str">
        <f aca="false">IF($AJ180=0,"",IF(INDEX(입력_측정!$D$5:$D$1004,$AJ180)="","",INDEX(입력_측정!$D$5:$D$1004,$AJ180)))</f>
        <v/>
      </c>
      <c r="U180" s="25" t="str">
        <f aca="false">IF($AJ180=0,"",IF(INDEX(입력_측정!$E$5:$E$1004,$AJ180)="","",INDEX(입력_측정!$E$5:$E$1004,$AJ180)))</f>
        <v/>
      </c>
      <c r="V180" s="25" t="str">
        <f aca="false">IF($AJ180=0,"",IF(INDEX(입력_측정!$F$5:$F$1004,$AJ180)="","",INDEX(입력_측정!$F$5:$F$1004,$AJ180)))</f>
        <v/>
      </c>
      <c r="W180" s="25" t="str">
        <f aca="false">IF($AK180=0,"",IF(INDEX(입력_상담!$D$5:$D$1004,$AK180)="","",INDEX(입력_상담!$D$5:$D$1004,$AK180)))</f>
        <v/>
      </c>
      <c r="X180" s="25" t="str">
        <f aca="false">IF($AJ180=0,"",IF(INDEX(입력_측정!$I$5:$I$1004,$AJ180)="","",INDEX(입력_측정!$I$5:$I$1004,$AJ180)))</f>
        <v/>
      </c>
      <c r="Y180" s="25" t="str">
        <f aca="false">IF($AJ180=0,"",IF(INDEX(입력_측정!$J$5:$J$1004,$AJ180)="","",INDEX(입력_측정!$J$5:$J$1004,$AJ180)))</f>
        <v/>
      </c>
      <c r="Z180" s="25" t="str">
        <f aca="false">IF(OR(X180="긴급",LEFT(Y180,2)="긴급",W180="필요",W180="완료"),"대상","")</f>
        <v/>
      </c>
      <c r="AA180" s="59" t="str">
        <f aca="false">IF(M180&lt;&gt;"",M180,IF(AK180&gt;0,IF(W180="필요","추가상담 대기","완료"),IF(AJ180&gt;0,"결과상담 대기",IF(AI180&gt;0,"측정 대기","미방문"))))</f>
        <v>미방문</v>
      </c>
      <c r="AB180" s="60" t="str">
        <f aca="false">IF($AI180=0,"",IF(INDEX(입력_운동!$A$5:$A$1004,$AI180)="","",INDEX(입력_운동!$A$5:$A$1004,$AI180)))</f>
        <v/>
      </c>
      <c r="AC180" s="60" t="str">
        <f aca="false">IF($AJ180=0,"",IF(INDEX(입력_측정!$A$5:$A$1004,$AJ180)="","",INDEX(입력_측정!$A$5:$A$1004,$AJ180)))</f>
        <v/>
      </c>
      <c r="AD180" s="60" t="str">
        <f aca="false">IF($AK180=0,"",IF(INDEX(입력_상담!$A$5:$A$1004,$AK180)="","",INDEX(입력_상담!$A$5:$A$1004,$AK180)))</f>
        <v/>
      </c>
      <c r="AE180" s="25" t="str">
        <f aca="false">IF(AND(ISNUMBER(AB180),ISNUMBER(AC180)),IF(AC180&gt;=AB180,ROUND((AC180-AB180)*1440,0),""),"")</f>
        <v/>
      </c>
      <c r="AF180" s="25" t="str">
        <f aca="false">IF(AND(ISNUMBER(AC180),ISNUMBER(AD180)),IF(AD180&gt;=AC180,ROUND((AD180-AC180)*1440,0),""),"")</f>
        <v/>
      </c>
      <c r="AG180" s="25" t="str">
        <f aca="false">IF(AND(AA180="완료",ISNUMBER(AB180),ISNUMBER(AD180)),IF(AD180&gt;=AB180,ROUND((AD180-AB180)*1440,0),""),"")</f>
        <v/>
      </c>
      <c r="AH180" s="61" t="str">
        <f aca="false">IF(AND(AK180&gt;0,AJ180=0),"측정 기록 없음",IF(AND(AJ180&gt;0,AI180=0),"운동평가 기록 없음",IF(OR(COUNTIF(입력_운동!$B$5:$B$1004,$A180)&gt;1,COUNTIF(입력_측정!$B$5:$B$1004,$A180)&gt;1),"중복 입력","")))</f>
        <v/>
      </c>
      <c r="AI180" s="62" t="n">
        <f aca="false">SUMPRODUCT(MAX((입력_운동!$B$5:$B$1004=$A180)*(ROW(입력_운동!$B$5:$B$1004)-4)))</f>
        <v>0</v>
      </c>
      <c r="AJ180" s="62" t="n">
        <f aca="false">SUMPRODUCT(MAX((입력_측정!$B$5:$B$1004=$A180)*(ROW(입력_측정!$B$5:$B$1004)-4)))</f>
        <v>0</v>
      </c>
      <c r="AK180" s="62" t="n">
        <f aca="false">SUMPRODUCT(MAX((입력_상담!$B$5:$B$1004=$A180)*(ROW(입력_상담!$B$5:$B$1004)-4)))</f>
        <v>0</v>
      </c>
    </row>
    <row r="181" customFormat="false" ht="15" hidden="false" customHeight="false" outlineLevel="0" collapsed="false">
      <c r="A181" s="55" t="n">
        <v>177</v>
      </c>
      <c r="B181" s="56"/>
      <c r="C181" s="24"/>
      <c r="D181" s="24"/>
      <c r="E181" s="56"/>
      <c r="F181" s="57"/>
      <c r="G181" s="58"/>
      <c r="H181" s="56"/>
      <c r="I181" s="24"/>
      <c r="J181" s="24"/>
      <c r="K181" s="24"/>
      <c r="L181" s="24"/>
      <c r="M181" s="24"/>
      <c r="N181" s="56"/>
      <c r="O181" s="25" t="str">
        <f aca="false">IF($AI181=0,"",IF(INDEX(입력_운동!$C$5:$C$1004,$AI181)="","",INDEX(입력_운동!$C$5:$C$1004,$AI181)))</f>
        <v/>
      </c>
      <c r="P181" s="25" t="str">
        <f aca="false">IF($AI181=0,"",IF(INDEX(입력_운동!$D$5:$D$1004,$AI181)="","",INDEX(입력_운동!$D$5:$D$1004,$AI181)))</f>
        <v/>
      </c>
      <c r="Q181" s="25" t="str">
        <f aca="false">IF($AI181=0,"",IF(INDEX(입력_운동!$E$5:$E$1004,$AI181)="","",INDEX(입력_운동!$E$5:$E$1004,$AI181)))</f>
        <v/>
      </c>
      <c r="R181" s="25" t="str">
        <f aca="false">IF($AI181=0,"",IF(INDEX(입력_운동!$F$5:$F$1004,$AI181)="","",INDEX(입력_운동!$F$5:$F$1004,$AI181)))</f>
        <v/>
      </c>
      <c r="S181" s="25" t="str">
        <f aca="false">IF($AJ181=0,"",IF(INDEX(입력_측정!$C$5:$C$1004,$AJ181)="","",INDEX(입력_측정!$C$5:$C$1004,$AJ181)))</f>
        <v/>
      </c>
      <c r="T181" s="25" t="str">
        <f aca="false">IF($AJ181=0,"",IF(INDEX(입력_측정!$D$5:$D$1004,$AJ181)="","",INDEX(입력_측정!$D$5:$D$1004,$AJ181)))</f>
        <v/>
      </c>
      <c r="U181" s="25" t="str">
        <f aca="false">IF($AJ181=0,"",IF(INDEX(입력_측정!$E$5:$E$1004,$AJ181)="","",INDEX(입력_측정!$E$5:$E$1004,$AJ181)))</f>
        <v/>
      </c>
      <c r="V181" s="25" t="str">
        <f aca="false">IF($AJ181=0,"",IF(INDEX(입력_측정!$F$5:$F$1004,$AJ181)="","",INDEX(입력_측정!$F$5:$F$1004,$AJ181)))</f>
        <v/>
      </c>
      <c r="W181" s="25" t="str">
        <f aca="false">IF($AK181=0,"",IF(INDEX(입력_상담!$D$5:$D$1004,$AK181)="","",INDEX(입력_상담!$D$5:$D$1004,$AK181)))</f>
        <v/>
      </c>
      <c r="X181" s="25" t="str">
        <f aca="false">IF($AJ181=0,"",IF(INDEX(입력_측정!$I$5:$I$1004,$AJ181)="","",INDEX(입력_측정!$I$5:$I$1004,$AJ181)))</f>
        <v/>
      </c>
      <c r="Y181" s="25" t="str">
        <f aca="false">IF($AJ181=0,"",IF(INDEX(입력_측정!$J$5:$J$1004,$AJ181)="","",INDEX(입력_측정!$J$5:$J$1004,$AJ181)))</f>
        <v/>
      </c>
      <c r="Z181" s="25" t="str">
        <f aca="false">IF(OR(X181="긴급",LEFT(Y181,2)="긴급",W181="필요",W181="완료"),"대상","")</f>
        <v/>
      </c>
      <c r="AA181" s="59" t="str">
        <f aca="false">IF(M181&lt;&gt;"",M181,IF(AK181&gt;0,IF(W181="필요","추가상담 대기","완료"),IF(AJ181&gt;0,"결과상담 대기",IF(AI181&gt;0,"측정 대기","미방문"))))</f>
        <v>미방문</v>
      </c>
      <c r="AB181" s="60" t="str">
        <f aca="false">IF($AI181=0,"",IF(INDEX(입력_운동!$A$5:$A$1004,$AI181)="","",INDEX(입력_운동!$A$5:$A$1004,$AI181)))</f>
        <v/>
      </c>
      <c r="AC181" s="60" t="str">
        <f aca="false">IF($AJ181=0,"",IF(INDEX(입력_측정!$A$5:$A$1004,$AJ181)="","",INDEX(입력_측정!$A$5:$A$1004,$AJ181)))</f>
        <v/>
      </c>
      <c r="AD181" s="60" t="str">
        <f aca="false">IF($AK181=0,"",IF(INDEX(입력_상담!$A$5:$A$1004,$AK181)="","",INDEX(입력_상담!$A$5:$A$1004,$AK181)))</f>
        <v/>
      </c>
      <c r="AE181" s="25" t="str">
        <f aca="false">IF(AND(ISNUMBER(AB181),ISNUMBER(AC181)),IF(AC181&gt;=AB181,ROUND((AC181-AB181)*1440,0),""),"")</f>
        <v/>
      </c>
      <c r="AF181" s="25" t="str">
        <f aca="false">IF(AND(ISNUMBER(AC181),ISNUMBER(AD181)),IF(AD181&gt;=AC181,ROUND((AD181-AC181)*1440,0),""),"")</f>
        <v/>
      </c>
      <c r="AG181" s="25" t="str">
        <f aca="false">IF(AND(AA181="완료",ISNUMBER(AB181),ISNUMBER(AD181)),IF(AD181&gt;=AB181,ROUND((AD181-AB181)*1440,0),""),"")</f>
        <v/>
      </c>
      <c r="AH181" s="61" t="str">
        <f aca="false">IF(AND(AK181&gt;0,AJ181=0),"측정 기록 없음",IF(AND(AJ181&gt;0,AI181=0),"운동평가 기록 없음",IF(OR(COUNTIF(입력_운동!$B$5:$B$1004,$A181)&gt;1,COUNTIF(입력_측정!$B$5:$B$1004,$A181)&gt;1),"중복 입력","")))</f>
        <v/>
      </c>
      <c r="AI181" s="62" t="n">
        <f aca="false">SUMPRODUCT(MAX((입력_운동!$B$5:$B$1004=$A181)*(ROW(입력_운동!$B$5:$B$1004)-4)))</f>
        <v>0</v>
      </c>
      <c r="AJ181" s="62" t="n">
        <f aca="false">SUMPRODUCT(MAX((입력_측정!$B$5:$B$1004=$A181)*(ROW(입력_측정!$B$5:$B$1004)-4)))</f>
        <v>0</v>
      </c>
      <c r="AK181" s="62" t="n">
        <f aca="false">SUMPRODUCT(MAX((입력_상담!$B$5:$B$1004=$A181)*(ROW(입력_상담!$B$5:$B$1004)-4)))</f>
        <v>0</v>
      </c>
    </row>
    <row r="182" customFormat="false" ht="15" hidden="false" customHeight="false" outlineLevel="0" collapsed="false">
      <c r="A182" s="55" t="n">
        <v>178</v>
      </c>
      <c r="B182" s="56"/>
      <c r="C182" s="24"/>
      <c r="D182" s="24"/>
      <c r="E182" s="56"/>
      <c r="F182" s="57"/>
      <c r="G182" s="58"/>
      <c r="H182" s="56"/>
      <c r="I182" s="24"/>
      <c r="J182" s="24"/>
      <c r="K182" s="24"/>
      <c r="L182" s="24"/>
      <c r="M182" s="24"/>
      <c r="N182" s="56"/>
      <c r="O182" s="25" t="str">
        <f aca="false">IF($AI182=0,"",IF(INDEX(입력_운동!$C$5:$C$1004,$AI182)="","",INDEX(입력_운동!$C$5:$C$1004,$AI182)))</f>
        <v/>
      </c>
      <c r="P182" s="25" t="str">
        <f aca="false">IF($AI182=0,"",IF(INDEX(입력_운동!$D$5:$D$1004,$AI182)="","",INDEX(입력_운동!$D$5:$D$1004,$AI182)))</f>
        <v/>
      </c>
      <c r="Q182" s="25" t="str">
        <f aca="false">IF($AI182=0,"",IF(INDEX(입력_운동!$E$5:$E$1004,$AI182)="","",INDEX(입력_운동!$E$5:$E$1004,$AI182)))</f>
        <v/>
      </c>
      <c r="R182" s="25" t="str">
        <f aca="false">IF($AI182=0,"",IF(INDEX(입력_운동!$F$5:$F$1004,$AI182)="","",INDEX(입력_운동!$F$5:$F$1004,$AI182)))</f>
        <v/>
      </c>
      <c r="S182" s="25" t="str">
        <f aca="false">IF($AJ182=0,"",IF(INDEX(입력_측정!$C$5:$C$1004,$AJ182)="","",INDEX(입력_측정!$C$5:$C$1004,$AJ182)))</f>
        <v/>
      </c>
      <c r="T182" s="25" t="str">
        <f aca="false">IF($AJ182=0,"",IF(INDEX(입력_측정!$D$5:$D$1004,$AJ182)="","",INDEX(입력_측정!$D$5:$D$1004,$AJ182)))</f>
        <v/>
      </c>
      <c r="U182" s="25" t="str">
        <f aca="false">IF($AJ182=0,"",IF(INDEX(입력_측정!$E$5:$E$1004,$AJ182)="","",INDEX(입력_측정!$E$5:$E$1004,$AJ182)))</f>
        <v/>
      </c>
      <c r="V182" s="25" t="str">
        <f aca="false">IF($AJ182=0,"",IF(INDEX(입력_측정!$F$5:$F$1004,$AJ182)="","",INDEX(입력_측정!$F$5:$F$1004,$AJ182)))</f>
        <v/>
      </c>
      <c r="W182" s="25" t="str">
        <f aca="false">IF($AK182=0,"",IF(INDEX(입력_상담!$D$5:$D$1004,$AK182)="","",INDEX(입력_상담!$D$5:$D$1004,$AK182)))</f>
        <v/>
      </c>
      <c r="X182" s="25" t="str">
        <f aca="false">IF($AJ182=0,"",IF(INDEX(입력_측정!$I$5:$I$1004,$AJ182)="","",INDEX(입력_측정!$I$5:$I$1004,$AJ182)))</f>
        <v/>
      </c>
      <c r="Y182" s="25" t="str">
        <f aca="false">IF($AJ182=0,"",IF(INDEX(입력_측정!$J$5:$J$1004,$AJ182)="","",INDEX(입력_측정!$J$5:$J$1004,$AJ182)))</f>
        <v/>
      </c>
      <c r="Z182" s="25" t="str">
        <f aca="false">IF(OR(X182="긴급",LEFT(Y182,2)="긴급",W182="필요",W182="완료"),"대상","")</f>
        <v/>
      </c>
      <c r="AA182" s="59" t="str">
        <f aca="false">IF(M182&lt;&gt;"",M182,IF(AK182&gt;0,IF(W182="필요","추가상담 대기","완료"),IF(AJ182&gt;0,"결과상담 대기",IF(AI182&gt;0,"측정 대기","미방문"))))</f>
        <v>미방문</v>
      </c>
      <c r="AB182" s="60" t="str">
        <f aca="false">IF($AI182=0,"",IF(INDEX(입력_운동!$A$5:$A$1004,$AI182)="","",INDEX(입력_운동!$A$5:$A$1004,$AI182)))</f>
        <v/>
      </c>
      <c r="AC182" s="60" t="str">
        <f aca="false">IF($AJ182=0,"",IF(INDEX(입력_측정!$A$5:$A$1004,$AJ182)="","",INDEX(입력_측정!$A$5:$A$1004,$AJ182)))</f>
        <v/>
      </c>
      <c r="AD182" s="60" t="str">
        <f aca="false">IF($AK182=0,"",IF(INDEX(입력_상담!$A$5:$A$1004,$AK182)="","",INDEX(입력_상담!$A$5:$A$1004,$AK182)))</f>
        <v/>
      </c>
      <c r="AE182" s="25" t="str">
        <f aca="false">IF(AND(ISNUMBER(AB182),ISNUMBER(AC182)),IF(AC182&gt;=AB182,ROUND((AC182-AB182)*1440,0),""),"")</f>
        <v/>
      </c>
      <c r="AF182" s="25" t="str">
        <f aca="false">IF(AND(ISNUMBER(AC182),ISNUMBER(AD182)),IF(AD182&gt;=AC182,ROUND((AD182-AC182)*1440,0),""),"")</f>
        <v/>
      </c>
      <c r="AG182" s="25" t="str">
        <f aca="false">IF(AND(AA182="완료",ISNUMBER(AB182),ISNUMBER(AD182)),IF(AD182&gt;=AB182,ROUND((AD182-AB182)*1440,0),""),"")</f>
        <v/>
      </c>
      <c r="AH182" s="61" t="str">
        <f aca="false">IF(AND(AK182&gt;0,AJ182=0),"측정 기록 없음",IF(AND(AJ182&gt;0,AI182=0),"운동평가 기록 없음",IF(OR(COUNTIF(입력_운동!$B$5:$B$1004,$A182)&gt;1,COUNTIF(입력_측정!$B$5:$B$1004,$A182)&gt;1),"중복 입력","")))</f>
        <v/>
      </c>
      <c r="AI182" s="62" t="n">
        <f aca="false">SUMPRODUCT(MAX((입력_운동!$B$5:$B$1004=$A182)*(ROW(입력_운동!$B$5:$B$1004)-4)))</f>
        <v>0</v>
      </c>
      <c r="AJ182" s="62" t="n">
        <f aca="false">SUMPRODUCT(MAX((입력_측정!$B$5:$B$1004=$A182)*(ROW(입력_측정!$B$5:$B$1004)-4)))</f>
        <v>0</v>
      </c>
      <c r="AK182" s="62" t="n">
        <f aca="false">SUMPRODUCT(MAX((입력_상담!$B$5:$B$1004=$A182)*(ROW(입력_상담!$B$5:$B$1004)-4)))</f>
        <v>0</v>
      </c>
    </row>
    <row r="183" customFormat="false" ht="15" hidden="false" customHeight="false" outlineLevel="0" collapsed="false">
      <c r="A183" s="55" t="n">
        <v>179</v>
      </c>
      <c r="B183" s="56"/>
      <c r="C183" s="24"/>
      <c r="D183" s="24"/>
      <c r="E183" s="56"/>
      <c r="F183" s="57"/>
      <c r="G183" s="58"/>
      <c r="H183" s="56"/>
      <c r="I183" s="24"/>
      <c r="J183" s="24"/>
      <c r="K183" s="24"/>
      <c r="L183" s="24"/>
      <c r="M183" s="24"/>
      <c r="N183" s="56"/>
      <c r="O183" s="25" t="str">
        <f aca="false">IF($AI183=0,"",IF(INDEX(입력_운동!$C$5:$C$1004,$AI183)="","",INDEX(입력_운동!$C$5:$C$1004,$AI183)))</f>
        <v/>
      </c>
      <c r="P183" s="25" t="str">
        <f aca="false">IF($AI183=0,"",IF(INDEX(입력_운동!$D$5:$D$1004,$AI183)="","",INDEX(입력_운동!$D$5:$D$1004,$AI183)))</f>
        <v/>
      </c>
      <c r="Q183" s="25" t="str">
        <f aca="false">IF($AI183=0,"",IF(INDEX(입력_운동!$E$5:$E$1004,$AI183)="","",INDEX(입력_운동!$E$5:$E$1004,$AI183)))</f>
        <v/>
      </c>
      <c r="R183" s="25" t="str">
        <f aca="false">IF($AI183=0,"",IF(INDEX(입력_운동!$F$5:$F$1004,$AI183)="","",INDEX(입력_운동!$F$5:$F$1004,$AI183)))</f>
        <v/>
      </c>
      <c r="S183" s="25" t="str">
        <f aca="false">IF($AJ183=0,"",IF(INDEX(입력_측정!$C$5:$C$1004,$AJ183)="","",INDEX(입력_측정!$C$5:$C$1004,$AJ183)))</f>
        <v/>
      </c>
      <c r="T183" s="25" t="str">
        <f aca="false">IF($AJ183=0,"",IF(INDEX(입력_측정!$D$5:$D$1004,$AJ183)="","",INDEX(입력_측정!$D$5:$D$1004,$AJ183)))</f>
        <v/>
      </c>
      <c r="U183" s="25" t="str">
        <f aca="false">IF($AJ183=0,"",IF(INDEX(입력_측정!$E$5:$E$1004,$AJ183)="","",INDEX(입력_측정!$E$5:$E$1004,$AJ183)))</f>
        <v/>
      </c>
      <c r="V183" s="25" t="str">
        <f aca="false">IF($AJ183=0,"",IF(INDEX(입력_측정!$F$5:$F$1004,$AJ183)="","",INDEX(입력_측정!$F$5:$F$1004,$AJ183)))</f>
        <v/>
      </c>
      <c r="W183" s="25" t="str">
        <f aca="false">IF($AK183=0,"",IF(INDEX(입력_상담!$D$5:$D$1004,$AK183)="","",INDEX(입력_상담!$D$5:$D$1004,$AK183)))</f>
        <v/>
      </c>
      <c r="X183" s="25" t="str">
        <f aca="false">IF($AJ183=0,"",IF(INDEX(입력_측정!$I$5:$I$1004,$AJ183)="","",INDEX(입력_측정!$I$5:$I$1004,$AJ183)))</f>
        <v/>
      </c>
      <c r="Y183" s="25" t="str">
        <f aca="false">IF($AJ183=0,"",IF(INDEX(입력_측정!$J$5:$J$1004,$AJ183)="","",INDEX(입력_측정!$J$5:$J$1004,$AJ183)))</f>
        <v/>
      </c>
      <c r="Z183" s="25" t="str">
        <f aca="false">IF(OR(X183="긴급",LEFT(Y183,2)="긴급",W183="필요",W183="완료"),"대상","")</f>
        <v/>
      </c>
      <c r="AA183" s="59" t="str">
        <f aca="false">IF(M183&lt;&gt;"",M183,IF(AK183&gt;0,IF(W183="필요","추가상담 대기","완료"),IF(AJ183&gt;0,"결과상담 대기",IF(AI183&gt;0,"측정 대기","미방문"))))</f>
        <v>미방문</v>
      </c>
      <c r="AB183" s="60" t="str">
        <f aca="false">IF($AI183=0,"",IF(INDEX(입력_운동!$A$5:$A$1004,$AI183)="","",INDEX(입력_운동!$A$5:$A$1004,$AI183)))</f>
        <v/>
      </c>
      <c r="AC183" s="60" t="str">
        <f aca="false">IF($AJ183=0,"",IF(INDEX(입력_측정!$A$5:$A$1004,$AJ183)="","",INDEX(입력_측정!$A$5:$A$1004,$AJ183)))</f>
        <v/>
      </c>
      <c r="AD183" s="60" t="str">
        <f aca="false">IF($AK183=0,"",IF(INDEX(입력_상담!$A$5:$A$1004,$AK183)="","",INDEX(입력_상담!$A$5:$A$1004,$AK183)))</f>
        <v/>
      </c>
      <c r="AE183" s="25" t="str">
        <f aca="false">IF(AND(ISNUMBER(AB183),ISNUMBER(AC183)),IF(AC183&gt;=AB183,ROUND((AC183-AB183)*1440,0),""),"")</f>
        <v/>
      </c>
      <c r="AF183" s="25" t="str">
        <f aca="false">IF(AND(ISNUMBER(AC183),ISNUMBER(AD183)),IF(AD183&gt;=AC183,ROUND((AD183-AC183)*1440,0),""),"")</f>
        <v/>
      </c>
      <c r="AG183" s="25" t="str">
        <f aca="false">IF(AND(AA183="완료",ISNUMBER(AB183),ISNUMBER(AD183)),IF(AD183&gt;=AB183,ROUND((AD183-AB183)*1440,0),""),"")</f>
        <v/>
      </c>
      <c r="AH183" s="61" t="str">
        <f aca="false">IF(AND(AK183&gt;0,AJ183=0),"측정 기록 없음",IF(AND(AJ183&gt;0,AI183=0),"운동평가 기록 없음",IF(OR(COUNTIF(입력_운동!$B$5:$B$1004,$A183)&gt;1,COUNTIF(입력_측정!$B$5:$B$1004,$A183)&gt;1),"중복 입력","")))</f>
        <v/>
      </c>
      <c r="AI183" s="62" t="n">
        <f aca="false">SUMPRODUCT(MAX((입력_운동!$B$5:$B$1004=$A183)*(ROW(입력_운동!$B$5:$B$1004)-4)))</f>
        <v>0</v>
      </c>
      <c r="AJ183" s="62" t="n">
        <f aca="false">SUMPRODUCT(MAX((입력_측정!$B$5:$B$1004=$A183)*(ROW(입력_측정!$B$5:$B$1004)-4)))</f>
        <v>0</v>
      </c>
      <c r="AK183" s="62" t="n">
        <f aca="false">SUMPRODUCT(MAX((입력_상담!$B$5:$B$1004=$A183)*(ROW(입력_상담!$B$5:$B$1004)-4)))</f>
        <v>0</v>
      </c>
    </row>
    <row r="184" customFormat="false" ht="15" hidden="false" customHeight="false" outlineLevel="0" collapsed="false">
      <c r="A184" s="55" t="n">
        <v>180</v>
      </c>
      <c r="B184" s="56"/>
      <c r="C184" s="24"/>
      <c r="D184" s="24"/>
      <c r="E184" s="56"/>
      <c r="F184" s="57"/>
      <c r="G184" s="58"/>
      <c r="H184" s="56"/>
      <c r="I184" s="24"/>
      <c r="J184" s="24"/>
      <c r="K184" s="24"/>
      <c r="L184" s="24"/>
      <c r="M184" s="24"/>
      <c r="N184" s="56"/>
      <c r="O184" s="25" t="str">
        <f aca="false">IF($AI184=0,"",IF(INDEX(입력_운동!$C$5:$C$1004,$AI184)="","",INDEX(입력_운동!$C$5:$C$1004,$AI184)))</f>
        <v/>
      </c>
      <c r="P184" s="25" t="str">
        <f aca="false">IF($AI184=0,"",IF(INDEX(입력_운동!$D$5:$D$1004,$AI184)="","",INDEX(입력_운동!$D$5:$D$1004,$AI184)))</f>
        <v/>
      </c>
      <c r="Q184" s="25" t="str">
        <f aca="false">IF($AI184=0,"",IF(INDEX(입력_운동!$E$5:$E$1004,$AI184)="","",INDEX(입력_운동!$E$5:$E$1004,$AI184)))</f>
        <v/>
      </c>
      <c r="R184" s="25" t="str">
        <f aca="false">IF($AI184=0,"",IF(INDEX(입력_운동!$F$5:$F$1004,$AI184)="","",INDEX(입력_운동!$F$5:$F$1004,$AI184)))</f>
        <v/>
      </c>
      <c r="S184" s="25" t="str">
        <f aca="false">IF($AJ184=0,"",IF(INDEX(입력_측정!$C$5:$C$1004,$AJ184)="","",INDEX(입력_측정!$C$5:$C$1004,$AJ184)))</f>
        <v/>
      </c>
      <c r="T184" s="25" t="str">
        <f aca="false">IF($AJ184=0,"",IF(INDEX(입력_측정!$D$5:$D$1004,$AJ184)="","",INDEX(입력_측정!$D$5:$D$1004,$AJ184)))</f>
        <v/>
      </c>
      <c r="U184" s="25" t="str">
        <f aca="false">IF($AJ184=0,"",IF(INDEX(입력_측정!$E$5:$E$1004,$AJ184)="","",INDEX(입력_측정!$E$5:$E$1004,$AJ184)))</f>
        <v/>
      </c>
      <c r="V184" s="25" t="str">
        <f aca="false">IF($AJ184=0,"",IF(INDEX(입력_측정!$F$5:$F$1004,$AJ184)="","",INDEX(입력_측정!$F$5:$F$1004,$AJ184)))</f>
        <v/>
      </c>
      <c r="W184" s="25" t="str">
        <f aca="false">IF($AK184=0,"",IF(INDEX(입력_상담!$D$5:$D$1004,$AK184)="","",INDEX(입력_상담!$D$5:$D$1004,$AK184)))</f>
        <v/>
      </c>
      <c r="X184" s="25" t="str">
        <f aca="false">IF($AJ184=0,"",IF(INDEX(입력_측정!$I$5:$I$1004,$AJ184)="","",INDEX(입력_측정!$I$5:$I$1004,$AJ184)))</f>
        <v/>
      </c>
      <c r="Y184" s="25" t="str">
        <f aca="false">IF($AJ184=0,"",IF(INDEX(입력_측정!$J$5:$J$1004,$AJ184)="","",INDEX(입력_측정!$J$5:$J$1004,$AJ184)))</f>
        <v/>
      </c>
      <c r="Z184" s="25" t="str">
        <f aca="false">IF(OR(X184="긴급",LEFT(Y184,2)="긴급",W184="필요",W184="완료"),"대상","")</f>
        <v/>
      </c>
      <c r="AA184" s="59" t="str">
        <f aca="false">IF(M184&lt;&gt;"",M184,IF(AK184&gt;0,IF(W184="필요","추가상담 대기","완료"),IF(AJ184&gt;0,"결과상담 대기",IF(AI184&gt;0,"측정 대기","미방문"))))</f>
        <v>미방문</v>
      </c>
      <c r="AB184" s="60" t="str">
        <f aca="false">IF($AI184=0,"",IF(INDEX(입력_운동!$A$5:$A$1004,$AI184)="","",INDEX(입력_운동!$A$5:$A$1004,$AI184)))</f>
        <v/>
      </c>
      <c r="AC184" s="60" t="str">
        <f aca="false">IF($AJ184=0,"",IF(INDEX(입력_측정!$A$5:$A$1004,$AJ184)="","",INDEX(입력_측정!$A$5:$A$1004,$AJ184)))</f>
        <v/>
      </c>
      <c r="AD184" s="60" t="str">
        <f aca="false">IF($AK184=0,"",IF(INDEX(입력_상담!$A$5:$A$1004,$AK184)="","",INDEX(입력_상담!$A$5:$A$1004,$AK184)))</f>
        <v/>
      </c>
      <c r="AE184" s="25" t="str">
        <f aca="false">IF(AND(ISNUMBER(AB184),ISNUMBER(AC184)),IF(AC184&gt;=AB184,ROUND((AC184-AB184)*1440,0),""),"")</f>
        <v/>
      </c>
      <c r="AF184" s="25" t="str">
        <f aca="false">IF(AND(ISNUMBER(AC184),ISNUMBER(AD184)),IF(AD184&gt;=AC184,ROUND((AD184-AC184)*1440,0),""),"")</f>
        <v/>
      </c>
      <c r="AG184" s="25" t="str">
        <f aca="false">IF(AND(AA184="완료",ISNUMBER(AB184),ISNUMBER(AD184)),IF(AD184&gt;=AB184,ROUND((AD184-AB184)*1440,0),""),"")</f>
        <v/>
      </c>
      <c r="AH184" s="61" t="str">
        <f aca="false">IF(AND(AK184&gt;0,AJ184=0),"측정 기록 없음",IF(AND(AJ184&gt;0,AI184=0),"운동평가 기록 없음",IF(OR(COUNTIF(입력_운동!$B$5:$B$1004,$A184)&gt;1,COUNTIF(입력_측정!$B$5:$B$1004,$A184)&gt;1),"중복 입력","")))</f>
        <v/>
      </c>
      <c r="AI184" s="62" t="n">
        <f aca="false">SUMPRODUCT(MAX((입력_운동!$B$5:$B$1004=$A184)*(ROW(입력_운동!$B$5:$B$1004)-4)))</f>
        <v>0</v>
      </c>
      <c r="AJ184" s="62" t="n">
        <f aca="false">SUMPRODUCT(MAX((입력_측정!$B$5:$B$1004=$A184)*(ROW(입력_측정!$B$5:$B$1004)-4)))</f>
        <v>0</v>
      </c>
      <c r="AK184" s="62" t="n">
        <f aca="false">SUMPRODUCT(MAX((입력_상담!$B$5:$B$1004=$A184)*(ROW(입력_상담!$B$5:$B$1004)-4)))</f>
        <v>0</v>
      </c>
    </row>
    <row r="185" customFormat="false" ht="15" hidden="false" customHeight="false" outlineLevel="0" collapsed="false">
      <c r="A185" s="55" t="n">
        <v>181</v>
      </c>
      <c r="B185" s="56"/>
      <c r="C185" s="24"/>
      <c r="D185" s="24"/>
      <c r="E185" s="56"/>
      <c r="F185" s="57"/>
      <c r="G185" s="58"/>
      <c r="H185" s="56"/>
      <c r="I185" s="24"/>
      <c r="J185" s="24"/>
      <c r="K185" s="24"/>
      <c r="L185" s="24"/>
      <c r="M185" s="24"/>
      <c r="N185" s="56"/>
      <c r="O185" s="25" t="str">
        <f aca="false">IF($AI185=0,"",IF(INDEX(입력_운동!$C$5:$C$1004,$AI185)="","",INDEX(입력_운동!$C$5:$C$1004,$AI185)))</f>
        <v/>
      </c>
      <c r="P185" s="25" t="str">
        <f aca="false">IF($AI185=0,"",IF(INDEX(입력_운동!$D$5:$D$1004,$AI185)="","",INDEX(입력_운동!$D$5:$D$1004,$AI185)))</f>
        <v/>
      </c>
      <c r="Q185" s="25" t="str">
        <f aca="false">IF($AI185=0,"",IF(INDEX(입력_운동!$E$5:$E$1004,$AI185)="","",INDEX(입력_운동!$E$5:$E$1004,$AI185)))</f>
        <v/>
      </c>
      <c r="R185" s="25" t="str">
        <f aca="false">IF($AI185=0,"",IF(INDEX(입력_운동!$F$5:$F$1004,$AI185)="","",INDEX(입력_운동!$F$5:$F$1004,$AI185)))</f>
        <v/>
      </c>
      <c r="S185" s="25" t="str">
        <f aca="false">IF($AJ185=0,"",IF(INDEX(입력_측정!$C$5:$C$1004,$AJ185)="","",INDEX(입력_측정!$C$5:$C$1004,$AJ185)))</f>
        <v/>
      </c>
      <c r="T185" s="25" t="str">
        <f aca="false">IF($AJ185=0,"",IF(INDEX(입력_측정!$D$5:$D$1004,$AJ185)="","",INDEX(입력_측정!$D$5:$D$1004,$AJ185)))</f>
        <v/>
      </c>
      <c r="U185" s="25" t="str">
        <f aca="false">IF($AJ185=0,"",IF(INDEX(입력_측정!$E$5:$E$1004,$AJ185)="","",INDEX(입력_측정!$E$5:$E$1004,$AJ185)))</f>
        <v/>
      </c>
      <c r="V185" s="25" t="str">
        <f aca="false">IF($AJ185=0,"",IF(INDEX(입력_측정!$F$5:$F$1004,$AJ185)="","",INDEX(입력_측정!$F$5:$F$1004,$AJ185)))</f>
        <v/>
      </c>
      <c r="W185" s="25" t="str">
        <f aca="false">IF($AK185=0,"",IF(INDEX(입력_상담!$D$5:$D$1004,$AK185)="","",INDEX(입력_상담!$D$5:$D$1004,$AK185)))</f>
        <v/>
      </c>
      <c r="X185" s="25" t="str">
        <f aca="false">IF($AJ185=0,"",IF(INDEX(입력_측정!$I$5:$I$1004,$AJ185)="","",INDEX(입력_측정!$I$5:$I$1004,$AJ185)))</f>
        <v/>
      </c>
      <c r="Y185" s="25" t="str">
        <f aca="false">IF($AJ185=0,"",IF(INDEX(입력_측정!$J$5:$J$1004,$AJ185)="","",INDEX(입력_측정!$J$5:$J$1004,$AJ185)))</f>
        <v/>
      </c>
      <c r="Z185" s="25" t="str">
        <f aca="false">IF(OR(X185="긴급",LEFT(Y185,2)="긴급",W185="필요",W185="완료"),"대상","")</f>
        <v/>
      </c>
      <c r="AA185" s="59" t="str">
        <f aca="false">IF(M185&lt;&gt;"",M185,IF(AK185&gt;0,IF(W185="필요","추가상담 대기","완료"),IF(AJ185&gt;0,"결과상담 대기",IF(AI185&gt;0,"측정 대기","미방문"))))</f>
        <v>미방문</v>
      </c>
      <c r="AB185" s="60" t="str">
        <f aca="false">IF($AI185=0,"",IF(INDEX(입력_운동!$A$5:$A$1004,$AI185)="","",INDEX(입력_운동!$A$5:$A$1004,$AI185)))</f>
        <v/>
      </c>
      <c r="AC185" s="60" t="str">
        <f aca="false">IF($AJ185=0,"",IF(INDEX(입력_측정!$A$5:$A$1004,$AJ185)="","",INDEX(입력_측정!$A$5:$A$1004,$AJ185)))</f>
        <v/>
      </c>
      <c r="AD185" s="60" t="str">
        <f aca="false">IF($AK185=0,"",IF(INDEX(입력_상담!$A$5:$A$1004,$AK185)="","",INDEX(입력_상담!$A$5:$A$1004,$AK185)))</f>
        <v/>
      </c>
      <c r="AE185" s="25" t="str">
        <f aca="false">IF(AND(ISNUMBER(AB185),ISNUMBER(AC185)),IF(AC185&gt;=AB185,ROUND((AC185-AB185)*1440,0),""),"")</f>
        <v/>
      </c>
      <c r="AF185" s="25" t="str">
        <f aca="false">IF(AND(ISNUMBER(AC185),ISNUMBER(AD185)),IF(AD185&gt;=AC185,ROUND((AD185-AC185)*1440,0),""),"")</f>
        <v/>
      </c>
      <c r="AG185" s="25" t="str">
        <f aca="false">IF(AND(AA185="완료",ISNUMBER(AB185),ISNUMBER(AD185)),IF(AD185&gt;=AB185,ROUND((AD185-AB185)*1440,0),""),"")</f>
        <v/>
      </c>
      <c r="AH185" s="61" t="str">
        <f aca="false">IF(AND(AK185&gt;0,AJ185=0),"측정 기록 없음",IF(AND(AJ185&gt;0,AI185=0),"운동평가 기록 없음",IF(OR(COUNTIF(입력_운동!$B$5:$B$1004,$A185)&gt;1,COUNTIF(입력_측정!$B$5:$B$1004,$A185)&gt;1),"중복 입력","")))</f>
        <v/>
      </c>
      <c r="AI185" s="62" t="n">
        <f aca="false">SUMPRODUCT(MAX((입력_운동!$B$5:$B$1004=$A185)*(ROW(입력_운동!$B$5:$B$1004)-4)))</f>
        <v>0</v>
      </c>
      <c r="AJ185" s="62" t="n">
        <f aca="false">SUMPRODUCT(MAX((입력_측정!$B$5:$B$1004=$A185)*(ROW(입력_측정!$B$5:$B$1004)-4)))</f>
        <v>0</v>
      </c>
      <c r="AK185" s="62" t="n">
        <f aca="false">SUMPRODUCT(MAX((입력_상담!$B$5:$B$1004=$A185)*(ROW(입력_상담!$B$5:$B$1004)-4)))</f>
        <v>0</v>
      </c>
    </row>
    <row r="186" customFormat="false" ht="15" hidden="false" customHeight="false" outlineLevel="0" collapsed="false">
      <c r="A186" s="55" t="n">
        <v>182</v>
      </c>
      <c r="B186" s="56"/>
      <c r="C186" s="24"/>
      <c r="D186" s="24"/>
      <c r="E186" s="56"/>
      <c r="F186" s="57"/>
      <c r="G186" s="58"/>
      <c r="H186" s="56"/>
      <c r="I186" s="24"/>
      <c r="J186" s="24"/>
      <c r="K186" s="24"/>
      <c r="L186" s="24"/>
      <c r="M186" s="24"/>
      <c r="N186" s="56"/>
      <c r="O186" s="25" t="str">
        <f aca="false">IF($AI186=0,"",IF(INDEX(입력_운동!$C$5:$C$1004,$AI186)="","",INDEX(입력_운동!$C$5:$C$1004,$AI186)))</f>
        <v/>
      </c>
      <c r="P186" s="25" t="str">
        <f aca="false">IF($AI186=0,"",IF(INDEX(입력_운동!$D$5:$D$1004,$AI186)="","",INDEX(입력_운동!$D$5:$D$1004,$AI186)))</f>
        <v/>
      </c>
      <c r="Q186" s="25" t="str">
        <f aca="false">IF($AI186=0,"",IF(INDEX(입력_운동!$E$5:$E$1004,$AI186)="","",INDEX(입력_운동!$E$5:$E$1004,$AI186)))</f>
        <v/>
      </c>
      <c r="R186" s="25" t="str">
        <f aca="false">IF($AI186=0,"",IF(INDEX(입력_운동!$F$5:$F$1004,$AI186)="","",INDEX(입력_운동!$F$5:$F$1004,$AI186)))</f>
        <v/>
      </c>
      <c r="S186" s="25" t="str">
        <f aca="false">IF($AJ186=0,"",IF(INDEX(입력_측정!$C$5:$C$1004,$AJ186)="","",INDEX(입력_측정!$C$5:$C$1004,$AJ186)))</f>
        <v/>
      </c>
      <c r="T186" s="25" t="str">
        <f aca="false">IF($AJ186=0,"",IF(INDEX(입력_측정!$D$5:$D$1004,$AJ186)="","",INDEX(입력_측정!$D$5:$D$1004,$AJ186)))</f>
        <v/>
      </c>
      <c r="U186" s="25" t="str">
        <f aca="false">IF($AJ186=0,"",IF(INDEX(입력_측정!$E$5:$E$1004,$AJ186)="","",INDEX(입력_측정!$E$5:$E$1004,$AJ186)))</f>
        <v/>
      </c>
      <c r="V186" s="25" t="str">
        <f aca="false">IF($AJ186=0,"",IF(INDEX(입력_측정!$F$5:$F$1004,$AJ186)="","",INDEX(입력_측정!$F$5:$F$1004,$AJ186)))</f>
        <v/>
      </c>
      <c r="W186" s="25" t="str">
        <f aca="false">IF($AK186=0,"",IF(INDEX(입력_상담!$D$5:$D$1004,$AK186)="","",INDEX(입력_상담!$D$5:$D$1004,$AK186)))</f>
        <v/>
      </c>
      <c r="X186" s="25" t="str">
        <f aca="false">IF($AJ186=0,"",IF(INDEX(입력_측정!$I$5:$I$1004,$AJ186)="","",INDEX(입력_측정!$I$5:$I$1004,$AJ186)))</f>
        <v/>
      </c>
      <c r="Y186" s="25" t="str">
        <f aca="false">IF($AJ186=0,"",IF(INDEX(입력_측정!$J$5:$J$1004,$AJ186)="","",INDEX(입력_측정!$J$5:$J$1004,$AJ186)))</f>
        <v/>
      </c>
      <c r="Z186" s="25" t="str">
        <f aca="false">IF(OR(X186="긴급",LEFT(Y186,2)="긴급",W186="필요",W186="완료"),"대상","")</f>
        <v/>
      </c>
      <c r="AA186" s="59" t="str">
        <f aca="false">IF(M186&lt;&gt;"",M186,IF(AK186&gt;0,IF(W186="필요","추가상담 대기","완료"),IF(AJ186&gt;0,"결과상담 대기",IF(AI186&gt;0,"측정 대기","미방문"))))</f>
        <v>미방문</v>
      </c>
      <c r="AB186" s="60" t="str">
        <f aca="false">IF($AI186=0,"",IF(INDEX(입력_운동!$A$5:$A$1004,$AI186)="","",INDEX(입력_운동!$A$5:$A$1004,$AI186)))</f>
        <v/>
      </c>
      <c r="AC186" s="60" t="str">
        <f aca="false">IF($AJ186=0,"",IF(INDEX(입력_측정!$A$5:$A$1004,$AJ186)="","",INDEX(입력_측정!$A$5:$A$1004,$AJ186)))</f>
        <v/>
      </c>
      <c r="AD186" s="60" t="str">
        <f aca="false">IF($AK186=0,"",IF(INDEX(입력_상담!$A$5:$A$1004,$AK186)="","",INDEX(입력_상담!$A$5:$A$1004,$AK186)))</f>
        <v/>
      </c>
      <c r="AE186" s="25" t="str">
        <f aca="false">IF(AND(ISNUMBER(AB186),ISNUMBER(AC186)),IF(AC186&gt;=AB186,ROUND((AC186-AB186)*1440,0),""),"")</f>
        <v/>
      </c>
      <c r="AF186" s="25" t="str">
        <f aca="false">IF(AND(ISNUMBER(AC186),ISNUMBER(AD186)),IF(AD186&gt;=AC186,ROUND((AD186-AC186)*1440,0),""),"")</f>
        <v/>
      </c>
      <c r="AG186" s="25" t="str">
        <f aca="false">IF(AND(AA186="완료",ISNUMBER(AB186),ISNUMBER(AD186)),IF(AD186&gt;=AB186,ROUND((AD186-AB186)*1440,0),""),"")</f>
        <v/>
      </c>
      <c r="AH186" s="61" t="str">
        <f aca="false">IF(AND(AK186&gt;0,AJ186=0),"측정 기록 없음",IF(AND(AJ186&gt;0,AI186=0),"운동평가 기록 없음",IF(OR(COUNTIF(입력_운동!$B$5:$B$1004,$A186)&gt;1,COUNTIF(입력_측정!$B$5:$B$1004,$A186)&gt;1),"중복 입력","")))</f>
        <v/>
      </c>
      <c r="AI186" s="62" t="n">
        <f aca="false">SUMPRODUCT(MAX((입력_운동!$B$5:$B$1004=$A186)*(ROW(입력_운동!$B$5:$B$1004)-4)))</f>
        <v>0</v>
      </c>
      <c r="AJ186" s="62" t="n">
        <f aca="false">SUMPRODUCT(MAX((입력_측정!$B$5:$B$1004=$A186)*(ROW(입력_측정!$B$5:$B$1004)-4)))</f>
        <v>0</v>
      </c>
      <c r="AK186" s="62" t="n">
        <f aca="false">SUMPRODUCT(MAX((입력_상담!$B$5:$B$1004=$A186)*(ROW(입력_상담!$B$5:$B$1004)-4)))</f>
        <v>0</v>
      </c>
    </row>
    <row r="187" customFormat="false" ht="15" hidden="false" customHeight="false" outlineLevel="0" collapsed="false">
      <c r="A187" s="55" t="n">
        <v>183</v>
      </c>
      <c r="B187" s="56"/>
      <c r="C187" s="24"/>
      <c r="D187" s="24"/>
      <c r="E187" s="56"/>
      <c r="F187" s="57"/>
      <c r="G187" s="58"/>
      <c r="H187" s="56"/>
      <c r="I187" s="24"/>
      <c r="J187" s="24"/>
      <c r="K187" s="24"/>
      <c r="L187" s="24"/>
      <c r="M187" s="24"/>
      <c r="N187" s="56"/>
      <c r="O187" s="25" t="str">
        <f aca="false">IF($AI187=0,"",IF(INDEX(입력_운동!$C$5:$C$1004,$AI187)="","",INDEX(입력_운동!$C$5:$C$1004,$AI187)))</f>
        <v/>
      </c>
      <c r="P187" s="25" t="str">
        <f aca="false">IF($AI187=0,"",IF(INDEX(입력_운동!$D$5:$D$1004,$AI187)="","",INDEX(입력_운동!$D$5:$D$1004,$AI187)))</f>
        <v/>
      </c>
      <c r="Q187" s="25" t="str">
        <f aca="false">IF($AI187=0,"",IF(INDEX(입력_운동!$E$5:$E$1004,$AI187)="","",INDEX(입력_운동!$E$5:$E$1004,$AI187)))</f>
        <v/>
      </c>
      <c r="R187" s="25" t="str">
        <f aca="false">IF($AI187=0,"",IF(INDEX(입력_운동!$F$5:$F$1004,$AI187)="","",INDEX(입력_운동!$F$5:$F$1004,$AI187)))</f>
        <v/>
      </c>
      <c r="S187" s="25" t="str">
        <f aca="false">IF($AJ187=0,"",IF(INDEX(입력_측정!$C$5:$C$1004,$AJ187)="","",INDEX(입력_측정!$C$5:$C$1004,$AJ187)))</f>
        <v/>
      </c>
      <c r="T187" s="25" t="str">
        <f aca="false">IF($AJ187=0,"",IF(INDEX(입력_측정!$D$5:$D$1004,$AJ187)="","",INDEX(입력_측정!$D$5:$D$1004,$AJ187)))</f>
        <v/>
      </c>
      <c r="U187" s="25" t="str">
        <f aca="false">IF($AJ187=0,"",IF(INDEX(입력_측정!$E$5:$E$1004,$AJ187)="","",INDEX(입력_측정!$E$5:$E$1004,$AJ187)))</f>
        <v/>
      </c>
      <c r="V187" s="25" t="str">
        <f aca="false">IF($AJ187=0,"",IF(INDEX(입력_측정!$F$5:$F$1004,$AJ187)="","",INDEX(입력_측정!$F$5:$F$1004,$AJ187)))</f>
        <v/>
      </c>
      <c r="W187" s="25" t="str">
        <f aca="false">IF($AK187=0,"",IF(INDEX(입력_상담!$D$5:$D$1004,$AK187)="","",INDEX(입력_상담!$D$5:$D$1004,$AK187)))</f>
        <v/>
      </c>
      <c r="X187" s="25" t="str">
        <f aca="false">IF($AJ187=0,"",IF(INDEX(입력_측정!$I$5:$I$1004,$AJ187)="","",INDEX(입력_측정!$I$5:$I$1004,$AJ187)))</f>
        <v/>
      </c>
      <c r="Y187" s="25" t="str">
        <f aca="false">IF($AJ187=0,"",IF(INDEX(입력_측정!$J$5:$J$1004,$AJ187)="","",INDEX(입력_측정!$J$5:$J$1004,$AJ187)))</f>
        <v/>
      </c>
      <c r="Z187" s="25" t="str">
        <f aca="false">IF(OR(X187="긴급",LEFT(Y187,2)="긴급",W187="필요",W187="완료"),"대상","")</f>
        <v/>
      </c>
      <c r="AA187" s="59" t="str">
        <f aca="false">IF(M187&lt;&gt;"",M187,IF(AK187&gt;0,IF(W187="필요","추가상담 대기","완료"),IF(AJ187&gt;0,"결과상담 대기",IF(AI187&gt;0,"측정 대기","미방문"))))</f>
        <v>미방문</v>
      </c>
      <c r="AB187" s="60" t="str">
        <f aca="false">IF($AI187=0,"",IF(INDEX(입력_운동!$A$5:$A$1004,$AI187)="","",INDEX(입력_운동!$A$5:$A$1004,$AI187)))</f>
        <v/>
      </c>
      <c r="AC187" s="60" t="str">
        <f aca="false">IF($AJ187=0,"",IF(INDEX(입력_측정!$A$5:$A$1004,$AJ187)="","",INDEX(입력_측정!$A$5:$A$1004,$AJ187)))</f>
        <v/>
      </c>
      <c r="AD187" s="60" t="str">
        <f aca="false">IF($AK187=0,"",IF(INDEX(입력_상담!$A$5:$A$1004,$AK187)="","",INDEX(입력_상담!$A$5:$A$1004,$AK187)))</f>
        <v/>
      </c>
      <c r="AE187" s="25" t="str">
        <f aca="false">IF(AND(ISNUMBER(AB187),ISNUMBER(AC187)),IF(AC187&gt;=AB187,ROUND((AC187-AB187)*1440,0),""),"")</f>
        <v/>
      </c>
      <c r="AF187" s="25" t="str">
        <f aca="false">IF(AND(ISNUMBER(AC187),ISNUMBER(AD187)),IF(AD187&gt;=AC187,ROUND((AD187-AC187)*1440,0),""),"")</f>
        <v/>
      </c>
      <c r="AG187" s="25" t="str">
        <f aca="false">IF(AND(AA187="완료",ISNUMBER(AB187),ISNUMBER(AD187)),IF(AD187&gt;=AB187,ROUND((AD187-AB187)*1440,0),""),"")</f>
        <v/>
      </c>
      <c r="AH187" s="61" t="str">
        <f aca="false">IF(AND(AK187&gt;0,AJ187=0),"측정 기록 없음",IF(AND(AJ187&gt;0,AI187=0),"운동평가 기록 없음",IF(OR(COUNTIF(입력_운동!$B$5:$B$1004,$A187)&gt;1,COUNTIF(입력_측정!$B$5:$B$1004,$A187)&gt;1),"중복 입력","")))</f>
        <v/>
      </c>
      <c r="AI187" s="62" t="n">
        <f aca="false">SUMPRODUCT(MAX((입력_운동!$B$5:$B$1004=$A187)*(ROW(입력_운동!$B$5:$B$1004)-4)))</f>
        <v>0</v>
      </c>
      <c r="AJ187" s="62" t="n">
        <f aca="false">SUMPRODUCT(MAX((입력_측정!$B$5:$B$1004=$A187)*(ROW(입력_측정!$B$5:$B$1004)-4)))</f>
        <v>0</v>
      </c>
      <c r="AK187" s="62" t="n">
        <f aca="false">SUMPRODUCT(MAX((입력_상담!$B$5:$B$1004=$A187)*(ROW(입력_상담!$B$5:$B$1004)-4)))</f>
        <v>0</v>
      </c>
    </row>
    <row r="188" customFormat="false" ht="15" hidden="false" customHeight="false" outlineLevel="0" collapsed="false">
      <c r="A188" s="55" t="n">
        <v>184</v>
      </c>
      <c r="B188" s="56"/>
      <c r="C188" s="24"/>
      <c r="D188" s="24"/>
      <c r="E188" s="56"/>
      <c r="F188" s="57"/>
      <c r="G188" s="58"/>
      <c r="H188" s="56"/>
      <c r="I188" s="24"/>
      <c r="J188" s="24"/>
      <c r="K188" s="24"/>
      <c r="L188" s="24"/>
      <c r="M188" s="24"/>
      <c r="N188" s="56"/>
      <c r="O188" s="25" t="str">
        <f aca="false">IF($AI188=0,"",IF(INDEX(입력_운동!$C$5:$C$1004,$AI188)="","",INDEX(입력_운동!$C$5:$C$1004,$AI188)))</f>
        <v/>
      </c>
      <c r="P188" s="25" t="str">
        <f aca="false">IF($AI188=0,"",IF(INDEX(입력_운동!$D$5:$D$1004,$AI188)="","",INDEX(입력_운동!$D$5:$D$1004,$AI188)))</f>
        <v/>
      </c>
      <c r="Q188" s="25" t="str">
        <f aca="false">IF($AI188=0,"",IF(INDEX(입력_운동!$E$5:$E$1004,$AI188)="","",INDEX(입력_운동!$E$5:$E$1004,$AI188)))</f>
        <v/>
      </c>
      <c r="R188" s="25" t="str">
        <f aca="false">IF($AI188=0,"",IF(INDEX(입력_운동!$F$5:$F$1004,$AI188)="","",INDEX(입력_운동!$F$5:$F$1004,$AI188)))</f>
        <v/>
      </c>
      <c r="S188" s="25" t="str">
        <f aca="false">IF($AJ188=0,"",IF(INDEX(입력_측정!$C$5:$C$1004,$AJ188)="","",INDEX(입력_측정!$C$5:$C$1004,$AJ188)))</f>
        <v/>
      </c>
      <c r="T188" s="25" t="str">
        <f aca="false">IF($AJ188=0,"",IF(INDEX(입력_측정!$D$5:$D$1004,$AJ188)="","",INDEX(입력_측정!$D$5:$D$1004,$AJ188)))</f>
        <v/>
      </c>
      <c r="U188" s="25" t="str">
        <f aca="false">IF($AJ188=0,"",IF(INDEX(입력_측정!$E$5:$E$1004,$AJ188)="","",INDEX(입력_측정!$E$5:$E$1004,$AJ188)))</f>
        <v/>
      </c>
      <c r="V188" s="25" t="str">
        <f aca="false">IF($AJ188=0,"",IF(INDEX(입력_측정!$F$5:$F$1004,$AJ188)="","",INDEX(입력_측정!$F$5:$F$1004,$AJ188)))</f>
        <v/>
      </c>
      <c r="W188" s="25" t="str">
        <f aca="false">IF($AK188=0,"",IF(INDEX(입력_상담!$D$5:$D$1004,$AK188)="","",INDEX(입력_상담!$D$5:$D$1004,$AK188)))</f>
        <v/>
      </c>
      <c r="X188" s="25" t="str">
        <f aca="false">IF($AJ188=0,"",IF(INDEX(입력_측정!$I$5:$I$1004,$AJ188)="","",INDEX(입력_측정!$I$5:$I$1004,$AJ188)))</f>
        <v/>
      </c>
      <c r="Y188" s="25" t="str">
        <f aca="false">IF($AJ188=0,"",IF(INDEX(입력_측정!$J$5:$J$1004,$AJ188)="","",INDEX(입력_측정!$J$5:$J$1004,$AJ188)))</f>
        <v/>
      </c>
      <c r="Z188" s="25" t="str">
        <f aca="false">IF(OR(X188="긴급",LEFT(Y188,2)="긴급",W188="필요",W188="완료"),"대상","")</f>
        <v/>
      </c>
      <c r="AA188" s="59" t="str">
        <f aca="false">IF(M188&lt;&gt;"",M188,IF(AK188&gt;0,IF(W188="필요","추가상담 대기","완료"),IF(AJ188&gt;0,"결과상담 대기",IF(AI188&gt;0,"측정 대기","미방문"))))</f>
        <v>미방문</v>
      </c>
      <c r="AB188" s="60" t="str">
        <f aca="false">IF($AI188=0,"",IF(INDEX(입력_운동!$A$5:$A$1004,$AI188)="","",INDEX(입력_운동!$A$5:$A$1004,$AI188)))</f>
        <v/>
      </c>
      <c r="AC188" s="60" t="str">
        <f aca="false">IF($AJ188=0,"",IF(INDEX(입력_측정!$A$5:$A$1004,$AJ188)="","",INDEX(입력_측정!$A$5:$A$1004,$AJ188)))</f>
        <v/>
      </c>
      <c r="AD188" s="60" t="str">
        <f aca="false">IF($AK188=0,"",IF(INDEX(입력_상담!$A$5:$A$1004,$AK188)="","",INDEX(입력_상담!$A$5:$A$1004,$AK188)))</f>
        <v/>
      </c>
      <c r="AE188" s="25" t="str">
        <f aca="false">IF(AND(ISNUMBER(AB188),ISNUMBER(AC188)),IF(AC188&gt;=AB188,ROUND((AC188-AB188)*1440,0),""),"")</f>
        <v/>
      </c>
      <c r="AF188" s="25" t="str">
        <f aca="false">IF(AND(ISNUMBER(AC188),ISNUMBER(AD188)),IF(AD188&gt;=AC188,ROUND((AD188-AC188)*1440,0),""),"")</f>
        <v/>
      </c>
      <c r="AG188" s="25" t="str">
        <f aca="false">IF(AND(AA188="완료",ISNUMBER(AB188),ISNUMBER(AD188)),IF(AD188&gt;=AB188,ROUND((AD188-AB188)*1440,0),""),"")</f>
        <v/>
      </c>
      <c r="AH188" s="61" t="str">
        <f aca="false">IF(AND(AK188&gt;0,AJ188=0),"측정 기록 없음",IF(AND(AJ188&gt;0,AI188=0),"운동평가 기록 없음",IF(OR(COUNTIF(입력_운동!$B$5:$B$1004,$A188)&gt;1,COUNTIF(입력_측정!$B$5:$B$1004,$A188)&gt;1),"중복 입력","")))</f>
        <v/>
      </c>
      <c r="AI188" s="62" t="n">
        <f aca="false">SUMPRODUCT(MAX((입력_운동!$B$5:$B$1004=$A188)*(ROW(입력_운동!$B$5:$B$1004)-4)))</f>
        <v>0</v>
      </c>
      <c r="AJ188" s="62" t="n">
        <f aca="false">SUMPRODUCT(MAX((입력_측정!$B$5:$B$1004=$A188)*(ROW(입력_측정!$B$5:$B$1004)-4)))</f>
        <v>0</v>
      </c>
      <c r="AK188" s="62" t="n">
        <f aca="false">SUMPRODUCT(MAX((입력_상담!$B$5:$B$1004=$A188)*(ROW(입력_상담!$B$5:$B$1004)-4)))</f>
        <v>0</v>
      </c>
    </row>
    <row r="189" customFormat="false" ht="15" hidden="false" customHeight="false" outlineLevel="0" collapsed="false">
      <c r="A189" s="55" t="n">
        <v>185</v>
      </c>
      <c r="B189" s="56"/>
      <c r="C189" s="24"/>
      <c r="D189" s="24"/>
      <c r="E189" s="56"/>
      <c r="F189" s="57"/>
      <c r="G189" s="58"/>
      <c r="H189" s="56"/>
      <c r="I189" s="24"/>
      <c r="J189" s="24"/>
      <c r="K189" s="24"/>
      <c r="L189" s="24"/>
      <c r="M189" s="24"/>
      <c r="N189" s="56"/>
      <c r="O189" s="25" t="str">
        <f aca="false">IF($AI189=0,"",IF(INDEX(입력_운동!$C$5:$C$1004,$AI189)="","",INDEX(입력_운동!$C$5:$C$1004,$AI189)))</f>
        <v/>
      </c>
      <c r="P189" s="25" t="str">
        <f aca="false">IF($AI189=0,"",IF(INDEX(입력_운동!$D$5:$D$1004,$AI189)="","",INDEX(입력_운동!$D$5:$D$1004,$AI189)))</f>
        <v/>
      </c>
      <c r="Q189" s="25" t="str">
        <f aca="false">IF($AI189=0,"",IF(INDEX(입력_운동!$E$5:$E$1004,$AI189)="","",INDEX(입력_운동!$E$5:$E$1004,$AI189)))</f>
        <v/>
      </c>
      <c r="R189" s="25" t="str">
        <f aca="false">IF($AI189=0,"",IF(INDEX(입력_운동!$F$5:$F$1004,$AI189)="","",INDEX(입력_운동!$F$5:$F$1004,$AI189)))</f>
        <v/>
      </c>
      <c r="S189" s="25" t="str">
        <f aca="false">IF($AJ189=0,"",IF(INDEX(입력_측정!$C$5:$C$1004,$AJ189)="","",INDEX(입력_측정!$C$5:$C$1004,$AJ189)))</f>
        <v/>
      </c>
      <c r="T189" s="25" t="str">
        <f aca="false">IF($AJ189=0,"",IF(INDEX(입력_측정!$D$5:$D$1004,$AJ189)="","",INDEX(입력_측정!$D$5:$D$1004,$AJ189)))</f>
        <v/>
      </c>
      <c r="U189" s="25" t="str">
        <f aca="false">IF($AJ189=0,"",IF(INDEX(입력_측정!$E$5:$E$1004,$AJ189)="","",INDEX(입력_측정!$E$5:$E$1004,$AJ189)))</f>
        <v/>
      </c>
      <c r="V189" s="25" t="str">
        <f aca="false">IF($AJ189=0,"",IF(INDEX(입력_측정!$F$5:$F$1004,$AJ189)="","",INDEX(입력_측정!$F$5:$F$1004,$AJ189)))</f>
        <v/>
      </c>
      <c r="W189" s="25" t="str">
        <f aca="false">IF($AK189=0,"",IF(INDEX(입력_상담!$D$5:$D$1004,$AK189)="","",INDEX(입력_상담!$D$5:$D$1004,$AK189)))</f>
        <v/>
      </c>
      <c r="X189" s="25" t="str">
        <f aca="false">IF($AJ189=0,"",IF(INDEX(입력_측정!$I$5:$I$1004,$AJ189)="","",INDEX(입력_측정!$I$5:$I$1004,$AJ189)))</f>
        <v/>
      </c>
      <c r="Y189" s="25" t="str">
        <f aca="false">IF($AJ189=0,"",IF(INDEX(입력_측정!$J$5:$J$1004,$AJ189)="","",INDEX(입력_측정!$J$5:$J$1004,$AJ189)))</f>
        <v/>
      </c>
      <c r="Z189" s="25" t="str">
        <f aca="false">IF(OR(X189="긴급",LEFT(Y189,2)="긴급",W189="필요",W189="완료"),"대상","")</f>
        <v/>
      </c>
      <c r="AA189" s="59" t="str">
        <f aca="false">IF(M189&lt;&gt;"",M189,IF(AK189&gt;0,IF(W189="필요","추가상담 대기","완료"),IF(AJ189&gt;0,"결과상담 대기",IF(AI189&gt;0,"측정 대기","미방문"))))</f>
        <v>미방문</v>
      </c>
      <c r="AB189" s="60" t="str">
        <f aca="false">IF($AI189=0,"",IF(INDEX(입력_운동!$A$5:$A$1004,$AI189)="","",INDEX(입력_운동!$A$5:$A$1004,$AI189)))</f>
        <v/>
      </c>
      <c r="AC189" s="60" t="str">
        <f aca="false">IF($AJ189=0,"",IF(INDEX(입력_측정!$A$5:$A$1004,$AJ189)="","",INDEX(입력_측정!$A$5:$A$1004,$AJ189)))</f>
        <v/>
      </c>
      <c r="AD189" s="60" t="str">
        <f aca="false">IF($AK189=0,"",IF(INDEX(입력_상담!$A$5:$A$1004,$AK189)="","",INDEX(입력_상담!$A$5:$A$1004,$AK189)))</f>
        <v/>
      </c>
      <c r="AE189" s="25" t="str">
        <f aca="false">IF(AND(ISNUMBER(AB189),ISNUMBER(AC189)),IF(AC189&gt;=AB189,ROUND((AC189-AB189)*1440,0),""),"")</f>
        <v/>
      </c>
      <c r="AF189" s="25" t="str">
        <f aca="false">IF(AND(ISNUMBER(AC189),ISNUMBER(AD189)),IF(AD189&gt;=AC189,ROUND((AD189-AC189)*1440,0),""),"")</f>
        <v/>
      </c>
      <c r="AG189" s="25" t="str">
        <f aca="false">IF(AND(AA189="완료",ISNUMBER(AB189),ISNUMBER(AD189)),IF(AD189&gt;=AB189,ROUND((AD189-AB189)*1440,0),""),"")</f>
        <v/>
      </c>
      <c r="AH189" s="61" t="str">
        <f aca="false">IF(AND(AK189&gt;0,AJ189=0),"측정 기록 없음",IF(AND(AJ189&gt;0,AI189=0),"운동평가 기록 없음",IF(OR(COUNTIF(입력_운동!$B$5:$B$1004,$A189)&gt;1,COUNTIF(입력_측정!$B$5:$B$1004,$A189)&gt;1),"중복 입력","")))</f>
        <v/>
      </c>
      <c r="AI189" s="62" t="n">
        <f aca="false">SUMPRODUCT(MAX((입력_운동!$B$5:$B$1004=$A189)*(ROW(입력_운동!$B$5:$B$1004)-4)))</f>
        <v>0</v>
      </c>
      <c r="AJ189" s="62" t="n">
        <f aca="false">SUMPRODUCT(MAX((입력_측정!$B$5:$B$1004=$A189)*(ROW(입력_측정!$B$5:$B$1004)-4)))</f>
        <v>0</v>
      </c>
      <c r="AK189" s="62" t="n">
        <f aca="false">SUMPRODUCT(MAX((입력_상담!$B$5:$B$1004=$A189)*(ROW(입력_상담!$B$5:$B$1004)-4)))</f>
        <v>0</v>
      </c>
    </row>
    <row r="190" customFormat="false" ht="15" hidden="false" customHeight="false" outlineLevel="0" collapsed="false">
      <c r="A190" s="55" t="n">
        <v>186</v>
      </c>
      <c r="B190" s="56"/>
      <c r="C190" s="24"/>
      <c r="D190" s="24"/>
      <c r="E190" s="56"/>
      <c r="F190" s="57"/>
      <c r="G190" s="58"/>
      <c r="H190" s="56"/>
      <c r="I190" s="24"/>
      <c r="J190" s="24"/>
      <c r="K190" s="24"/>
      <c r="L190" s="24"/>
      <c r="M190" s="24"/>
      <c r="N190" s="56"/>
      <c r="O190" s="25" t="str">
        <f aca="false">IF($AI190=0,"",IF(INDEX(입력_운동!$C$5:$C$1004,$AI190)="","",INDEX(입력_운동!$C$5:$C$1004,$AI190)))</f>
        <v/>
      </c>
      <c r="P190" s="25" t="str">
        <f aca="false">IF($AI190=0,"",IF(INDEX(입력_운동!$D$5:$D$1004,$AI190)="","",INDEX(입력_운동!$D$5:$D$1004,$AI190)))</f>
        <v/>
      </c>
      <c r="Q190" s="25" t="str">
        <f aca="false">IF($AI190=0,"",IF(INDEX(입력_운동!$E$5:$E$1004,$AI190)="","",INDEX(입력_운동!$E$5:$E$1004,$AI190)))</f>
        <v/>
      </c>
      <c r="R190" s="25" t="str">
        <f aca="false">IF($AI190=0,"",IF(INDEX(입력_운동!$F$5:$F$1004,$AI190)="","",INDEX(입력_운동!$F$5:$F$1004,$AI190)))</f>
        <v/>
      </c>
      <c r="S190" s="25" t="str">
        <f aca="false">IF($AJ190=0,"",IF(INDEX(입력_측정!$C$5:$C$1004,$AJ190)="","",INDEX(입력_측정!$C$5:$C$1004,$AJ190)))</f>
        <v/>
      </c>
      <c r="T190" s="25" t="str">
        <f aca="false">IF($AJ190=0,"",IF(INDEX(입력_측정!$D$5:$D$1004,$AJ190)="","",INDEX(입력_측정!$D$5:$D$1004,$AJ190)))</f>
        <v/>
      </c>
      <c r="U190" s="25" t="str">
        <f aca="false">IF($AJ190=0,"",IF(INDEX(입력_측정!$E$5:$E$1004,$AJ190)="","",INDEX(입력_측정!$E$5:$E$1004,$AJ190)))</f>
        <v/>
      </c>
      <c r="V190" s="25" t="str">
        <f aca="false">IF($AJ190=0,"",IF(INDEX(입력_측정!$F$5:$F$1004,$AJ190)="","",INDEX(입력_측정!$F$5:$F$1004,$AJ190)))</f>
        <v/>
      </c>
      <c r="W190" s="25" t="str">
        <f aca="false">IF($AK190=0,"",IF(INDEX(입력_상담!$D$5:$D$1004,$AK190)="","",INDEX(입력_상담!$D$5:$D$1004,$AK190)))</f>
        <v/>
      </c>
      <c r="X190" s="25" t="str">
        <f aca="false">IF($AJ190=0,"",IF(INDEX(입력_측정!$I$5:$I$1004,$AJ190)="","",INDEX(입력_측정!$I$5:$I$1004,$AJ190)))</f>
        <v/>
      </c>
      <c r="Y190" s="25" t="str">
        <f aca="false">IF($AJ190=0,"",IF(INDEX(입력_측정!$J$5:$J$1004,$AJ190)="","",INDEX(입력_측정!$J$5:$J$1004,$AJ190)))</f>
        <v/>
      </c>
      <c r="Z190" s="25" t="str">
        <f aca="false">IF(OR(X190="긴급",LEFT(Y190,2)="긴급",W190="필요",W190="완료"),"대상","")</f>
        <v/>
      </c>
      <c r="AA190" s="59" t="str">
        <f aca="false">IF(M190&lt;&gt;"",M190,IF(AK190&gt;0,IF(W190="필요","추가상담 대기","완료"),IF(AJ190&gt;0,"결과상담 대기",IF(AI190&gt;0,"측정 대기","미방문"))))</f>
        <v>미방문</v>
      </c>
      <c r="AB190" s="60" t="str">
        <f aca="false">IF($AI190=0,"",IF(INDEX(입력_운동!$A$5:$A$1004,$AI190)="","",INDEX(입력_운동!$A$5:$A$1004,$AI190)))</f>
        <v/>
      </c>
      <c r="AC190" s="60" t="str">
        <f aca="false">IF($AJ190=0,"",IF(INDEX(입력_측정!$A$5:$A$1004,$AJ190)="","",INDEX(입력_측정!$A$5:$A$1004,$AJ190)))</f>
        <v/>
      </c>
      <c r="AD190" s="60" t="str">
        <f aca="false">IF($AK190=0,"",IF(INDEX(입력_상담!$A$5:$A$1004,$AK190)="","",INDEX(입력_상담!$A$5:$A$1004,$AK190)))</f>
        <v/>
      </c>
      <c r="AE190" s="25" t="str">
        <f aca="false">IF(AND(ISNUMBER(AB190),ISNUMBER(AC190)),IF(AC190&gt;=AB190,ROUND((AC190-AB190)*1440,0),""),"")</f>
        <v/>
      </c>
      <c r="AF190" s="25" t="str">
        <f aca="false">IF(AND(ISNUMBER(AC190),ISNUMBER(AD190)),IF(AD190&gt;=AC190,ROUND((AD190-AC190)*1440,0),""),"")</f>
        <v/>
      </c>
      <c r="AG190" s="25" t="str">
        <f aca="false">IF(AND(AA190="완료",ISNUMBER(AB190),ISNUMBER(AD190)),IF(AD190&gt;=AB190,ROUND((AD190-AB190)*1440,0),""),"")</f>
        <v/>
      </c>
      <c r="AH190" s="61" t="str">
        <f aca="false">IF(AND(AK190&gt;0,AJ190=0),"측정 기록 없음",IF(AND(AJ190&gt;0,AI190=0),"운동평가 기록 없음",IF(OR(COUNTIF(입력_운동!$B$5:$B$1004,$A190)&gt;1,COUNTIF(입력_측정!$B$5:$B$1004,$A190)&gt;1),"중복 입력","")))</f>
        <v/>
      </c>
      <c r="AI190" s="62" t="n">
        <f aca="false">SUMPRODUCT(MAX((입력_운동!$B$5:$B$1004=$A190)*(ROW(입력_운동!$B$5:$B$1004)-4)))</f>
        <v>0</v>
      </c>
      <c r="AJ190" s="62" t="n">
        <f aca="false">SUMPRODUCT(MAX((입력_측정!$B$5:$B$1004=$A190)*(ROW(입력_측정!$B$5:$B$1004)-4)))</f>
        <v>0</v>
      </c>
      <c r="AK190" s="62" t="n">
        <f aca="false">SUMPRODUCT(MAX((입력_상담!$B$5:$B$1004=$A190)*(ROW(입력_상담!$B$5:$B$1004)-4)))</f>
        <v>0</v>
      </c>
    </row>
    <row r="191" customFormat="false" ht="15" hidden="false" customHeight="false" outlineLevel="0" collapsed="false">
      <c r="A191" s="55" t="n">
        <v>187</v>
      </c>
      <c r="B191" s="56"/>
      <c r="C191" s="24"/>
      <c r="D191" s="24"/>
      <c r="E191" s="56"/>
      <c r="F191" s="57"/>
      <c r="G191" s="58"/>
      <c r="H191" s="56"/>
      <c r="I191" s="24"/>
      <c r="J191" s="24"/>
      <c r="K191" s="24"/>
      <c r="L191" s="24"/>
      <c r="M191" s="24"/>
      <c r="N191" s="56"/>
      <c r="O191" s="25" t="str">
        <f aca="false">IF($AI191=0,"",IF(INDEX(입력_운동!$C$5:$C$1004,$AI191)="","",INDEX(입력_운동!$C$5:$C$1004,$AI191)))</f>
        <v/>
      </c>
      <c r="P191" s="25" t="str">
        <f aca="false">IF($AI191=0,"",IF(INDEX(입력_운동!$D$5:$D$1004,$AI191)="","",INDEX(입력_운동!$D$5:$D$1004,$AI191)))</f>
        <v/>
      </c>
      <c r="Q191" s="25" t="str">
        <f aca="false">IF($AI191=0,"",IF(INDEX(입력_운동!$E$5:$E$1004,$AI191)="","",INDEX(입력_운동!$E$5:$E$1004,$AI191)))</f>
        <v/>
      </c>
      <c r="R191" s="25" t="str">
        <f aca="false">IF($AI191=0,"",IF(INDEX(입력_운동!$F$5:$F$1004,$AI191)="","",INDEX(입력_운동!$F$5:$F$1004,$AI191)))</f>
        <v/>
      </c>
      <c r="S191" s="25" t="str">
        <f aca="false">IF($AJ191=0,"",IF(INDEX(입력_측정!$C$5:$C$1004,$AJ191)="","",INDEX(입력_측정!$C$5:$C$1004,$AJ191)))</f>
        <v/>
      </c>
      <c r="T191" s="25" t="str">
        <f aca="false">IF($AJ191=0,"",IF(INDEX(입력_측정!$D$5:$D$1004,$AJ191)="","",INDEX(입력_측정!$D$5:$D$1004,$AJ191)))</f>
        <v/>
      </c>
      <c r="U191" s="25" t="str">
        <f aca="false">IF($AJ191=0,"",IF(INDEX(입력_측정!$E$5:$E$1004,$AJ191)="","",INDEX(입력_측정!$E$5:$E$1004,$AJ191)))</f>
        <v/>
      </c>
      <c r="V191" s="25" t="str">
        <f aca="false">IF($AJ191=0,"",IF(INDEX(입력_측정!$F$5:$F$1004,$AJ191)="","",INDEX(입력_측정!$F$5:$F$1004,$AJ191)))</f>
        <v/>
      </c>
      <c r="W191" s="25" t="str">
        <f aca="false">IF($AK191=0,"",IF(INDEX(입력_상담!$D$5:$D$1004,$AK191)="","",INDEX(입력_상담!$D$5:$D$1004,$AK191)))</f>
        <v/>
      </c>
      <c r="X191" s="25" t="str">
        <f aca="false">IF($AJ191=0,"",IF(INDEX(입력_측정!$I$5:$I$1004,$AJ191)="","",INDEX(입력_측정!$I$5:$I$1004,$AJ191)))</f>
        <v/>
      </c>
      <c r="Y191" s="25" t="str">
        <f aca="false">IF($AJ191=0,"",IF(INDEX(입력_측정!$J$5:$J$1004,$AJ191)="","",INDEX(입력_측정!$J$5:$J$1004,$AJ191)))</f>
        <v/>
      </c>
      <c r="Z191" s="25" t="str">
        <f aca="false">IF(OR(X191="긴급",LEFT(Y191,2)="긴급",W191="필요",W191="완료"),"대상","")</f>
        <v/>
      </c>
      <c r="AA191" s="59" t="str">
        <f aca="false">IF(M191&lt;&gt;"",M191,IF(AK191&gt;0,IF(W191="필요","추가상담 대기","완료"),IF(AJ191&gt;0,"결과상담 대기",IF(AI191&gt;0,"측정 대기","미방문"))))</f>
        <v>미방문</v>
      </c>
      <c r="AB191" s="60" t="str">
        <f aca="false">IF($AI191=0,"",IF(INDEX(입력_운동!$A$5:$A$1004,$AI191)="","",INDEX(입력_운동!$A$5:$A$1004,$AI191)))</f>
        <v/>
      </c>
      <c r="AC191" s="60" t="str">
        <f aca="false">IF($AJ191=0,"",IF(INDEX(입력_측정!$A$5:$A$1004,$AJ191)="","",INDEX(입력_측정!$A$5:$A$1004,$AJ191)))</f>
        <v/>
      </c>
      <c r="AD191" s="60" t="str">
        <f aca="false">IF($AK191=0,"",IF(INDEX(입력_상담!$A$5:$A$1004,$AK191)="","",INDEX(입력_상담!$A$5:$A$1004,$AK191)))</f>
        <v/>
      </c>
      <c r="AE191" s="25" t="str">
        <f aca="false">IF(AND(ISNUMBER(AB191),ISNUMBER(AC191)),IF(AC191&gt;=AB191,ROUND((AC191-AB191)*1440,0),""),"")</f>
        <v/>
      </c>
      <c r="AF191" s="25" t="str">
        <f aca="false">IF(AND(ISNUMBER(AC191),ISNUMBER(AD191)),IF(AD191&gt;=AC191,ROUND((AD191-AC191)*1440,0),""),"")</f>
        <v/>
      </c>
      <c r="AG191" s="25" t="str">
        <f aca="false">IF(AND(AA191="완료",ISNUMBER(AB191),ISNUMBER(AD191)),IF(AD191&gt;=AB191,ROUND((AD191-AB191)*1440,0),""),"")</f>
        <v/>
      </c>
      <c r="AH191" s="61" t="str">
        <f aca="false">IF(AND(AK191&gt;0,AJ191=0),"측정 기록 없음",IF(AND(AJ191&gt;0,AI191=0),"운동평가 기록 없음",IF(OR(COUNTIF(입력_운동!$B$5:$B$1004,$A191)&gt;1,COUNTIF(입력_측정!$B$5:$B$1004,$A191)&gt;1),"중복 입력","")))</f>
        <v/>
      </c>
      <c r="AI191" s="62" t="n">
        <f aca="false">SUMPRODUCT(MAX((입력_운동!$B$5:$B$1004=$A191)*(ROW(입력_운동!$B$5:$B$1004)-4)))</f>
        <v>0</v>
      </c>
      <c r="AJ191" s="62" t="n">
        <f aca="false">SUMPRODUCT(MAX((입력_측정!$B$5:$B$1004=$A191)*(ROW(입력_측정!$B$5:$B$1004)-4)))</f>
        <v>0</v>
      </c>
      <c r="AK191" s="62" t="n">
        <f aca="false">SUMPRODUCT(MAX((입력_상담!$B$5:$B$1004=$A191)*(ROW(입력_상담!$B$5:$B$1004)-4)))</f>
        <v>0</v>
      </c>
    </row>
    <row r="192" customFormat="false" ht="15" hidden="false" customHeight="false" outlineLevel="0" collapsed="false">
      <c r="A192" s="55" t="n">
        <v>188</v>
      </c>
      <c r="B192" s="56"/>
      <c r="C192" s="24"/>
      <c r="D192" s="24"/>
      <c r="E192" s="56"/>
      <c r="F192" s="57"/>
      <c r="G192" s="58"/>
      <c r="H192" s="56"/>
      <c r="I192" s="24"/>
      <c r="J192" s="24"/>
      <c r="K192" s="24"/>
      <c r="L192" s="24"/>
      <c r="M192" s="24"/>
      <c r="N192" s="56"/>
      <c r="O192" s="25" t="str">
        <f aca="false">IF($AI192=0,"",IF(INDEX(입력_운동!$C$5:$C$1004,$AI192)="","",INDEX(입력_운동!$C$5:$C$1004,$AI192)))</f>
        <v/>
      </c>
      <c r="P192" s="25" t="str">
        <f aca="false">IF($AI192=0,"",IF(INDEX(입력_운동!$D$5:$D$1004,$AI192)="","",INDEX(입력_운동!$D$5:$D$1004,$AI192)))</f>
        <v/>
      </c>
      <c r="Q192" s="25" t="str">
        <f aca="false">IF($AI192=0,"",IF(INDEX(입력_운동!$E$5:$E$1004,$AI192)="","",INDEX(입력_운동!$E$5:$E$1004,$AI192)))</f>
        <v/>
      </c>
      <c r="R192" s="25" t="str">
        <f aca="false">IF($AI192=0,"",IF(INDEX(입력_운동!$F$5:$F$1004,$AI192)="","",INDEX(입력_운동!$F$5:$F$1004,$AI192)))</f>
        <v/>
      </c>
      <c r="S192" s="25" t="str">
        <f aca="false">IF($AJ192=0,"",IF(INDEX(입력_측정!$C$5:$C$1004,$AJ192)="","",INDEX(입력_측정!$C$5:$C$1004,$AJ192)))</f>
        <v/>
      </c>
      <c r="T192" s="25" t="str">
        <f aca="false">IF($AJ192=0,"",IF(INDEX(입력_측정!$D$5:$D$1004,$AJ192)="","",INDEX(입력_측정!$D$5:$D$1004,$AJ192)))</f>
        <v/>
      </c>
      <c r="U192" s="25" t="str">
        <f aca="false">IF($AJ192=0,"",IF(INDEX(입력_측정!$E$5:$E$1004,$AJ192)="","",INDEX(입력_측정!$E$5:$E$1004,$AJ192)))</f>
        <v/>
      </c>
      <c r="V192" s="25" t="str">
        <f aca="false">IF($AJ192=0,"",IF(INDEX(입력_측정!$F$5:$F$1004,$AJ192)="","",INDEX(입력_측정!$F$5:$F$1004,$AJ192)))</f>
        <v/>
      </c>
      <c r="W192" s="25" t="str">
        <f aca="false">IF($AK192=0,"",IF(INDEX(입력_상담!$D$5:$D$1004,$AK192)="","",INDEX(입력_상담!$D$5:$D$1004,$AK192)))</f>
        <v/>
      </c>
      <c r="X192" s="25" t="str">
        <f aca="false">IF($AJ192=0,"",IF(INDEX(입력_측정!$I$5:$I$1004,$AJ192)="","",INDEX(입력_측정!$I$5:$I$1004,$AJ192)))</f>
        <v/>
      </c>
      <c r="Y192" s="25" t="str">
        <f aca="false">IF($AJ192=0,"",IF(INDEX(입력_측정!$J$5:$J$1004,$AJ192)="","",INDEX(입력_측정!$J$5:$J$1004,$AJ192)))</f>
        <v/>
      </c>
      <c r="Z192" s="25" t="str">
        <f aca="false">IF(OR(X192="긴급",LEFT(Y192,2)="긴급",W192="필요",W192="완료"),"대상","")</f>
        <v/>
      </c>
      <c r="AA192" s="59" t="str">
        <f aca="false">IF(M192&lt;&gt;"",M192,IF(AK192&gt;0,IF(W192="필요","추가상담 대기","완료"),IF(AJ192&gt;0,"결과상담 대기",IF(AI192&gt;0,"측정 대기","미방문"))))</f>
        <v>미방문</v>
      </c>
      <c r="AB192" s="60" t="str">
        <f aca="false">IF($AI192=0,"",IF(INDEX(입력_운동!$A$5:$A$1004,$AI192)="","",INDEX(입력_운동!$A$5:$A$1004,$AI192)))</f>
        <v/>
      </c>
      <c r="AC192" s="60" t="str">
        <f aca="false">IF($AJ192=0,"",IF(INDEX(입력_측정!$A$5:$A$1004,$AJ192)="","",INDEX(입력_측정!$A$5:$A$1004,$AJ192)))</f>
        <v/>
      </c>
      <c r="AD192" s="60" t="str">
        <f aca="false">IF($AK192=0,"",IF(INDEX(입력_상담!$A$5:$A$1004,$AK192)="","",INDEX(입력_상담!$A$5:$A$1004,$AK192)))</f>
        <v/>
      </c>
      <c r="AE192" s="25" t="str">
        <f aca="false">IF(AND(ISNUMBER(AB192),ISNUMBER(AC192)),IF(AC192&gt;=AB192,ROUND((AC192-AB192)*1440,0),""),"")</f>
        <v/>
      </c>
      <c r="AF192" s="25" t="str">
        <f aca="false">IF(AND(ISNUMBER(AC192),ISNUMBER(AD192)),IF(AD192&gt;=AC192,ROUND((AD192-AC192)*1440,0),""),"")</f>
        <v/>
      </c>
      <c r="AG192" s="25" t="str">
        <f aca="false">IF(AND(AA192="완료",ISNUMBER(AB192),ISNUMBER(AD192)),IF(AD192&gt;=AB192,ROUND((AD192-AB192)*1440,0),""),"")</f>
        <v/>
      </c>
      <c r="AH192" s="61" t="str">
        <f aca="false">IF(AND(AK192&gt;0,AJ192=0),"측정 기록 없음",IF(AND(AJ192&gt;0,AI192=0),"운동평가 기록 없음",IF(OR(COUNTIF(입력_운동!$B$5:$B$1004,$A192)&gt;1,COUNTIF(입력_측정!$B$5:$B$1004,$A192)&gt;1),"중복 입력","")))</f>
        <v/>
      </c>
      <c r="AI192" s="62" t="n">
        <f aca="false">SUMPRODUCT(MAX((입력_운동!$B$5:$B$1004=$A192)*(ROW(입력_운동!$B$5:$B$1004)-4)))</f>
        <v>0</v>
      </c>
      <c r="AJ192" s="62" t="n">
        <f aca="false">SUMPRODUCT(MAX((입력_측정!$B$5:$B$1004=$A192)*(ROW(입력_측정!$B$5:$B$1004)-4)))</f>
        <v>0</v>
      </c>
      <c r="AK192" s="62" t="n">
        <f aca="false">SUMPRODUCT(MAX((입력_상담!$B$5:$B$1004=$A192)*(ROW(입력_상담!$B$5:$B$1004)-4)))</f>
        <v>0</v>
      </c>
    </row>
    <row r="193" customFormat="false" ht="15" hidden="false" customHeight="false" outlineLevel="0" collapsed="false">
      <c r="A193" s="55" t="n">
        <v>189</v>
      </c>
      <c r="B193" s="56"/>
      <c r="C193" s="24"/>
      <c r="D193" s="24"/>
      <c r="E193" s="56"/>
      <c r="F193" s="57"/>
      <c r="G193" s="58"/>
      <c r="H193" s="56"/>
      <c r="I193" s="24"/>
      <c r="J193" s="24"/>
      <c r="K193" s="24"/>
      <c r="L193" s="24"/>
      <c r="M193" s="24"/>
      <c r="N193" s="56"/>
      <c r="O193" s="25" t="str">
        <f aca="false">IF($AI193=0,"",IF(INDEX(입력_운동!$C$5:$C$1004,$AI193)="","",INDEX(입력_운동!$C$5:$C$1004,$AI193)))</f>
        <v/>
      </c>
      <c r="P193" s="25" t="str">
        <f aca="false">IF($AI193=0,"",IF(INDEX(입력_운동!$D$5:$D$1004,$AI193)="","",INDEX(입력_운동!$D$5:$D$1004,$AI193)))</f>
        <v/>
      </c>
      <c r="Q193" s="25" t="str">
        <f aca="false">IF($AI193=0,"",IF(INDEX(입력_운동!$E$5:$E$1004,$AI193)="","",INDEX(입력_운동!$E$5:$E$1004,$AI193)))</f>
        <v/>
      </c>
      <c r="R193" s="25" t="str">
        <f aca="false">IF($AI193=0,"",IF(INDEX(입력_운동!$F$5:$F$1004,$AI193)="","",INDEX(입력_운동!$F$5:$F$1004,$AI193)))</f>
        <v/>
      </c>
      <c r="S193" s="25" t="str">
        <f aca="false">IF($AJ193=0,"",IF(INDEX(입력_측정!$C$5:$C$1004,$AJ193)="","",INDEX(입력_측정!$C$5:$C$1004,$AJ193)))</f>
        <v/>
      </c>
      <c r="T193" s="25" t="str">
        <f aca="false">IF($AJ193=0,"",IF(INDEX(입력_측정!$D$5:$D$1004,$AJ193)="","",INDEX(입력_측정!$D$5:$D$1004,$AJ193)))</f>
        <v/>
      </c>
      <c r="U193" s="25" t="str">
        <f aca="false">IF($AJ193=0,"",IF(INDEX(입력_측정!$E$5:$E$1004,$AJ193)="","",INDEX(입력_측정!$E$5:$E$1004,$AJ193)))</f>
        <v/>
      </c>
      <c r="V193" s="25" t="str">
        <f aca="false">IF($AJ193=0,"",IF(INDEX(입력_측정!$F$5:$F$1004,$AJ193)="","",INDEX(입력_측정!$F$5:$F$1004,$AJ193)))</f>
        <v/>
      </c>
      <c r="W193" s="25" t="str">
        <f aca="false">IF($AK193=0,"",IF(INDEX(입력_상담!$D$5:$D$1004,$AK193)="","",INDEX(입력_상담!$D$5:$D$1004,$AK193)))</f>
        <v/>
      </c>
      <c r="X193" s="25" t="str">
        <f aca="false">IF($AJ193=0,"",IF(INDEX(입력_측정!$I$5:$I$1004,$AJ193)="","",INDEX(입력_측정!$I$5:$I$1004,$AJ193)))</f>
        <v/>
      </c>
      <c r="Y193" s="25" t="str">
        <f aca="false">IF($AJ193=0,"",IF(INDEX(입력_측정!$J$5:$J$1004,$AJ193)="","",INDEX(입력_측정!$J$5:$J$1004,$AJ193)))</f>
        <v/>
      </c>
      <c r="Z193" s="25" t="str">
        <f aca="false">IF(OR(X193="긴급",LEFT(Y193,2)="긴급",W193="필요",W193="완료"),"대상","")</f>
        <v/>
      </c>
      <c r="AA193" s="59" t="str">
        <f aca="false">IF(M193&lt;&gt;"",M193,IF(AK193&gt;0,IF(W193="필요","추가상담 대기","완료"),IF(AJ193&gt;0,"결과상담 대기",IF(AI193&gt;0,"측정 대기","미방문"))))</f>
        <v>미방문</v>
      </c>
      <c r="AB193" s="60" t="str">
        <f aca="false">IF($AI193=0,"",IF(INDEX(입력_운동!$A$5:$A$1004,$AI193)="","",INDEX(입력_운동!$A$5:$A$1004,$AI193)))</f>
        <v/>
      </c>
      <c r="AC193" s="60" t="str">
        <f aca="false">IF($AJ193=0,"",IF(INDEX(입력_측정!$A$5:$A$1004,$AJ193)="","",INDEX(입력_측정!$A$5:$A$1004,$AJ193)))</f>
        <v/>
      </c>
      <c r="AD193" s="60" t="str">
        <f aca="false">IF($AK193=0,"",IF(INDEX(입력_상담!$A$5:$A$1004,$AK193)="","",INDEX(입력_상담!$A$5:$A$1004,$AK193)))</f>
        <v/>
      </c>
      <c r="AE193" s="25" t="str">
        <f aca="false">IF(AND(ISNUMBER(AB193),ISNUMBER(AC193)),IF(AC193&gt;=AB193,ROUND((AC193-AB193)*1440,0),""),"")</f>
        <v/>
      </c>
      <c r="AF193" s="25" t="str">
        <f aca="false">IF(AND(ISNUMBER(AC193),ISNUMBER(AD193)),IF(AD193&gt;=AC193,ROUND((AD193-AC193)*1440,0),""),"")</f>
        <v/>
      </c>
      <c r="AG193" s="25" t="str">
        <f aca="false">IF(AND(AA193="완료",ISNUMBER(AB193),ISNUMBER(AD193)),IF(AD193&gt;=AB193,ROUND((AD193-AB193)*1440,0),""),"")</f>
        <v/>
      </c>
      <c r="AH193" s="61" t="str">
        <f aca="false">IF(AND(AK193&gt;0,AJ193=0),"측정 기록 없음",IF(AND(AJ193&gt;0,AI193=0),"운동평가 기록 없음",IF(OR(COUNTIF(입력_운동!$B$5:$B$1004,$A193)&gt;1,COUNTIF(입력_측정!$B$5:$B$1004,$A193)&gt;1),"중복 입력","")))</f>
        <v/>
      </c>
      <c r="AI193" s="62" t="n">
        <f aca="false">SUMPRODUCT(MAX((입력_운동!$B$5:$B$1004=$A193)*(ROW(입력_운동!$B$5:$B$1004)-4)))</f>
        <v>0</v>
      </c>
      <c r="AJ193" s="62" t="n">
        <f aca="false">SUMPRODUCT(MAX((입력_측정!$B$5:$B$1004=$A193)*(ROW(입력_측정!$B$5:$B$1004)-4)))</f>
        <v>0</v>
      </c>
      <c r="AK193" s="62" t="n">
        <f aca="false">SUMPRODUCT(MAX((입력_상담!$B$5:$B$1004=$A193)*(ROW(입력_상담!$B$5:$B$1004)-4)))</f>
        <v>0</v>
      </c>
    </row>
    <row r="194" customFormat="false" ht="15" hidden="false" customHeight="false" outlineLevel="0" collapsed="false">
      <c r="A194" s="55" t="n">
        <v>190</v>
      </c>
      <c r="B194" s="56"/>
      <c r="C194" s="24"/>
      <c r="D194" s="24"/>
      <c r="E194" s="56"/>
      <c r="F194" s="57"/>
      <c r="G194" s="58"/>
      <c r="H194" s="56"/>
      <c r="I194" s="24"/>
      <c r="J194" s="24"/>
      <c r="K194" s="24"/>
      <c r="L194" s="24"/>
      <c r="M194" s="24"/>
      <c r="N194" s="56"/>
      <c r="O194" s="25" t="str">
        <f aca="false">IF($AI194=0,"",IF(INDEX(입력_운동!$C$5:$C$1004,$AI194)="","",INDEX(입력_운동!$C$5:$C$1004,$AI194)))</f>
        <v/>
      </c>
      <c r="P194" s="25" t="str">
        <f aca="false">IF($AI194=0,"",IF(INDEX(입력_운동!$D$5:$D$1004,$AI194)="","",INDEX(입력_운동!$D$5:$D$1004,$AI194)))</f>
        <v/>
      </c>
      <c r="Q194" s="25" t="str">
        <f aca="false">IF($AI194=0,"",IF(INDEX(입력_운동!$E$5:$E$1004,$AI194)="","",INDEX(입력_운동!$E$5:$E$1004,$AI194)))</f>
        <v/>
      </c>
      <c r="R194" s="25" t="str">
        <f aca="false">IF($AI194=0,"",IF(INDEX(입력_운동!$F$5:$F$1004,$AI194)="","",INDEX(입력_운동!$F$5:$F$1004,$AI194)))</f>
        <v/>
      </c>
      <c r="S194" s="25" t="str">
        <f aca="false">IF($AJ194=0,"",IF(INDEX(입력_측정!$C$5:$C$1004,$AJ194)="","",INDEX(입력_측정!$C$5:$C$1004,$AJ194)))</f>
        <v/>
      </c>
      <c r="T194" s="25" t="str">
        <f aca="false">IF($AJ194=0,"",IF(INDEX(입력_측정!$D$5:$D$1004,$AJ194)="","",INDEX(입력_측정!$D$5:$D$1004,$AJ194)))</f>
        <v/>
      </c>
      <c r="U194" s="25" t="str">
        <f aca="false">IF($AJ194=0,"",IF(INDEX(입력_측정!$E$5:$E$1004,$AJ194)="","",INDEX(입력_측정!$E$5:$E$1004,$AJ194)))</f>
        <v/>
      </c>
      <c r="V194" s="25" t="str">
        <f aca="false">IF($AJ194=0,"",IF(INDEX(입력_측정!$F$5:$F$1004,$AJ194)="","",INDEX(입력_측정!$F$5:$F$1004,$AJ194)))</f>
        <v/>
      </c>
      <c r="W194" s="25" t="str">
        <f aca="false">IF($AK194=0,"",IF(INDEX(입력_상담!$D$5:$D$1004,$AK194)="","",INDEX(입력_상담!$D$5:$D$1004,$AK194)))</f>
        <v/>
      </c>
      <c r="X194" s="25" t="str">
        <f aca="false">IF($AJ194=0,"",IF(INDEX(입력_측정!$I$5:$I$1004,$AJ194)="","",INDEX(입력_측정!$I$5:$I$1004,$AJ194)))</f>
        <v/>
      </c>
      <c r="Y194" s="25" t="str">
        <f aca="false">IF($AJ194=0,"",IF(INDEX(입력_측정!$J$5:$J$1004,$AJ194)="","",INDEX(입력_측정!$J$5:$J$1004,$AJ194)))</f>
        <v/>
      </c>
      <c r="Z194" s="25" t="str">
        <f aca="false">IF(OR(X194="긴급",LEFT(Y194,2)="긴급",W194="필요",W194="완료"),"대상","")</f>
        <v/>
      </c>
      <c r="AA194" s="59" t="str">
        <f aca="false">IF(M194&lt;&gt;"",M194,IF(AK194&gt;0,IF(W194="필요","추가상담 대기","완료"),IF(AJ194&gt;0,"결과상담 대기",IF(AI194&gt;0,"측정 대기","미방문"))))</f>
        <v>미방문</v>
      </c>
      <c r="AB194" s="60" t="str">
        <f aca="false">IF($AI194=0,"",IF(INDEX(입력_운동!$A$5:$A$1004,$AI194)="","",INDEX(입력_운동!$A$5:$A$1004,$AI194)))</f>
        <v/>
      </c>
      <c r="AC194" s="60" t="str">
        <f aca="false">IF($AJ194=0,"",IF(INDEX(입력_측정!$A$5:$A$1004,$AJ194)="","",INDEX(입력_측정!$A$5:$A$1004,$AJ194)))</f>
        <v/>
      </c>
      <c r="AD194" s="60" t="str">
        <f aca="false">IF($AK194=0,"",IF(INDEX(입력_상담!$A$5:$A$1004,$AK194)="","",INDEX(입력_상담!$A$5:$A$1004,$AK194)))</f>
        <v/>
      </c>
      <c r="AE194" s="25" t="str">
        <f aca="false">IF(AND(ISNUMBER(AB194),ISNUMBER(AC194)),IF(AC194&gt;=AB194,ROUND((AC194-AB194)*1440,0),""),"")</f>
        <v/>
      </c>
      <c r="AF194" s="25" t="str">
        <f aca="false">IF(AND(ISNUMBER(AC194),ISNUMBER(AD194)),IF(AD194&gt;=AC194,ROUND((AD194-AC194)*1440,0),""),"")</f>
        <v/>
      </c>
      <c r="AG194" s="25" t="str">
        <f aca="false">IF(AND(AA194="완료",ISNUMBER(AB194),ISNUMBER(AD194)),IF(AD194&gt;=AB194,ROUND((AD194-AB194)*1440,0),""),"")</f>
        <v/>
      </c>
      <c r="AH194" s="61" t="str">
        <f aca="false">IF(AND(AK194&gt;0,AJ194=0),"측정 기록 없음",IF(AND(AJ194&gt;0,AI194=0),"운동평가 기록 없음",IF(OR(COUNTIF(입력_운동!$B$5:$B$1004,$A194)&gt;1,COUNTIF(입력_측정!$B$5:$B$1004,$A194)&gt;1),"중복 입력","")))</f>
        <v/>
      </c>
      <c r="AI194" s="62" t="n">
        <f aca="false">SUMPRODUCT(MAX((입력_운동!$B$5:$B$1004=$A194)*(ROW(입력_운동!$B$5:$B$1004)-4)))</f>
        <v>0</v>
      </c>
      <c r="AJ194" s="62" t="n">
        <f aca="false">SUMPRODUCT(MAX((입력_측정!$B$5:$B$1004=$A194)*(ROW(입력_측정!$B$5:$B$1004)-4)))</f>
        <v>0</v>
      </c>
      <c r="AK194" s="62" t="n">
        <f aca="false">SUMPRODUCT(MAX((입력_상담!$B$5:$B$1004=$A194)*(ROW(입력_상담!$B$5:$B$1004)-4)))</f>
        <v>0</v>
      </c>
    </row>
    <row r="195" customFormat="false" ht="15" hidden="false" customHeight="false" outlineLevel="0" collapsed="false">
      <c r="A195" s="55" t="n">
        <v>191</v>
      </c>
      <c r="B195" s="56"/>
      <c r="C195" s="24"/>
      <c r="D195" s="24"/>
      <c r="E195" s="56"/>
      <c r="F195" s="57"/>
      <c r="G195" s="58"/>
      <c r="H195" s="56"/>
      <c r="I195" s="24"/>
      <c r="J195" s="24"/>
      <c r="K195" s="24"/>
      <c r="L195" s="24"/>
      <c r="M195" s="24"/>
      <c r="N195" s="56"/>
      <c r="O195" s="25" t="str">
        <f aca="false">IF($AI195=0,"",IF(INDEX(입력_운동!$C$5:$C$1004,$AI195)="","",INDEX(입력_운동!$C$5:$C$1004,$AI195)))</f>
        <v/>
      </c>
      <c r="P195" s="25" t="str">
        <f aca="false">IF($AI195=0,"",IF(INDEX(입력_운동!$D$5:$D$1004,$AI195)="","",INDEX(입력_운동!$D$5:$D$1004,$AI195)))</f>
        <v/>
      </c>
      <c r="Q195" s="25" t="str">
        <f aca="false">IF($AI195=0,"",IF(INDEX(입력_운동!$E$5:$E$1004,$AI195)="","",INDEX(입력_운동!$E$5:$E$1004,$AI195)))</f>
        <v/>
      </c>
      <c r="R195" s="25" t="str">
        <f aca="false">IF($AI195=0,"",IF(INDEX(입력_운동!$F$5:$F$1004,$AI195)="","",INDEX(입력_운동!$F$5:$F$1004,$AI195)))</f>
        <v/>
      </c>
      <c r="S195" s="25" t="str">
        <f aca="false">IF($AJ195=0,"",IF(INDEX(입력_측정!$C$5:$C$1004,$AJ195)="","",INDEX(입력_측정!$C$5:$C$1004,$AJ195)))</f>
        <v/>
      </c>
      <c r="T195" s="25" t="str">
        <f aca="false">IF($AJ195=0,"",IF(INDEX(입력_측정!$D$5:$D$1004,$AJ195)="","",INDEX(입력_측정!$D$5:$D$1004,$AJ195)))</f>
        <v/>
      </c>
      <c r="U195" s="25" t="str">
        <f aca="false">IF($AJ195=0,"",IF(INDEX(입력_측정!$E$5:$E$1004,$AJ195)="","",INDEX(입력_측정!$E$5:$E$1004,$AJ195)))</f>
        <v/>
      </c>
      <c r="V195" s="25" t="str">
        <f aca="false">IF($AJ195=0,"",IF(INDEX(입력_측정!$F$5:$F$1004,$AJ195)="","",INDEX(입력_측정!$F$5:$F$1004,$AJ195)))</f>
        <v/>
      </c>
      <c r="W195" s="25" t="str">
        <f aca="false">IF($AK195=0,"",IF(INDEX(입력_상담!$D$5:$D$1004,$AK195)="","",INDEX(입력_상담!$D$5:$D$1004,$AK195)))</f>
        <v/>
      </c>
      <c r="X195" s="25" t="str">
        <f aca="false">IF($AJ195=0,"",IF(INDEX(입력_측정!$I$5:$I$1004,$AJ195)="","",INDEX(입력_측정!$I$5:$I$1004,$AJ195)))</f>
        <v/>
      </c>
      <c r="Y195" s="25" t="str">
        <f aca="false">IF($AJ195=0,"",IF(INDEX(입력_측정!$J$5:$J$1004,$AJ195)="","",INDEX(입력_측정!$J$5:$J$1004,$AJ195)))</f>
        <v/>
      </c>
      <c r="Z195" s="25" t="str">
        <f aca="false">IF(OR(X195="긴급",LEFT(Y195,2)="긴급",W195="필요",W195="완료"),"대상","")</f>
        <v/>
      </c>
      <c r="AA195" s="59" t="str">
        <f aca="false">IF(M195&lt;&gt;"",M195,IF(AK195&gt;0,IF(W195="필요","추가상담 대기","완료"),IF(AJ195&gt;0,"결과상담 대기",IF(AI195&gt;0,"측정 대기","미방문"))))</f>
        <v>미방문</v>
      </c>
      <c r="AB195" s="60" t="str">
        <f aca="false">IF($AI195=0,"",IF(INDEX(입력_운동!$A$5:$A$1004,$AI195)="","",INDEX(입력_운동!$A$5:$A$1004,$AI195)))</f>
        <v/>
      </c>
      <c r="AC195" s="60" t="str">
        <f aca="false">IF($AJ195=0,"",IF(INDEX(입력_측정!$A$5:$A$1004,$AJ195)="","",INDEX(입력_측정!$A$5:$A$1004,$AJ195)))</f>
        <v/>
      </c>
      <c r="AD195" s="60" t="str">
        <f aca="false">IF($AK195=0,"",IF(INDEX(입력_상담!$A$5:$A$1004,$AK195)="","",INDEX(입력_상담!$A$5:$A$1004,$AK195)))</f>
        <v/>
      </c>
      <c r="AE195" s="25" t="str">
        <f aca="false">IF(AND(ISNUMBER(AB195),ISNUMBER(AC195)),IF(AC195&gt;=AB195,ROUND((AC195-AB195)*1440,0),""),"")</f>
        <v/>
      </c>
      <c r="AF195" s="25" t="str">
        <f aca="false">IF(AND(ISNUMBER(AC195),ISNUMBER(AD195)),IF(AD195&gt;=AC195,ROUND((AD195-AC195)*1440,0),""),"")</f>
        <v/>
      </c>
      <c r="AG195" s="25" t="str">
        <f aca="false">IF(AND(AA195="완료",ISNUMBER(AB195),ISNUMBER(AD195)),IF(AD195&gt;=AB195,ROUND((AD195-AB195)*1440,0),""),"")</f>
        <v/>
      </c>
      <c r="AH195" s="61" t="str">
        <f aca="false">IF(AND(AK195&gt;0,AJ195=0),"측정 기록 없음",IF(AND(AJ195&gt;0,AI195=0),"운동평가 기록 없음",IF(OR(COUNTIF(입력_운동!$B$5:$B$1004,$A195)&gt;1,COUNTIF(입력_측정!$B$5:$B$1004,$A195)&gt;1),"중복 입력","")))</f>
        <v/>
      </c>
      <c r="AI195" s="62" t="n">
        <f aca="false">SUMPRODUCT(MAX((입력_운동!$B$5:$B$1004=$A195)*(ROW(입력_운동!$B$5:$B$1004)-4)))</f>
        <v>0</v>
      </c>
      <c r="AJ195" s="62" t="n">
        <f aca="false">SUMPRODUCT(MAX((입력_측정!$B$5:$B$1004=$A195)*(ROW(입력_측정!$B$5:$B$1004)-4)))</f>
        <v>0</v>
      </c>
      <c r="AK195" s="62" t="n">
        <f aca="false">SUMPRODUCT(MAX((입력_상담!$B$5:$B$1004=$A195)*(ROW(입력_상담!$B$5:$B$1004)-4)))</f>
        <v>0</v>
      </c>
    </row>
    <row r="196" customFormat="false" ht="15" hidden="false" customHeight="false" outlineLevel="0" collapsed="false">
      <c r="A196" s="55" t="n">
        <v>192</v>
      </c>
      <c r="B196" s="56"/>
      <c r="C196" s="24"/>
      <c r="D196" s="24"/>
      <c r="E196" s="56"/>
      <c r="F196" s="57"/>
      <c r="G196" s="58"/>
      <c r="H196" s="56"/>
      <c r="I196" s="24"/>
      <c r="J196" s="24"/>
      <c r="K196" s="24"/>
      <c r="L196" s="24"/>
      <c r="M196" s="24"/>
      <c r="N196" s="56"/>
      <c r="O196" s="25" t="str">
        <f aca="false">IF($AI196=0,"",IF(INDEX(입력_운동!$C$5:$C$1004,$AI196)="","",INDEX(입력_운동!$C$5:$C$1004,$AI196)))</f>
        <v/>
      </c>
      <c r="P196" s="25" t="str">
        <f aca="false">IF($AI196=0,"",IF(INDEX(입력_운동!$D$5:$D$1004,$AI196)="","",INDEX(입력_운동!$D$5:$D$1004,$AI196)))</f>
        <v/>
      </c>
      <c r="Q196" s="25" t="str">
        <f aca="false">IF($AI196=0,"",IF(INDEX(입력_운동!$E$5:$E$1004,$AI196)="","",INDEX(입력_운동!$E$5:$E$1004,$AI196)))</f>
        <v/>
      </c>
      <c r="R196" s="25" t="str">
        <f aca="false">IF($AI196=0,"",IF(INDEX(입력_운동!$F$5:$F$1004,$AI196)="","",INDEX(입력_운동!$F$5:$F$1004,$AI196)))</f>
        <v/>
      </c>
      <c r="S196" s="25" t="str">
        <f aca="false">IF($AJ196=0,"",IF(INDEX(입력_측정!$C$5:$C$1004,$AJ196)="","",INDEX(입력_측정!$C$5:$C$1004,$AJ196)))</f>
        <v/>
      </c>
      <c r="T196" s="25" t="str">
        <f aca="false">IF($AJ196=0,"",IF(INDEX(입력_측정!$D$5:$D$1004,$AJ196)="","",INDEX(입력_측정!$D$5:$D$1004,$AJ196)))</f>
        <v/>
      </c>
      <c r="U196" s="25" t="str">
        <f aca="false">IF($AJ196=0,"",IF(INDEX(입력_측정!$E$5:$E$1004,$AJ196)="","",INDEX(입력_측정!$E$5:$E$1004,$AJ196)))</f>
        <v/>
      </c>
      <c r="V196" s="25" t="str">
        <f aca="false">IF($AJ196=0,"",IF(INDEX(입력_측정!$F$5:$F$1004,$AJ196)="","",INDEX(입력_측정!$F$5:$F$1004,$AJ196)))</f>
        <v/>
      </c>
      <c r="W196" s="25" t="str">
        <f aca="false">IF($AK196=0,"",IF(INDEX(입력_상담!$D$5:$D$1004,$AK196)="","",INDEX(입력_상담!$D$5:$D$1004,$AK196)))</f>
        <v/>
      </c>
      <c r="X196" s="25" t="str">
        <f aca="false">IF($AJ196=0,"",IF(INDEX(입력_측정!$I$5:$I$1004,$AJ196)="","",INDEX(입력_측정!$I$5:$I$1004,$AJ196)))</f>
        <v/>
      </c>
      <c r="Y196" s="25" t="str">
        <f aca="false">IF($AJ196=0,"",IF(INDEX(입력_측정!$J$5:$J$1004,$AJ196)="","",INDEX(입력_측정!$J$5:$J$1004,$AJ196)))</f>
        <v/>
      </c>
      <c r="Z196" s="25" t="str">
        <f aca="false">IF(OR(X196="긴급",LEFT(Y196,2)="긴급",W196="필요",W196="완료"),"대상","")</f>
        <v/>
      </c>
      <c r="AA196" s="59" t="str">
        <f aca="false">IF(M196&lt;&gt;"",M196,IF(AK196&gt;0,IF(W196="필요","추가상담 대기","완료"),IF(AJ196&gt;0,"결과상담 대기",IF(AI196&gt;0,"측정 대기","미방문"))))</f>
        <v>미방문</v>
      </c>
      <c r="AB196" s="60" t="str">
        <f aca="false">IF($AI196=0,"",IF(INDEX(입력_운동!$A$5:$A$1004,$AI196)="","",INDEX(입력_운동!$A$5:$A$1004,$AI196)))</f>
        <v/>
      </c>
      <c r="AC196" s="60" t="str">
        <f aca="false">IF($AJ196=0,"",IF(INDEX(입력_측정!$A$5:$A$1004,$AJ196)="","",INDEX(입력_측정!$A$5:$A$1004,$AJ196)))</f>
        <v/>
      </c>
      <c r="AD196" s="60" t="str">
        <f aca="false">IF($AK196=0,"",IF(INDEX(입력_상담!$A$5:$A$1004,$AK196)="","",INDEX(입력_상담!$A$5:$A$1004,$AK196)))</f>
        <v/>
      </c>
      <c r="AE196" s="25" t="str">
        <f aca="false">IF(AND(ISNUMBER(AB196),ISNUMBER(AC196)),IF(AC196&gt;=AB196,ROUND((AC196-AB196)*1440,0),""),"")</f>
        <v/>
      </c>
      <c r="AF196" s="25" t="str">
        <f aca="false">IF(AND(ISNUMBER(AC196),ISNUMBER(AD196)),IF(AD196&gt;=AC196,ROUND((AD196-AC196)*1440,0),""),"")</f>
        <v/>
      </c>
      <c r="AG196" s="25" t="str">
        <f aca="false">IF(AND(AA196="완료",ISNUMBER(AB196),ISNUMBER(AD196)),IF(AD196&gt;=AB196,ROUND((AD196-AB196)*1440,0),""),"")</f>
        <v/>
      </c>
      <c r="AH196" s="61" t="str">
        <f aca="false">IF(AND(AK196&gt;0,AJ196=0),"측정 기록 없음",IF(AND(AJ196&gt;0,AI196=0),"운동평가 기록 없음",IF(OR(COUNTIF(입력_운동!$B$5:$B$1004,$A196)&gt;1,COUNTIF(입력_측정!$B$5:$B$1004,$A196)&gt;1),"중복 입력","")))</f>
        <v/>
      </c>
      <c r="AI196" s="62" t="n">
        <f aca="false">SUMPRODUCT(MAX((입력_운동!$B$5:$B$1004=$A196)*(ROW(입력_운동!$B$5:$B$1004)-4)))</f>
        <v>0</v>
      </c>
      <c r="AJ196" s="62" t="n">
        <f aca="false">SUMPRODUCT(MAX((입력_측정!$B$5:$B$1004=$A196)*(ROW(입력_측정!$B$5:$B$1004)-4)))</f>
        <v>0</v>
      </c>
      <c r="AK196" s="62" t="n">
        <f aca="false">SUMPRODUCT(MAX((입력_상담!$B$5:$B$1004=$A196)*(ROW(입력_상담!$B$5:$B$1004)-4)))</f>
        <v>0</v>
      </c>
    </row>
    <row r="197" customFormat="false" ht="15" hidden="false" customHeight="false" outlineLevel="0" collapsed="false">
      <c r="A197" s="55" t="n">
        <v>193</v>
      </c>
      <c r="B197" s="56"/>
      <c r="C197" s="24"/>
      <c r="D197" s="24"/>
      <c r="E197" s="56"/>
      <c r="F197" s="57"/>
      <c r="G197" s="58"/>
      <c r="H197" s="56"/>
      <c r="I197" s="24"/>
      <c r="J197" s="24"/>
      <c r="K197" s="24"/>
      <c r="L197" s="24"/>
      <c r="M197" s="24"/>
      <c r="N197" s="56"/>
      <c r="O197" s="25" t="str">
        <f aca="false">IF($AI197=0,"",IF(INDEX(입력_운동!$C$5:$C$1004,$AI197)="","",INDEX(입력_운동!$C$5:$C$1004,$AI197)))</f>
        <v/>
      </c>
      <c r="P197" s="25" t="str">
        <f aca="false">IF($AI197=0,"",IF(INDEX(입력_운동!$D$5:$D$1004,$AI197)="","",INDEX(입력_운동!$D$5:$D$1004,$AI197)))</f>
        <v/>
      </c>
      <c r="Q197" s="25" t="str">
        <f aca="false">IF($AI197=0,"",IF(INDEX(입력_운동!$E$5:$E$1004,$AI197)="","",INDEX(입력_운동!$E$5:$E$1004,$AI197)))</f>
        <v/>
      </c>
      <c r="R197" s="25" t="str">
        <f aca="false">IF($AI197=0,"",IF(INDEX(입력_운동!$F$5:$F$1004,$AI197)="","",INDEX(입력_운동!$F$5:$F$1004,$AI197)))</f>
        <v/>
      </c>
      <c r="S197" s="25" t="str">
        <f aca="false">IF($AJ197=0,"",IF(INDEX(입력_측정!$C$5:$C$1004,$AJ197)="","",INDEX(입력_측정!$C$5:$C$1004,$AJ197)))</f>
        <v/>
      </c>
      <c r="T197" s="25" t="str">
        <f aca="false">IF($AJ197=0,"",IF(INDEX(입력_측정!$D$5:$D$1004,$AJ197)="","",INDEX(입력_측정!$D$5:$D$1004,$AJ197)))</f>
        <v/>
      </c>
      <c r="U197" s="25" t="str">
        <f aca="false">IF($AJ197=0,"",IF(INDEX(입력_측정!$E$5:$E$1004,$AJ197)="","",INDEX(입력_측정!$E$5:$E$1004,$AJ197)))</f>
        <v/>
      </c>
      <c r="V197" s="25" t="str">
        <f aca="false">IF($AJ197=0,"",IF(INDEX(입력_측정!$F$5:$F$1004,$AJ197)="","",INDEX(입력_측정!$F$5:$F$1004,$AJ197)))</f>
        <v/>
      </c>
      <c r="W197" s="25" t="str">
        <f aca="false">IF($AK197=0,"",IF(INDEX(입력_상담!$D$5:$D$1004,$AK197)="","",INDEX(입력_상담!$D$5:$D$1004,$AK197)))</f>
        <v/>
      </c>
      <c r="X197" s="25" t="str">
        <f aca="false">IF($AJ197=0,"",IF(INDEX(입력_측정!$I$5:$I$1004,$AJ197)="","",INDEX(입력_측정!$I$5:$I$1004,$AJ197)))</f>
        <v/>
      </c>
      <c r="Y197" s="25" t="str">
        <f aca="false">IF($AJ197=0,"",IF(INDEX(입력_측정!$J$5:$J$1004,$AJ197)="","",INDEX(입력_측정!$J$5:$J$1004,$AJ197)))</f>
        <v/>
      </c>
      <c r="Z197" s="25" t="str">
        <f aca="false">IF(OR(X197="긴급",LEFT(Y197,2)="긴급",W197="필요",W197="완료"),"대상","")</f>
        <v/>
      </c>
      <c r="AA197" s="59" t="str">
        <f aca="false">IF(M197&lt;&gt;"",M197,IF(AK197&gt;0,IF(W197="필요","추가상담 대기","완료"),IF(AJ197&gt;0,"결과상담 대기",IF(AI197&gt;0,"측정 대기","미방문"))))</f>
        <v>미방문</v>
      </c>
      <c r="AB197" s="60" t="str">
        <f aca="false">IF($AI197=0,"",IF(INDEX(입력_운동!$A$5:$A$1004,$AI197)="","",INDEX(입력_운동!$A$5:$A$1004,$AI197)))</f>
        <v/>
      </c>
      <c r="AC197" s="60" t="str">
        <f aca="false">IF($AJ197=0,"",IF(INDEX(입력_측정!$A$5:$A$1004,$AJ197)="","",INDEX(입력_측정!$A$5:$A$1004,$AJ197)))</f>
        <v/>
      </c>
      <c r="AD197" s="60" t="str">
        <f aca="false">IF($AK197=0,"",IF(INDEX(입력_상담!$A$5:$A$1004,$AK197)="","",INDEX(입력_상담!$A$5:$A$1004,$AK197)))</f>
        <v/>
      </c>
      <c r="AE197" s="25" t="str">
        <f aca="false">IF(AND(ISNUMBER(AB197),ISNUMBER(AC197)),IF(AC197&gt;=AB197,ROUND((AC197-AB197)*1440,0),""),"")</f>
        <v/>
      </c>
      <c r="AF197" s="25" t="str">
        <f aca="false">IF(AND(ISNUMBER(AC197),ISNUMBER(AD197)),IF(AD197&gt;=AC197,ROUND((AD197-AC197)*1440,0),""),"")</f>
        <v/>
      </c>
      <c r="AG197" s="25" t="str">
        <f aca="false">IF(AND(AA197="완료",ISNUMBER(AB197),ISNUMBER(AD197)),IF(AD197&gt;=AB197,ROUND((AD197-AB197)*1440,0),""),"")</f>
        <v/>
      </c>
      <c r="AH197" s="61" t="str">
        <f aca="false">IF(AND(AK197&gt;0,AJ197=0),"측정 기록 없음",IF(AND(AJ197&gt;0,AI197=0),"운동평가 기록 없음",IF(OR(COUNTIF(입력_운동!$B$5:$B$1004,$A197)&gt;1,COUNTIF(입력_측정!$B$5:$B$1004,$A197)&gt;1),"중복 입력","")))</f>
        <v/>
      </c>
      <c r="AI197" s="62" t="n">
        <f aca="false">SUMPRODUCT(MAX((입력_운동!$B$5:$B$1004=$A197)*(ROW(입력_운동!$B$5:$B$1004)-4)))</f>
        <v>0</v>
      </c>
      <c r="AJ197" s="62" t="n">
        <f aca="false">SUMPRODUCT(MAX((입력_측정!$B$5:$B$1004=$A197)*(ROW(입력_측정!$B$5:$B$1004)-4)))</f>
        <v>0</v>
      </c>
      <c r="AK197" s="62" t="n">
        <f aca="false">SUMPRODUCT(MAX((입력_상담!$B$5:$B$1004=$A197)*(ROW(입력_상담!$B$5:$B$1004)-4)))</f>
        <v>0</v>
      </c>
    </row>
    <row r="198" customFormat="false" ht="15" hidden="false" customHeight="false" outlineLevel="0" collapsed="false">
      <c r="A198" s="55" t="n">
        <v>194</v>
      </c>
      <c r="B198" s="56"/>
      <c r="C198" s="24"/>
      <c r="D198" s="24"/>
      <c r="E198" s="56"/>
      <c r="F198" s="57"/>
      <c r="G198" s="58"/>
      <c r="H198" s="56"/>
      <c r="I198" s="24"/>
      <c r="J198" s="24"/>
      <c r="K198" s="24"/>
      <c r="L198" s="24"/>
      <c r="M198" s="24"/>
      <c r="N198" s="56"/>
      <c r="O198" s="25" t="str">
        <f aca="false">IF($AI198=0,"",IF(INDEX(입력_운동!$C$5:$C$1004,$AI198)="","",INDEX(입력_운동!$C$5:$C$1004,$AI198)))</f>
        <v/>
      </c>
      <c r="P198" s="25" t="str">
        <f aca="false">IF($AI198=0,"",IF(INDEX(입력_운동!$D$5:$D$1004,$AI198)="","",INDEX(입력_운동!$D$5:$D$1004,$AI198)))</f>
        <v/>
      </c>
      <c r="Q198" s="25" t="str">
        <f aca="false">IF($AI198=0,"",IF(INDEX(입력_운동!$E$5:$E$1004,$AI198)="","",INDEX(입력_운동!$E$5:$E$1004,$AI198)))</f>
        <v/>
      </c>
      <c r="R198" s="25" t="str">
        <f aca="false">IF($AI198=0,"",IF(INDEX(입력_운동!$F$5:$F$1004,$AI198)="","",INDEX(입력_운동!$F$5:$F$1004,$AI198)))</f>
        <v/>
      </c>
      <c r="S198" s="25" t="str">
        <f aca="false">IF($AJ198=0,"",IF(INDEX(입력_측정!$C$5:$C$1004,$AJ198)="","",INDEX(입력_측정!$C$5:$C$1004,$AJ198)))</f>
        <v/>
      </c>
      <c r="T198" s="25" t="str">
        <f aca="false">IF($AJ198=0,"",IF(INDEX(입력_측정!$D$5:$D$1004,$AJ198)="","",INDEX(입력_측정!$D$5:$D$1004,$AJ198)))</f>
        <v/>
      </c>
      <c r="U198" s="25" t="str">
        <f aca="false">IF($AJ198=0,"",IF(INDEX(입력_측정!$E$5:$E$1004,$AJ198)="","",INDEX(입력_측정!$E$5:$E$1004,$AJ198)))</f>
        <v/>
      </c>
      <c r="V198" s="25" t="str">
        <f aca="false">IF($AJ198=0,"",IF(INDEX(입력_측정!$F$5:$F$1004,$AJ198)="","",INDEX(입력_측정!$F$5:$F$1004,$AJ198)))</f>
        <v/>
      </c>
      <c r="W198" s="25" t="str">
        <f aca="false">IF($AK198=0,"",IF(INDEX(입력_상담!$D$5:$D$1004,$AK198)="","",INDEX(입력_상담!$D$5:$D$1004,$AK198)))</f>
        <v/>
      </c>
      <c r="X198" s="25" t="str">
        <f aca="false">IF($AJ198=0,"",IF(INDEX(입력_측정!$I$5:$I$1004,$AJ198)="","",INDEX(입력_측정!$I$5:$I$1004,$AJ198)))</f>
        <v/>
      </c>
      <c r="Y198" s="25" t="str">
        <f aca="false">IF($AJ198=0,"",IF(INDEX(입력_측정!$J$5:$J$1004,$AJ198)="","",INDEX(입력_측정!$J$5:$J$1004,$AJ198)))</f>
        <v/>
      </c>
      <c r="Z198" s="25" t="str">
        <f aca="false">IF(OR(X198="긴급",LEFT(Y198,2)="긴급",W198="필요",W198="완료"),"대상","")</f>
        <v/>
      </c>
      <c r="AA198" s="59" t="str">
        <f aca="false">IF(M198&lt;&gt;"",M198,IF(AK198&gt;0,IF(W198="필요","추가상담 대기","완료"),IF(AJ198&gt;0,"결과상담 대기",IF(AI198&gt;0,"측정 대기","미방문"))))</f>
        <v>미방문</v>
      </c>
      <c r="AB198" s="60" t="str">
        <f aca="false">IF($AI198=0,"",IF(INDEX(입력_운동!$A$5:$A$1004,$AI198)="","",INDEX(입력_운동!$A$5:$A$1004,$AI198)))</f>
        <v/>
      </c>
      <c r="AC198" s="60" t="str">
        <f aca="false">IF($AJ198=0,"",IF(INDEX(입력_측정!$A$5:$A$1004,$AJ198)="","",INDEX(입력_측정!$A$5:$A$1004,$AJ198)))</f>
        <v/>
      </c>
      <c r="AD198" s="60" t="str">
        <f aca="false">IF($AK198=0,"",IF(INDEX(입력_상담!$A$5:$A$1004,$AK198)="","",INDEX(입력_상담!$A$5:$A$1004,$AK198)))</f>
        <v/>
      </c>
      <c r="AE198" s="25" t="str">
        <f aca="false">IF(AND(ISNUMBER(AB198),ISNUMBER(AC198)),IF(AC198&gt;=AB198,ROUND((AC198-AB198)*1440,0),""),"")</f>
        <v/>
      </c>
      <c r="AF198" s="25" t="str">
        <f aca="false">IF(AND(ISNUMBER(AC198),ISNUMBER(AD198)),IF(AD198&gt;=AC198,ROUND((AD198-AC198)*1440,0),""),"")</f>
        <v/>
      </c>
      <c r="AG198" s="25" t="str">
        <f aca="false">IF(AND(AA198="완료",ISNUMBER(AB198),ISNUMBER(AD198)),IF(AD198&gt;=AB198,ROUND((AD198-AB198)*1440,0),""),"")</f>
        <v/>
      </c>
      <c r="AH198" s="61" t="str">
        <f aca="false">IF(AND(AK198&gt;0,AJ198=0),"측정 기록 없음",IF(AND(AJ198&gt;0,AI198=0),"운동평가 기록 없음",IF(OR(COUNTIF(입력_운동!$B$5:$B$1004,$A198)&gt;1,COUNTIF(입력_측정!$B$5:$B$1004,$A198)&gt;1),"중복 입력","")))</f>
        <v/>
      </c>
      <c r="AI198" s="62" t="n">
        <f aca="false">SUMPRODUCT(MAX((입력_운동!$B$5:$B$1004=$A198)*(ROW(입력_운동!$B$5:$B$1004)-4)))</f>
        <v>0</v>
      </c>
      <c r="AJ198" s="62" t="n">
        <f aca="false">SUMPRODUCT(MAX((입력_측정!$B$5:$B$1004=$A198)*(ROW(입력_측정!$B$5:$B$1004)-4)))</f>
        <v>0</v>
      </c>
      <c r="AK198" s="62" t="n">
        <f aca="false">SUMPRODUCT(MAX((입력_상담!$B$5:$B$1004=$A198)*(ROW(입력_상담!$B$5:$B$1004)-4)))</f>
        <v>0</v>
      </c>
    </row>
    <row r="199" customFormat="false" ht="15" hidden="false" customHeight="false" outlineLevel="0" collapsed="false">
      <c r="A199" s="55" t="n">
        <v>195</v>
      </c>
      <c r="B199" s="56"/>
      <c r="C199" s="24"/>
      <c r="D199" s="24"/>
      <c r="E199" s="56"/>
      <c r="F199" s="57"/>
      <c r="G199" s="58"/>
      <c r="H199" s="56"/>
      <c r="I199" s="24"/>
      <c r="J199" s="24"/>
      <c r="K199" s="24"/>
      <c r="L199" s="24"/>
      <c r="M199" s="24"/>
      <c r="N199" s="56"/>
      <c r="O199" s="25" t="str">
        <f aca="false">IF($AI199=0,"",IF(INDEX(입력_운동!$C$5:$C$1004,$AI199)="","",INDEX(입력_운동!$C$5:$C$1004,$AI199)))</f>
        <v/>
      </c>
      <c r="P199" s="25" t="str">
        <f aca="false">IF($AI199=0,"",IF(INDEX(입력_운동!$D$5:$D$1004,$AI199)="","",INDEX(입력_운동!$D$5:$D$1004,$AI199)))</f>
        <v/>
      </c>
      <c r="Q199" s="25" t="str">
        <f aca="false">IF($AI199=0,"",IF(INDEX(입력_운동!$E$5:$E$1004,$AI199)="","",INDEX(입력_운동!$E$5:$E$1004,$AI199)))</f>
        <v/>
      </c>
      <c r="R199" s="25" t="str">
        <f aca="false">IF($AI199=0,"",IF(INDEX(입력_운동!$F$5:$F$1004,$AI199)="","",INDEX(입력_운동!$F$5:$F$1004,$AI199)))</f>
        <v/>
      </c>
      <c r="S199" s="25" t="str">
        <f aca="false">IF($AJ199=0,"",IF(INDEX(입력_측정!$C$5:$C$1004,$AJ199)="","",INDEX(입력_측정!$C$5:$C$1004,$AJ199)))</f>
        <v/>
      </c>
      <c r="T199" s="25" t="str">
        <f aca="false">IF($AJ199=0,"",IF(INDEX(입력_측정!$D$5:$D$1004,$AJ199)="","",INDEX(입력_측정!$D$5:$D$1004,$AJ199)))</f>
        <v/>
      </c>
      <c r="U199" s="25" t="str">
        <f aca="false">IF($AJ199=0,"",IF(INDEX(입력_측정!$E$5:$E$1004,$AJ199)="","",INDEX(입력_측정!$E$5:$E$1004,$AJ199)))</f>
        <v/>
      </c>
      <c r="V199" s="25" t="str">
        <f aca="false">IF($AJ199=0,"",IF(INDEX(입력_측정!$F$5:$F$1004,$AJ199)="","",INDEX(입력_측정!$F$5:$F$1004,$AJ199)))</f>
        <v/>
      </c>
      <c r="W199" s="25" t="str">
        <f aca="false">IF($AK199=0,"",IF(INDEX(입력_상담!$D$5:$D$1004,$AK199)="","",INDEX(입력_상담!$D$5:$D$1004,$AK199)))</f>
        <v/>
      </c>
      <c r="X199" s="25" t="str">
        <f aca="false">IF($AJ199=0,"",IF(INDEX(입력_측정!$I$5:$I$1004,$AJ199)="","",INDEX(입력_측정!$I$5:$I$1004,$AJ199)))</f>
        <v/>
      </c>
      <c r="Y199" s="25" t="str">
        <f aca="false">IF($AJ199=0,"",IF(INDEX(입력_측정!$J$5:$J$1004,$AJ199)="","",INDEX(입력_측정!$J$5:$J$1004,$AJ199)))</f>
        <v/>
      </c>
      <c r="Z199" s="25" t="str">
        <f aca="false">IF(OR(X199="긴급",LEFT(Y199,2)="긴급",W199="필요",W199="완료"),"대상","")</f>
        <v/>
      </c>
      <c r="AA199" s="59" t="str">
        <f aca="false">IF(M199&lt;&gt;"",M199,IF(AK199&gt;0,IF(W199="필요","추가상담 대기","완료"),IF(AJ199&gt;0,"결과상담 대기",IF(AI199&gt;0,"측정 대기","미방문"))))</f>
        <v>미방문</v>
      </c>
      <c r="AB199" s="60" t="str">
        <f aca="false">IF($AI199=0,"",IF(INDEX(입력_운동!$A$5:$A$1004,$AI199)="","",INDEX(입력_운동!$A$5:$A$1004,$AI199)))</f>
        <v/>
      </c>
      <c r="AC199" s="60" t="str">
        <f aca="false">IF($AJ199=0,"",IF(INDEX(입력_측정!$A$5:$A$1004,$AJ199)="","",INDEX(입력_측정!$A$5:$A$1004,$AJ199)))</f>
        <v/>
      </c>
      <c r="AD199" s="60" t="str">
        <f aca="false">IF($AK199=0,"",IF(INDEX(입력_상담!$A$5:$A$1004,$AK199)="","",INDEX(입력_상담!$A$5:$A$1004,$AK199)))</f>
        <v/>
      </c>
      <c r="AE199" s="25" t="str">
        <f aca="false">IF(AND(ISNUMBER(AB199),ISNUMBER(AC199)),IF(AC199&gt;=AB199,ROUND((AC199-AB199)*1440,0),""),"")</f>
        <v/>
      </c>
      <c r="AF199" s="25" t="str">
        <f aca="false">IF(AND(ISNUMBER(AC199),ISNUMBER(AD199)),IF(AD199&gt;=AC199,ROUND((AD199-AC199)*1440,0),""),"")</f>
        <v/>
      </c>
      <c r="AG199" s="25" t="str">
        <f aca="false">IF(AND(AA199="완료",ISNUMBER(AB199),ISNUMBER(AD199)),IF(AD199&gt;=AB199,ROUND((AD199-AB199)*1440,0),""),"")</f>
        <v/>
      </c>
      <c r="AH199" s="61" t="str">
        <f aca="false">IF(AND(AK199&gt;0,AJ199=0),"측정 기록 없음",IF(AND(AJ199&gt;0,AI199=0),"운동평가 기록 없음",IF(OR(COUNTIF(입력_운동!$B$5:$B$1004,$A199)&gt;1,COUNTIF(입력_측정!$B$5:$B$1004,$A199)&gt;1),"중복 입력","")))</f>
        <v/>
      </c>
      <c r="AI199" s="62" t="n">
        <f aca="false">SUMPRODUCT(MAX((입력_운동!$B$5:$B$1004=$A199)*(ROW(입력_운동!$B$5:$B$1004)-4)))</f>
        <v>0</v>
      </c>
      <c r="AJ199" s="62" t="n">
        <f aca="false">SUMPRODUCT(MAX((입력_측정!$B$5:$B$1004=$A199)*(ROW(입력_측정!$B$5:$B$1004)-4)))</f>
        <v>0</v>
      </c>
      <c r="AK199" s="62" t="n">
        <f aca="false">SUMPRODUCT(MAX((입력_상담!$B$5:$B$1004=$A199)*(ROW(입력_상담!$B$5:$B$1004)-4)))</f>
        <v>0</v>
      </c>
    </row>
    <row r="200" customFormat="false" ht="15" hidden="false" customHeight="false" outlineLevel="0" collapsed="false">
      <c r="A200" s="55" t="n">
        <v>196</v>
      </c>
      <c r="B200" s="56"/>
      <c r="C200" s="24"/>
      <c r="D200" s="24"/>
      <c r="E200" s="56"/>
      <c r="F200" s="57"/>
      <c r="G200" s="58"/>
      <c r="H200" s="56"/>
      <c r="I200" s="24"/>
      <c r="J200" s="24"/>
      <c r="K200" s="24"/>
      <c r="L200" s="24"/>
      <c r="M200" s="24"/>
      <c r="N200" s="56"/>
      <c r="O200" s="25" t="str">
        <f aca="false">IF($AI200=0,"",IF(INDEX(입력_운동!$C$5:$C$1004,$AI200)="","",INDEX(입력_운동!$C$5:$C$1004,$AI200)))</f>
        <v/>
      </c>
      <c r="P200" s="25" t="str">
        <f aca="false">IF($AI200=0,"",IF(INDEX(입력_운동!$D$5:$D$1004,$AI200)="","",INDEX(입력_운동!$D$5:$D$1004,$AI200)))</f>
        <v/>
      </c>
      <c r="Q200" s="25" t="str">
        <f aca="false">IF($AI200=0,"",IF(INDEX(입력_운동!$E$5:$E$1004,$AI200)="","",INDEX(입력_운동!$E$5:$E$1004,$AI200)))</f>
        <v/>
      </c>
      <c r="R200" s="25" t="str">
        <f aca="false">IF($AI200=0,"",IF(INDEX(입력_운동!$F$5:$F$1004,$AI200)="","",INDEX(입력_운동!$F$5:$F$1004,$AI200)))</f>
        <v/>
      </c>
      <c r="S200" s="25" t="str">
        <f aca="false">IF($AJ200=0,"",IF(INDEX(입력_측정!$C$5:$C$1004,$AJ200)="","",INDEX(입력_측정!$C$5:$C$1004,$AJ200)))</f>
        <v/>
      </c>
      <c r="T200" s="25" t="str">
        <f aca="false">IF($AJ200=0,"",IF(INDEX(입력_측정!$D$5:$D$1004,$AJ200)="","",INDEX(입력_측정!$D$5:$D$1004,$AJ200)))</f>
        <v/>
      </c>
      <c r="U200" s="25" t="str">
        <f aca="false">IF($AJ200=0,"",IF(INDEX(입력_측정!$E$5:$E$1004,$AJ200)="","",INDEX(입력_측정!$E$5:$E$1004,$AJ200)))</f>
        <v/>
      </c>
      <c r="V200" s="25" t="str">
        <f aca="false">IF($AJ200=0,"",IF(INDEX(입력_측정!$F$5:$F$1004,$AJ200)="","",INDEX(입력_측정!$F$5:$F$1004,$AJ200)))</f>
        <v/>
      </c>
      <c r="W200" s="25" t="str">
        <f aca="false">IF($AK200=0,"",IF(INDEX(입력_상담!$D$5:$D$1004,$AK200)="","",INDEX(입력_상담!$D$5:$D$1004,$AK200)))</f>
        <v/>
      </c>
      <c r="X200" s="25" t="str">
        <f aca="false">IF($AJ200=0,"",IF(INDEX(입력_측정!$I$5:$I$1004,$AJ200)="","",INDEX(입력_측정!$I$5:$I$1004,$AJ200)))</f>
        <v/>
      </c>
      <c r="Y200" s="25" t="str">
        <f aca="false">IF($AJ200=0,"",IF(INDEX(입력_측정!$J$5:$J$1004,$AJ200)="","",INDEX(입력_측정!$J$5:$J$1004,$AJ200)))</f>
        <v/>
      </c>
      <c r="Z200" s="25" t="str">
        <f aca="false">IF(OR(X200="긴급",LEFT(Y200,2)="긴급",W200="필요",W200="완료"),"대상","")</f>
        <v/>
      </c>
      <c r="AA200" s="59" t="str">
        <f aca="false">IF(M200&lt;&gt;"",M200,IF(AK200&gt;0,IF(W200="필요","추가상담 대기","완료"),IF(AJ200&gt;0,"결과상담 대기",IF(AI200&gt;0,"측정 대기","미방문"))))</f>
        <v>미방문</v>
      </c>
      <c r="AB200" s="60" t="str">
        <f aca="false">IF($AI200=0,"",IF(INDEX(입력_운동!$A$5:$A$1004,$AI200)="","",INDEX(입력_운동!$A$5:$A$1004,$AI200)))</f>
        <v/>
      </c>
      <c r="AC200" s="60" t="str">
        <f aca="false">IF($AJ200=0,"",IF(INDEX(입력_측정!$A$5:$A$1004,$AJ200)="","",INDEX(입력_측정!$A$5:$A$1004,$AJ200)))</f>
        <v/>
      </c>
      <c r="AD200" s="60" t="str">
        <f aca="false">IF($AK200=0,"",IF(INDEX(입력_상담!$A$5:$A$1004,$AK200)="","",INDEX(입력_상담!$A$5:$A$1004,$AK200)))</f>
        <v/>
      </c>
      <c r="AE200" s="25" t="str">
        <f aca="false">IF(AND(ISNUMBER(AB200),ISNUMBER(AC200)),IF(AC200&gt;=AB200,ROUND((AC200-AB200)*1440,0),""),"")</f>
        <v/>
      </c>
      <c r="AF200" s="25" t="str">
        <f aca="false">IF(AND(ISNUMBER(AC200),ISNUMBER(AD200)),IF(AD200&gt;=AC200,ROUND((AD200-AC200)*1440,0),""),"")</f>
        <v/>
      </c>
      <c r="AG200" s="25" t="str">
        <f aca="false">IF(AND(AA200="완료",ISNUMBER(AB200),ISNUMBER(AD200)),IF(AD200&gt;=AB200,ROUND((AD200-AB200)*1440,0),""),"")</f>
        <v/>
      </c>
      <c r="AH200" s="61" t="str">
        <f aca="false">IF(AND(AK200&gt;0,AJ200=0),"측정 기록 없음",IF(AND(AJ200&gt;0,AI200=0),"운동평가 기록 없음",IF(OR(COUNTIF(입력_운동!$B$5:$B$1004,$A200)&gt;1,COUNTIF(입력_측정!$B$5:$B$1004,$A200)&gt;1),"중복 입력","")))</f>
        <v/>
      </c>
      <c r="AI200" s="62" t="n">
        <f aca="false">SUMPRODUCT(MAX((입력_운동!$B$5:$B$1004=$A200)*(ROW(입력_운동!$B$5:$B$1004)-4)))</f>
        <v>0</v>
      </c>
      <c r="AJ200" s="62" t="n">
        <f aca="false">SUMPRODUCT(MAX((입력_측정!$B$5:$B$1004=$A200)*(ROW(입력_측정!$B$5:$B$1004)-4)))</f>
        <v>0</v>
      </c>
      <c r="AK200" s="62" t="n">
        <f aca="false">SUMPRODUCT(MAX((입력_상담!$B$5:$B$1004=$A200)*(ROW(입력_상담!$B$5:$B$1004)-4)))</f>
        <v>0</v>
      </c>
    </row>
    <row r="201" customFormat="false" ht="15" hidden="false" customHeight="false" outlineLevel="0" collapsed="false">
      <c r="A201" s="55" t="n">
        <v>197</v>
      </c>
      <c r="B201" s="56"/>
      <c r="C201" s="24"/>
      <c r="D201" s="24"/>
      <c r="E201" s="56"/>
      <c r="F201" s="57"/>
      <c r="G201" s="58"/>
      <c r="H201" s="56"/>
      <c r="I201" s="24"/>
      <c r="J201" s="24"/>
      <c r="K201" s="24"/>
      <c r="L201" s="24"/>
      <c r="M201" s="24"/>
      <c r="N201" s="56"/>
      <c r="O201" s="25" t="str">
        <f aca="false">IF($AI201=0,"",IF(INDEX(입력_운동!$C$5:$C$1004,$AI201)="","",INDEX(입력_운동!$C$5:$C$1004,$AI201)))</f>
        <v/>
      </c>
      <c r="P201" s="25" t="str">
        <f aca="false">IF($AI201=0,"",IF(INDEX(입력_운동!$D$5:$D$1004,$AI201)="","",INDEX(입력_운동!$D$5:$D$1004,$AI201)))</f>
        <v/>
      </c>
      <c r="Q201" s="25" t="str">
        <f aca="false">IF($AI201=0,"",IF(INDEX(입력_운동!$E$5:$E$1004,$AI201)="","",INDEX(입력_운동!$E$5:$E$1004,$AI201)))</f>
        <v/>
      </c>
      <c r="R201" s="25" t="str">
        <f aca="false">IF($AI201=0,"",IF(INDEX(입력_운동!$F$5:$F$1004,$AI201)="","",INDEX(입력_운동!$F$5:$F$1004,$AI201)))</f>
        <v/>
      </c>
      <c r="S201" s="25" t="str">
        <f aca="false">IF($AJ201=0,"",IF(INDEX(입력_측정!$C$5:$C$1004,$AJ201)="","",INDEX(입력_측정!$C$5:$C$1004,$AJ201)))</f>
        <v/>
      </c>
      <c r="T201" s="25" t="str">
        <f aca="false">IF($AJ201=0,"",IF(INDEX(입력_측정!$D$5:$D$1004,$AJ201)="","",INDEX(입력_측정!$D$5:$D$1004,$AJ201)))</f>
        <v/>
      </c>
      <c r="U201" s="25" t="str">
        <f aca="false">IF($AJ201=0,"",IF(INDEX(입력_측정!$E$5:$E$1004,$AJ201)="","",INDEX(입력_측정!$E$5:$E$1004,$AJ201)))</f>
        <v/>
      </c>
      <c r="V201" s="25" t="str">
        <f aca="false">IF($AJ201=0,"",IF(INDEX(입력_측정!$F$5:$F$1004,$AJ201)="","",INDEX(입력_측정!$F$5:$F$1004,$AJ201)))</f>
        <v/>
      </c>
      <c r="W201" s="25" t="str">
        <f aca="false">IF($AK201=0,"",IF(INDEX(입력_상담!$D$5:$D$1004,$AK201)="","",INDEX(입력_상담!$D$5:$D$1004,$AK201)))</f>
        <v/>
      </c>
      <c r="X201" s="25" t="str">
        <f aca="false">IF($AJ201=0,"",IF(INDEX(입력_측정!$I$5:$I$1004,$AJ201)="","",INDEX(입력_측정!$I$5:$I$1004,$AJ201)))</f>
        <v/>
      </c>
      <c r="Y201" s="25" t="str">
        <f aca="false">IF($AJ201=0,"",IF(INDEX(입력_측정!$J$5:$J$1004,$AJ201)="","",INDEX(입력_측정!$J$5:$J$1004,$AJ201)))</f>
        <v/>
      </c>
      <c r="Z201" s="25" t="str">
        <f aca="false">IF(OR(X201="긴급",LEFT(Y201,2)="긴급",W201="필요",W201="완료"),"대상","")</f>
        <v/>
      </c>
      <c r="AA201" s="59" t="str">
        <f aca="false">IF(M201&lt;&gt;"",M201,IF(AK201&gt;0,IF(W201="필요","추가상담 대기","완료"),IF(AJ201&gt;0,"결과상담 대기",IF(AI201&gt;0,"측정 대기","미방문"))))</f>
        <v>미방문</v>
      </c>
      <c r="AB201" s="60" t="str">
        <f aca="false">IF($AI201=0,"",IF(INDEX(입력_운동!$A$5:$A$1004,$AI201)="","",INDEX(입력_운동!$A$5:$A$1004,$AI201)))</f>
        <v/>
      </c>
      <c r="AC201" s="60" t="str">
        <f aca="false">IF($AJ201=0,"",IF(INDEX(입력_측정!$A$5:$A$1004,$AJ201)="","",INDEX(입력_측정!$A$5:$A$1004,$AJ201)))</f>
        <v/>
      </c>
      <c r="AD201" s="60" t="str">
        <f aca="false">IF($AK201=0,"",IF(INDEX(입력_상담!$A$5:$A$1004,$AK201)="","",INDEX(입력_상담!$A$5:$A$1004,$AK201)))</f>
        <v/>
      </c>
      <c r="AE201" s="25" t="str">
        <f aca="false">IF(AND(ISNUMBER(AB201),ISNUMBER(AC201)),IF(AC201&gt;=AB201,ROUND((AC201-AB201)*1440,0),""),"")</f>
        <v/>
      </c>
      <c r="AF201" s="25" t="str">
        <f aca="false">IF(AND(ISNUMBER(AC201),ISNUMBER(AD201)),IF(AD201&gt;=AC201,ROUND((AD201-AC201)*1440,0),""),"")</f>
        <v/>
      </c>
      <c r="AG201" s="25" t="str">
        <f aca="false">IF(AND(AA201="완료",ISNUMBER(AB201),ISNUMBER(AD201)),IF(AD201&gt;=AB201,ROUND((AD201-AB201)*1440,0),""),"")</f>
        <v/>
      </c>
      <c r="AH201" s="61" t="str">
        <f aca="false">IF(AND(AK201&gt;0,AJ201=0),"측정 기록 없음",IF(AND(AJ201&gt;0,AI201=0),"운동평가 기록 없음",IF(OR(COUNTIF(입력_운동!$B$5:$B$1004,$A201)&gt;1,COUNTIF(입력_측정!$B$5:$B$1004,$A201)&gt;1),"중복 입력","")))</f>
        <v/>
      </c>
      <c r="AI201" s="62" t="n">
        <f aca="false">SUMPRODUCT(MAX((입력_운동!$B$5:$B$1004=$A201)*(ROW(입력_운동!$B$5:$B$1004)-4)))</f>
        <v>0</v>
      </c>
      <c r="AJ201" s="62" t="n">
        <f aca="false">SUMPRODUCT(MAX((입력_측정!$B$5:$B$1004=$A201)*(ROW(입력_측정!$B$5:$B$1004)-4)))</f>
        <v>0</v>
      </c>
      <c r="AK201" s="62" t="n">
        <f aca="false">SUMPRODUCT(MAX((입력_상담!$B$5:$B$1004=$A201)*(ROW(입력_상담!$B$5:$B$1004)-4)))</f>
        <v>0</v>
      </c>
    </row>
    <row r="202" customFormat="false" ht="15" hidden="false" customHeight="false" outlineLevel="0" collapsed="false">
      <c r="A202" s="55" t="n">
        <v>198</v>
      </c>
      <c r="B202" s="56"/>
      <c r="C202" s="24"/>
      <c r="D202" s="24"/>
      <c r="E202" s="56"/>
      <c r="F202" s="57"/>
      <c r="G202" s="58"/>
      <c r="H202" s="56"/>
      <c r="I202" s="24"/>
      <c r="J202" s="24"/>
      <c r="K202" s="24"/>
      <c r="L202" s="24"/>
      <c r="M202" s="24"/>
      <c r="N202" s="56"/>
      <c r="O202" s="25" t="str">
        <f aca="false">IF($AI202=0,"",IF(INDEX(입력_운동!$C$5:$C$1004,$AI202)="","",INDEX(입력_운동!$C$5:$C$1004,$AI202)))</f>
        <v/>
      </c>
      <c r="P202" s="25" t="str">
        <f aca="false">IF($AI202=0,"",IF(INDEX(입력_운동!$D$5:$D$1004,$AI202)="","",INDEX(입력_운동!$D$5:$D$1004,$AI202)))</f>
        <v/>
      </c>
      <c r="Q202" s="25" t="str">
        <f aca="false">IF($AI202=0,"",IF(INDEX(입력_운동!$E$5:$E$1004,$AI202)="","",INDEX(입력_운동!$E$5:$E$1004,$AI202)))</f>
        <v/>
      </c>
      <c r="R202" s="25" t="str">
        <f aca="false">IF($AI202=0,"",IF(INDEX(입력_운동!$F$5:$F$1004,$AI202)="","",INDEX(입력_운동!$F$5:$F$1004,$AI202)))</f>
        <v/>
      </c>
      <c r="S202" s="25" t="str">
        <f aca="false">IF($AJ202=0,"",IF(INDEX(입력_측정!$C$5:$C$1004,$AJ202)="","",INDEX(입력_측정!$C$5:$C$1004,$AJ202)))</f>
        <v/>
      </c>
      <c r="T202" s="25" t="str">
        <f aca="false">IF($AJ202=0,"",IF(INDEX(입력_측정!$D$5:$D$1004,$AJ202)="","",INDEX(입력_측정!$D$5:$D$1004,$AJ202)))</f>
        <v/>
      </c>
      <c r="U202" s="25" t="str">
        <f aca="false">IF($AJ202=0,"",IF(INDEX(입력_측정!$E$5:$E$1004,$AJ202)="","",INDEX(입력_측정!$E$5:$E$1004,$AJ202)))</f>
        <v/>
      </c>
      <c r="V202" s="25" t="str">
        <f aca="false">IF($AJ202=0,"",IF(INDEX(입력_측정!$F$5:$F$1004,$AJ202)="","",INDEX(입력_측정!$F$5:$F$1004,$AJ202)))</f>
        <v/>
      </c>
      <c r="W202" s="25" t="str">
        <f aca="false">IF($AK202=0,"",IF(INDEX(입력_상담!$D$5:$D$1004,$AK202)="","",INDEX(입력_상담!$D$5:$D$1004,$AK202)))</f>
        <v/>
      </c>
      <c r="X202" s="25" t="str">
        <f aca="false">IF($AJ202=0,"",IF(INDEX(입력_측정!$I$5:$I$1004,$AJ202)="","",INDEX(입력_측정!$I$5:$I$1004,$AJ202)))</f>
        <v/>
      </c>
      <c r="Y202" s="25" t="str">
        <f aca="false">IF($AJ202=0,"",IF(INDEX(입력_측정!$J$5:$J$1004,$AJ202)="","",INDEX(입력_측정!$J$5:$J$1004,$AJ202)))</f>
        <v/>
      </c>
      <c r="Z202" s="25" t="str">
        <f aca="false">IF(OR(X202="긴급",LEFT(Y202,2)="긴급",W202="필요",W202="완료"),"대상","")</f>
        <v/>
      </c>
      <c r="AA202" s="59" t="str">
        <f aca="false">IF(M202&lt;&gt;"",M202,IF(AK202&gt;0,IF(W202="필요","추가상담 대기","완료"),IF(AJ202&gt;0,"결과상담 대기",IF(AI202&gt;0,"측정 대기","미방문"))))</f>
        <v>미방문</v>
      </c>
      <c r="AB202" s="60" t="str">
        <f aca="false">IF($AI202=0,"",IF(INDEX(입력_운동!$A$5:$A$1004,$AI202)="","",INDEX(입력_운동!$A$5:$A$1004,$AI202)))</f>
        <v/>
      </c>
      <c r="AC202" s="60" t="str">
        <f aca="false">IF($AJ202=0,"",IF(INDEX(입력_측정!$A$5:$A$1004,$AJ202)="","",INDEX(입력_측정!$A$5:$A$1004,$AJ202)))</f>
        <v/>
      </c>
      <c r="AD202" s="60" t="str">
        <f aca="false">IF($AK202=0,"",IF(INDEX(입력_상담!$A$5:$A$1004,$AK202)="","",INDEX(입력_상담!$A$5:$A$1004,$AK202)))</f>
        <v/>
      </c>
      <c r="AE202" s="25" t="str">
        <f aca="false">IF(AND(ISNUMBER(AB202),ISNUMBER(AC202)),IF(AC202&gt;=AB202,ROUND((AC202-AB202)*1440,0),""),"")</f>
        <v/>
      </c>
      <c r="AF202" s="25" t="str">
        <f aca="false">IF(AND(ISNUMBER(AC202),ISNUMBER(AD202)),IF(AD202&gt;=AC202,ROUND((AD202-AC202)*1440,0),""),"")</f>
        <v/>
      </c>
      <c r="AG202" s="25" t="str">
        <f aca="false">IF(AND(AA202="완료",ISNUMBER(AB202),ISNUMBER(AD202)),IF(AD202&gt;=AB202,ROUND((AD202-AB202)*1440,0),""),"")</f>
        <v/>
      </c>
      <c r="AH202" s="61" t="str">
        <f aca="false">IF(AND(AK202&gt;0,AJ202=0),"측정 기록 없음",IF(AND(AJ202&gt;0,AI202=0),"운동평가 기록 없음",IF(OR(COUNTIF(입력_운동!$B$5:$B$1004,$A202)&gt;1,COUNTIF(입력_측정!$B$5:$B$1004,$A202)&gt;1),"중복 입력","")))</f>
        <v/>
      </c>
      <c r="AI202" s="62" t="n">
        <f aca="false">SUMPRODUCT(MAX((입력_운동!$B$5:$B$1004=$A202)*(ROW(입력_운동!$B$5:$B$1004)-4)))</f>
        <v>0</v>
      </c>
      <c r="AJ202" s="62" t="n">
        <f aca="false">SUMPRODUCT(MAX((입력_측정!$B$5:$B$1004=$A202)*(ROW(입력_측정!$B$5:$B$1004)-4)))</f>
        <v>0</v>
      </c>
      <c r="AK202" s="62" t="n">
        <f aca="false">SUMPRODUCT(MAX((입력_상담!$B$5:$B$1004=$A202)*(ROW(입력_상담!$B$5:$B$1004)-4)))</f>
        <v>0</v>
      </c>
    </row>
    <row r="203" customFormat="false" ht="15" hidden="false" customHeight="false" outlineLevel="0" collapsed="false">
      <c r="A203" s="55" t="n">
        <v>199</v>
      </c>
      <c r="B203" s="56"/>
      <c r="C203" s="24"/>
      <c r="D203" s="24"/>
      <c r="E203" s="56"/>
      <c r="F203" s="57"/>
      <c r="G203" s="58"/>
      <c r="H203" s="56"/>
      <c r="I203" s="24"/>
      <c r="J203" s="24"/>
      <c r="K203" s="24"/>
      <c r="L203" s="24"/>
      <c r="M203" s="24"/>
      <c r="N203" s="56"/>
      <c r="O203" s="25" t="str">
        <f aca="false">IF($AI203=0,"",IF(INDEX(입력_운동!$C$5:$C$1004,$AI203)="","",INDEX(입력_운동!$C$5:$C$1004,$AI203)))</f>
        <v/>
      </c>
      <c r="P203" s="25" t="str">
        <f aca="false">IF($AI203=0,"",IF(INDEX(입력_운동!$D$5:$D$1004,$AI203)="","",INDEX(입력_운동!$D$5:$D$1004,$AI203)))</f>
        <v/>
      </c>
      <c r="Q203" s="25" t="str">
        <f aca="false">IF($AI203=0,"",IF(INDEX(입력_운동!$E$5:$E$1004,$AI203)="","",INDEX(입력_운동!$E$5:$E$1004,$AI203)))</f>
        <v/>
      </c>
      <c r="R203" s="25" t="str">
        <f aca="false">IF($AI203=0,"",IF(INDEX(입력_운동!$F$5:$F$1004,$AI203)="","",INDEX(입력_운동!$F$5:$F$1004,$AI203)))</f>
        <v/>
      </c>
      <c r="S203" s="25" t="str">
        <f aca="false">IF($AJ203=0,"",IF(INDEX(입력_측정!$C$5:$C$1004,$AJ203)="","",INDEX(입력_측정!$C$5:$C$1004,$AJ203)))</f>
        <v/>
      </c>
      <c r="T203" s="25" t="str">
        <f aca="false">IF($AJ203=0,"",IF(INDEX(입력_측정!$D$5:$D$1004,$AJ203)="","",INDEX(입력_측정!$D$5:$D$1004,$AJ203)))</f>
        <v/>
      </c>
      <c r="U203" s="25" t="str">
        <f aca="false">IF($AJ203=0,"",IF(INDEX(입력_측정!$E$5:$E$1004,$AJ203)="","",INDEX(입력_측정!$E$5:$E$1004,$AJ203)))</f>
        <v/>
      </c>
      <c r="V203" s="25" t="str">
        <f aca="false">IF($AJ203=0,"",IF(INDEX(입력_측정!$F$5:$F$1004,$AJ203)="","",INDEX(입력_측정!$F$5:$F$1004,$AJ203)))</f>
        <v/>
      </c>
      <c r="W203" s="25" t="str">
        <f aca="false">IF($AK203=0,"",IF(INDEX(입력_상담!$D$5:$D$1004,$AK203)="","",INDEX(입력_상담!$D$5:$D$1004,$AK203)))</f>
        <v/>
      </c>
      <c r="X203" s="25" t="str">
        <f aca="false">IF($AJ203=0,"",IF(INDEX(입력_측정!$I$5:$I$1004,$AJ203)="","",INDEX(입력_측정!$I$5:$I$1004,$AJ203)))</f>
        <v/>
      </c>
      <c r="Y203" s="25" t="str">
        <f aca="false">IF($AJ203=0,"",IF(INDEX(입력_측정!$J$5:$J$1004,$AJ203)="","",INDEX(입력_측정!$J$5:$J$1004,$AJ203)))</f>
        <v/>
      </c>
      <c r="Z203" s="25" t="str">
        <f aca="false">IF(OR(X203="긴급",LEFT(Y203,2)="긴급",W203="필요",W203="완료"),"대상","")</f>
        <v/>
      </c>
      <c r="AA203" s="59" t="str">
        <f aca="false">IF(M203&lt;&gt;"",M203,IF(AK203&gt;0,IF(W203="필요","추가상담 대기","완료"),IF(AJ203&gt;0,"결과상담 대기",IF(AI203&gt;0,"측정 대기","미방문"))))</f>
        <v>미방문</v>
      </c>
      <c r="AB203" s="60" t="str">
        <f aca="false">IF($AI203=0,"",IF(INDEX(입력_운동!$A$5:$A$1004,$AI203)="","",INDEX(입력_운동!$A$5:$A$1004,$AI203)))</f>
        <v/>
      </c>
      <c r="AC203" s="60" t="str">
        <f aca="false">IF($AJ203=0,"",IF(INDEX(입력_측정!$A$5:$A$1004,$AJ203)="","",INDEX(입력_측정!$A$5:$A$1004,$AJ203)))</f>
        <v/>
      </c>
      <c r="AD203" s="60" t="str">
        <f aca="false">IF($AK203=0,"",IF(INDEX(입력_상담!$A$5:$A$1004,$AK203)="","",INDEX(입력_상담!$A$5:$A$1004,$AK203)))</f>
        <v/>
      </c>
      <c r="AE203" s="25" t="str">
        <f aca="false">IF(AND(ISNUMBER(AB203),ISNUMBER(AC203)),IF(AC203&gt;=AB203,ROUND((AC203-AB203)*1440,0),""),"")</f>
        <v/>
      </c>
      <c r="AF203" s="25" t="str">
        <f aca="false">IF(AND(ISNUMBER(AC203),ISNUMBER(AD203)),IF(AD203&gt;=AC203,ROUND((AD203-AC203)*1440,0),""),"")</f>
        <v/>
      </c>
      <c r="AG203" s="25" t="str">
        <f aca="false">IF(AND(AA203="완료",ISNUMBER(AB203),ISNUMBER(AD203)),IF(AD203&gt;=AB203,ROUND((AD203-AB203)*1440,0),""),"")</f>
        <v/>
      </c>
      <c r="AH203" s="61" t="str">
        <f aca="false">IF(AND(AK203&gt;0,AJ203=0),"측정 기록 없음",IF(AND(AJ203&gt;0,AI203=0),"운동평가 기록 없음",IF(OR(COUNTIF(입력_운동!$B$5:$B$1004,$A203)&gt;1,COUNTIF(입력_측정!$B$5:$B$1004,$A203)&gt;1),"중복 입력","")))</f>
        <v/>
      </c>
      <c r="AI203" s="62" t="n">
        <f aca="false">SUMPRODUCT(MAX((입력_운동!$B$5:$B$1004=$A203)*(ROW(입력_운동!$B$5:$B$1004)-4)))</f>
        <v>0</v>
      </c>
      <c r="AJ203" s="62" t="n">
        <f aca="false">SUMPRODUCT(MAX((입력_측정!$B$5:$B$1004=$A203)*(ROW(입력_측정!$B$5:$B$1004)-4)))</f>
        <v>0</v>
      </c>
      <c r="AK203" s="62" t="n">
        <f aca="false">SUMPRODUCT(MAX((입력_상담!$B$5:$B$1004=$A203)*(ROW(입력_상담!$B$5:$B$1004)-4)))</f>
        <v>0</v>
      </c>
    </row>
    <row r="204" customFormat="false" ht="15" hidden="false" customHeight="false" outlineLevel="0" collapsed="false">
      <c r="A204" s="55" t="n">
        <v>200</v>
      </c>
      <c r="B204" s="56"/>
      <c r="C204" s="24"/>
      <c r="D204" s="24"/>
      <c r="E204" s="56"/>
      <c r="F204" s="57"/>
      <c r="G204" s="58"/>
      <c r="H204" s="56"/>
      <c r="I204" s="24"/>
      <c r="J204" s="24"/>
      <c r="K204" s="24"/>
      <c r="L204" s="24"/>
      <c r="M204" s="24"/>
      <c r="N204" s="56"/>
      <c r="O204" s="25" t="str">
        <f aca="false">IF($AI204=0,"",IF(INDEX(입력_운동!$C$5:$C$1004,$AI204)="","",INDEX(입력_운동!$C$5:$C$1004,$AI204)))</f>
        <v/>
      </c>
      <c r="P204" s="25" t="str">
        <f aca="false">IF($AI204=0,"",IF(INDEX(입력_운동!$D$5:$D$1004,$AI204)="","",INDEX(입력_운동!$D$5:$D$1004,$AI204)))</f>
        <v/>
      </c>
      <c r="Q204" s="25" t="str">
        <f aca="false">IF($AI204=0,"",IF(INDEX(입력_운동!$E$5:$E$1004,$AI204)="","",INDEX(입력_운동!$E$5:$E$1004,$AI204)))</f>
        <v/>
      </c>
      <c r="R204" s="25" t="str">
        <f aca="false">IF($AI204=0,"",IF(INDEX(입력_운동!$F$5:$F$1004,$AI204)="","",INDEX(입력_운동!$F$5:$F$1004,$AI204)))</f>
        <v/>
      </c>
      <c r="S204" s="25" t="str">
        <f aca="false">IF($AJ204=0,"",IF(INDEX(입력_측정!$C$5:$C$1004,$AJ204)="","",INDEX(입력_측정!$C$5:$C$1004,$AJ204)))</f>
        <v/>
      </c>
      <c r="T204" s="25" t="str">
        <f aca="false">IF($AJ204=0,"",IF(INDEX(입력_측정!$D$5:$D$1004,$AJ204)="","",INDEX(입력_측정!$D$5:$D$1004,$AJ204)))</f>
        <v/>
      </c>
      <c r="U204" s="25" t="str">
        <f aca="false">IF($AJ204=0,"",IF(INDEX(입력_측정!$E$5:$E$1004,$AJ204)="","",INDEX(입력_측정!$E$5:$E$1004,$AJ204)))</f>
        <v/>
      </c>
      <c r="V204" s="25" t="str">
        <f aca="false">IF($AJ204=0,"",IF(INDEX(입력_측정!$F$5:$F$1004,$AJ204)="","",INDEX(입력_측정!$F$5:$F$1004,$AJ204)))</f>
        <v/>
      </c>
      <c r="W204" s="25" t="str">
        <f aca="false">IF($AK204=0,"",IF(INDEX(입력_상담!$D$5:$D$1004,$AK204)="","",INDEX(입력_상담!$D$5:$D$1004,$AK204)))</f>
        <v/>
      </c>
      <c r="X204" s="25" t="str">
        <f aca="false">IF($AJ204=0,"",IF(INDEX(입력_측정!$I$5:$I$1004,$AJ204)="","",INDEX(입력_측정!$I$5:$I$1004,$AJ204)))</f>
        <v/>
      </c>
      <c r="Y204" s="25" t="str">
        <f aca="false">IF($AJ204=0,"",IF(INDEX(입력_측정!$J$5:$J$1004,$AJ204)="","",INDEX(입력_측정!$J$5:$J$1004,$AJ204)))</f>
        <v/>
      </c>
      <c r="Z204" s="25" t="str">
        <f aca="false">IF(OR(X204="긴급",LEFT(Y204,2)="긴급",W204="필요",W204="완료"),"대상","")</f>
        <v/>
      </c>
      <c r="AA204" s="59" t="str">
        <f aca="false">IF(M204&lt;&gt;"",M204,IF(AK204&gt;0,IF(W204="필요","추가상담 대기","완료"),IF(AJ204&gt;0,"결과상담 대기",IF(AI204&gt;0,"측정 대기","미방문"))))</f>
        <v>미방문</v>
      </c>
      <c r="AB204" s="60" t="str">
        <f aca="false">IF($AI204=0,"",IF(INDEX(입력_운동!$A$5:$A$1004,$AI204)="","",INDEX(입력_운동!$A$5:$A$1004,$AI204)))</f>
        <v/>
      </c>
      <c r="AC204" s="60" t="str">
        <f aca="false">IF($AJ204=0,"",IF(INDEX(입력_측정!$A$5:$A$1004,$AJ204)="","",INDEX(입력_측정!$A$5:$A$1004,$AJ204)))</f>
        <v/>
      </c>
      <c r="AD204" s="60" t="str">
        <f aca="false">IF($AK204=0,"",IF(INDEX(입력_상담!$A$5:$A$1004,$AK204)="","",INDEX(입력_상담!$A$5:$A$1004,$AK204)))</f>
        <v/>
      </c>
      <c r="AE204" s="25" t="str">
        <f aca="false">IF(AND(ISNUMBER(AB204),ISNUMBER(AC204)),IF(AC204&gt;=AB204,ROUND((AC204-AB204)*1440,0),""),"")</f>
        <v/>
      </c>
      <c r="AF204" s="25" t="str">
        <f aca="false">IF(AND(ISNUMBER(AC204),ISNUMBER(AD204)),IF(AD204&gt;=AC204,ROUND((AD204-AC204)*1440,0),""),"")</f>
        <v/>
      </c>
      <c r="AG204" s="25" t="str">
        <f aca="false">IF(AND(AA204="완료",ISNUMBER(AB204),ISNUMBER(AD204)),IF(AD204&gt;=AB204,ROUND((AD204-AB204)*1440,0),""),"")</f>
        <v/>
      </c>
      <c r="AH204" s="61" t="str">
        <f aca="false">IF(AND(AK204&gt;0,AJ204=0),"측정 기록 없음",IF(AND(AJ204&gt;0,AI204=0),"운동평가 기록 없음",IF(OR(COUNTIF(입력_운동!$B$5:$B$1004,$A204)&gt;1,COUNTIF(입력_측정!$B$5:$B$1004,$A204)&gt;1),"중복 입력","")))</f>
        <v/>
      </c>
      <c r="AI204" s="62" t="n">
        <f aca="false">SUMPRODUCT(MAX((입력_운동!$B$5:$B$1004=$A204)*(ROW(입력_운동!$B$5:$B$1004)-4)))</f>
        <v>0</v>
      </c>
      <c r="AJ204" s="62" t="n">
        <f aca="false">SUMPRODUCT(MAX((입력_측정!$B$5:$B$1004=$A204)*(ROW(입력_측정!$B$5:$B$1004)-4)))</f>
        <v>0</v>
      </c>
      <c r="AK204" s="62" t="n">
        <f aca="false">SUMPRODUCT(MAX((입력_상담!$B$5:$B$1004=$A204)*(ROW(입력_상담!$B$5:$B$1004)-4)))</f>
        <v>0</v>
      </c>
    </row>
    <row r="205" customFormat="false" ht="15" hidden="false" customHeight="false" outlineLevel="0" collapsed="false">
      <c r="A205" s="55" t="n">
        <v>201</v>
      </c>
      <c r="B205" s="56"/>
      <c r="C205" s="24"/>
      <c r="D205" s="24"/>
      <c r="E205" s="56"/>
      <c r="F205" s="57"/>
      <c r="G205" s="58"/>
      <c r="H205" s="56"/>
      <c r="I205" s="24"/>
      <c r="J205" s="24"/>
      <c r="K205" s="24"/>
      <c r="L205" s="24"/>
      <c r="M205" s="24"/>
      <c r="N205" s="56"/>
      <c r="O205" s="25" t="str">
        <f aca="false">IF($AI205=0,"",IF(INDEX(입력_운동!$C$5:$C$1004,$AI205)="","",INDEX(입력_운동!$C$5:$C$1004,$AI205)))</f>
        <v/>
      </c>
      <c r="P205" s="25" t="str">
        <f aca="false">IF($AI205=0,"",IF(INDEX(입력_운동!$D$5:$D$1004,$AI205)="","",INDEX(입력_운동!$D$5:$D$1004,$AI205)))</f>
        <v/>
      </c>
      <c r="Q205" s="25" t="str">
        <f aca="false">IF($AI205=0,"",IF(INDEX(입력_운동!$E$5:$E$1004,$AI205)="","",INDEX(입력_운동!$E$5:$E$1004,$AI205)))</f>
        <v/>
      </c>
      <c r="R205" s="25" t="str">
        <f aca="false">IF($AI205=0,"",IF(INDEX(입력_운동!$F$5:$F$1004,$AI205)="","",INDEX(입력_운동!$F$5:$F$1004,$AI205)))</f>
        <v/>
      </c>
      <c r="S205" s="25" t="str">
        <f aca="false">IF($AJ205=0,"",IF(INDEX(입력_측정!$C$5:$C$1004,$AJ205)="","",INDEX(입력_측정!$C$5:$C$1004,$AJ205)))</f>
        <v/>
      </c>
      <c r="T205" s="25" t="str">
        <f aca="false">IF($AJ205=0,"",IF(INDEX(입력_측정!$D$5:$D$1004,$AJ205)="","",INDEX(입력_측정!$D$5:$D$1004,$AJ205)))</f>
        <v/>
      </c>
      <c r="U205" s="25" t="str">
        <f aca="false">IF($AJ205=0,"",IF(INDEX(입력_측정!$E$5:$E$1004,$AJ205)="","",INDEX(입력_측정!$E$5:$E$1004,$AJ205)))</f>
        <v/>
      </c>
      <c r="V205" s="25" t="str">
        <f aca="false">IF($AJ205=0,"",IF(INDEX(입력_측정!$F$5:$F$1004,$AJ205)="","",INDEX(입력_측정!$F$5:$F$1004,$AJ205)))</f>
        <v/>
      </c>
      <c r="W205" s="25" t="str">
        <f aca="false">IF($AK205=0,"",IF(INDEX(입력_상담!$D$5:$D$1004,$AK205)="","",INDEX(입력_상담!$D$5:$D$1004,$AK205)))</f>
        <v/>
      </c>
      <c r="X205" s="25" t="str">
        <f aca="false">IF($AJ205=0,"",IF(INDEX(입력_측정!$I$5:$I$1004,$AJ205)="","",INDEX(입력_측정!$I$5:$I$1004,$AJ205)))</f>
        <v/>
      </c>
      <c r="Y205" s="25" t="str">
        <f aca="false">IF($AJ205=0,"",IF(INDEX(입력_측정!$J$5:$J$1004,$AJ205)="","",INDEX(입력_측정!$J$5:$J$1004,$AJ205)))</f>
        <v/>
      </c>
      <c r="Z205" s="25" t="str">
        <f aca="false">IF(OR(X205="긴급",LEFT(Y205,2)="긴급",W205="필요",W205="완료"),"대상","")</f>
        <v/>
      </c>
      <c r="AA205" s="59" t="str">
        <f aca="false">IF(M205&lt;&gt;"",M205,IF(AK205&gt;0,IF(W205="필요","추가상담 대기","완료"),IF(AJ205&gt;0,"결과상담 대기",IF(AI205&gt;0,"측정 대기","미방문"))))</f>
        <v>미방문</v>
      </c>
      <c r="AB205" s="60" t="str">
        <f aca="false">IF($AI205=0,"",IF(INDEX(입력_운동!$A$5:$A$1004,$AI205)="","",INDEX(입력_운동!$A$5:$A$1004,$AI205)))</f>
        <v/>
      </c>
      <c r="AC205" s="60" t="str">
        <f aca="false">IF($AJ205=0,"",IF(INDEX(입력_측정!$A$5:$A$1004,$AJ205)="","",INDEX(입력_측정!$A$5:$A$1004,$AJ205)))</f>
        <v/>
      </c>
      <c r="AD205" s="60" t="str">
        <f aca="false">IF($AK205=0,"",IF(INDEX(입력_상담!$A$5:$A$1004,$AK205)="","",INDEX(입력_상담!$A$5:$A$1004,$AK205)))</f>
        <v/>
      </c>
      <c r="AE205" s="25" t="str">
        <f aca="false">IF(AND(ISNUMBER(AB205),ISNUMBER(AC205)),IF(AC205&gt;=AB205,ROUND((AC205-AB205)*1440,0),""),"")</f>
        <v/>
      </c>
      <c r="AF205" s="25" t="str">
        <f aca="false">IF(AND(ISNUMBER(AC205),ISNUMBER(AD205)),IF(AD205&gt;=AC205,ROUND((AD205-AC205)*1440,0),""),"")</f>
        <v/>
      </c>
      <c r="AG205" s="25" t="str">
        <f aca="false">IF(AND(AA205="완료",ISNUMBER(AB205),ISNUMBER(AD205)),IF(AD205&gt;=AB205,ROUND((AD205-AB205)*1440,0),""),"")</f>
        <v/>
      </c>
      <c r="AH205" s="61" t="str">
        <f aca="false">IF(AND(AK205&gt;0,AJ205=0),"측정 기록 없음",IF(AND(AJ205&gt;0,AI205=0),"운동평가 기록 없음",IF(OR(COUNTIF(입력_운동!$B$5:$B$1004,$A205)&gt;1,COUNTIF(입력_측정!$B$5:$B$1004,$A205)&gt;1),"중복 입력","")))</f>
        <v/>
      </c>
      <c r="AI205" s="62" t="n">
        <f aca="false">SUMPRODUCT(MAX((입력_운동!$B$5:$B$1004=$A205)*(ROW(입력_운동!$B$5:$B$1004)-4)))</f>
        <v>0</v>
      </c>
      <c r="AJ205" s="62" t="n">
        <f aca="false">SUMPRODUCT(MAX((입력_측정!$B$5:$B$1004=$A205)*(ROW(입력_측정!$B$5:$B$1004)-4)))</f>
        <v>0</v>
      </c>
      <c r="AK205" s="62" t="n">
        <f aca="false">SUMPRODUCT(MAX((입력_상담!$B$5:$B$1004=$A205)*(ROW(입력_상담!$B$5:$B$1004)-4)))</f>
        <v>0</v>
      </c>
    </row>
    <row r="206" customFormat="false" ht="15" hidden="false" customHeight="false" outlineLevel="0" collapsed="false">
      <c r="A206" s="55" t="n">
        <v>202</v>
      </c>
      <c r="B206" s="56"/>
      <c r="C206" s="24"/>
      <c r="D206" s="24"/>
      <c r="E206" s="56"/>
      <c r="F206" s="57"/>
      <c r="G206" s="58"/>
      <c r="H206" s="56"/>
      <c r="I206" s="24"/>
      <c r="J206" s="24"/>
      <c r="K206" s="24"/>
      <c r="L206" s="24"/>
      <c r="M206" s="24"/>
      <c r="N206" s="56"/>
      <c r="O206" s="25" t="str">
        <f aca="false">IF($AI206=0,"",IF(INDEX(입력_운동!$C$5:$C$1004,$AI206)="","",INDEX(입력_운동!$C$5:$C$1004,$AI206)))</f>
        <v/>
      </c>
      <c r="P206" s="25" t="str">
        <f aca="false">IF($AI206=0,"",IF(INDEX(입력_운동!$D$5:$D$1004,$AI206)="","",INDEX(입력_운동!$D$5:$D$1004,$AI206)))</f>
        <v/>
      </c>
      <c r="Q206" s="25" t="str">
        <f aca="false">IF($AI206=0,"",IF(INDEX(입력_운동!$E$5:$E$1004,$AI206)="","",INDEX(입력_운동!$E$5:$E$1004,$AI206)))</f>
        <v/>
      </c>
      <c r="R206" s="25" t="str">
        <f aca="false">IF($AI206=0,"",IF(INDEX(입력_운동!$F$5:$F$1004,$AI206)="","",INDEX(입력_운동!$F$5:$F$1004,$AI206)))</f>
        <v/>
      </c>
      <c r="S206" s="25" t="str">
        <f aca="false">IF($AJ206=0,"",IF(INDEX(입력_측정!$C$5:$C$1004,$AJ206)="","",INDEX(입력_측정!$C$5:$C$1004,$AJ206)))</f>
        <v/>
      </c>
      <c r="T206" s="25" t="str">
        <f aca="false">IF($AJ206=0,"",IF(INDEX(입력_측정!$D$5:$D$1004,$AJ206)="","",INDEX(입력_측정!$D$5:$D$1004,$AJ206)))</f>
        <v/>
      </c>
      <c r="U206" s="25" t="str">
        <f aca="false">IF($AJ206=0,"",IF(INDEX(입력_측정!$E$5:$E$1004,$AJ206)="","",INDEX(입력_측정!$E$5:$E$1004,$AJ206)))</f>
        <v/>
      </c>
      <c r="V206" s="25" t="str">
        <f aca="false">IF($AJ206=0,"",IF(INDEX(입력_측정!$F$5:$F$1004,$AJ206)="","",INDEX(입력_측정!$F$5:$F$1004,$AJ206)))</f>
        <v/>
      </c>
      <c r="W206" s="25" t="str">
        <f aca="false">IF($AK206=0,"",IF(INDEX(입력_상담!$D$5:$D$1004,$AK206)="","",INDEX(입력_상담!$D$5:$D$1004,$AK206)))</f>
        <v/>
      </c>
      <c r="X206" s="25" t="str">
        <f aca="false">IF($AJ206=0,"",IF(INDEX(입력_측정!$I$5:$I$1004,$AJ206)="","",INDEX(입력_측정!$I$5:$I$1004,$AJ206)))</f>
        <v/>
      </c>
      <c r="Y206" s="25" t="str">
        <f aca="false">IF($AJ206=0,"",IF(INDEX(입력_측정!$J$5:$J$1004,$AJ206)="","",INDEX(입력_측정!$J$5:$J$1004,$AJ206)))</f>
        <v/>
      </c>
      <c r="Z206" s="25" t="str">
        <f aca="false">IF(OR(X206="긴급",LEFT(Y206,2)="긴급",W206="필요",W206="완료"),"대상","")</f>
        <v/>
      </c>
      <c r="AA206" s="59" t="str">
        <f aca="false">IF(M206&lt;&gt;"",M206,IF(AK206&gt;0,IF(W206="필요","추가상담 대기","완료"),IF(AJ206&gt;0,"결과상담 대기",IF(AI206&gt;0,"측정 대기","미방문"))))</f>
        <v>미방문</v>
      </c>
      <c r="AB206" s="60" t="str">
        <f aca="false">IF($AI206=0,"",IF(INDEX(입력_운동!$A$5:$A$1004,$AI206)="","",INDEX(입력_운동!$A$5:$A$1004,$AI206)))</f>
        <v/>
      </c>
      <c r="AC206" s="60" t="str">
        <f aca="false">IF($AJ206=0,"",IF(INDEX(입력_측정!$A$5:$A$1004,$AJ206)="","",INDEX(입력_측정!$A$5:$A$1004,$AJ206)))</f>
        <v/>
      </c>
      <c r="AD206" s="60" t="str">
        <f aca="false">IF($AK206=0,"",IF(INDEX(입력_상담!$A$5:$A$1004,$AK206)="","",INDEX(입력_상담!$A$5:$A$1004,$AK206)))</f>
        <v/>
      </c>
      <c r="AE206" s="25" t="str">
        <f aca="false">IF(AND(ISNUMBER(AB206),ISNUMBER(AC206)),IF(AC206&gt;=AB206,ROUND((AC206-AB206)*1440,0),""),"")</f>
        <v/>
      </c>
      <c r="AF206" s="25" t="str">
        <f aca="false">IF(AND(ISNUMBER(AC206),ISNUMBER(AD206)),IF(AD206&gt;=AC206,ROUND((AD206-AC206)*1440,0),""),"")</f>
        <v/>
      </c>
      <c r="AG206" s="25" t="str">
        <f aca="false">IF(AND(AA206="완료",ISNUMBER(AB206),ISNUMBER(AD206)),IF(AD206&gt;=AB206,ROUND((AD206-AB206)*1440,0),""),"")</f>
        <v/>
      </c>
      <c r="AH206" s="61" t="str">
        <f aca="false">IF(AND(AK206&gt;0,AJ206=0),"측정 기록 없음",IF(AND(AJ206&gt;0,AI206=0),"운동평가 기록 없음",IF(OR(COUNTIF(입력_운동!$B$5:$B$1004,$A206)&gt;1,COUNTIF(입력_측정!$B$5:$B$1004,$A206)&gt;1),"중복 입력","")))</f>
        <v/>
      </c>
      <c r="AI206" s="62" t="n">
        <f aca="false">SUMPRODUCT(MAX((입력_운동!$B$5:$B$1004=$A206)*(ROW(입력_운동!$B$5:$B$1004)-4)))</f>
        <v>0</v>
      </c>
      <c r="AJ206" s="62" t="n">
        <f aca="false">SUMPRODUCT(MAX((입력_측정!$B$5:$B$1004=$A206)*(ROW(입력_측정!$B$5:$B$1004)-4)))</f>
        <v>0</v>
      </c>
      <c r="AK206" s="62" t="n">
        <f aca="false">SUMPRODUCT(MAX((입력_상담!$B$5:$B$1004=$A206)*(ROW(입력_상담!$B$5:$B$1004)-4)))</f>
        <v>0</v>
      </c>
    </row>
    <row r="207" customFormat="false" ht="15" hidden="false" customHeight="false" outlineLevel="0" collapsed="false">
      <c r="A207" s="55" t="n">
        <v>203</v>
      </c>
      <c r="B207" s="56"/>
      <c r="C207" s="24"/>
      <c r="D207" s="24"/>
      <c r="E207" s="56"/>
      <c r="F207" s="57"/>
      <c r="G207" s="58"/>
      <c r="H207" s="56"/>
      <c r="I207" s="24"/>
      <c r="J207" s="24"/>
      <c r="K207" s="24"/>
      <c r="L207" s="24"/>
      <c r="M207" s="24"/>
      <c r="N207" s="56"/>
      <c r="O207" s="25" t="str">
        <f aca="false">IF($AI207=0,"",IF(INDEX(입력_운동!$C$5:$C$1004,$AI207)="","",INDEX(입력_운동!$C$5:$C$1004,$AI207)))</f>
        <v/>
      </c>
      <c r="P207" s="25" t="str">
        <f aca="false">IF($AI207=0,"",IF(INDEX(입력_운동!$D$5:$D$1004,$AI207)="","",INDEX(입력_운동!$D$5:$D$1004,$AI207)))</f>
        <v/>
      </c>
      <c r="Q207" s="25" t="str">
        <f aca="false">IF($AI207=0,"",IF(INDEX(입력_운동!$E$5:$E$1004,$AI207)="","",INDEX(입력_운동!$E$5:$E$1004,$AI207)))</f>
        <v/>
      </c>
      <c r="R207" s="25" t="str">
        <f aca="false">IF($AI207=0,"",IF(INDEX(입력_운동!$F$5:$F$1004,$AI207)="","",INDEX(입력_운동!$F$5:$F$1004,$AI207)))</f>
        <v/>
      </c>
      <c r="S207" s="25" t="str">
        <f aca="false">IF($AJ207=0,"",IF(INDEX(입력_측정!$C$5:$C$1004,$AJ207)="","",INDEX(입력_측정!$C$5:$C$1004,$AJ207)))</f>
        <v/>
      </c>
      <c r="T207" s="25" t="str">
        <f aca="false">IF($AJ207=0,"",IF(INDEX(입력_측정!$D$5:$D$1004,$AJ207)="","",INDEX(입력_측정!$D$5:$D$1004,$AJ207)))</f>
        <v/>
      </c>
      <c r="U207" s="25" t="str">
        <f aca="false">IF($AJ207=0,"",IF(INDEX(입력_측정!$E$5:$E$1004,$AJ207)="","",INDEX(입력_측정!$E$5:$E$1004,$AJ207)))</f>
        <v/>
      </c>
      <c r="V207" s="25" t="str">
        <f aca="false">IF($AJ207=0,"",IF(INDEX(입력_측정!$F$5:$F$1004,$AJ207)="","",INDEX(입력_측정!$F$5:$F$1004,$AJ207)))</f>
        <v/>
      </c>
      <c r="W207" s="25" t="str">
        <f aca="false">IF($AK207=0,"",IF(INDEX(입력_상담!$D$5:$D$1004,$AK207)="","",INDEX(입력_상담!$D$5:$D$1004,$AK207)))</f>
        <v/>
      </c>
      <c r="X207" s="25" t="str">
        <f aca="false">IF($AJ207=0,"",IF(INDEX(입력_측정!$I$5:$I$1004,$AJ207)="","",INDEX(입력_측정!$I$5:$I$1004,$AJ207)))</f>
        <v/>
      </c>
      <c r="Y207" s="25" t="str">
        <f aca="false">IF($AJ207=0,"",IF(INDEX(입력_측정!$J$5:$J$1004,$AJ207)="","",INDEX(입력_측정!$J$5:$J$1004,$AJ207)))</f>
        <v/>
      </c>
      <c r="Z207" s="25" t="str">
        <f aca="false">IF(OR(X207="긴급",LEFT(Y207,2)="긴급",W207="필요",W207="완료"),"대상","")</f>
        <v/>
      </c>
      <c r="AA207" s="59" t="str">
        <f aca="false">IF(M207&lt;&gt;"",M207,IF(AK207&gt;0,IF(W207="필요","추가상담 대기","완료"),IF(AJ207&gt;0,"결과상담 대기",IF(AI207&gt;0,"측정 대기","미방문"))))</f>
        <v>미방문</v>
      </c>
      <c r="AB207" s="60" t="str">
        <f aca="false">IF($AI207=0,"",IF(INDEX(입력_운동!$A$5:$A$1004,$AI207)="","",INDEX(입력_운동!$A$5:$A$1004,$AI207)))</f>
        <v/>
      </c>
      <c r="AC207" s="60" t="str">
        <f aca="false">IF($AJ207=0,"",IF(INDEX(입력_측정!$A$5:$A$1004,$AJ207)="","",INDEX(입력_측정!$A$5:$A$1004,$AJ207)))</f>
        <v/>
      </c>
      <c r="AD207" s="60" t="str">
        <f aca="false">IF($AK207=0,"",IF(INDEX(입력_상담!$A$5:$A$1004,$AK207)="","",INDEX(입력_상담!$A$5:$A$1004,$AK207)))</f>
        <v/>
      </c>
      <c r="AE207" s="25" t="str">
        <f aca="false">IF(AND(ISNUMBER(AB207),ISNUMBER(AC207)),IF(AC207&gt;=AB207,ROUND((AC207-AB207)*1440,0),""),"")</f>
        <v/>
      </c>
      <c r="AF207" s="25" t="str">
        <f aca="false">IF(AND(ISNUMBER(AC207),ISNUMBER(AD207)),IF(AD207&gt;=AC207,ROUND((AD207-AC207)*1440,0),""),"")</f>
        <v/>
      </c>
      <c r="AG207" s="25" t="str">
        <f aca="false">IF(AND(AA207="완료",ISNUMBER(AB207),ISNUMBER(AD207)),IF(AD207&gt;=AB207,ROUND((AD207-AB207)*1440,0),""),"")</f>
        <v/>
      </c>
      <c r="AH207" s="61" t="str">
        <f aca="false">IF(AND(AK207&gt;0,AJ207=0),"측정 기록 없음",IF(AND(AJ207&gt;0,AI207=0),"운동평가 기록 없음",IF(OR(COUNTIF(입력_운동!$B$5:$B$1004,$A207)&gt;1,COUNTIF(입력_측정!$B$5:$B$1004,$A207)&gt;1),"중복 입력","")))</f>
        <v/>
      </c>
      <c r="AI207" s="62" t="n">
        <f aca="false">SUMPRODUCT(MAX((입력_운동!$B$5:$B$1004=$A207)*(ROW(입력_운동!$B$5:$B$1004)-4)))</f>
        <v>0</v>
      </c>
      <c r="AJ207" s="62" t="n">
        <f aca="false">SUMPRODUCT(MAX((입력_측정!$B$5:$B$1004=$A207)*(ROW(입력_측정!$B$5:$B$1004)-4)))</f>
        <v>0</v>
      </c>
      <c r="AK207" s="62" t="n">
        <f aca="false">SUMPRODUCT(MAX((입력_상담!$B$5:$B$1004=$A207)*(ROW(입력_상담!$B$5:$B$1004)-4)))</f>
        <v>0</v>
      </c>
    </row>
    <row r="208" customFormat="false" ht="15" hidden="false" customHeight="false" outlineLevel="0" collapsed="false">
      <c r="A208" s="55" t="n">
        <v>204</v>
      </c>
      <c r="B208" s="56"/>
      <c r="C208" s="24"/>
      <c r="D208" s="24"/>
      <c r="E208" s="56"/>
      <c r="F208" s="57"/>
      <c r="G208" s="58"/>
      <c r="H208" s="56"/>
      <c r="I208" s="24"/>
      <c r="J208" s="24"/>
      <c r="K208" s="24"/>
      <c r="L208" s="24"/>
      <c r="M208" s="24"/>
      <c r="N208" s="56"/>
      <c r="O208" s="25" t="str">
        <f aca="false">IF($AI208=0,"",IF(INDEX(입력_운동!$C$5:$C$1004,$AI208)="","",INDEX(입력_운동!$C$5:$C$1004,$AI208)))</f>
        <v/>
      </c>
      <c r="P208" s="25" t="str">
        <f aca="false">IF($AI208=0,"",IF(INDEX(입력_운동!$D$5:$D$1004,$AI208)="","",INDEX(입력_운동!$D$5:$D$1004,$AI208)))</f>
        <v/>
      </c>
      <c r="Q208" s="25" t="str">
        <f aca="false">IF($AI208=0,"",IF(INDEX(입력_운동!$E$5:$E$1004,$AI208)="","",INDEX(입력_운동!$E$5:$E$1004,$AI208)))</f>
        <v/>
      </c>
      <c r="R208" s="25" t="str">
        <f aca="false">IF($AI208=0,"",IF(INDEX(입력_운동!$F$5:$F$1004,$AI208)="","",INDEX(입력_운동!$F$5:$F$1004,$AI208)))</f>
        <v/>
      </c>
      <c r="S208" s="25" t="str">
        <f aca="false">IF($AJ208=0,"",IF(INDEX(입력_측정!$C$5:$C$1004,$AJ208)="","",INDEX(입력_측정!$C$5:$C$1004,$AJ208)))</f>
        <v/>
      </c>
      <c r="T208" s="25" t="str">
        <f aca="false">IF($AJ208=0,"",IF(INDEX(입력_측정!$D$5:$D$1004,$AJ208)="","",INDEX(입력_측정!$D$5:$D$1004,$AJ208)))</f>
        <v/>
      </c>
      <c r="U208" s="25" t="str">
        <f aca="false">IF($AJ208=0,"",IF(INDEX(입력_측정!$E$5:$E$1004,$AJ208)="","",INDEX(입력_측정!$E$5:$E$1004,$AJ208)))</f>
        <v/>
      </c>
      <c r="V208" s="25" t="str">
        <f aca="false">IF($AJ208=0,"",IF(INDEX(입력_측정!$F$5:$F$1004,$AJ208)="","",INDEX(입력_측정!$F$5:$F$1004,$AJ208)))</f>
        <v/>
      </c>
      <c r="W208" s="25" t="str">
        <f aca="false">IF($AK208=0,"",IF(INDEX(입력_상담!$D$5:$D$1004,$AK208)="","",INDEX(입력_상담!$D$5:$D$1004,$AK208)))</f>
        <v/>
      </c>
      <c r="X208" s="25" t="str">
        <f aca="false">IF($AJ208=0,"",IF(INDEX(입력_측정!$I$5:$I$1004,$AJ208)="","",INDEX(입력_측정!$I$5:$I$1004,$AJ208)))</f>
        <v/>
      </c>
      <c r="Y208" s="25" t="str">
        <f aca="false">IF($AJ208=0,"",IF(INDEX(입력_측정!$J$5:$J$1004,$AJ208)="","",INDEX(입력_측정!$J$5:$J$1004,$AJ208)))</f>
        <v/>
      </c>
      <c r="Z208" s="25" t="str">
        <f aca="false">IF(OR(X208="긴급",LEFT(Y208,2)="긴급",W208="필요",W208="완료"),"대상","")</f>
        <v/>
      </c>
      <c r="AA208" s="59" t="str">
        <f aca="false">IF(M208&lt;&gt;"",M208,IF(AK208&gt;0,IF(W208="필요","추가상담 대기","완료"),IF(AJ208&gt;0,"결과상담 대기",IF(AI208&gt;0,"측정 대기","미방문"))))</f>
        <v>미방문</v>
      </c>
      <c r="AB208" s="60" t="str">
        <f aca="false">IF($AI208=0,"",IF(INDEX(입력_운동!$A$5:$A$1004,$AI208)="","",INDEX(입력_운동!$A$5:$A$1004,$AI208)))</f>
        <v/>
      </c>
      <c r="AC208" s="60" t="str">
        <f aca="false">IF($AJ208=0,"",IF(INDEX(입력_측정!$A$5:$A$1004,$AJ208)="","",INDEX(입력_측정!$A$5:$A$1004,$AJ208)))</f>
        <v/>
      </c>
      <c r="AD208" s="60" t="str">
        <f aca="false">IF($AK208=0,"",IF(INDEX(입력_상담!$A$5:$A$1004,$AK208)="","",INDEX(입력_상담!$A$5:$A$1004,$AK208)))</f>
        <v/>
      </c>
      <c r="AE208" s="25" t="str">
        <f aca="false">IF(AND(ISNUMBER(AB208),ISNUMBER(AC208)),IF(AC208&gt;=AB208,ROUND((AC208-AB208)*1440,0),""),"")</f>
        <v/>
      </c>
      <c r="AF208" s="25" t="str">
        <f aca="false">IF(AND(ISNUMBER(AC208),ISNUMBER(AD208)),IF(AD208&gt;=AC208,ROUND((AD208-AC208)*1440,0),""),"")</f>
        <v/>
      </c>
      <c r="AG208" s="25" t="str">
        <f aca="false">IF(AND(AA208="완료",ISNUMBER(AB208),ISNUMBER(AD208)),IF(AD208&gt;=AB208,ROUND((AD208-AB208)*1440,0),""),"")</f>
        <v/>
      </c>
      <c r="AH208" s="61" t="str">
        <f aca="false">IF(AND(AK208&gt;0,AJ208=0),"측정 기록 없음",IF(AND(AJ208&gt;0,AI208=0),"운동평가 기록 없음",IF(OR(COUNTIF(입력_운동!$B$5:$B$1004,$A208)&gt;1,COUNTIF(입력_측정!$B$5:$B$1004,$A208)&gt;1),"중복 입력","")))</f>
        <v/>
      </c>
      <c r="AI208" s="62" t="n">
        <f aca="false">SUMPRODUCT(MAX((입력_운동!$B$5:$B$1004=$A208)*(ROW(입력_운동!$B$5:$B$1004)-4)))</f>
        <v>0</v>
      </c>
      <c r="AJ208" s="62" t="n">
        <f aca="false">SUMPRODUCT(MAX((입력_측정!$B$5:$B$1004=$A208)*(ROW(입력_측정!$B$5:$B$1004)-4)))</f>
        <v>0</v>
      </c>
      <c r="AK208" s="62" t="n">
        <f aca="false">SUMPRODUCT(MAX((입력_상담!$B$5:$B$1004=$A208)*(ROW(입력_상담!$B$5:$B$1004)-4)))</f>
        <v>0</v>
      </c>
    </row>
    <row r="209" customFormat="false" ht="15" hidden="false" customHeight="false" outlineLevel="0" collapsed="false">
      <c r="A209" s="55" t="n">
        <v>205</v>
      </c>
      <c r="B209" s="56"/>
      <c r="C209" s="24"/>
      <c r="D209" s="24"/>
      <c r="E209" s="56"/>
      <c r="F209" s="57"/>
      <c r="G209" s="58"/>
      <c r="H209" s="56"/>
      <c r="I209" s="24"/>
      <c r="J209" s="24"/>
      <c r="K209" s="24"/>
      <c r="L209" s="24"/>
      <c r="M209" s="24"/>
      <c r="N209" s="56"/>
      <c r="O209" s="25" t="str">
        <f aca="false">IF($AI209=0,"",IF(INDEX(입력_운동!$C$5:$C$1004,$AI209)="","",INDEX(입력_운동!$C$5:$C$1004,$AI209)))</f>
        <v/>
      </c>
      <c r="P209" s="25" t="str">
        <f aca="false">IF($AI209=0,"",IF(INDEX(입력_운동!$D$5:$D$1004,$AI209)="","",INDEX(입력_운동!$D$5:$D$1004,$AI209)))</f>
        <v/>
      </c>
      <c r="Q209" s="25" t="str">
        <f aca="false">IF($AI209=0,"",IF(INDEX(입력_운동!$E$5:$E$1004,$AI209)="","",INDEX(입력_운동!$E$5:$E$1004,$AI209)))</f>
        <v/>
      </c>
      <c r="R209" s="25" t="str">
        <f aca="false">IF($AI209=0,"",IF(INDEX(입력_운동!$F$5:$F$1004,$AI209)="","",INDEX(입력_운동!$F$5:$F$1004,$AI209)))</f>
        <v/>
      </c>
      <c r="S209" s="25" t="str">
        <f aca="false">IF($AJ209=0,"",IF(INDEX(입력_측정!$C$5:$C$1004,$AJ209)="","",INDEX(입력_측정!$C$5:$C$1004,$AJ209)))</f>
        <v/>
      </c>
      <c r="T209" s="25" t="str">
        <f aca="false">IF($AJ209=0,"",IF(INDEX(입력_측정!$D$5:$D$1004,$AJ209)="","",INDEX(입력_측정!$D$5:$D$1004,$AJ209)))</f>
        <v/>
      </c>
      <c r="U209" s="25" t="str">
        <f aca="false">IF($AJ209=0,"",IF(INDEX(입력_측정!$E$5:$E$1004,$AJ209)="","",INDEX(입력_측정!$E$5:$E$1004,$AJ209)))</f>
        <v/>
      </c>
      <c r="V209" s="25" t="str">
        <f aca="false">IF($AJ209=0,"",IF(INDEX(입력_측정!$F$5:$F$1004,$AJ209)="","",INDEX(입력_측정!$F$5:$F$1004,$AJ209)))</f>
        <v/>
      </c>
      <c r="W209" s="25" t="str">
        <f aca="false">IF($AK209=0,"",IF(INDEX(입력_상담!$D$5:$D$1004,$AK209)="","",INDEX(입력_상담!$D$5:$D$1004,$AK209)))</f>
        <v/>
      </c>
      <c r="X209" s="25" t="str">
        <f aca="false">IF($AJ209=0,"",IF(INDEX(입력_측정!$I$5:$I$1004,$AJ209)="","",INDEX(입력_측정!$I$5:$I$1004,$AJ209)))</f>
        <v/>
      </c>
      <c r="Y209" s="25" t="str">
        <f aca="false">IF($AJ209=0,"",IF(INDEX(입력_측정!$J$5:$J$1004,$AJ209)="","",INDEX(입력_측정!$J$5:$J$1004,$AJ209)))</f>
        <v/>
      </c>
      <c r="Z209" s="25" t="str">
        <f aca="false">IF(OR(X209="긴급",LEFT(Y209,2)="긴급",W209="필요",W209="완료"),"대상","")</f>
        <v/>
      </c>
      <c r="AA209" s="59" t="str">
        <f aca="false">IF(M209&lt;&gt;"",M209,IF(AK209&gt;0,IF(W209="필요","추가상담 대기","완료"),IF(AJ209&gt;0,"결과상담 대기",IF(AI209&gt;0,"측정 대기","미방문"))))</f>
        <v>미방문</v>
      </c>
      <c r="AB209" s="60" t="str">
        <f aca="false">IF($AI209=0,"",IF(INDEX(입력_운동!$A$5:$A$1004,$AI209)="","",INDEX(입력_운동!$A$5:$A$1004,$AI209)))</f>
        <v/>
      </c>
      <c r="AC209" s="60" t="str">
        <f aca="false">IF($AJ209=0,"",IF(INDEX(입력_측정!$A$5:$A$1004,$AJ209)="","",INDEX(입력_측정!$A$5:$A$1004,$AJ209)))</f>
        <v/>
      </c>
      <c r="AD209" s="60" t="str">
        <f aca="false">IF($AK209=0,"",IF(INDEX(입력_상담!$A$5:$A$1004,$AK209)="","",INDEX(입력_상담!$A$5:$A$1004,$AK209)))</f>
        <v/>
      </c>
      <c r="AE209" s="25" t="str">
        <f aca="false">IF(AND(ISNUMBER(AB209),ISNUMBER(AC209)),IF(AC209&gt;=AB209,ROUND((AC209-AB209)*1440,0),""),"")</f>
        <v/>
      </c>
      <c r="AF209" s="25" t="str">
        <f aca="false">IF(AND(ISNUMBER(AC209),ISNUMBER(AD209)),IF(AD209&gt;=AC209,ROUND((AD209-AC209)*1440,0),""),"")</f>
        <v/>
      </c>
      <c r="AG209" s="25" t="str">
        <f aca="false">IF(AND(AA209="완료",ISNUMBER(AB209),ISNUMBER(AD209)),IF(AD209&gt;=AB209,ROUND((AD209-AB209)*1440,0),""),"")</f>
        <v/>
      </c>
      <c r="AH209" s="61" t="str">
        <f aca="false">IF(AND(AK209&gt;0,AJ209=0),"측정 기록 없음",IF(AND(AJ209&gt;0,AI209=0),"운동평가 기록 없음",IF(OR(COUNTIF(입력_운동!$B$5:$B$1004,$A209)&gt;1,COUNTIF(입력_측정!$B$5:$B$1004,$A209)&gt;1),"중복 입력","")))</f>
        <v/>
      </c>
      <c r="AI209" s="62" t="n">
        <f aca="false">SUMPRODUCT(MAX((입력_운동!$B$5:$B$1004=$A209)*(ROW(입력_운동!$B$5:$B$1004)-4)))</f>
        <v>0</v>
      </c>
      <c r="AJ209" s="62" t="n">
        <f aca="false">SUMPRODUCT(MAX((입력_측정!$B$5:$B$1004=$A209)*(ROW(입력_측정!$B$5:$B$1004)-4)))</f>
        <v>0</v>
      </c>
      <c r="AK209" s="62" t="n">
        <f aca="false">SUMPRODUCT(MAX((입력_상담!$B$5:$B$1004=$A209)*(ROW(입력_상담!$B$5:$B$1004)-4)))</f>
        <v>0</v>
      </c>
    </row>
    <row r="210" customFormat="false" ht="15" hidden="false" customHeight="false" outlineLevel="0" collapsed="false">
      <c r="A210" s="55" t="n">
        <v>206</v>
      </c>
      <c r="B210" s="56"/>
      <c r="C210" s="24"/>
      <c r="D210" s="24"/>
      <c r="E210" s="56"/>
      <c r="F210" s="57"/>
      <c r="G210" s="58"/>
      <c r="H210" s="56"/>
      <c r="I210" s="24"/>
      <c r="J210" s="24"/>
      <c r="K210" s="24"/>
      <c r="L210" s="24"/>
      <c r="M210" s="24"/>
      <c r="N210" s="56"/>
      <c r="O210" s="25" t="str">
        <f aca="false">IF($AI210=0,"",IF(INDEX(입력_운동!$C$5:$C$1004,$AI210)="","",INDEX(입력_운동!$C$5:$C$1004,$AI210)))</f>
        <v/>
      </c>
      <c r="P210" s="25" t="str">
        <f aca="false">IF($AI210=0,"",IF(INDEX(입력_운동!$D$5:$D$1004,$AI210)="","",INDEX(입력_운동!$D$5:$D$1004,$AI210)))</f>
        <v/>
      </c>
      <c r="Q210" s="25" t="str">
        <f aca="false">IF($AI210=0,"",IF(INDEX(입력_운동!$E$5:$E$1004,$AI210)="","",INDEX(입력_운동!$E$5:$E$1004,$AI210)))</f>
        <v/>
      </c>
      <c r="R210" s="25" t="str">
        <f aca="false">IF($AI210=0,"",IF(INDEX(입력_운동!$F$5:$F$1004,$AI210)="","",INDEX(입력_운동!$F$5:$F$1004,$AI210)))</f>
        <v/>
      </c>
      <c r="S210" s="25" t="str">
        <f aca="false">IF($AJ210=0,"",IF(INDEX(입력_측정!$C$5:$C$1004,$AJ210)="","",INDEX(입력_측정!$C$5:$C$1004,$AJ210)))</f>
        <v/>
      </c>
      <c r="T210" s="25" t="str">
        <f aca="false">IF($AJ210=0,"",IF(INDEX(입력_측정!$D$5:$D$1004,$AJ210)="","",INDEX(입력_측정!$D$5:$D$1004,$AJ210)))</f>
        <v/>
      </c>
      <c r="U210" s="25" t="str">
        <f aca="false">IF($AJ210=0,"",IF(INDEX(입력_측정!$E$5:$E$1004,$AJ210)="","",INDEX(입력_측정!$E$5:$E$1004,$AJ210)))</f>
        <v/>
      </c>
      <c r="V210" s="25" t="str">
        <f aca="false">IF($AJ210=0,"",IF(INDEX(입력_측정!$F$5:$F$1004,$AJ210)="","",INDEX(입력_측정!$F$5:$F$1004,$AJ210)))</f>
        <v/>
      </c>
      <c r="W210" s="25" t="str">
        <f aca="false">IF($AK210=0,"",IF(INDEX(입력_상담!$D$5:$D$1004,$AK210)="","",INDEX(입력_상담!$D$5:$D$1004,$AK210)))</f>
        <v/>
      </c>
      <c r="X210" s="25" t="str">
        <f aca="false">IF($AJ210=0,"",IF(INDEX(입력_측정!$I$5:$I$1004,$AJ210)="","",INDEX(입력_측정!$I$5:$I$1004,$AJ210)))</f>
        <v/>
      </c>
      <c r="Y210" s="25" t="str">
        <f aca="false">IF($AJ210=0,"",IF(INDEX(입력_측정!$J$5:$J$1004,$AJ210)="","",INDEX(입력_측정!$J$5:$J$1004,$AJ210)))</f>
        <v/>
      </c>
      <c r="Z210" s="25" t="str">
        <f aca="false">IF(OR(X210="긴급",LEFT(Y210,2)="긴급",W210="필요",W210="완료"),"대상","")</f>
        <v/>
      </c>
      <c r="AA210" s="59" t="str">
        <f aca="false">IF(M210&lt;&gt;"",M210,IF(AK210&gt;0,IF(W210="필요","추가상담 대기","완료"),IF(AJ210&gt;0,"결과상담 대기",IF(AI210&gt;0,"측정 대기","미방문"))))</f>
        <v>미방문</v>
      </c>
      <c r="AB210" s="60" t="str">
        <f aca="false">IF($AI210=0,"",IF(INDEX(입력_운동!$A$5:$A$1004,$AI210)="","",INDEX(입력_운동!$A$5:$A$1004,$AI210)))</f>
        <v/>
      </c>
      <c r="AC210" s="60" t="str">
        <f aca="false">IF($AJ210=0,"",IF(INDEX(입력_측정!$A$5:$A$1004,$AJ210)="","",INDEX(입력_측정!$A$5:$A$1004,$AJ210)))</f>
        <v/>
      </c>
      <c r="AD210" s="60" t="str">
        <f aca="false">IF($AK210=0,"",IF(INDEX(입력_상담!$A$5:$A$1004,$AK210)="","",INDEX(입력_상담!$A$5:$A$1004,$AK210)))</f>
        <v/>
      </c>
      <c r="AE210" s="25" t="str">
        <f aca="false">IF(AND(ISNUMBER(AB210),ISNUMBER(AC210)),IF(AC210&gt;=AB210,ROUND((AC210-AB210)*1440,0),""),"")</f>
        <v/>
      </c>
      <c r="AF210" s="25" t="str">
        <f aca="false">IF(AND(ISNUMBER(AC210),ISNUMBER(AD210)),IF(AD210&gt;=AC210,ROUND((AD210-AC210)*1440,0),""),"")</f>
        <v/>
      </c>
      <c r="AG210" s="25" t="str">
        <f aca="false">IF(AND(AA210="완료",ISNUMBER(AB210),ISNUMBER(AD210)),IF(AD210&gt;=AB210,ROUND((AD210-AB210)*1440,0),""),"")</f>
        <v/>
      </c>
      <c r="AH210" s="61" t="str">
        <f aca="false">IF(AND(AK210&gt;0,AJ210=0),"측정 기록 없음",IF(AND(AJ210&gt;0,AI210=0),"운동평가 기록 없음",IF(OR(COUNTIF(입력_운동!$B$5:$B$1004,$A210)&gt;1,COUNTIF(입력_측정!$B$5:$B$1004,$A210)&gt;1),"중복 입력","")))</f>
        <v/>
      </c>
      <c r="AI210" s="62" t="n">
        <f aca="false">SUMPRODUCT(MAX((입력_운동!$B$5:$B$1004=$A210)*(ROW(입력_운동!$B$5:$B$1004)-4)))</f>
        <v>0</v>
      </c>
      <c r="AJ210" s="62" t="n">
        <f aca="false">SUMPRODUCT(MAX((입력_측정!$B$5:$B$1004=$A210)*(ROW(입력_측정!$B$5:$B$1004)-4)))</f>
        <v>0</v>
      </c>
      <c r="AK210" s="62" t="n">
        <f aca="false">SUMPRODUCT(MAX((입력_상담!$B$5:$B$1004=$A210)*(ROW(입력_상담!$B$5:$B$1004)-4)))</f>
        <v>0</v>
      </c>
    </row>
    <row r="211" customFormat="false" ht="15" hidden="false" customHeight="false" outlineLevel="0" collapsed="false">
      <c r="A211" s="55" t="n">
        <v>207</v>
      </c>
      <c r="B211" s="56"/>
      <c r="C211" s="24"/>
      <c r="D211" s="24"/>
      <c r="E211" s="56"/>
      <c r="F211" s="57"/>
      <c r="G211" s="58"/>
      <c r="H211" s="56"/>
      <c r="I211" s="24"/>
      <c r="J211" s="24"/>
      <c r="K211" s="24"/>
      <c r="L211" s="24"/>
      <c r="M211" s="24"/>
      <c r="N211" s="56"/>
      <c r="O211" s="25" t="str">
        <f aca="false">IF($AI211=0,"",IF(INDEX(입력_운동!$C$5:$C$1004,$AI211)="","",INDEX(입력_운동!$C$5:$C$1004,$AI211)))</f>
        <v/>
      </c>
      <c r="P211" s="25" t="str">
        <f aca="false">IF($AI211=0,"",IF(INDEX(입력_운동!$D$5:$D$1004,$AI211)="","",INDEX(입력_운동!$D$5:$D$1004,$AI211)))</f>
        <v/>
      </c>
      <c r="Q211" s="25" t="str">
        <f aca="false">IF($AI211=0,"",IF(INDEX(입력_운동!$E$5:$E$1004,$AI211)="","",INDEX(입력_운동!$E$5:$E$1004,$AI211)))</f>
        <v/>
      </c>
      <c r="R211" s="25" t="str">
        <f aca="false">IF($AI211=0,"",IF(INDEX(입력_운동!$F$5:$F$1004,$AI211)="","",INDEX(입력_운동!$F$5:$F$1004,$AI211)))</f>
        <v/>
      </c>
      <c r="S211" s="25" t="str">
        <f aca="false">IF($AJ211=0,"",IF(INDEX(입력_측정!$C$5:$C$1004,$AJ211)="","",INDEX(입력_측정!$C$5:$C$1004,$AJ211)))</f>
        <v/>
      </c>
      <c r="T211" s="25" t="str">
        <f aca="false">IF($AJ211=0,"",IF(INDEX(입력_측정!$D$5:$D$1004,$AJ211)="","",INDEX(입력_측정!$D$5:$D$1004,$AJ211)))</f>
        <v/>
      </c>
      <c r="U211" s="25" t="str">
        <f aca="false">IF($AJ211=0,"",IF(INDEX(입력_측정!$E$5:$E$1004,$AJ211)="","",INDEX(입력_측정!$E$5:$E$1004,$AJ211)))</f>
        <v/>
      </c>
      <c r="V211" s="25" t="str">
        <f aca="false">IF($AJ211=0,"",IF(INDEX(입력_측정!$F$5:$F$1004,$AJ211)="","",INDEX(입력_측정!$F$5:$F$1004,$AJ211)))</f>
        <v/>
      </c>
      <c r="W211" s="25" t="str">
        <f aca="false">IF($AK211=0,"",IF(INDEX(입력_상담!$D$5:$D$1004,$AK211)="","",INDEX(입력_상담!$D$5:$D$1004,$AK211)))</f>
        <v/>
      </c>
      <c r="X211" s="25" t="str">
        <f aca="false">IF($AJ211=0,"",IF(INDEX(입력_측정!$I$5:$I$1004,$AJ211)="","",INDEX(입력_측정!$I$5:$I$1004,$AJ211)))</f>
        <v/>
      </c>
      <c r="Y211" s="25" t="str">
        <f aca="false">IF($AJ211=0,"",IF(INDEX(입력_측정!$J$5:$J$1004,$AJ211)="","",INDEX(입력_측정!$J$5:$J$1004,$AJ211)))</f>
        <v/>
      </c>
      <c r="Z211" s="25" t="str">
        <f aca="false">IF(OR(X211="긴급",LEFT(Y211,2)="긴급",W211="필요",W211="완료"),"대상","")</f>
        <v/>
      </c>
      <c r="AA211" s="59" t="str">
        <f aca="false">IF(M211&lt;&gt;"",M211,IF(AK211&gt;0,IF(W211="필요","추가상담 대기","완료"),IF(AJ211&gt;0,"결과상담 대기",IF(AI211&gt;0,"측정 대기","미방문"))))</f>
        <v>미방문</v>
      </c>
      <c r="AB211" s="60" t="str">
        <f aca="false">IF($AI211=0,"",IF(INDEX(입력_운동!$A$5:$A$1004,$AI211)="","",INDEX(입력_운동!$A$5:$A$1004,$AI211)))</f>
        <v/>
      </c>
      <c r="AC211" s="60" t="str">
        <f aca="false">IF($AJ211=0,"",IF(INDEX(입력_측정!$A$5:$A$1004,$AJ211)="","",INDEX(입력_측정!$A$5:$A$1004,$AJ211)))</f>
        <v/>
      </c>
      <c r="AD211" s="60" t="str">
        <f aca="false">IF($AK211=0,"",IF(INDEX(입력_상담!$A$5:$A$1004,$AK211)="","",INDEX(입력_상담!$A$5:$A$1004,$AK211)))</f>
        <v/>
      </c>
      <c r="AE211" s="25" t="str">
        <f aca="false">IF(AND(ISNUMBER(AB211),ISNUMBER(AC211)),IF(AC211&gt;=AB211,ROUND((AC211-AB211)*1440,0),""),"")</f>
        <v/>
      </c>
      <c r="AF211" s="25" t="str">
        <f aca="false">IF(AND(ISNUMBER(AC211),ISNUMBER(AD211)),IF(AD211&gt;=AC211,ROUND((AD211-AC211)*1440,0),""),"")</f>
        <v/>
      </c>
      <c r="AG211" s="25" t="str">
        <f aca="false">IF(AND(AA211="완료",ISNUMBER(AB211),ISNUMBER(AD211)),IF(AD211&gt;=AB211,ROUND((AD211-AB211)*1440,0),""),"")</f>
        <v/>
      </c>
      <c r="AH211" s="61" t="str">
        <f aca="false">IF(AND(AK211&gt;0,AJ211=0),"측정 기록 없음",IF(AND(AJ211&gt;0,AI211=0),"운동평가 기록 없음",IF(OR(COUNTIF(입력_운동!$B$5:$B$1004,$A211)&gt;1,COUNTIF(입력_측정!$B$5:$B$1004,$A211)&gt;1),"중복 입력","")))</f>
        <v/>
      </c>
      <c r="AI211" s="62" t="n">
        <f aca="false">SUMPRODUCT(MAX((입력_운동!$B$5:$B$1004=$A211)*(ROW(입력_운동!$B$5:$B$1004)-4)))</f>
        <v>0</v>
      </c>
      <c r="AJ211" s="62" t="n">
        <f aca="false">SUMPRODUCT(MAX((입력_측정!$B$5:$B$1004=$A211)*(ROW(입력_측정!$B$5:$B$1004)-4)))</f>
        <v>0</v>
      </c>
      <c r="AK211" s="62" t="n">
        <f aca="false">SUMPRODUCT(MAX((입력_상담!$B$5:$B$1004=$A211)*(ROW(입력_상담!$B$5:$B$1004)-4)))</f>
        <v>0</v>
      </c>
    </row>
    <row r="212" customFormat="false" ht="15" hidden="false" customHeight="false" outlineLevel="0" collapsed="false">
      <c r="A212" s="55" t="n">
        <v>208</v>
      </c>
      <c r="B212" s="56"/>
      <c r="C212" s="24"/>
      <c r="D212" s="24"/>
      <c r="E212" s="56"/>
      <c r="F212" s="57"/>
      <c r="G212" s="58"/>
      <c r="H212" s="56"/>
      <c r="I212" s="24"/>
      <c r="J212" s="24"/>
      <c r="K212" s="24"/>
      <c r="L212" s="24"/>
      <c r="M212" s="24"/>
      <c r="N212" s="56"/>
      <c r="O212" s="25" t="str">
        <f aca="false">IF($AI212=0,"",IF(INDEX(입력_운동!$C$5:$C$1004,$AI212)="","",INDEX(입력_운동!$C$5:$C$1004,$AI212)))</f>
        <v/>
      </c>
      <c r="P212" s="25" t="str">
        <f aca="false">IF($AI212=0,"",IF(INDEX(입력_운동!$D$5:$D$1004,$AI212)="","",INDEX(입력_운동!$D$5:$D$1004,$AI212)))</f>
        <v/>
      </c>
      <c r="Q212" s="25" t="str">
        <f aca="false">IF($AI212=0,"",IF(INDEX(입력_운동!$E$5:$E$1004,$AI212)="","",INDEX(입력_운동!$E$5:$E$1004,$AI212)))</f>
        <v/>
      </c>
      <c r="R212" s="25" t="str">
        <f aca="false">IF($AI212=0,"",IF(INDEX(입력_운동!$F$5:$F$1004,$AI212)="","",INDEX(입력_운동!$F$5:$F$1004,$AI212)))</f>
        <v/>
      </c>
      <c r="S212" s="25" t="str">
        <f aca="false">IF($AJ212=0,"",IF(INDEX(입력_측정!$C$5:$C$1004,$AJ212)="","",INDEX(입력_측정!$C$5:$C$1004,$AJ212)))</f>
        <v/>
      </c>
      <c r="T212" s="25" t="str">
        <f aca="false">IF($AJ212=0,"",IF(INDEX(입력_측정!$D$5:$D$1004,$AJ212)="","",INDEX(입력_측정!$D$5:$D$1004,$AJ212)))</f>
        <v/>
      </c>
      <c r="U212" s="25" t="str">
        <f aca="false">IF($AJ212=0,"",IF(INDEX(입력_측정!$E$5:$E$1004,$AJ212)="","",INDEX(입력_측정!$E$5:$E$1004,$AJ212)))</f>
        <v/>
      </c>
      <c r="V212" s="25" t="str">
        <f aca="false">IF($AJ212=0,"",IF(INDEX(입력_측정!$F$5:$F$1004,$AJ212)="","",INDEX(입력_측정!$F$5:$F$1004,$AJ212)))</f>
        <v/>
      </c>
      <c r="W212" s="25" t="str">
        <f aca="false">IF($AK212=0,"",IF(INDEX(입력_상담!$D$5:$D$1004,$AK212)="","",INDEX(입력_상담!$D$5:$D$1004,$AK212)))</f>
        <v/>
      </c>
      <c r="X212" s="25" t="str">
        <f aca="false">IF($AJ212=0,"",IF(INDEX(입력_측정!$I$5:$I$1004,$AJ212)="","",INDEX(입력_측정!$I$5:$I$1004,$AJ212)))</f>
        <v/>
      </c>
      <c r="Y212" s="25" t="str">
        <f aca="false">IF($AJ212=0,"",IF(INDEX(입력_측정!$J$5:$J$1004,$AJ212)="","",INDEX(입력_측정!$J$5:$J$1004,$AJ212)))</f>
        <v/>
      </c>
      <c r="Z212" s="25" t="str">
        <f aca="false">IF(OR(X212="긴급",LEFT(Y212,2)="긴급",W212="필요",W212="완료"),"대상","")</f>
        <v/>
      </c>
      <c r="AA212" s="59" t="str">
        <f aca="false">IF(M212&lt;&gt;"",M212,IF(AK212&gt;0,IF(W212="필요","추가상담 대기","완료"),IF(AJ212&gt;0,"결과상담 대기",IF(AI212&gt;0,"측정 대기","미방문"))))</f>
        <v>미방문</v>
      </c>
      <c r="AB212" s="60" t="str">
        <f aca="false">IF($AI212=0,"",IF(INDEX(입력_운동!$A$5:$A$1004,$AI212)="","",INDEX(입력_운동!$A$5:$A$1004,$AI212)))</f>
        <v/>
      </c>
      <c r="AC212" s="60" t="str">
        <f aca="false">IF($AJ212=0,"",IF(INDEX(입력_측정!$A$5:$A$1004,$AJ212)="","",INDEX(입력_측정!$A$5:$A$1004,$AJ212)))</f>
        <v/>
      </c>
      <c r="AD212" s="60" t="str">
        <f aca="false">IF($AK212=0,"",IF(INDEX(입력_상담!$A$5:$A$1004,$AK212)="","",INDEX(입력_상담!$A$5:$A$1004,$AK212)))</f>
        <v/>
      </c>
      <c r="AE212" s="25" t="str">
        <f aca="false">IF(AND(ISNUMBER(AB212),ISNUMBER(AC212)),IF(AC212&gt;=AB212,ROUND((AC212-AB212)*1440,0),""),"")</f>
        <v/>
      </c>
      <c r="AF212" s="25" t="str">
        <f aca="false">IF(AND(ISNUMBER(AC212),ISNUMBER(AD212)),IF(AD212&gt;=AC212,ROUND((AD212-AC212)*1440,0),""),"")</f>
        <v/>
      </c>
      <c r="AG212" s="25" t="str">
        <f aca="false">IF(AND(AA212="완료",ISNUMBER(AB212),ISNUMBER(AD212)),IF(AD212&gt;=AB212,ROUND((AD212-AB212)*1440,0),""),"")</f>
        <v/>
      </c>
      <c r="AH212" s="61" t="str">
        <f aca="false">IF(AND(AK212&gt;0,AJ212=0),"측정 기록 없음",IF(AND(AJ212&gt;0,AI212=0),"운동평가 기록 없음",IF(OR(COUNTIF(입력_운동!$B$5:$B$1004,$A212)&gt;1,COUNTIF(입력_측정!$B$5:$B$1004,$A212)&gt;1),"중복 입력","")))</f>
        <v/>
      </c>
      <c r="AI212" s="62" t="n">
        <f aca="false">SUMPRODUCT(MAX((입력_운동!$B$5:$B$1004=$A212)*(ROW(입력_운동!$B$5:$B$1004)-4)))</f>
        <v>0</v>
      </c>
      <c r="AJ212" s="62" t="n">
        <f aca="false">SUMPRODUCT(MAX((입력_측정!$B$5:$B$1004=$A212)*(ROW(입력_측정!$B$5:$B$1004)-4)))</f>
        <v>0</v>
      </c>
      <c r="AK212" s="62" t="n">
        <f aca="false">SUMPRODUCT(MAX((입력_상담!$B$5:$B$1004=$A212)*(ROW(입력_상담!$B$5:$B$1004)-4)))</f>
        <v>0</v>
      </c>
    </row>
    <row r="213" customFormat="false" ht="15" hidden="false" customHeight="false" outlineLevel="0" collapsed="false">
      <c r="A213" s="55" t="n">
        <v>209</v>
      </c>
      <c r="B213" s="56"/>
      <c r="C213" s="24"/>
      <c r="D213" s="24"/>
      <c r="E213" s="56"/>
      <c r="F213" s="57"/>
      <c r="G213" s="58"/>
      <c r="H213" s="56"/>
      <c r="I213" s="24"/>
      <c r="J213" s="24"/>
      <c r="K213" s="24"/>
      <c r="L213" s="24"/>
      <c r="M213" s="24"/>
      <c r="N213" s="56"/>
      <c r="O213" s="25" t="str">
        <f aca="false">IF($AI213=0,"",IF(INDEX(입력_운동!$C$5:$C$1004,$AI213)="","",INDEX(입력_운동!$C$5:$C$1004,$AI213)))</f>
        <v/>
      </c>
      <c r="P213" s="25" t="str">
        <f aca="false">IF($AI213=0,"",IF(INDEX(입력_운동!$D$5:$D$1004,$AI213)="","",INDEX(입력_운동!$D$5:$D$1004,$AI213)))</f>
        <v/>
      </c>
      <c r="Q213" s="25" t="str">
        <f aca="false">IF($AI213=0,"",IF(INDEX(입력_운동!$E$5:$E$1004,$AI213)="","",INDEX(입력_운동!$E$5:$E$1004,$AI213)))</f>
        <v/>
      </c>
      <c r="R213" s="25" t="str">
        <f aca="false">IF($AI213=0,"",IF(INDEX(입력_운동!$F$5:$F$1004,$AI213)="","",INDEX(입력_운동!$F$5:$F$1004,$AI213)))</f>
        <v/>
      </c>
      <c r="S213" s="25" t="str">
        <f aca="false">IF($AJ213=0,"",IF(INDEX(입력_측정!$C$5:$C$1004,$AJ213)="","",INDEX(입력_측정!$C$5:$C$1004,$AJ213)))</f>
        <v/>
      </c>
      <c r="T213" s="25" t="str">
        <f aca="false">IF($AJ213=0,"",IF(INDEX(입력_측정!$D$5:$D$1004,$AJ213)="","",INDEX(입력_측정!$D$5:$D$1004,$AJ213)))</f>
        <v/>
      </c>
      <c r="U213" s="25" t="str">
        <f aca="false">IF($AJ213=0,"",IF(INDEX(입력_측정!$E$5:$E$1004,$AJ213)="","",INDEX(입력_측정!$E$5:$E$1004,$AJ213)))</f>
        <v/>
      </c>
      <c r="V213" s="25" t="str">
        <f aca="false">IF($AJ213=0,"",IF(INDEX(입력_측정!$F$5:$F$1004,$AJ213)="","",INDEX(입력_측정!$F$5:$F$1004,$AJ213)))</f>
        <v/>
      </c>
      <c r="W213" s="25" t="str">
        <f aca="false">IF($AK213=0,"",IF(INDEX(입력_상담!$D$5:$D$1004,$AK213)="","",INDEX(입력_상담!$D$5:$D$1004,$AK213)))</f>
        <v/>
      </c>
      <c r="X213" s="25" t="str">
        <f aca="false">IF($AJ213=0,"",IF(INDEX(입력_측정!$I$5:$I$1004,$AJ213)="","",INDEX(입력_측정!$I$5:$I$1004,$AJ213)))</f>
        <v/>
      </c>
      <c r="Y213" s="25" t="str">
        <f aca="false">IF($AJ213=0,"",IF(INDEX(입력_측정!$J$5:$J$1004,$AJ213)="","",INDEX(입력_측정!$J$5:$J$1004,$AJ213)))</f>
        <v/>
      </c>
      <c r="Z213" s="25" t="str">
        <f aca="false">IF(OR(X213="긴급",LEFT(Y213,2)="긴급",W213="필요",W213="완료"),"대상","")</f>
        <v/>
      </c>
      <c r="AA213" s="59" t="str">
        <f aca="false">IF(M213&lt;&gt;"",M213,IF(AK213&gt;0,IF(W213="필요","추가상담 대기","완료"),IF(AJ213&gt;0,"결과상담 대기",IF(AI213&gt;0,"측정 대기","미방문"))))</f>
        <v>미방문</v>
      </c>
      <c r="AB213" s="60" t="str">
        <f aca="false">IF($AI213=0,"",IF(INDEX(입력_운동!$A$5:$A$1004,$AI213)="","",INDEX(입력_운동!$A$5:$A$1004,$AI213)))</f>
        <v/>
      </c>
      <c r="AC213" s="60" t="str">
        <f aca="false">IF($AJ213=0,"",IF(INDEX(입력_측정!$A$5:$A$1004,$AJ213)="","",INDEX(입력_측정!$A$5:$A$1004,$AJ213)))</f>
        <v/>
      </c>
      <c r="AD213" s="60" t="str">
        <f aca="false">IF($AK213=0,"",IF(INDEX(입력_상담!$A$5:$A$1004,$AK213)="","",INDEX(입력_상담!$A$5:$A$1004,$AK213)))</f>
        <v/>
      </c>
      <c r="AE213" s="25" t="str">
        <f aca="false">IF(AND(ISNUMBER(AB213),ISNUMBER(AC213)),IF(AC213&gt;=AB213,ROUND((AC213-AB213)*1440,0),""),"")</f>
        <v/>
      </c>
      <c r="AF213" s="25" t="str">
        <f aca="false">IF(AND(ISNUMBER(AC213),ISNUMBER(AD213)),IF(AD213&gt;=AC213,ROUND((AD213-AC213)*1440,0),""),"")</f>
        <v/>
      </c>
      <c r="AG213" s="25" t="str">
        <f aca="false">IF(AND(AA213="완료",ISNUMBER(AB213),ISNUMBER(AD213)),IF(AD213&gt;=AB213,ROUND((AD213-AB213)*1440,0),""),"")</f>
        <v/>
      </c>
      <c r="AH213" s="61" t="str">
        <f aca="false">IF(AND(AK213&gt;0,AJ213=0),"측정 기록 없음",IF(AND(AJ213&gt;0,AI213=0),"운동평가 기록 없음",IF(OR(COUNTIF(입력_운동!$B$5:$B$1004,$A213)&gt;1,COUNTIF(입력_측정!$B$5:$B$1004,$A213)&gt;1),"중복 입력","")))</f>
        <v/>
      </c>
      <c r="AI213" s="62" t="n">
        <f aca="false">SUMPRODUCT(MAX((입력_운동!$B$5:$B$1004=$A213)*(ROW(입력_운동!$B$5:$B$1004)-4)))</f>
        <v>0</v>
      </c>
      <c r="AJ213" s="62" t="n">
        <f aca="false">SUMPRODUCT(MAX((입력_측정!$B$5:$B$1004=$A213)*(ROW(입력_측정!$B$5:$B$1004)-4)))</f>
        <v>0</v>
      </c>
      <c r="AK213" s="62" t="n">
        <f aca="false">SUMPRODUCT(MAX((입력_상담!$B$5:$B$1004=$A213)*(ROW(입력_상담!$B$5:$B$1004)-4)))</f>
        <v>0</v>
      </c>
    </row>
    <row r="214" customFormat="false" ht="15" hidden="false" customHeight="false" outlineLevel="0" collapsed="false">
      <c r="A214" s="55" t="n">
        <v>210</v>
      </c>
      <c r="B214" s="56"/>
      <c r="C214" s="24"/>
      <c r="D214" s="24"/>
      <c r="E214" s="56"/>
      <c r="F214" s="57"/>
      <c r="G214" s="58"/>
      <c r="H214" s="56"/>
      <c r="I214" s="24"/>
      <c r="J214" s="24"/>
      <c r="K214" s="24"/>
      <c r="L214" s="24"/>
      <c r="M214" s="24"/>
      <c r="N214" s="56"/>
      <c r="O214" s="25" t="str">
        <f aca="false">IF($AI214=0,"",IF(INDEX(입력_운동!$C$5:$C$1004,$AI214)="","",INDEX(입력_운동!$C$5:$C$1004,$AI214)))</f>
        <v/>
      </c>
      <c r="P214" s="25" t="str">
        <f aca="false">IF($AI214=0,"",IF(INDEX(입력_운동!$D$5:$D$1004,$AI214)="","",INDEX(입력_운동!$D$5:$D$1004,$AI214)))</f>
        <v/>
      </c>
      <c r="Q214" s="25" t="str">
        <f aca="false">IF($AI214=0,"",IF(INDEX(입력_운동!$E$5:$E$1004,$AI214)="","",INDEX(입력_운동!$E$5:$E$1004,$AI214)))</f>
        <v/>
      </c>
      <c r="R214" s="25" t="str">
        <f aca="false">IF($AI214=0,"",IF(INDEX(입력_운동!$F$5:$F$1004,$AI214)="","",INDEX(입력_운동!$F$5:$F$1004,$AI214)))</f>
        <v/>
      </c>
      <c r="S214" s="25" t="str">
        <f aca="false">IF($AJ214=0,"",IF(INDEX(입력_측정!$C$5:$C$1004,$AJ214)="","",INDEX(입력_측정!$C$5:$C$1004,$AJ214)))</f>
        <v/>
      </c>
      <c r="T214" s="25" t="str">
        <f aca="false">IF($AJ214=0,"",IF(INDEX(입력_측정!$D$5:$D$1004,$AJ214)="","",INDEX(입력_측정!$D$5:$D$1004,$AJ214)))</f>
        <v/>
      </c>
      <c r="U214" s="25" t="str">
        <f aca="false">IF($AJ214=0,"",IF(INDEX(입력_측정!$E$5:$E$1004,$AJ214)="","",INDEX(입력_측정!$E$5:$E$1004,$AJ214)))</f>
        <v/>
      </c>
      <c r="V214" s="25" t="str">
        <f aca="false">IF($AJ214=0,"",IF(INDEX(입력_측정!$F$5:$F$1004,$AJ214)="","",INDEX(입력_측정!$F$5:$F$1004,$AJ214)))</f>
        <v/>
      </c>
      <c r="W214" s="25" t="str">
        <f aca="false">IF($AK214=0,"",IF(INDEX(입력_상담!$D$5:$D$1004,$AK214)="","",INDEX(입력_상담!$D$5:$D$1004,$AK214)))</f>
        <v/>
      </c>
      <c r="X214" s="25" t="str">
        <f aca="false">IF($AJ214=0,"",IF(INDEX(입력_측정!$I$5:$I$1004,$AJ214)="","",INDEX(입력_측정!$I$5:$I$1004,$AJ214)))</f>
        <v/>
      </c>
      <c r="Y214" s="25" t="str">
        <f aca="false">IF($AJ214=0,"",IF(INDEX(입력_측정!$J$5:$J$1004,$AJ214)="","",INDEX(입력_측정!$J$5:$J$1004,$AJ214)))</f>
        <v/>
      </c>
      <c r="Z214" s="25" t="str">
        <f aca="false">IF(OR(X214="긴급",LEFT(Y214,2)="긴급",W214="필요",W214="완료"),"대상","")</f>
        <v/>
      </c>
      <c r="AA214" s="59" t="str">
        <f aca="false">IF(M214&lt;&gt;"",M214,IF(AK214&gt;0,IF(W214="필요","추가상담 대기","완료"),IF(AJ214&gt;0,"결과상담 대기",IF(AI214&gt;0,"측정 대기","미방문"))))</f>
        <v>미방문</v>
      </c>
      <c r="AB214" s="60" t="str">
        <f aca="false">IF($AI214=0,"",IF(INDEX(입력_운동!$A$5:$A$1004,$AI214)="","",INDEX(입력_운동!$A$5:$A$1004,$AI214)))</f>
        <v/>
      </c>
      <c r="AC214" s="60" t="str">
        <f aca="false">IF($AJ214=0,"",IF(INDEX(입력_측정!$A$5:$A$1004,$AJ214)="","",INDEX(입력_측정!$A$5:$A$1004,$AJ214)))</f>
        <v/>
      </c>
      <c r="AD214" s="60" t="str">
        <f aca="false">IF($AK214=0,"",IF(INDEX(입력_상담!$A$5:$A$1004,$AK214)="","",INDEX(입력_상담!$A$5:$A$1004,$AK214)))</f>
        <v/>
      </c>
      <c r="AE214" s="25" t="str">
        <f aca="false">IF(AND(ISNUMBER(AB214),ISNUMBER(AC214)),IF(AC214&gt;=AB214,ROUND((AC214-AB214)*1440,0),""),"")</f>
        <v/>
      </c>
      <c r="AF214" s="25" t="str">
        <f aca="false">IF(AND(ISNUMBER(AC214),ISNUMBER(AD214)),IF(AD214&gt;=AC214,ROUND((AD214-AC214)*1440,0),""),"")</f>
        <v/>
      </c>
      <c r="AG214" s="25" t="str">
        <f aca="false">IF(AND(AA214="완료",ISNUMBER(AB214),ISNUMBER(AD214)),IF(AD214&gt;=AB214,ROUND((AD214-AB214)*1440,0),""),"")</f>
        <v/>
      </c>
      <c r="AH214" s="61" t="str">
        <f aca="false">IF(AND(AK214&gt;0,AJ214=0),"측정 기록 없음",IF(AND(AJ214&gt;0,AI214=0),"운동평가 기록 없음",IF(OR(COUNTIF(입력_운동!$B$5:$B$1004,$A214)&gt;1,COUNTIF(입력_측정!$B$5:$B$1004,$A214)&gt;1),"중복 입력","")))</f>
        <v/>
      </c>
      <c r="AI214" s="62" t="n">
        <f aca="false">SUMPRODUCT(MAX((입력_운동!$B$5:$B$1004=$A214)*(ROW(입력_운동!$B$5:$B$1004)-4)))</f>
        <v>0</v>
      </c>
      <c r="AJ214" s="62" t="n">
        <f aca="false">SUMPRODUCT(MAX((입력_측정!$B$5:$B$1004=$A214)*(ROW(입력_측정!$B$5:$B$1004)-4)))</f>
        <v>0</v>
      </c>
      <c r="AK214" s="62" t="n">
        <f aca="false">SUMPRODUCT(MAX((입력_상담!$B$5:$B$1004=$A214)*(ROW(입력_상담!$B$5:$B$1004)-4)))</f>
        <v>0</v>
      </c>
    </row>
    <row r="215" customFormat="false" ht="15" hidden="false" customHeight="false" outlineLevel="0" collapsed="false">
      <c r="A215" s="55" t="n">
        <v>211</v>
      </c>
      <c r="B215" s="56"/>
      <c r="C215" s="24"/>
      <c r="D215" s="24"/>
      <c r="E215" s="56"/>
      <c r="F215" s="57"/>
      <c r="G215" s="58"/>
      <c r="H215" s="56"/>
      <c r="I215" s="24"/>
      <c r="J215" s="24"/>
      <c r="K215" s="24"/>
      <c r="L215" s="24"/>
      <c r="M215" s="24"/>
      <c r="N215" s="56"/>
      <c r="O215" s="25" t="str">
        <f aca="false">IF($AI215=0,"",IF(INDEX(입력_운동!$C$5:$C$1004,$AI215)="","",INDEX(입력_운동!$C$5:$C$1004,$AI215)))</f>
        <v/>
      </c>
      <c r="P215" s="25" t="str">
        <f aca="false">IF($AI215=0,"",IF(INDEX(입력_운동!$D$5:$D$1004,$AI215)="","",INDEX(입력_운동!$D$5:$D$1004,$AI215)))</f>
        <v/>
      </c>
      <c r="Q215" s="25" t="str">
        <f aca="false">IF($AI215=0,"",IF(INDEX(입력_운동!$E$5:$E$1004,$AI215)="","",INDEX(입력_운동!$E$5:$E$1004,$AI215)))</f>
        <v/>
      </c>
      <c r="R215" s="25" t="str">
        <f aca="false">IF($AI215=0,"",IF(INDEX(입력_운동!$F$5:$F$1004,$AI215)="","",INDEX(입력_운동!$F$5:$F$1004,$AI215)))</f>
        <v/>
      </c>
      <c r="S215" s="25" t="str">
        <f aca="false">IF($AJ215=0,"",IF(INDEX(입력_측정!$C$5:$C$1004,$AJ215)="","",INDEX(입력_측정!$C$5:$C$1004,$AJ215)))</f>
        <v/>
      </c>
      <c r="T215" s="25" t="str">
        <f aca="false">IF($AJ215=0,"",IF(INDEX(입력_측정!$D$5:$D$1004,$AJ215)="","",INDEX(입력_측정!$D$5:$D$1004,$AJ215)))</f>
        <v/>
      </c>
      <c r="U215" s="25" t="str">
        <f aca="false">IF($AJ215=0,"",IF(INDEX(입력_측정!$E$5:$E$1004,$AJ215)="","",INDEX(입력_측정!$E$5:$E$1004,$AJ215)))</f>
        <v/>
      </c>
      <c r="V215" s="25" t="str">
        <f aca="false">IF($AJ215=0,"",IF(INDEX(입력_측정!$F$5:$F$1004,$AJ215)="","",INDEX(입력_측정!$F$5:$F$1004,$AJ215)))</f>
        <v/>
      </c>
      <c r="W215" s="25" t="str">
        <f aca="false">IF($AK215=0,"",IF(INDEX(입력_상담!$D$5:$D$1004,$AK215)="","",INDEX(입력_상담!$D$5:$D$1004,$AK215)))</f>
        <v/>
      </c>
      <c r="X215" s="25" t="str">
        <f aca="false">IF($AJ215=0,"",IF(INDEX(입력_측정!$I$5:$I$1004,$AJ215)="","",INDEX(입력_측정!$I$5:$I$1004,$AJ215)))</f>
        <v/>
      </c>
      <c r="Y215" s="25" t="str">
        <f aca="false">IF($AJ215=0,"",IF(INDEX(입력_측정!$J$5:$J$1004,$AJ215)="","",INDEX(입력_측정!$J$5:$J$1004,$AJ215)))</f>
        <v/>
      </c>
      <c r="Z215" s="25" t="str">
        <f aca="false">IF(OR(X215="긴급",LEFT(Y215,2)="긴급",W215="필요",W215="완료"),"대상","")</f>
        <v/>
      </c>
      <c r="AA215" s="59" t="str">
        <f aca="false">IF(M215&lt;&gt;"",M215,IF(AK215&gt;0,IF(W215="필요","추가상담 대기","완료"),IF(AJ215&gt;0,"결과상담 대기",IF(AI215&gt;0,"측정 대기","미방문"))))</f>
        <v>미방문</v>
      </c>
      <c r="AB215" s="60" t="str">
        <f aca="false">IF($AI215=0,"",IF(INDEX(입력_운동!$A$5:$A$1004,$AI215)="","",INDEX(입력_운동!$A$5:$A$1004,$AI215)))</f>
        <v/>
      </c>
      <c r="AC215" s="60" t="str">
        <f aca="false">IF($AJ215=0,"",IF(INDEX(입력_측정!$A$5:$A$1004,$AJ215)="","",INDEX(입력_측정!$A$5:$A$1004,$AJ215)))</f>
        <v/>
      </c>
      <c r="AD215" s="60" t="str">
        <f aca="false">IF($AK215=0,"",IF(INDEX(입력_상담!$A$5:$A$1004,$AK215)="","",INDEX(입력_상담!$A$5:$A$1004,$AK215)))</f>
        <v/>
      </c>
      <c r="AE215" s="25" t="str">
        <f aca="false">IF(AND(ISNUMBER(AB215),ISNUMBER(AC215)),IF(AC215&gt;=AB215,ROUND((AC215-AB215)*1440,0),""),"")</f>
        <v/>
      </c>
      <c r="AF215" s="25" t="str">
        <f aca="false">IF(AND(ISNUMBER(AC215),ISNUMBER(AD215)),IF(AD215&gt;=AC215,ROUND((AD215-AC215)*1440,0),""),"")</f>
        <v/>
      </c>
      <c r="AG215" s="25" t="str">
        <f aca="false">IF(AND(AA215="완료",ISNUMBER(AB215),ISNUMBER(AD215)),IF(AD215&gt;=AB215,ROUND((AD215-AB215)*1440,0),""),"")</f>
        <v/>
      </c>
      <c r="AH215" s="61" t="str">
        <f aca="false">IF(AND(AK215&gt;0,AJ215=0),"측정 기록 없음",IF(AND(AJ215&gt;0,AI215=0),"운동평가 기록 없음",IF(OR(COUNTIF(입력_운동!$B$5:$B$1004,$A215)&gt;1,COUNTIF(입력_측정!$B$5:$B$1004,$A215)&gt;1),"중복 입력","")))</f>
        <v/>
      </c>
      <c r="AI215" s="62" t="n">
        <f aca="false">SUMPRODUCT(MAX((입력_운동!$B$5:$B$1004=$A215)*(ROW(입력_운동!$B$5:$B$1004)-4)))</f>
        <v>0</v>
      </c>
      <c r="AJ215" s="62" t="n">
        <f aca="false">SUMPRODUCT(MAX((입력_측정!$B$5:$B$1004=$A215)*(ROW(입력_측정!$B$5:$B$1004)-4)))</f>
        <v>0</v>
      </c>
      <c r="AK215" s="62" t="n">
        <f aca="false">SUMPRODUCT(MAX((입력_상담!$B$5:$B$1004=$A215)*(ROW(입력_상담!$B$5:$B$1004)-4)))</f>
        <v>0</v>
      </c>
    </row>
    <row r="216" customFormat="false" ht="15" hidden="false" customHeight="false" outlineLevel="0" collapsed="false">
      <c r="A216" s="55" t="n">
        <v>212</v>
      </c>
      <c r="B216" s="56"/>
      <c r="C216" s="24"/>
      <c r="D216" s="24"/>
      <c r="E216" s="56"/>
      <c r="F216" s="57"/>
      <c r="G216" s="58"/>
      <c r="H216" s="56"/>
      <c r="I216" s="24"/>
      <c r="J216" s="24"/>
      <c r="K216" s="24"/>
      <c r="L216" s="24"/>
      <c r="M216" s="24"/>
      <c r="N216" s="56"/>
      <c r="O216" s="25" t="str">
        <f aca="false">IF($AI216=0,"",IF(INDEX(입력_운동!$C$5:$C$1004,$AI216)="","",INDEX(입력_운동!$C$5:$C$1004,$AI216)))</f>
        <v/>
      </c>
      <c r="P216" s="25" t="str">
        <f aca="false">IF($AI216=0,"",IF(INDEX(입력_운동!$D$5:$D$1004,$AI216)="","",INDEX(입력_운동!$D$5:$D$1004,$AI216)))</f>
        <v/>
      </c>
      <c r="Q216" s="25" t="str">
        <f aca="false">IF($AI216=0,"",IF(INDEX(입력_운동!$E$5:$E$1004,$AI216)="","",INDEX(입력_운동!$E$5:$E$1004,$AI216)))</f>
        <v/>
      </c>
      <c r="R216" s="25" t="str">
        <f aca="false">IF($AI216=0,"",IF(INDEX(입력_운동!$F$5:$F$1004,$AI216)="","",INDEX(입력_운동!$F$5:$F$1004,$AI216)))</f>
        <v/>
      </c>
      <c r="S216" s="25" t="str">
        <f aca="false">IF($AJ216=0,"",IF(INDEX(입력_측정!$C$5:$C$1004,$AJ216)="","",INDEX(입력_측정!$C$5:$C$1004,$AJ216)))</f>
        <v/>
      </c>
      <c r="T216" s="25" t="str">
        <f aca="false">IF($AJ216=0,"",IF(INDEX(입력_측정!$D$5:$D$1004,$AJ216)="","",INDEX(입력_측정!$D$5:$D$1004,$AJ216)))</f>
        <v/>
      </c>
      <c r="U216" s="25" t="str">
        <f aca="false">IF($AJ216=0,"",IF(INDEX(입력_측정!$E$5:$E$1004,$AJ216)="","",INDEX(입력_측정!$E$5:$E$1004,$AJ216)))</f>
        <v/>
      </c>
      <c r="V216" s="25" t="str">
        <f aca="false">IF($AJ216=0,"",IF(INDEX(입력_측정!$F$5:$F$1004,$AJ216)="","",INDEX(입력_측정!$F$5:$F$1004,$AJ216)))</f>
        <v/>
      </c>
      <c r="W216" s="25" t="str">
        <f aca="false">IF($AK216=0,"",IF(INDEX(입력_상담!$D$5:$D$1004,$AK216)="","",INDEX(입력_상담!$D$5:$D$1004,$AK216)))</f>
        <v/>
      </c>
      <c r="X216" s="25" t="str">
        <f aca="false">IF($AJ216=0,"",IF(INDEX(입력_측정!$I$5:$I$1004,$AJ216)="","",INDEX(입력_측정!$I$5:$I$1004,$AJ216)))</f>
        <v/>
      </c>
      <c r="Y216" s="25" t="str">
        <f aca="false">IF($AJ216=0,"",IF(INDEX(입력_측정!$J$5:$J$1004,$AJ216)="","",INDEX(입력_측정!$J$5:$J$1004,$AJ216)))</f>
        <v/>
      </c>
      <c r="Z216" s="25" t="str">
        <f aca="false">IF(OR(X216="긴급",LEFT(Y216,2)="긴급",W216="필요",W216="완료"),"대상","")</f>
        <v/>
      </c>
      <c r="AA216" s="59" t="str">
        <f aca="false">IF(M216&lt;&gt;"",M216,IF(AK216&gt;0,IF(W216="필요","추가상담 대기","완료"),IF(AJ216&gt;0,"결과상담 대기",IF(AI216&gt;0,"측정 대기","미방문"))))</f>
        <v>미방문</v>
      </c>
      <c r="AB216" s="60" t="str">
        <f aca="false">IF($AI216=0,"",IF(INDEX(입력_운동!$A$5:$A$1004,$AI216)="","",INDEX(입력_운동!$A$5:$A$1004,$AI216)))</f>
        <v/>
      </c>
      <c r="AC216" s="60" t="str">
        <f aca="false">IF($AJ216=0,"",IF(INDEX(입력_측정!$A$5:$A$1004,$AJ216)="","",INDEX(입력_측정!$A$5:$A$1004,$AJ216)))</f>
        <v/>
      </c>
      <c r="AD216" s="60" t="str">
        <f aca="false">IF($AK216=0,"",IF(INDEX(입력_상담!$A$5:$A$1004,$AK216)="","",INDEX(입력_상담!$A$5:$A$1004,$AK216)))</f>
        <v/>
      </c>
      <c r="AE216" s="25" t="str">
        <f aca="false">IF(AND(ISNUMBER(AB216),ISNUMBER(AC216)),IF(AC216&gt;=AB216,ROUND((AC216-AB216)*1440,0),""),"")</f>
        <v/>
      </c>
      <c r="AF216" s="25" t="str">
        <f aca="false">IF(AND(ISNUMBER(AC216),ISNUMBER(AD216)),IF(AD216&gt;=AC216,ROUND((AD216-AC216)*1440,0),""),"")</f>
        <v/>
      </c>
      <c r="AG216" s="25" t="str">
        <f aca="false">IF(AND(AA216="완료",ISNUMBER(AB216),ISNUMBER(AD216)),IF(AD216&gt;=AB216,ROUND((AD216-AB216)*1440,0),""),"")</f>
        <v/>
      </c>
      <c r="AH216" s="61" t="str">
        <f aca="false">IF(AND(AK216&gt;0,AJ216=0),"측정 기록 없음",IF(AND(AJ216&gt;0,AI216=0),"운동평가 기록 없음",IF(OR(COUNTIF(입력_운동!$B$5:$B$1004,$A216)&gt;1,COUNTIF(입력_측정!$B$5:$B$1004,$A216)&gt;1),"중복 입력","")))</f>
        <v/>
      </c>
      <c r="AI216" s="62" t="n">
        <f aca="false">SUMPRODUCT(MAX((입력_운동!$B$5:$B$1004=$A216)*(ROW(입력_운동!$B$5:$B$1004)-4)))</f>
        <v>0</v>
      </c>
      <c r="AJ216" s="62" t="n">
        <f aca="false">SUMPRODUCT(MAX((입력_측정!$B$5:$B$1004=$A216)*(ROW(입력_측정!$B$5:$B$1004)-4)))</f>
        <v>0</v>
      </c>
      <c r="AK216" s="62" t="n">
        <f aca="false">SUMPRODUCT(MAX((입력_상담!$B$5:$B$1004=$A216)*(ROW(입력_상담!$B$5:$B$1004)-4)))</f>
        <v>0</v>
      </c>
    </row>
    <row r="217" customFormat="false" ht="15" hidden="false" customHeight="false" outlineLevel="0" collapsed="false">
      <c r="A217" s="55" t="n">
        <v>213</v>
      </c>
      <c r="B217" s="56"/>
      <c r="C217" s="24"/>
      <c r="D217" s="24"/>
      <c r="E217" s="56"/>
      <c r="F217" s="57"/>
      <c r="G217" s="58"/>
      <c r="H217" s="56"/>
      <c r="I217" s="24"/>
      <c r="J217" s="24"/>
      <c r="K217" s="24"/>
      <c r="L217" s="24"/>
      <c r="M217" s="24"/>
      <c r="N217" s="56"/>
      <c r="O217" s="25" t="str">
        <f aca="false">IF($AI217=0,"",IF(INDEX(입력_운동!$C$5:$C$1004,$AI217)="","",INDEX(입력_운동!$C$5:$C$1004,$AI217)))</f>
        <v/>
      </c>
      <c r="P217" s="25" t="str">
        <f aca="false">IF($AI217=0,"",IF(INDEX(입력_운동!$D$5:$D$1004,$AI217)="","",INDEX(입력_운동!$D$5:$D$1004,$AI217)))</f>
        <v/>
      </c>
      <c r="Q217" s="25" t="str">
        <f aca="false">IF($AI217=0,"",IF(INDEX(입력_운동!$E$5:$E$1004,$AI217)="","",INDEX(입력_운동!$E$5:$E$1004,$AI217)))</f>
        <v/>
      </c>
      <c r="R217" s="25" t="str">
        <f aca="false">IF($AI217=0,"",IF(INDEX(입력_운동!$F$5:$F$1004,$AI217)="","",INDEX(입력_운동!$F$5:$F$1004,$AI217)))</f>
        <v/>
      </c>
      <c r="S217" s="25" t="str">
        <f aca="false">IF($AJ217=0,"",IF(INDEX(입력_측정!$C$5:$C$1004,$AJ217)="","",INDEX(입력_측정!$C$5:$C$1004,$AJ217)))</f>
        <v/>
      </c>
      <c r="T217" s="25" t="str">
        <f aca="false">IF($AJ217=0,"",IF(INDEX(입력_측정!$D$5:$D$1004,$AJ217)="","",INDEX(입력_측정!$D$5:$D$1004,$AJ217)))</f>
        <v/>
      </c>
      <c r="U217" s="25" t="str">
        <f aca="false">IF($AJ217=0,"",IF(INDEX(입력_측정!$E$5:$E$1004,$AJ217)="","",INDEX(입력_측정!$E$5:$E$1004,$AJ217)))</f>
        <v/>
      </c>
      <c r="V217" s="25" t="str">
        <f aca="false">IF($AJ217=0,"",IF(INDEX(입력_측정!$F$5:$F$1004,$AJ217)="","",INDEX(입력_측정!$F$5:$F$1004,$AJ217)))</f>
        <v/>
      </c>
      <c r="W217" s="25" t="str">
        <f aca="false">IF($AK217=0,"",IF(INDEX(입력_상담!$D$5:$D$1004,$AK217)="","",INDEX(입력_상담!$D$5:$D$1004,$AK217)))</f>
        <v/>
      </c>
      <c r="X217" s="25" t="str">
        <f aca="false">IF($AJ217=0,"",IF(INDEX(입력_측정!$I$5:$I$1004,$AJ217)="","",INDEX(입력_측정!$I$5:$I$1004,$AJ217)))</f>
        <v/>
      </c>
      <c r="Y217" s="25" t="str">
        <f aca="false">IF($AJ217=0,"",IF(INDEX(입력_측정!$J$5:$J$1004,$AJ217)="","",INDEX(입력_측정!$J$5:$J$1004,$AJ217)))</f>
        <v/>
      </c>
      <c r="Z217" s="25" t="str">
        <f aca="false">IF(OR(X217="긴급",LEFT(Y217,2)="긴급",W217="필요",W217="완료"),"대상","")</f>
        <v/>
      </c>
      <c r="AA217" s="59" t="str">
        <f aca="false">IF(M217&lt;&gt;"",M217,IF(AK217&gt;0,IF(W217="필요","추가상담 대기","완료"),IF(AJ217&gt;0,"결과상담 대기",IF(AI217&gt;0,"측정 대기","미방문"))))</f>
        <v>미방문</v>
      </c>
      <c r="AB217" s="60" t="str">
        <f aca="false">IF($AI217=0,"",IF(INDEX(입력_운동!$A$5:$A$1004,$AI217)="","",INDEX(입력_운동!$A$5:$A$1004,$AI217)))</f>
        <v/>
      </c>
      <c r="AC217" s="60" t="str">
        <f aca="false">IF($AJ217=0,"",IF(INDEX(입력_측정!$A$5:$A$1004,$AJ217)="","",INDEX(입력_측정!$A$5:$A$1004,$AJ217)))</f>
        <v/>
      </c>
      <c r="AD217" s="60" t="str">
        <f aca="false">IF($AK217=0,"",IF(INDEX(입력_상담!$A$5:$A$1004,$AK217)="","",INDEX(입력_상담!$A$5:$A$1004,$AK217)))</f>
        <v/>
      </c>
      <c r="AE217" s="25" t="str">
        <f aca="false">IF(AND(ISNUMBER(AB217),ISNUMBER(AC217)),IF(AC217&gt;=AB217,ROUND((AC217-AB217)*1440,0),""),"")</f>
        <v/>
      </c>
      <c r="AF217" s="25" t="str">
        <f aca="false">IF(AND(ISNUMBER(AC217),ISNUMBER(AD217)),IF(AD217&gt;=AC217,ROUND((AD217-AC217)*1440,0),""),"")</f>
        <v/>
      </c>
      <c r="AG217" s="25" t="str">
        <f aca="false">IF(AND(AA217="완료",ISNUMBER(AB217),ISNUMBER(AD217)),IF(AD217&gt;=AB217,ROUND((AD217-AB217)*1440,0),""),"")</f>
        <v/>
      </c>
      <c r="AH217" s="61" t="str">
        <f aca="false">IF(AND(AK217&gt;0,AJ217=0),"측정 기록 없음",IF(AND(AJ217&gt;0,AI217=0),"운동평가 기록 없음",IF(OR(COUNTIF(입력_운동!$B$5:$B$1004,$A217)&gt;1,COUNTIF(입력_측정!$B$5:$B$1004,$A217)&gt;1),"중복 입력","")))</f>
        <v/>
      </c>
      <c r="AI217" s="62" t="n">
        <f aca="false">SUMPRODUCT(MAX((입력_운동!$B$5:$B$1004=$A217)*(ROW(입력_운동!$B$5:$B$1004)-4)))</f>
        <v>0</v>
      </c>
      <c r="AJ217" s="62" t="n">
        <f aca="false">SUMPRODUCT(MAX((입력_측정!$B$5:$B$1004=$A217)*(ROW(입력_측정!$B$5:$B$1004)-4)))</f>
        <v>0</v>
      </c>
      <c r="AK217" s="62" t="n">
        <f aca="false">SUMPRODUCT(MAX((입력_상담!$B$5:$B$1004=$A217)*(ROW(입력_상담!$B$5:$B$1004)-4)))</f>
        <v>0</v>
      </c>
    </row>
    <row r="218" customFormat="false" ht="15" hidden="false" customHeight="false" outlineLevel="0" collapsed="false">
      <c r="A218" s="55" t="n">
        <v>214</v>
      </c>
      <c r="B218" s="56"/>
      <c r="C218" s="24"/>
      <c r="D218" s="24"/>
      <c r="E218" s="56"/>
      <c r="F218" s="57"/>
      <c r="G218" s="58"/>
      <c r="H218" s="56"/>
      <c r="I218" s="24"/>
      <c r="J218" s="24"/>
      <c r="K218" s="24"/>
      <c r="L218" s="24"/>
      <c r="M218" s="24"/>
      <c r="N218" s="56"/>
      <c r="O218" s="25" t="str">
        <f aca="false">IF($AI218=0,"",IF(INDEX(입력_운동!$C$5:$C$1004,$AI218)="","",INDEX(입력_운동!$C$5:$C$1004,$AI218)))</f>
        <v/>
      </c>
      <c r="P218" s="25" t="str">
        <f aca="false">IF($AI218=0,"",IF(INDEX(입력_운동!$D$5:$D$1004,$AI218)="","",INDEX(입력_운동!$D$5:$D$1004,$AI218)))</f>
        <v/>
      </c>
      <c r="Q218" s="25" t="str">
        <f aca="false">IF($AI218=0,"",IF(INDEX(입력_운동!$E$5:$E$1004,$AI218)="","",INDEX(입력_운동!$E$5:$E$1004,$AI218)))</f>
        <v/>
      </c>
      <c r="R218" s="25" t="str">
        <f aca="false">IF($AI218=0,"",IF(INDEX(입력_운동!$F$5:$F$1004,$AI218)="","",INDEX(입력_운동!$F$5:$F$1004,$AI218)))</f>
        <v/>
      </c>
      <c r="S218" s="25" t="str">
        <f aca="false">IF($AJ218=0,"",IF(INDEX(입력_측정!$C$5:$C$1004,$AJ218)="","",INDEX(입력_측정!$C$5:$C$1004,$AJ218)))</f>
        <v/>
      </c>
      <c r="T218" s="25" t="str">
        <f aca="false">IF($AJ218=0,"",IF(INDEX(입력_측정!$D$5:$D$1004,$AJ218)="","",INDEX(입력_측정!$D$5:$D$1004,$AJ218)))</f>
        <v/>
      </c>
      <c r="U218" s="25" t="str">
        <f aca="false">IF($AJ218=0,"",IF(INDEX(입력_측정!$E$5:$E$1004,$AJ218)="","",INDEX(입력_측정!$E$5:$E$1004,$AJ218)))</f>
        <v/>
      </c>
      <c r="V218" s="25" t="str">
        <f aca="false">IF($AJ218=0,"",IF(INDEX(입력_측정!$F$5:$F$1004,$AJ218)="","",INDEX(입력_측정!$F$5:$F$1004,$AJ218)))</f>
        <v/>
      </c>
      <c r="W218" s="25" t="str">
        <f aca="false">IF($AK218=0,"",IF(INDEX(입력_상담!$D$5:$D$1004,$AK218)="","",INDEX(입력_상담!$D$5:$D$1004,$AK218)))</f>
        <v/>
      </c>
      <c r="X218" s="25" t="str">
        <f aca="false">IF($AJ218=0,"",IF(INDEX(입력_측정!$I$5:$I$1004,$AJ218)="","",INDEX(입력_측정!$I$5:$I$1004,$AJ218)))</f>
        <v/>
      </c>
      <c r="Y218" s="25" t="str">
        <f aca="false">IF($AJ218=0,"",IF(INDEX(입력_측정!$J$5:$J$1004,$AJ218)="","",INDEX(입력_측정!$J$5:$J$1004,$AJ218)))</f>
        <v/>
      </c>
      <c r="Z218" s="25" t="str">
        <f aca="false">IF(OR(X218="긴급",LEFT(Y218,2)="긴급",W218="필요",W218="완료"),"대상","")</f>
        <v/>
      </c>
      <c r="AA218" s="59" t="str">
        <f aca="false">IF(M218&lt;&gt;"",M218,IF(AK218&gt;0,IF(W218="필요","추가상담 대기","완료"),IF(AJ218&gt;0,"결과상담 대기",IF(AI218&gt;0,"측정 대기","미방문"))))</f>
        <v>미방문</v>
      </c>
      <c r="AB218" s="60" t="str">
        <f aca="false">IF($AI218=0,"",IF(INDEX(입력_운동!$A$5:$A$1004,$AI218)="","",INDEX(입력_운동!$A$5:$A$1004,$AI218)))</f>
        <v/>
      </c>
      <c r="AC218" s="60" t="str">
        <f aca="false">IF($AJ218=0,"",IF(INDEX(입력_측정!$A$5:$A$1004,$AJ218)="","",INDEX(입력_측정!$A$5:$A$1004,$AJ218)))</f>
        <v/>
      </c>
      <c r="AD218" s="60" t="str">
        <f aca="false">IF($AK218=0,"",IF(INDEX(입력_상담!$A$5:$A$1004,$AK218)="","",INDEX(입력_상담!$A$5:$A$1004,$AK218)))</f>
        <v/>
      </c>
      <c r="AE218" s="25" t="str">
        <f aca="false">IF(AND(ISNUMBER(AB218),ISNUMBER(AC218)),IF(AC218&gt;=AB218,ROUND((AC218-AB218)*1440,0),""),"")</f>
        <v/>
      </c>
      <c r="AF218" s="25" t="str">
        <f aca="false">IF(AND(ISNUMBER(AC218),ISNUMBER(AD218)),IF(AD218&gt;=AC218,ROUND((AD218-AC218)*1440,0),""),"")</f>
        <v/>
      </c>
      <c r="AG218" s="25" t="str">
        <f aca="false">IF(AND(AA218="완료",ISNUMBER(AB218),ISNUMBER(AD218)),IF(AD218&gt;=AB218,ROUND((AD218-AB218)*1440,0),""),"")</f>
        <v/>
      </c>
      <c r="AH218" s="61" t="str">
        <f aca="false">IF(AND(AK218&gt;0,AJ218=0),"측정 기록 없음",IF(AND(AJ218&gt;0,AI218=0),"운동평가 기록 없음",IF(OR(COUNTIF(입력_운동!$B$5:$B$1004,$A218)&gt;1,COUNTIF(입력_측정!$B$5:$B$1004,$A218)&gt;1),"중복 입력","")))</f>
        <v/>
      </c>
      <c r="AI218" s="62" t="n">
        <f aca="false">SUMPRODUCT(MAX((입력_운동!$B$5:$B$1004=$A218)*(ROW(입력_운동!$B$5:$B$1004)-4)))</f>
        <v>0</v>
      </c>
      <c r="AJ218" s="62" t="n">
        <f aca="false">SUMPRODUCT(MAX((입력_측정!$B$5:$B$1004=$A218)*(ROW(입력_측정!$B$5:$B$1004)-4)))</f>
        <v>0</v>
      </c>
      <c r="AK218" s="62" t="n">
        <f aca="false">SUMPRODUCT(MAX((입력_상담!$B$5:$B$1004=$A218)*(ROW(입력_상담!$B$5:$B$1004)-4)))</f>
        <v>0</v>
      </c>
    </row>
    <row r="219" customFormat="false" ht="15" hidden="false" customHeight="false" outlineLevel="0" collapsed="false">
      <c r="A219" s="55" t="n">
        <v>215</v>
      </c>
      <c r="B219" s="56"/>
      <c r="C219" s="24"/>
      <c r="D219" s="24"/>
      <c r="E219" s="56"/>
      <c r="F219" s="57"/>
      <c r="G219" s="58"/>
      <c r="H219" s="56"/>
      <c r="I219" s="24"/>
      <c r="J219" s="24"/>
      <c r="K219" s="24"/>
      <c r="L219" s="24"/>
      <c r="M219" s="24"/>
      <c r="N219" s="56"/>
      <c r="O219" s="25" t="str">
        <f aca="false">IF($AI219=0,"",IF(INDEX(입력_운동!$C$5:$C$1004,$AI219)="","",INDEX(입력_운동!$C$5:$C$1004,$AI219)))</f>
        <v/>
      </c>
      <c r="P219" s="25" t="str">
        <f aca="false">IF($AI219=0,"",IF(INDEX(입력_운동!$D$5:$D$1004,$AI219)="","",INDEX(입력_운동!$D$5:$D$1004,$AI219)))</f>
        <v/>
      </c>
      <c r="Q219" s="25" t="str">
        <f aca="false">IF($AI219=0,"",IF(INDEX(입력_운동!$E$5:$E$1004,$AI219)="","",INDEX(입력_운동!$E$5:$E$1004,$AI219)))</f>
        <v/>
      </c>
      <c r="R219" s="25" t="str">
        <f aca="false">IF($AI219=0,"",IF(INDEX(입력_운동!$F$5:$F$1004,$AI219)="","",INDEX(입력_운동!$F$5:$F$1004,$AI219)))</f>
        <v/>
      </c>
      <c r="S219" s="25" t="str">
        <f aca="false">IF($AJ219=0,"",IF(INDEX(입력_측정!$C$5:$C$1004,$AJ219)="","",INDEX(입력_측정!$C$5:$C$1004,$AJ219)))</f>
        <v/>
      </c>
      <c r="T219" s="25" t="str">
        <f aca="false">IF($AJ219=0,"",IF(INDEX(입력_측정!$D$5:$D$1004,$AJ219)="","",INDEX(입력_측정!$D$5:$D$1004,$AJ219)))</f>
        <v/>
      </c>
      <c r="U219" s="25" t="str">
        <f aca="false">IF($AJ219=0,"",IF(INDEX(입력_측정!$E$5:$E$1004,$AJ219)="","",INDEX(입력_측정!$E$5:$E$1004,$AJ219)))</f>
        <v/>
      </c>
      <c r="V219" s="25" t="str">
        <f aca="false">IF($AJ219=0,"",IF(INDEX(입력_측정!$F$5:$F$1004,$AJ219)="","",INDEX(입력_측정!$F$5:$F$1004,$AJ219)))</f>
        <v/>
      </c>
      <c r="W219" s="25" t="str">
        <f aca="false">IF($AK219=0,"",IF(INDEX(입력_상담!$D$5:$D$1004,$AK219)="","",INDEX(입력_상담!$D$5:$D$1004,$AK219)))</f>
        <v/>
      </c>
      <c r="X219" s="25" t="str">
        <f aca="false">IF($AJ219=0,"",IF(INDEX(입력_측정!$I$5:$I$1004,$AJ219)="","",INDEX(입력_측정!$I$5:$I$1004,$AJ219)))</f>
        <v/>
      </c>
      <c r="Y219" s="25" t="str">
        <f aca="false">IF($AJ219=0,"",IF(INDEX(입력_측정!$J$5:$J$1004,$AJ219)="","",INDEX(입력_측정!$J$5:$J$1004,$AJ219)))</f>
        <v/>
      </c>
      <c r="Z219" s="25" t="str">
        <f aca="false">IF(OR(X219="긴급",LEFT(Y219,2)="긴급",W219="필요",W219="완료"),"대상","")</f>
        <v/>
      </c>
      <c r="AA219" s="59" t="str">
        <f aca="false">IF(M219&lt;&gt;"",M219,IF(AK219&gt;0,IF(W219="필요","추가상담 대기","완료"),IF(AJ219&gt;0,"결과상담 대기",IF(AI219&gt;0,"측정 대기","미방문"))))</f>
        <v>미방문</v>
      </c>
      <c r="AB219" s="60" t="str">
        <f aca="false">IF($AI219=0,"",IF(INDEX(입력_운동!$A$5:$A$1004,$AI219)="","",INDEX(입력_운동!$A$5:$A$1004,$AI219)))</f>
        <v/>
      </c>
      <c r="AC219" s="60" t="str">
        <f aca="false">IF($AJ219=0,"",IF(INDEX(입력_측정!$A$5:$A$1004,$AJ219)="","",INDEX(입력_측정!$A$5:$A$1004,$AJ219)))</f>
        <v/>
      </c>
      <c r="AD219" s="60" t="str">
        <f aca="false">IF($AK219=0,"",IF(INDEX(입력_상담!$A$5:$A$1004,$AK219)="","",INDEX(입력_상담!$A$5:$A$1004,$AK219)))</f>
        <v/>
      </c>
      <c r="AE219" s="25" t="str">
        <f aca="false">IF(AND(ISNUMBER(AB219),ISNUMBER(AC219)),IF(AC219&gt;=AB219,ROUND((AC219-AB219)*1440,0),""),"")</f>
        <v/>
      </c>
      <c r="AF219" s="25" t="str">
        <f aca="false">IF(AND(ISNUMBER(AC219),ISNUMBER(AD219)),IF(AD219&gt;=AC219,ROUND((AD219-AC219)*1440,0),""),"")</f>
        <v/>
      </c>
      <c r="AG219" s="25" t="str">
        <f aca="false">IF(AND(AA219="완료",ISNUMBER(AB219),ISNUMBER(AD219)),IF(AD219&gt;=AB219,ROUND((AD219-AB219)*1440,0),""),"")</f>
        <v/>
      </c>
      <c r="AH219" s="61" t="str">
        <f aca="false">IF(AND(AK219&gt;0,AJ219=0),"측정 기록 없음",IF(AND(AJ219&gt;0,AI219=0),"운동평가 기록 없음",IF(OR(COUNTIF(입력_운동!$B$5:$B$1004,$A219)&gt;1,COUNTIF(입력_측정!$B$5:$B$1004,$A219)&gt;1),"중복 입력","")))</f>
        <v/>
      </c>
      <c r="AI219" s="62" t="n">
        <f aca="false">SUMPRODUCT(MAX((입력_운동!$B$5:$B$1004=$A219)*(ROW(입력_운동!$B$5:$B$1004)-4)))</f>
        <v>0</v>
      </c>
      <c r="AJ219" s="62" t="n">
        <f aca="false">SUMPRODUCT(MAX((입력_측정!$B$5:$B$1004=$A219)*(ROW(입력_측정!$B$5:$B$1004)-4)))</f>
        <v>0</v>
      </c>
      <c r="AK219" s="62" t="n">
        <f aca="false">SUMPRODUCT(MAX((입력_상담!$B$5:$B$1004=$A219)*(ROW(입력_상담!$B$5:$B$1004)-4)))</f>
        <v>0</v>
      </c>
    </row>
    <row r="220" customFormat="false" ht="15" hidden="false" customHeight="false" outlineLevel="0" collapsed="false">
      <c r="A220" s="55" t="n">
        <v>216</v>
      </c>
      <c r="B220" s="56"/>
      <c r="C220" s="24"/>
      <c r="D220" s="24"/>
      <c r="E220" s="56"/>
      <c r="F220" s="57"/>
      <c r="G220" s="58"/>
      <c r="H220" s="56"/>
      <c r="I220" s="24"/>
      <c r="J220" s="24"/>
      <c r="K220" s="24"/>
      <c r="L220" s="24"/>
      <c r="M220" s="24"/>
      <c r="N220" s="56"/>
      <c r="O220" s="25" t="str">
        <f aca="false">IF($AI220=0,"",IF(INDEX(입력_운동!$C$5:$C$1004,$AI220)="","",INDEX(입력_운동!$C$5:$C$1004,$AI220)))</f>
        <v/>
      </c>
      <c r="P220" s="25" t="str">
        <f aca="false">IF($AI220=0,"",IF(INDEX(입력_운동!$D$5:$D$1004,$AI220)="","",INDEX(입력_운동!$D$5:$D$1004,$AI220)))</f>
        <v/>
      </c>
      <c r="Q220" s="25" t="str">
        <f aca="false">IF($AI220=0,"",IF(INDEX(입력_운동!$E$5:$E$1004,$AI220)="","",INDEX(입력_운동!$E$5:$E$1004,$AI220)))</f>
        <v/>
      </c>
      <c r="R220" s="25" t="str">
        <f aca="false">IF($AI220=0,"",IF(INDEX(입력_운동!$F$5:$F$1004,$AI220)="","",INDEX(입력_운동!$F$5:$F$1004,$AI220)))</f>
        <v/>
      </c>
      <c r="S220" s="25" t="str">
        <f aca="false">IF($AJ220=0,"",IF(INDEX(입력_측정!$C$5:$C$1004,$AJ220)="","",INDEX(입력_측정!$C$5:$C$1004,$AJ220)))</f>
        <v/>
      </c>
      <c r="T220" s="25" t="str">
        <f aca="false">IF($AJ220=0,"",IF(INDEX(입력_측정!$D$5:$D$1004,$AJ220)="","",INDEX(입력_측정!$D$5:$D$1004,$AJ220)))</f>
        <v/>
      </c>
      <c r="U220" s="25" t="str">
        <f aca="false">IF($AJ220=0,"",IF(INDEX(입력_측정!$E$5:$E$1004,$AJ220)="","",INDEX(입력_측정!$E$5:$E$1004,$AJ220)))</f>
        <v/>
      </c>
      <c r="V220" s="25" t="str">
        <f aca="false">IF($AJ220=0,"",IF(INDEX(입력_측정!$F$5:$F$1004,$AJ220)="","",INDEX(입력_측정!$F$5:$F$1004,$AJ220)))</f>
        <v/>
      </c>
      <c r="W220" s="25" t="str">
        <f aca="false">IF($AK220=0,"",IF(INDEX(입력_상담!$D$5:$D$1004,$AK220)="","",INDEX(입력_상담!$D$5:$D$1004,$AK220)))</f>
        <v/>
      </c>
      <c r="X220" s="25" t="str">
        <f aca="false">IF($AJ220=0,"",IF(INDEX(입력_측정!$I$5:$I$1004,$AJ220)="","",INDEX(입력_측정!$I$5:$I$1004,$AJ220)))</f>
        <v/>
      </c>
      <c r="Y220" s="25" t="str">
        <f aca="false">IF($AJ220=0,"",IF(INDEX(입력_측정!$J$5:$J$1004,$AJ220)="","",INDEX(입력_측정!$J$5:$J$1004,$AJ220)))</f>
        <v/>
      </c>
      <c r="Z220" s="25" t="str">
        <f aca="false">IF(OR(X220="긴급",LEFT(Y220,2)="긴급",W220="필요",W220="완료"),"대상","")</f>
        <v/>
      </c>
      <c r="AA220" s="59" t="str">
        <f aca="false">IF(M220&lt;&gt;"",M220,IF(AK220&gt;0,IF(W220="필요","추가상담 대기","완료"),IF(AJ220&gt;0,"결과상담 대기",IF(AI220&gt;0,"측정 대기","미방문"))))</f>
        <v>미방문</v>
      </c>
      <c r="AB220" s="60" t="str">
        <f aca="false">IF($AI220=0,"",IF(INDEX(입력_운동!$A$5:$A$1004,$AI220)="","",INDEX(입력_운동!$A$5:$A$1004,$AI220)))</f>
        <v/>
      </c>
      <c r="AC220" s="60" t="str">
        <f aca="false">IF($AJ220=0,"",IF(INDEX(입력_측정!$A$5:$A$1004,$AJ220)="","",INDEX(입력_측정!$A$5:$A$1004,$AJ220)))</f>
        <v/>
      </c>
      <c r="AD220" s="60" t="str">
        <f aca="false">IF($AK220=0,"",IF(INDEX(입력_상담!$A$5:$A$1004,$AK220)="","",INDEX(입력_상담!$A$5:$A$1004,$AK220)))</f>
        <v/>
      </c>
      <c r="AE220" s="25" t="str">
        <f aca="false">IF(AND(ISNUMBER(AB220),ISNUMBER(AC220)),IF(AC220&gt;=AB220,ROUND((AC220-AB220)*1440,0),""),"")</f>
        <v/>
      </c>
      <c r="AF220" s="25" t="str">
        <f aca="false">IF(AND(ISNUMBER(AC220),ISNUMBER(AD220)),IF(AD220&gt;=AC220,ROUND((AD220-AC220)*1440,0),""),"")</f>
        <v/>
      </c>
      <c r="AG220" s="25" t="str">
        <f aca="false">IF(AND(AA220="완료",ISNUMBER(AB220),ISNUMBER(AD220)),IF(AD220&gt;=AB220,ROUND((AD220-AB220)*1440,0),""),"")</f>
        <v/>
      </c>
      <c r="AH220" s="61" t="str">
        <f aca="false">IF(AND(AK220&gt;0,AJ220=0),"측정 기록 없음",IF(AND(AJ220&gt;0,AI220=0),"운동평가 기록 없음",IF(OR(COUNTIF(입력_운동!$B$5:$B$1004,$A220)&gt;1,COUNTIF(입력_측정!$B$5:$B$1004,$A220)&gt;1),"중복 입력","")))</f>
        <v/>
      </c>
      <c r="AI220" s="62" t="n">
        <f aca="false">SUMPRODUCT(MAX((입력_운동!$B$5:$B$1004=$A220)*(ROW(입력_운동!$B$5:$B$1004)-4)))</f>
        <v>0</v>
      </c>
      <c r="AJ220" s="62" t="n">
        <f aca="false">SUMPRODUCT(MAX((입력_측정!$B$5:$B$1004=$A220)*(ROW(입력_측정!$B$5:$B$1004)-4)))</f>
        <v>0</v>
      </c>
      <c r="AK220" s="62" t="n">
        <f aca="false">SUMPRODUCT(MAX((입력_상담!$B$5:$B$1004=$A220)*(ROW(입력_상담!$B$5:$B$1004)-4)))</f>
        <v>0</v>
      </c>
    </row>
    <row r="221" customFormat="false" ht="15" hidden="false" customHeight="false" outlineLevel="0" collapsed="false">
      <c r="A221" s="55" t="n">
        <v>217</v>
      </c>
      <c r="B221" s="56"/>
      <c r="C221" s="24"/>
      <c r="D221" s="24"/>
      <c r="E221" s="56"/>
      <c r="F221" s="57"/>
      <c r="G221" s="58"/>
      <c r="H221" s="56"/>
      <c r="I221" s="24"/>
      <c r="J221" s="24"/>
      <c r="K221" s="24"/>
      <c r="L221" s="24"/>
      <c r="M221" s="24"/>
      <c r="N221" s="56"/>
      <c r="O221" s="25" t="str">
        <f aca="false">IF($AI221=0,"",IF(INDEX(입력_운동!$C$5:$C$1004,$AI221)="","",INDEX(입력_운동!$C$5:$C$1004,$AI221)))</f>
        <v/>
      </c>
      <c r="P221" s="25" t="str">
        <f aca="false">IF($AI221=0,"",IF(INDEX(입력_운동!$D$5:$D$1004,$AI221)="","",INDEX(입력_운동!$D$5:$D$1004,$AI221)))</f>
        <v/>
      </c>
      <c r="Q221" s="25" t="str">
        <f aca="false">IF($AI221=0,"",IF(INDEX(입력_운동!$E$5:$E$1004,$AI221)="","",INDEX(입력_운동!$E$5:$E$1004,$AI221)))</f>
        <v/>
      </c>
      <c r="R221" s="25" t="str">
        <f aca="false">IF($AI221=0,"",IF(INDEX(입력_운동!$F$5:$F$1004,$AI221)="","",INDEX(입력_운동!$F$5:$F$1004,$AI221)))</f>
        <v/>
      </c>
      <c r="S221" s="25" t="str">
        <f aca="false">IF($AJ221=0,"",IF(INDEX(입력_측정!$C$5:$C$1004,$AJ221)="","",INDEX(입력_측정!$C$5:$C$1004,$AJ221)))</f>
        <v/>
      </c>
      <c r="T221" s="25" t="str">
        <f aca="false">IF($AJ221=0,"",IF(INDEX(입력_측정!$D$5:$D$1004,$AJ221)="","",INDEX(입력_측정!$D$5:$D$1004,$AJ221)))</f>
        <v/>
      </c>
      <c r="U221" s="25" t="str">
        <f aca="false">IF($AJ221=0,"",IF(INDEX(입력_측정!$E$5:$E$1004,$AJ221)="","",INDEX(입력_측정!$E$5:$E$1004,$AJ221)))</f>
        <v/>
      </c>
      <c r="V221" s="25" t="str">
        <f aca="false">IF($AJ221=0,"",IF(INDEX(입력_측정!$F$5:$F$1004,$AJ221)="","",INDEX(입력_측정!$F$5:$F$1004,$AJ221)))</f>
        <v/>
      </c>
      <c r="W221" s="25" t="str">
        <f aca="false">IF($AK221=0,"",IF(INDEX(입력_상담!$D$5:$D$1004,$AK221)="","",INDEX(입력_상담!$D$5:$D$1004,$AK221)))</f>
        <v/>
      </c>
      <c r="X221" s="25" t="str">
        <f aca="false">IF($AJ221=0,"",IF(INDEX(입력_측정!$I$5:$I$1004,$AJ221)="","",INDEX(입력_측정!$I$5:$I$1004,$AJ221)))</f>
        <v/>
      </c>
      <c r="Y221" s="25" t="str">
        <f aca="false">IF($AJ221=0,"",IF(INDEX(입력_측정!$J$5:$J$1004,$AJ221)="","",INDEX(입력_측정!$J$5:$J$1004,$AJ221)))</f>
        <v/>
      </c>
      <c r="Z221" s="25" t="str">
        <f aca="false">IF(OR(X221="긴급",LEFT(Y221,2)="긴급",W221="필요",W221="완료"),"대상","")</f>
        <v/>
      </c>
      <c r="AA221" s="59" t="str">
        <f aca="false">IF(M221&lt;&gt;"",M221,IF(AK221&gt;0,IF(W221="필요","추가상담 대기","완료"),IF(AJ221&gt;0,"결과상담 대기",IF(AI221&gt;0,"측정 대기","미방문"))))</f>
        <v>미방문</v>
      </c>
      <c r="AB221" s="60" t="str">
        <f aca="false">IF($AI221=0,"",IF(INDEX(입력_운동!$A$5:$A$1004,$AI221)="","",INDEX(입력_운동!$A$5:$A$1004,$AI221)))</f>
        <v/>
      </c>
      <c r="AC221" s="60" t="str">
        <f aca="false">IF($AJ221=0,"",IF(INDEX(입력_측정!$A$5:$A$1004,$AJ221)="","",INDEX(입력_측정!$A$5:$A$1004,$AJ221)))</f>
        <v/>
      </c>
      <c r="AD221" s="60" t="str">
        <f aca="false">IF($AK221=0,"",IF(INDEX(입력_상담!$A$5:$A$1004,$AK221)="","",INDEX(입력_상담!$A$5:$A$1004,$AK221)))</f>
        <v/>
      </c>
      <c r="AE221" s="25" t="str">
        <f aca="false">IF(AND(ISNUMBER(AB221),ISNUMBER(AC221)),IF(AC221&gt;=AB221,ROUND((AC221-AB221)*1440,0),""),"")</f>
        <v/>
      </c>
      <c r="AF221" s="25" t="str">
        <f aca="false">IF(AND(ISNUMBER(AC221),ISNUMBER(AD221)),IF(AD221&gt;=AC221,ROUND((AD221-AC221)*1440,0),""),"")</f>
        <v/>
      </c>
      <c r="AG221" s="25" t="str">
        <f aca="false">IF(AND(AA221="완료",ISNUMBER(AB221),ISNUMBER(AD221)),IF(AD221&gt;=AB221,ROUND((AD221-AB221)*1440,0),""),"")</f>
        <v/>
      </c>
      <c r="AH221" s="61" t="str">
        <f aca="false">IF(AND(AK221&gt;0,AJ221=0),"측정 기록 없음",IF(AND(AJ221&gt;0,AI221=0),"운동평가 기록 없음",IF(OR(COUNTIF(입력_운동!$B$5:$B$1004,$A221)&gt;1,COUNTIF(입력_측정!$B$5:$B$1004,$A221)&gt;1),"중복 입력","")))</f>
        <v/>
      </c>
      <c r="AI221" s="62" t="n">
        <f aca="false">SUMPRODUCT(MAX((입력_운동!$B$5:$B$1004=$A221)*(ROW(입력_운동!$B$5:$B$1004)-4)))</f>
        <v>0</v>
      </c>
      <c r="AJ221" s="62" t="n">
        <f aca="false">SUMPRODUCT(MAX((입력_측정!$B$5:$B$1004=$A221)*(ROW(입력_측정!$B$5:$B$1004)-4)))</f>
        <v>0</v>
      </c>
      <c r="AK221" s="62" t="n">
        <f aca="false">SUMPRODUCT(MAX((입력_상담!$B$5:$B$1004=$A221)*(ROW(입력_상담!$B$5:$B$1004)-4)))</f>
        <v>0</v>
      </c>
    </row>
    <row r="222" customFormat="false" ht="15" hidden="false" customHeight="false" outlineLevel="0" collapsed="false">
      <c r="A222" s="55" t="n">
        <v>218</v>
      </c>
      <c r="B222" s="56"/>
      <c r="C222" s="24"/>
      <c r="D222" s="24"/>
      <c r="E222" s="56"/>
      <c r="F222" s="57"/>
      <c r="G222" s="58"/>
      <c r="H222" s="56"/>
      <c r="I222" s="24"/>
      <c r="J222" s="24"/>
      <c r="K222" s="24"/>
      <c r="L222" s="24"/>
      <c r="M222" s="24"/>
      <c r="N222" s="56"/>
      <c r="O222" s="25" t="str">
        <f aca="false">IF($AI222=0,"",IF(INDEX(입력_운동!$C$5:$C$1004,$AI222)="","",INDEX(입력_운동!$C$5:$C$1004,$AI222)))</f>
        <v/>
      </c>
      <c r="P222" s="25" t="str">
        <f aca="false">IF($AI222=0,"",IF(INDEX(입력_운동!$D$5:$D$1004,$AI222)="","",INDEX(입력_운동!$D$5:$D$1004,$AI222)))</f>
        <v/>
      </c>
      <c r="Q222" s="25" t="str">
        <f aca="false">IF($AI222=0,"",IF(INDEX(입력_운동!$E$5:$E$1004,$AI222)="","",INDEX(입력_운동!$E$5:$E$1004,$AI222)))</f>
        <v/>
      </c>
      <c r="R222" s="25" t="str">
        <f aca="false">IF($AI222=0,"",IF(INDEX(입력_운동!$F$5:$F$1004,$AI222)="","",INDEX(입력_운동!$F$5:$F$1004,$AI222)))</f>
        <v/>
      </c>
      <c r="S222" s="25" t="str">
        <f aca="false">IF($AJ222=0,"",IF(INDEX(입력_측정!$C$5:$C$1004,$AJ222)="","",INDEX(입력_측정!$C$5:$C$1004,$AJ222)))</f>
        <v/>
      </c>
      <c r="T222" s="25" t="str">
        <f aca="false">IF($AJ222=0,"",IF(INDEX(입력_측정!$D$5:$D$1004,$AJ222)="","",INDEX(입력_측정!$D$5:$D$1004,$AJ222)))</f>
        <v/>
      </c>
      <c r="U222" s="25" t="str">
        <f aca="false">IF($AJ222=0,"",IF(INDEX(입력_측정!$E$5:$E$1004,$AJ222)="","",INDEX(입력_측정!$E$5:$E$1004,$AJ222)))</f>
        <v/>
      </c>
      <c r="V222" s="25" t="str">
        <f aca="false">IF($AJ222=0,"",IF(INDEX(입력_측정!$F$5:$F$1004,$AJ222)="","",INDEX(입력_측정!$F$5:$F$1004,$AJ222)))</f>
        <v/>
      </c>
      <c r="W222" s="25" t="str">
        <f aca="false">IF($AK222=0,"",IF(INDEX(입력_상담!$D$5:$D$1004,$AK222)="","",INDEX(입력_상담!$D$5:$D$1004,$AK222)))</f>
        <v/>
      </c>
      <c r="X222" s="25" t="str">
        <f aca="false">IF($AJ222=0,"",IF(INDEX(입력_측정!$I$5:$I$1004,$AJ222)="","",INDEX(입력_측정!$I$5:$I$1004,$AJ222)))</f>
        <v/>
      </c>
      <c r="Y222" s="25" t="str">
        <f aca="false">IF($AJ222=0,"",IF(INDEX(입력_측정!$J$5:$J$1004,$AJ222)="","",INDEX(입력_측정!$J$5:$J$1004,$AJ222)))</f>
        <v/>
      </c>
      <c r="Z222" s="25" t="str">
        <f aca="false">IF(OR(X222="긴급",LEFT(Y222,2)="긴급",W222="필요",W222="완료"),"대상","")</f>
        <v/>
      </c>
      <c r="AA222" s="59" t="str">
        <f aca="false">IF(M222&lt;&gt;"",M222,IF(AK222&gt;0,IF(W222="필요","추가상담 대기","완료"),IF(AJ222&gt;0,"결과상담 대기",IF(AI222&gt;0,"측정 대기","미방문"))))</f>
        <v>미방문</v>
      </c>
      <c r="AB222" s="60" t="str">
        <f aca="false">IF($AI222=0,"",IF(INDEX(입력_운동!$A$5:$A$1004,$AI222)="","",INDEX(입력_운동!$A$5:$A$1004,$AI222)))</f>
        <v/>
      </c>
      <c r="AC222" s="60" t="str">
        <f aca="false">IF($AJ222=0,"",IF(INDEX(입력_측정!$A$5:$A$1004,$AJ222)="","",INDEX(입력_측정!$A$5:$A$1004,$AJ222)))</f>
        <v/>
      </c>
      <c r="AD222" s="60" t="str">
        <f aca="false">IF($AK222=0,"",IF(INDEX(입력_상담!$A$5:$A$1004,$AK222)="","",INDEX(입력_상담!$A$5:$A$1004,$AK222)))</f>
        <v/>
      </c>
      <c r="AE222" s="25" t="str">
        <f aca="false">IF(AND(ISNUMBER(AB222),ISNUMBER(AC222)),IF(AC222&gt;=AB222,ROUND((AC222-AB222)*1440,0),""),"")</f>
        <v/>
      </c>
      <c r="AF222" s="25" t="str">
        <f aca="false">IF(AND(ISNUMBER(AC222),ISNUMBER(AD222)),IF(AD222&gt;=AC222,ROUND((AD222-AC222)*1440,0),""),"")</f>
        <v/>
      </c>
      <c r="AG222" s="25" t="str">
        <f aca="false">IF(AND(AA222="완료",ISNUMBER(AB222),ISNUMBER(AD222)),IF(AD222&gt;=AB222,ROUND((AD222-AB222)*1440,0),""),"")</f>
        <v/>
      </c>
      <c r="AH222" s="61" t="str">
        <f aca="false">IF(AND(AK222&gt;0,AJ222=0),"측정 기록 없음",IF(AND(AJ222&gt;0,AI222=0),"운동평가 기록 없음",IF(OR(COUNTIF(입력_운동!$B$5:$B$1004,$A222)&gt;1,COUNTIF(입력_측정!$B$5:$B$1004,$A222)&gt;1),"중복 입력","")))</f>
        <v/>
      </c>
      <c r="AI222" s="62" t="n">
        <f aca="false">SUMPRODUCT(MAX((입력_운동!$B$5:$B$1004=$A222)*(ROW(입력_운동!$B$5:$B$1004)-4)))</f>
        <v>0</v>
      </c>
      <c r="AJ222" s="62" t="n">
        <f aca="false">SUMPRODUCT(MAX((입력_측정!$B$5:$B$1004=$A222)*(ROW(입력_측정!$B$5:$B$1004)-4)))</f>
        <v>0</v>
      </c>
      <c r="AK222" s="62" t="n">
        <f aca="false">SUMPRODUCT(MAX((입력_상담!$B$5:$B$1004=$A222)*(ROW(입력_상담!$B$5:$B$1004)-4)))</f>
        <v>0</v>
      </c>
    </row>
    <row r="223" customFormat="false" ht="15" hidden="false" customHeight="false" outlineLevel="0" collapsed="false">
      <c r="A223" s="55" t="n">
        <v>219</v>
      </c>
      <c r="B223" s="56"/>
      <c r="C223" s="24"/>
      <c r="D223" s="24"/>
      <c r="E223" s="56"/>
      <c r="F223" s="57"/>
      <c r="G223" s="58"/>
      <c r="H223" s="56"/>
      <c r="I223" s="24"/>
      <c r="J223" s="24"/>
      <c r="K223" s="24"/>
      <c r="L223" s="24"/>
      <c r="M223" s="24"/>
      <c r="N223" s="56"/>
      <c r="O223" s="25" t="str">
        <f aca="false">IF($AI223=0,"",IF(INDEX(입력_운동!$C$5:$C$1004,$AI223)="","",INDEX(입력_운동!$C$5:$C$1004,$AI223)))</f>
        <v/>
      </c>
      <c r="P223" s="25" t="str">
        <f aca="false">IF($AI223=0,"",IF(INDEX(입력_운동!$D$5:$D$1004,$AI223)="","",INDEX(입력_운동!$D$5:$D$1004,$AI223)))</f>
        <v/>
      </c>
      <c r="Q223" s="25" t="str">
        <f aca="false">IF($AI223=0,"",IF(INDEX(입력_운동!$E$5:$E$1004,$AI223)="","",INDEX(입력_운동!$E$5:$E$1004,$AI223)))</f>
        <v/>
      </c>
      <c r="R223" s="25" t="str">
        <f aca="false">IF($AI223=0,"",IF(INDEX(입력_운동!$F$5:$F$1004,$AI223)="","",INDEX(입력_운동!$F$5:$F$1004,$AI223)))</f>
        <v/>
      </c>
      <c r="S223" s="25" t="str">
        <f aca="false">IF($AJ223=0,"",IF(INDEX(입력_측정!$C$5:$C$1004,$AJ223)="","",INDEX(입력_측정!$C$5:$C$1004,$AJ223)))</f>
        <v/>
      </c>
      <c r="T223" s="25" t="str">
        <f aca="false">IF($AJ223=0,"",IF(INDEX(입력_측정!$D$5:$D$1004,$AJ223)="","",INDEX(입력_측정!$D$5:$D$1004,$AJ223)))</f>
        <v/>
      </c>
      <c r="U223" s="25" t="str">
        <f aca="false">IF($AJ223=0,"",IF(INDEX(입력_측정!$E$5:$E$1004,$AJ223)="","",INDEX(입력_측정!$E$5:$E$1004,$AJ223)))</f>
        <v/>
      </c>
      <c r="V223" s="25" t="str">
        <f aca="false">IF($AJ223=0,"",IF(INDEX(입력_측정!$F$5:$F$1004,$AJ223)="","",INDEX(입력_측정!$F$5:$F$1004,$AJ223)))</f>
        <v/>
      </c>
      <c r="W223" s="25" t="str">
        <f aca="false">IF($AK223=0,"",IF(INDEX(입력_상담!$D$5:$D$1004,$AK223)="","",INDEX(입력_상담!$D$5:$D$1004,$AK223)))</f>
        <v/>
      </c>
      <c r="X223" s="25" t="str">
        <f aca="false">IF($AJ223=0,"",IF(INDEX(입력_측정!$I$5:$I$1004,$AJ223)="","",INDEX(입력_측정!$I$5:$I$1004,$AJ223)))</f>
        <v/>
      </c>
      <c r="Y223" s="25" t="str">
        <f aca="false">IF($AJ223=0,"",IF(INDEX(입력_측정!$J$5:$J$1004,$AJ223)="","",INDEX(입력_측정!$J$5:$J$1004,$AJ223)))</f>
        <v/>
      </c>
      <c r="Z223" s="25" t="str">
        <f aca="false">IF(OR(X223="긴급",LEFT(Y223,2)="긴급",W223="필요",W223="완료"),"대상","")</f>
        <v/>
      </c>
      <c r="AA223" s="59" t="str">
        <f aca="false">IF(M223&lt;&gt;"",M223,IF(AK223&gt;0,IF(W223="필요","추가상담 대기","완료"),IF(AJ223&gt;0,"결과상담 대기",IF(AI223&gt;0,"측정 대기","미방문"))))</f>
        <v>미방문</v>
      </c>
      <c r="AB223" s="60" t="str">
        <f aca="false">IF($AI223=0,"",IF(INDEX(입력_운동!$A$5:$A$1004,$AI223)="","",INDEX(입력_운동!$A$5:$A$1004,$AI223)))</f>
        <v/>
      </c>
      <c r="AC223" s="60" t="str">
        <f aca="false">IF($AJ223=0,"",IF(INDEX(입력_측정!$A$5:$A$1004,$AJ223)="","",INDEX(입력_측정!$A$5:$A$1004,$AJ223)))</f>
        <v/>
      </c>
      <c r="AD223" s="60" t="str">
        <f aca="false">IF($AK223=0,"",IF(INDEX(입력_상담!$A$5:$A$1004,$AK223)="","",INDEX(입력_상담!$A$5:$A$1004,$AK223)))</f>
        <v/>
      </c>
      <c r="AE223" s="25" t="str">
        <f aca="false">IF(AND(ISNUMBER(AB223),ISNUMBER(AC223)),IF(AC223&gt;=AB223,ROUND((AC223-AB223)*1440,0),""),"")</f>
        <v/>
      </c>
      <c r="AF223" s="25" t="str">
        <f aca="false">IF(AND(ISNUMBER(AC223),ISNUMBER(AD223)),IF(AD223&gt;=AC223,ROUND((AD223-AC223)*1440,0),""),"")</f>
        <v/>
      </c>
      <c r="AG223" s="25" t="str">
        <f aca="false">IF(AND(AA223="완료",ISNUMBER(AB223),ISNUMBER(AD223)),IF(AD223&gt;=AB223,ROUND((AD223-AB223)*1440,0),""),"")</f>
        <v/>
      </c>
      <c r="AH223" s="61" t="str">
        <f aca="false">IF(AND(AK223&gt;0,AJ223=0),"측정 기록 없음",IF(AND(AJ223&gt;0,AI223=0),"운동평가 기록 없음",IF(OR(COUNTIF(입력_운동!$B$5:$B$1004,$A223)&gt;1,COUNTIF(입력_측정!$B$5:$B$1004,$A223)&gt;1),"중복 입력","")))</f>
        <v/>
      </c>
      <c r="AI223" s="62" t="n">
        <f aca="false">SUMPRODUCT(MAX((입력_운동!$B$5:$B$1004=$A223)*(ROW(입력_운동!$B$5:$B$1004)-4)))</f>
        <v>0</v>
      </c>
      <c r="AJ223" s="62" t="n">
        <f aca="false">SUMPRODUCT(MAX((입력_측정!$B$5:$B$1004=$A223)*(ROW(입력_측정!$B$5:$B$1004)-4)))</f>
        <v>0</v>
      </c>
      <c r="AK223" s="62" t="n">
        <f aca="false">SUMPRODUCT(MAX((입력_상담!$B$5:$B$1004=$A223)*(ROW(입력_상담!$B$5:$B$1004)-4)))</f>
        <v>0</v>
      </c>
    </row>
    <row r="224" customFormat="false" ht="15" hidden="false" customHeight="false" outlineLevel="0" collapsed="false">
      <c r="A224" s="55" t="n">
        <v>220</v>
      </c>
      <c r="B224" s="56"/>
      <c r="C224" s="24"/>
      <c r="D224" s="24"/>
      <c r="E224" s="56"/>
      <c r="F224" s="57"/>
      <c r="G224" s="58"/>
      <c r="H224" s="56"/>
      <c r="I224" s="24"/>
      <c r="J224" s="24"/>
      <c r="K224" s="24"/>
      <c r="L224" s="24"/>
      <c r="M224" s="24"/>
      <c r="N224" s="56"/>
      <c r="O224" s="25" t="str">
        <f aca="false">IF($AI224=0,"",IF(INDEX(입력_운동!$C$5:$C$1004,$AI224)="","",INDEX(입력_운동!$C$5:$C$1004,$AI224)))</f>
        <v/>
      </c>
      <c r="P224" s="25" t="str">
        <f aca="false">IF($AI224=0,"",IF(INDEX(입력_운동!$D$5:$D$1004,$AI224)="","",INDEX(입력_운동!$D$5:$D$1004,$AI224)))</f>
        <v/>
      </c>
      <c r="Q224" s="25" t="str">
        <f aca="false">IF($AI224=0,"",IF(INDEX(입력_운동!$E$5:$E$1004,$AI224)="","",INDEX(입력_운동!$E$5:$E$1004,$AI224)))</f>
        <v/>
      </c>
      <c r="R224" s="25" t="str">
        <f aca="false">IF($AI224=0,"",IF(INDEX(입력_운동!$F$5:$F$1004,$AI224)="","",INDEX(입력_운동!$F$5:$F$1004,$AI224)))</f>
        <v/>
      </c>
      <c r="S224" s="25" t="str">
        <f aca="false">IF($AJ224=0,"",IF(INDEX(입력_측정!$C$5:$C$1004,$AJ224)="","",INDEX(입력_측정!$C$5:$C$1004,$AJ224)))</f>
        <v/>
      </c>
      <c r="T224" s="25" t="str">
        <f aca="false">IF($AJ224=0,"",IF(INDEX(입력_측정!$D$5:$D$1004,$AJ224)="","",INDEX(입력_측정!$D$5:$D$1004,$AJ224)))</f>
        <v/>
      </c>
      <c r="U224" s="25" t="str">
        <f aca="false">IF($AJ224=0,"",IF(INDEX(입력_측정!$E$5:$E$1004,$AJ224)="","",INDEX(입력_측정!$E$5:$E$1004,$AJ224)))</f>
        <v/>
      </c>
      <c r="V224" s="25" t="str">
        <f aca="false">IF($AJ224=0,"",IF(INDEX(입력_측정!$F$5:$F$1004,$AJ224)="","",INDEX(입력_측정!$F$5:$F$1004,$AJ224)))</f>
        <v/>
      </c>
      <c r="W224" s="25" t="str">
        <f aca="false">IF($AK224=0,"",IF(INDEX(입력_상담!$D$5:$D$1004,$AK224)="","",INDEX(입력_상담!$D$5:$D$1004,$AK224)))</f>
        <v/>
      </c>
      <c r="X224" s="25" t="str">
        <f aca="false">IF($AJ224=0,"",IF(INDEX(입력_측정!$I$5:$I$1004,$AJ224)="","",INDEX(입력_측정!$I$5:$I$1004,$AJ224)))</f>
        <v/>
      </c>
      <c r="Y224" s="25" t="str">
        <f aca="false">IF($AJ224=0,"",IF(INDEX(입력_측정!$J$5:$J$1004,$AJ224)="","",INDEX(입력_측정!$J$5:$J$1004,$AJ224)))</f>
        <v/>
      </c>
      <c r="Z224" s="25" t="str">
        <f aca="false">IF(OR(X224="긴급",LEFT(Y224,2)="긴급",W224="필요",W224="완료"),"대상","")</f>
        <v/>
      </c>
      <c r="AA224" s="59" t="str">
        <f aca="false">IF(M224&lt;&gt;"",M224,IF(AK224&gt;0,IF(W224="필요","추가상담 대기","완료"),IF(AJ224&gt;0,"결과상담 대기",IF(AI224&gt;0,"측정 대기","미방문"))))</f>
        <v>미방문</v>
      </c>
      <c r="AB224" s="60" t="str">
        <f aca="false">IF($AI224=0,"",IF(INDEX(입력_운동!$A$5:$A$1004,$AI224)="","",INDEX(입력_운동!$A$5:$A$1004,$AI224)))</f>
        <v/>
      </c>
      <c r="AC224" s="60" t="str">
        <f aca="false">IF($AJ224=0,"",IF(INDEX(입력_측정!$A$5:$A$1004,$AJ224)="","",INDEX(입력_측정!$A$5:$A$1004,$AJ224)))</f>
        <v/>
      </c>
      <c r="AD224" s="60" t="str">
        <f aca="false">IF($AK224=0,"",IF(INDEX(입력_상담!$A$5:$A$1004,$AK224)="","",INDEX(입력_상담!$A$5:$A$1004,$AK224)))</f>
        <v/>
      </c>
      <c r="AE224" s="25" t="str">
        <f aca="false">IF(AND(ISNUMBER(AB224),ISNUMBER(AC224)),IF(AC224&gt;=AB224,ROUND((AC224-AB224)*1440,0),""),"")</f>
        <v/>
      </c>
      <c r="AF224" s="25" t="str">
        <f aca="false">IF(AND(ISNUMBER(AC224),ISNUMBER(AD224)),IF(AD224&gt;=AC224,ROUND((AD224-AC224)*1440,0),""),"")</f>
        <v/>
      </c>
      <c r="AG224" s="25" t="str">
        <f aca="false">IF(AND(AA224="완료",ISNUMBER(AB224),ISNUMBER(AD224)),IF(AD224&gt;=AB224,ROUND((AD224-AB224)*1440,0),""),"")</f>
        <v/>
      </c>
      <c r="AH224" s="61" t="str">
        <f aca="false">IF(AND(AK224&gt;0,AJ224=0),"측정 기록 없음",IF(AND(AJ224&gt;0,AI224=0),"운동평가 기록 없음",IF(OR(COUNTIF(입력_운동!$B$5:$B$1004,$A224)&gt;1,COUNTIF(입력_측정!$B$5:$B$1004,$A224)&gt;1),"중복 입력","")))</f>
        <v/>
      </c>
      <c r="AI224" s="62" t="n">
        <f aca="false">SUMPRODUCT(MAX((입력_운동!$B$5:$B$1004=$A224)*(ROW(입력_운동!$B$5:$B$1004)-4)))</f>
        <v>0</v>
      </c>
      <c r="AJ224" s="62" t="n">
        <f aca="false">SUMPRODUCT(MAX((입력_측정!$B$5:$B$1004=$A224)*(ROW(입력_측정!$B$5:$B$1004)-4)))</f>
        <v>0</v>
      </c>
      <c r="AK224" s="62" t="n">
        <f aca="false">SUMPRODUCT(MAX((입력_상담!$B$5:$B$1004=$A224)*(ROW(입력_상담!$B$5:$B$1004)-4)))</f>
        <v>0</v>
      </c>
    </row>
    <row r="225" customFormat="false" ht="15" hidden="false" customHeight="false" outlineLevel="0" collapsed="false">
      <c r="A225" s="55" t="n">
        <v>221</v>
      </c>
      <c r="B225" s="56"/>
      <c r="C225" s="24"/>
      <c r="D225" s="24"/>
      <c r="E225" s="56"/>
      <c r="F225" s="57"/>
      <c r="G225" s="58"/>
      <c r="H225" s="56"/>
      <c r="I225" s="24"/>
      <c r="J225" s="24"/>
      <c r="K225" s="24"/>
      <c r="L225" s="24"/>
      <c r="M225" s="24"/>
      <c r="N225" s="56"/>
      <c r="O225" s="25" t="str">
        <f aca="false">IF($AI225=0,"",IF(INDEX(입력_운동!$C$5:$C$1004,$AI225)="","",INDEX(입력_운동!$C$5:$C$1004,$AI225)))</f>
        <v/>
      </c>
      <c r="P225" s="25" t="str">
        <f aca="false">IF($AI225=0,"",IF(INDEX(입력_운동!$D$5:$D$1004,$AI225)="","",INDEX(입력_운동!$D$5:$D$1004,$AI225)))</f>
        <v/>
      </c>
      <c r="Q225" s="25" t="str">
        <f aca="false">IF($AI225=0,"",IF(INDEX(입력_운동!$E$5:$E$1004,$AI225)="","",INDEX(입력_운동!$E$5:$E$1004,$AI225)))</f>
        <v/>
      </c>
      <c r="R225" s="25" t="str">
        <f aca="false">IF($AI225=0,"",IF(INDEX(입력_운동!$F$5:$F$1004,$AI225)="","",INDEX(입력_운동!$F$5:$F$1004,$AI225)))</f>
        <v/>
      </c>
      <c r="S225" s="25" t="str">
        <f aca="false">IF($AJ225=0,"",IF(INDEX(입력_측정!$C$5:$C$1004,$AJ225)="","",INDEX(입력_측정!$C$5:$C$1004,$AJ225)))</f>
        <v/>
      </c>
      <c r="T225" s="25" t="str">
        <f aca="false">IF($AJ225=0,"",IF(INDEX(입력_측정!$D$5:$D$1004,$AJ225)="","",INDEX(입력_측정!$D$5:$D$1004,$AJ225)))</f>
        <v/>
      </c>
      <c r="U225" s="25" t="str">
        <f aca="false">IF($AJ225=0,"",IF(INDEX(입력_측정!$E$5:$E$1004,$AJ225)="","",INDEX(입력_측정!$E$5:$E$1004,$AJ225)))</f>
        <v/>
      </c>
      <c r="V225" s="25" t="str">
        <f aca="false">IF($AJ225=0,"",IF(INDEX(입력_측정!$F$5:$F$1004,$AJ225)="","",INDEX(입력_측정!$F$5:$F$1004,$AJ225)))</f>
        <v/>
      </c>
      <c r="W225" s="25" t="str">
        <f aca="false">IF($AK225=0,"",IF(INDEX(입력_상담!$D$5:$D$1004,$AK225)="","",INDEX(입력_상담!$D$5:$D$1004,$AK225)))</f>
        <v/>
      </c>
      <c r="X225" s="25" t="str">
        <f aca="false">IF($AJ225=0,"",IF(INDEX(입력_측정!$I$5:$I$1004,$AJ225)="","",INDEX(입력_측정!$I$5:$I$1004,$AJ225)))</f>
        <v/>
      </c>
      <c r="Y225" s="25" t="str">
        <f aca="false">IF($AJ225=0,"",IF(INDEX(입력_측정!$J$5:$J$1004,$AJ225)="","",INDEX(입력_측정!$J$5:$J$1004,$AJ225)))</f>
        <v/>
      </c>
      <c r="Z225" s="25" t="str">
        <f aca="false">IF(OR(X225="긴급",LEFT(Y225,2)="긴급",W225="필요",W225="완료"),"대상","")</f>
        <v/>
      </c>
      <c r="AA225" s="59" t="str">
        <f aca="false">IF(M225&lt;&gt;"",M225,IF(AK225&gt;0,IF(W225="필요","추가상담 대기","완료"),IF(AJ225&gt;0,"결과상담 대기",IF(AI225&gt;0,"측정 대기","미방문"))))</f>
        <v>미방문</v>
      </c>
      <c r="AB225" s="60" t="str">
        <f aca="false">IF($AI225=0,"",IF(INDEX(입력_운동!$A$5:$A$1004,$AI225)="","",INDEX(입력_운동!$A$5:$A$1004,$AI225)))</f>
        <v/>
      </c>
      <c r="AC225" s="60" t="str">
        <f aca="false">IF($AJ225=0,"",IF(INDEX(입력_측정!$A$5:$A$1004,$AJ225)="","",INDEX(입력_측정!$A$5:$A$1004,$AJ225)))</f>
        <v/>
      </c>
      <c r="AD225" s="60" t="str">
        <f aca="false">IF($AK225=0,"",IF(INDEX(입력_상담!$A$5:$A$1004,$AK225)="","",INDEX(입력_상담!$A$5:$A$1004,$AK225)))</f>
        <v/>
      </c>
      <c r="AE225" s="25" t="str">
        <f aca="false">IF(AND(ISNUMBER(AB225),ISNUMBER(AC225)),IF(AC225&gt;=AB225,ROUND((AC225-AB225)*1440,0),""),"")</f>
        <v/>
      </c>
      <c r="AF225" s="25" t="str">
        <f aca="false">IF(AND(ISNUMBER(AC225),ISNUMBER(AD225)),IF(AD225&gt;=AC225,ROUND((AD225-AC225)*1440,0),""),"")</f>
        <v/>
      </c>
      <c r="AG225" s="25" t="str">
        <f aca="false">IF(AND(AA225="완료",ISNUMBER(AB225),ISNUMBER(AD225)),IF(AD225&gt;=AB225,ROUND((AD225-AB225)*1440,0),""),"")</f>
        <v/>
      </c>
      <c r="AH225" s="61" t="str">
        <f aca="false">IF(AND(AK225&gt;0,AJ225=0),"측정 기록 없음",IF(AND(AJ225&gt;0,AI225=0),"운동평가 기록 없음",IF(OR(COUNTIF(입력_운동!$B$5:$B$1004,$A225)&gt;1,COUNTIF(입력_측정!$B$5:$B$1004,$A225)&gt;1),"중복 입력","")))</f>
        <v/>
      </c>
      <c r="AI225" s="62" t="n">
        <f aca="false">SUMPRODUCT(MAX((입력_운동!$B$5:$B$1004=$A225)*(ROW(입력_운동!$B$5:$B$1004)-4)))</f>
        <v>0</v>
      </c>
      <c r="AJ225" s="62" t="n">
        <f aca="false">SUMPRODUCT(MAX((입력_측정!$B$5:$B$1004=$A225)*(ROW(입력_측정!$B$5:$B$1004)-4)))</f>
        <v>0</v>
      </c>
      <c r="AK225" s="62" t="n">
        <f aca="false">SUMPRODUCT(MAX((입력_상담!$B$5:$B$1004=$A225)*(ROW(입력_상담!$B$5:$B$1004)-4)))</f>
        <v>0</v>
      </c>
    </row>
    <row r="226" customFormat="false" ht="15" hidden="false" customHeight="false" outlineLevel="0" collapsed="false">
      <c r="A226" s="55" t="n">
        <v>222</v>
      </c>
      <c r="B226" s="56"/>
      <c r="C226" s="24"/>
      <c r="D226" s="24"/>
      <c r="E226" s="56"/>
      <c r="F226" s="57"/>
      <c r="G226" s="58"/>
      <c r="H226" s="56"/>
      <c r="I226" s="24"/>
      <c r="J226" s="24"/>
      <c r="K226" s="24"/>
      <c r="L226" s="24"/>
      <c r="M226" s="24"/>
      <c r="N226" s="56"/>
      <c r="O226" s="25" t="str">
        <f aca="false">IF($AI226=0,"",IF(INDEX(입력_운동!$C$5:$C$1004,$AI226)="","",INDEX(입력_운동!$C$5:$C$1004,$AI226)))</f>
        <v/>
      </c>
      <c r="P226" s="25" t="str">
        <f aca="false">IF($AI226=0,"",IF(INDEX(입력_운동!$D$5:$D$1004,$AI226)="","",INDEX(입력_운동!$D$5:$D$1004,$AI226)))</f>
        <v/>
      </c>
      <c r="Q226" s="25" t="str">
        <f aca="false">IF($AI226=0,"",IF(INDEX(입력_운동!$E$5:$E$1004,$AI226)="","",INDEX(입력_운동!$E$5:$E$1004,$AI226)))</f>
        <v/>
      </c>
      <c r="R226" s="25" t="str">
        <f aca="false">IF($AI226=0,"",IF(INDEX(입력_운동!$F$5:$F$1004,$AI226)="","",INDEX(입력_운동!$F$5:$F$1004,$AI226)))</f>
        <v/>
      </c>
      <c r="S226" s="25" t="str">
        <f aca="false">IF($AJ226=0,"",IF(INDEX(입력_측정!$C$5:$C$1004,$AJ226)="","",INDEX(입력_측정!$C$5:$C$1004,$AJ226)))</f>
        <v/>
      </c>
      <c r="T226" s="25" t="str">
        <f aca="false">IF($AJ226=0,"",IF(INDEX(입력_측정!$D$5:$D$1004,$AJ226)="","",INDEX(입력_측정!$D$5:$D$1004,$AJ226)))</f>
        <v/>
      </c>
      <c r="U226" s="25" t="str">
        <f aca="false">IF($AJ226=0,"",IF(INDEX(입력_측정!$E$5:$E$1004,$AJ226)="","",INDEX(입력_측정!$E$5:$E$1004,$AJ226)))</f>
        <v/>
      </c>
      <c r="V226" s="25" t="str">
        <f aca="false">IF($AJ226=0,"",IF(INDEX(입력_측정!$F$5:$F$1004,$AJ226)="","",INDEX(입력_측정!$F$5:$F$1004,$AJ226)))</f>
        <v/>
      </c>
      <c r="W226" s="25" t="str">
        <f aca="false">IF($AK226=0,"",IF(INDEX(입력_상담!$D$5:$D$1004,$AK226)="","",INDEX(입력_상담!$D$5:$D$1004,$AK226)))</f>
        <v/>
      </c>
      <c r="X226" s="25" t="str">
        <f aca="false">IF($AJ226=0,"",IF(INDEX(입력_측정!$I$5:$I$1004,$AJ226)="","",INDEX(입력_측정!$I$5:$I$1004,$AJ226)))</f>
        <v/>
      </c>
      <c r="Y226" s="25" t="str">
        <f aca="false">IF($AJ226=0,"",IF(INDEX(입력_측정!$J$5:$J$1004,$AJ226)="","",INDEX(입력_측정!$J$5:$J$1004,$AJ226)))</f>
        <v/>
      </c>
      <c r="Z226" s="25" t="str">
        <f aca="false">IF(OR(X226="긴급",LEFT(Y226,2)="긴급",W226="필요",W226="완료"),"대상","")</f>
        <v/>
      </c>
      <c r="AA226" s="59" t="str">
        <f aca="false">IF(M226&lt;&gt;"",M226,IF(AK226&gt;0,IF(W226="필요","추가상담 대기","완료"),IF(AJ226&gt;0,"결과상담 대기",IF(AI226&gt;0,"측정 대기","미방문"))))</f>
        <v>미방문</v>
      </c>
      <c r="AB226" s="60" t="str">
        <f aca="false">IF($AI226=0,"",IF(INDEX(입력_운동!$A$5:$A$1004,$AI226)="","",INDEX(입력_운동!$A$5:$A$1004,$AI226)))</f>
        <v/>
      </c>
      <c r="AC226" s="60" t="str">
        <f aca="false">IF($AJ226=0,"",IF(INDEX(입력_측정!$A$5:$A$1004,$AJ226)="","",INDEX(입력_측정!$A$5:$A$1004,$AJ226)))</f>
        <v/>
      </c>
      <c r="AD226" s="60" t="str">
        <f aca="false">IF($AK226=0,"",IF(INDEX(입력_상담!$A$5:$A$1004,$AK226)="","",INDEX(입력_상담!$A$5:$A$1004,$AK226)))</f>
        <v/>
      </c>
      <c r="AE226" s="25" t="str">
        <f aca="false">IF(AND(ISNUMBER(AB226),ISNUMBER(AC226)),IF(AC226&gt;=AB226,ROUND((AC226-AB226)*1440,0),""),"")</f>
        <v/>
      </c>
      <c r="AF226" s="25" t="str">
        <f aca="false">IF(AND(ISNUMBER(AC226),ISNUMBER(AD226)),IF(AD226&gt;=AC226,ROUND((AD226-AC226)*1440,0),""),"")</f>
        <v/>
      </c>
      <c r="AG226" s="25" t="str">
        <f aca="false">IF(AND(AA226="완료",ISNUMBER(AB226),ISNUMBER(AD226)),IF(AD226&gt;=AB226,ROUND((AD226-AB226)*1440,0),""),"")</f>
        <v/>
      </c>
      <c r="AH226" s="61" t="str">
        <f aca="false">IF(AND(AK226&gt;0,AJ226=0),"측정 기록 없음",IF(AND(AJ226&gt;0,AI226=0),"운동평가 기록 없음",IF(OR(COUNTIF(입력_운동!$B$5:$B$1004,$A226)&gt;1,COUNTIF(입력_측정!$B$5:$B$1004,$A226)&gt;1),"중복 입력","")))</f>
        <v/>
      </c>
      <c r="AI226" s="62" t="n">
        <f aca="false">SUMPRODUCT(MAX((입력_운동!$B$5:$B$1004=$A226)*(ROW(입력_운동!$B$5:$B$1004)-4)))</f>
        <v>0</v>
      </c>
      <c r="AJ226" s="62" t="n">
        <f aca="false">SUMPRODUCT(MAX((입력_측정!$B$5:$B$1004=$A226)*(ROW(입력_측정!$B$5:$B$1004)-4)))</f>
        <v>0</v>
      </c>
      <c r="AK226" s="62" t="n">
        <f aca="false">SUMPRODUCT(MAX((입력_상담!$B$5:$B$1004=$A226)*(ROW(입력_상담!$B$5:$B$1004)-4)))</f>
        <v>0</v>
      </c>
    </row>
    <row r="227" customFormat="false" ht="15" hidden="false" customHeight="false" outlineLevel="0" collapsed="false">
      <c r="A227" s="55" t="n">
        <v>223</v>
      </c>
      <c r="B227" s="56"/>
      <c r="C227" s="24"/>
      <c r="D227" s="24"/>
      <c r="E227" s="56"/>
      <c r="F227" s="57"/>
      <c r="G227" s="58"/>
      <c r="H227" s="56"/>
      <c r="I227" s="24"/>
      <c r="J227" s="24"/>
      <c r="K227" s="24"/>
      <c r="L227" s="24"/>
      <c r="M227" s="24"/>
      <c r="N227" s="56"/>
      <c r="O227" s="25" t="str">
        <f aca="false">IF($AI227=0,"",IF(INDEX(입력_운동!$C$5:$C$1004,$AI227)="","",INDEX(입력_운동!$C$5:$C$1004,$AI227)))</f>
        <v/>
      </c>
      <c r="P227" s="25" t="str">
        <f aca="false">IF($AI227=0,"",IF(INDEX(입력_운동!$D$5:$D$1004,$AI227)="","",INDEX(입력_운동!$D$5:$D$1004,$AI227)))</f>
        <v/>
      </c>
      <c r="Q227" s="25" t="str">
        <f aca="false">IF($AI227=0,"",IF(INDEX(입력_운동!$E$5:$E$1004,$AI227)="","",INDEX(입력_운동!$E$5:$E$1004,$AI227)))</f>
        <v/>
      </c>
      <c r="R227" s="25" t="str">
        <f aca="false">IF($AI227=0,"",IF(INDEX(입력_운동!$F$5:$F$1004,$AI227)="","",INDEX(입력_운동!$F$5:$F$1004,$AI227)))</f>
        <v/>
      </c>
      <c r="S227" s="25" t="str">
        <f aca="false">IF($AJ227=0,"",IF(INDEX(입력_측정!$C$5:$C$1004,$AJ227)="","",INDEX(입력_측정!$C$5:$C$1004,$AJ227)))</f>
        <v/>
      </c>
      <c r="T227" s="25" t="str">
        <f aca="false">IF($AJ227=0,"",IF(INDEX(입력_측정!$D$5:$D$1004,$AJ227)="","",INDEX(입력_측정!$D$5:$D$1004,$AJ227)))</f>
        <v/>
      </c>
      <c r="U227" s="25" t="str">
        <f aca="false">IF($AJ227=0,"",IF(INDEX(입력_측정!$E$5:$E$1004,$AJ227)="","",INDEX(입력_측정!$E$5:$E$1004,$AJ227)))</f>
        <v/>
      </c>
      <c r="V227" s="25" t="str">
        <f aca="false">IF($AJ227=0,"",IF(INDEX(입력_측정!$F$5:$F$1004,$AJ227)="","",INDEX(입력_측정!$F$5:$F$1004,$AJ227)))</f>
        <v/>
      </c>
      <c r="W227" s="25" t="str">
        <f aca="false">IF($AK227=0,"",IF(INDEX(입력_상담!$D$5:$D$1004,$AK227)="","",INDEX(입력_상담!$D$5:$D$1004,$AK227)))</f>
        <v/>
      </c>
      <c r="X227" s="25" t="str">
        <f aca="false">IF($AJ227=0,"",IF(INDEX(입력_측정!$I$5:$I$1004,$AJ227)="","",INDEX(입력_측정!$I$5:$I$1004,$AJ227)))</f>
        <v/>
      </c>
      <c r="Y227" s="25" t="str">
        <f aca="false">IF($AJ227=0,"",IF(INDEX(입력_측정!$J$5:$J$1004,$AJ227)="","",INDEX(입력_측정!$J$5:$J$1004,$AJ227)))</f>
        <v/>
      </c>
      <c r="Z227" s="25" t="str">
        <f aca="false">IF(OR(X227="긴급",LEFT(Y227,2)="긴급",W227="필요",W227="완료"),"대상","")</f>
        <v/>
      </c>
      <c r="AA227" s="59" t="str">
        <f aca="false">IF(M227&lt;&gt;"",M227,IF(AK227&gt;0,IF(W227="필요","추가상담 대기","완료"),IF(AJ227&gt;0,"결과상담 대기",IF(AI227&gt;0,"측정 대기","미방문"))))</f>
        <v>미방문</v>
      </c>
      <c r="AB227" s="60" t="str">
        <f aca="false">IF($AI227=0,"",IF(INDEX(입력_운동!$A$5:$A$1004,$AI227)="","",INDEX(입력_운동!$A$5:$A$1004,$AI227)))</f>
        <v/>
      </c>
      <c r="AC227" s="60" t="str">
        <f aca="false">IF($AJ227=0,"",IF(INDEX(입력_측정!$A$5:$A$1004,$AJ227)="","",INDEX(입력_측정!$A$5:$A$1004,$AJ227)))</f>
        <v/>
      </c>
      <c r="AD227" s="60" t="str">
        <f aca="false">IF($AK227=0,"",IF(INDEX(입력_상담!$A$5:$A$1004,$AK227)="","",INDEX(입력_상담!$A$5:$A$1004,$AK227)))</f>
        <v/>
      </c>
      <c r="AE227" s="25" t="str">
        <f aca="false">IF(AND(ISNUMBER(AB227),ISNUMBER(AC227)),IF(AC227&gt;=AB227,ROUND((AC227-AB227)*1440,0),""),"")</f>
        <v/>
      </c>
      <c r="AF227" s="25" t="str">
        <f aca="false">IF(AND(ISNUMBER(AC227),ISNUMBER(AD227)),IF(AD227&gt;=AC227,ROUND((AD227-AC227)*1440,0),""),"")</f>
        <v/>
      </c>
      <c r="AG227" s="25" t="str">
        <f aca="false">IF(AND(AA227="완료",ISNUMBER(AB227),ISNUMBER(AD227)),IF(AD227&gt;=AB227,ROUND((AD227-AB227)*1440,0),""),"")</f>
        <v/>
      </c>
      <c r="AH227" s="61" t="str">
        <f aca="false">IF(AND(AK227&gt;0,AJ227=0),"측정 기록 없음",IF(AND(AJ227&gt;0,AI227=0),"운동평가 기록 없음",IF(OR(COUNTIF(입력_운동!$B$5:$B$1004,$A227)&gt;1,COUNTIF(입력_측정!$B$5:$B$1004,$A227)&gt;1),"중복 입력","")))</f>
        <v/>
      </c>
      <c r="AI227" s="62" t="n">
        <f aca="false">SUMPRODUCT(MAX((입력_운동!$B$5:$B$1004=$A227)*(ROW(입력_운동!$B$5:$B$1004)-4)))</f>
        <v>0</v>
      </c>
      <c r="AJ227" s="62" t="n">
        <f aca="false">SUMPRODUCT(MAX((입력_측정!$B$5:$B$1004=$A227)*(ROW(입력_측정!$B$5:$B$1004)-4)))</f>
        <v>0</v>
      </c>
      <c r="AK227" s="62" t="n">
        <f aca="false">SUMPRODUCT(MAX((입력_상담!$B$5:$B$1004=$A227)*(ROW(입력_상담!$B$5:$B$1004)-4)))</f>
        <v>0</v>
      </c>
    </row>
    <row r="228" customFormat="false" ht="15" hidden="false" customHeight="false" outlineLevel="0" collapsed="false">
      <c r="A228" s="55" t="n">
        <v>224</v>
      </c>
      <c r="B228" s="56"/>
      <c r="C228" s="24"/>
      <c r="D228" s="24"/>
      <c r="E228" s="56"/>
      <c r="F228" s="57"/>
      <c r="G228" s="58"/>
      <c r="H228" s="56"/>
      <c r="I228" s="24"/>
      <c r="J228" s="24"/>
      <c r="K228" s="24"/>
      <c r="L228" s="24"/>
      <c r="M228" s="24"/>
      <c r="N228" s="56"/>
      <c r="O228" s="25" t="str">
        <f aca="false">IF($AI228=0,"",IF(INDEX(입력_운동!$C$5:$C$1004,$AI228)="","",INDEX(입력_운동!$C$5:$C$1004,$AI228)))</f>
        <v/>
      </c>
      <c r="P228" s="25" t="str">
        <f aca="false">IF($AI228=0,"",IF(INDEX(입력_운동!$D$5:$D$1004,$AI228)="","",INDEX(입력_운동!$D$5:$D$1004,$AI228)))</f>
        <v/>
      </c>
      <c r="Q228" s="25" t="str">
        <f aca="false">IF($AI228=0,"",IF(INDEX(입력_운동!$E$5:$E$1004,$AI228)="","",INDEX(입력_운동!$E$5:$E$1004,$AI228)))</f>
        <v/>
      </c>
      <c r="R228" s="25" t="str">
        <f aca="false">IF($AI228=0,"",IF(INDEX(입력_운동!$F$5:$F$1004,$AI228)="","",INDEX(입력_운동!$F$5:$F$1004,$AI228)))</f>
        <v/>
      </c>
      <c r="S228" s="25" t="str">
        <f aca="false">IF($AJ228=0,"",IF(INDEX(입력_측정!$C$5:$C$1004,$AJ228)="","",INDEX(입력_측정!$C$5:$C$1004,$AJ228)))</f>
        <v/>
      </c>
      <c r="T228" s="25" t="str">
        <f aca="false">IF($AJ228=0,"",IF(INDEX(입력_측정!$D$5:$D$1004,$AJ228)="","",INDEX(입력_측정!$D$5:$D$1004,$AJ228)))</f>
        <v/>
      </c>
      <c r="U228" s="25" t="str">
        <f aca="false">IF($AJ228=0,"",IF(INDEX(입력_측정!$E$5:$E$1004,$AJ228)="","",INDEX(입력_측정!$E$5:$E$1004,$AJ228)))</f>
        <v/>
      </c>
      <c r="V228" s="25" t="str">
        <f aca="false">IF($AJ228=0,"",IF(INDEX(입력_측정!$F$5:$F$1004,$AJ228)="","",INDEX(입력_측정!$F$5:$F$1004,$AJ228)))</f>
        <v/>
      </c>
      <c r="W228" s="25" t="str">
        <f aca="false">IF($AK228=0,"",IF(INDEX(입력_상담!$D$5:$D$1004,$AK228)="","",INDEX(입력_상담!$D$5:$D$1004,$AK228)))</f>
        <v/>
      </c>
      <c r="X228" s="25" t="str">
        <f aca="false">IF($AJ228=0,"",IF(INDEX(입력_측정!$I$5:$I$1004,$AJ228)="","",INDEX(입력_측정!$I$5:$I$1004,$AJ228)))</f>
        <v/>
      </c>
      <c r="Y228" s="25" t="str">
        <f aca="false">IF($AJ228=0,"",IF(INDEX(입력_측정!$J$5:$J$1004,$AJ228)="","",INDEX(입력_측정!$J$5:$J$1004,$AJ228)))</f>
        <v/>
      </c>
      <c r="Z228" s="25" t="str">
        <f aca="false">IF(OR(X228="긴급",LEFT(Y228,2)="긴급",W228="필요",W228="완료"),"대상","")</f>
        <v/>
      </c>
      <c r="AA228" s="59" t="str">
        <f aca="false">IF(M228&lt;&gt;"",M228,IF(AK228&gt;0,IF(W228="필요","추가상담 대기","완료"),IF(AJ228&gt;0,"결과상담 대기",IF(AI228&gt;0,"측정 대기","미방문"))))</f>
        <v>미방문</v>
      </c>
      <c r="AB228" s="60" t="str">
        <f aca="false">IF($AI228=0,"",IF(INDEX(입력_운동!$A$5:$A$1004,$AI228)="","",INDEX(입력_운동!$A$5:$A$1004,$AI228)))</f>
        <v/>
      </c>
      <c r="AC228" s="60" t="str">
        <f aca="false">IF($AJ228=0,"",IF(INDEX(입력_측정!$A$5:$A$1004,$AJ228)="","",INDEX(입력_측정!$A$5:$A$1004,$AJ228)))</f>
        <v/>
      </c>
      <c r="AD228" s="60" t="str">
        <f aca="false">IF($AK228=0,"",IF(INDEX(입력_상담!$A$5:$A$1004,$AK228)="","",INDEX(입력_상담!$A$5:$A$1004,$AK228)))</f>
        <v/>
      </c>
      <c r="AE228" s="25" t="str">
        <f aca="false">IF(AND(ISNUMBER(AB228),ISNUMBER(AC228)),IF(AC228&gt;=AB228,ROUND((AC228-AB228)*1440,0),""),"")</f>
        <v/>
      </c>
      <c r="AF228" s="25" t="str">
        <f aca="false">IF(AND(ISNUMBER(AC228),ISNUMBER(AD228)),IF(AD228&gt;=AC228,ROUND((AD228-AC228)*1440,0),""),"")</f>
        <v/>
      </c>
      <c r="AG228" s="25" t="str">
        <f aca="false">IF(AND(AA228="완료",ISNUMBER(AB228),ISNUMBER(AD228)),IF(AD228&gt;=AB228,ROUND((AD228-AB228)*1440,0),""),"")</f>
        <v/>
      </c>
      <c r="AH228" s="61" t="str">
        <f aca="false">IF(AND(AK228&gt;0,AJ228=0),"측정 기록 없음",IF(AND(AJ228&gt;0,AI228=0),"운동평가 기록 없음",IF(OR(COUNTIF(입력_운동!$B$5:$B$1004,$A228)&gt;1,COUNTIF(입력_측정!$B$5:$B$1004,$A228)&gt;1),"중복 입력","")))</f>
        <v/>
      </c>
      <c r="AI228" s="62" t="n">
        <f aca="false">SUMPRODUCT(MAX((입력_운동!$B$5:$B$1004=$A228)*(ROW(입력_운동!$B$5:$B$1004)-4)))</f>
        <v>0</v>
      </c>
      <c r="AJ228" s="62" t="n">
        <f aca="false">SUMPRODUCT(MAX((입력_측정!$B$5:$B$1004=$A228)*(ROW(입력_측정!$B$5:$B$1004)-4)))</f>
        <v>0</v>
      </c>
      <c r="AK228" s="62" t="n">
        <f aca="false">SUMPRODUCT(MAX((입력_상담!$B$5:$B$1004=$A228)*(ROW(입력_상담!$B$5:$B$1004)-4)))</f>
        <v>0</v>
      </c>
    </row>
    <row r="229" customFormat="false" ht="15" hidden="false" customHeight="false" outlineLevel="0" collapsed="false">
      <c r="A229" s="55" t="n">
        <v>225</v>
      </c>
      <c r="B229" s="56"/>
      <c r="C229" s="24"/>
      <c r="D229" s="24"/>
      <c r="E229" s="56"/>
      <c r="F229" s="57"/>
      <c r="G229" s="58"/>
      <c r="H229" s="56"/>
      <c r="I229" s="24"/>
      <c r="J229" s="24"/>
      <c r="K229" s="24"/>
      <c r="L229" s="24"/>
      <c r="M229" s="24"/>
      <c r="N229" s="56"/>
      <c r="O229" s="25" t="str">
        <f aca="false">IF($AI229=0,"",IF(INDEX(입력_운동!$C$5:$C$1004,$AI229)="","",INDEX(입력_운동!$C$5:$C$1004,$AI229)))</f>
        <v/>
      </c>
      <c r="P229" s="25" t="str">
        <f aca="false">IF($AI229=0,"",IF(INDEX(입력_운동!$D$5:$D$1004,$AI229)="","",INDEX(입력_운동!$D$5:$D$1004,$AI229)))</f>
        <v/>
      </c>
      <c r="Q229" s="25" t="str">
        <f aca="false">IF($AI229=0,"",IF(INDEX(입력_운동!$E$5:$E$1004,$AI229)="","",INDEX(입력_운동!$E$5:$E$1004,$AI229)))</f>
        <v/>
      </c>
      <c r="R229" s="25" t="str">
        <f aca="false">IF($AI229=0,"",IF(INDEX(입력_운동!$F$5:$F$1004,$AI229)="","",INDEX(입력_운동!$F$5:$F$1004,$AI229)))</f>
        <v/>
      </c>
      <c r="S229" s="25" t="str">
        <f aca="false">IF($AJ229=0,"",IF(INDEX(입력_측정!$C$5:$C$1004,$AJ229)="","",INDEX(입력_측정!$C$5:$C$1004,$AJ229)))</f>
        <v/>
      </c>
      <c r="T229" s="25" t="str">
        <f aca="false">IF($AJ229=0,"",IF(INDEX(입력_측정!$D$5:$D$1004,$AJ229)="","",INDEX(입력_측정!$D$5:$D$1004,$AJ229)))</f>
        <v/>
      </c>
      <c r="U229" s="25" t="str">
        <f aca="false">IF($AJ229=0,"",IF(INDEX(입력_측정!$E$5:$E$1004,$AJ229)="","",INDEX(입력_측정!$E$5:$E$1004,$AJ229)))</f>
        <v/>
      </c>
      <c r="V229" s="25" t="str">
        <f aca="false">IF($AJ229=0,"",IF(INDEX(입력_측정!$F$5:$F$1004,$AJ229)="","",INDEX(입력_측정!$F$5:$F$1004,$AJ229)))</f>
        <v/>
      </c>
      <c r="W229" s="25" t="str">
        <f aca="false">IF($AK229=0,"",IF(INDEX(입력_상담!$D$5:$D$1004,$AK229)="","",INDEX(입력_상담!$D$5:$D$1004,$AK229)))</f>
        <v/>
      </c>
      <c r="X229" s="25" t="str">
        <f aca="false">IF($AJ229=0,"",IF(INDEX(입력_측정!$I$5:$I$1004,$AJ229)="","",INDEX(입력_측정!$I$5:$I$1004,$AJ229)))</f>
        <v/>
      </c>
      <c r="Y229" s="25" t="str">
        <f aca="false">IF($AJ229=0,"",IF(INDEX(입력_측정!$J$5:$J$1004,$AJ229)="","",INDEX(입력_측정!$J$5:$J$1004,$AJ229)))</f>
        <v/>
      </c>
      <c r="Z229" s="25" t="str">
        <f aca="false">IF(OR(X229="긴급",LEFT(Y229,2)="긴급",W229="필요",W229="완료"),"대상","")</f>
        <v/>
      </c>
      <c r="AA229" s="59" t="str">
        <f aca="false">IF(M229&lt;&gt;"",M229,IF(AK229&gt;0,IF(W229="필요","추가상담 대기","완료"),IF(AJ229&gt;0,"결과상담 대기",IF(AI229&gt;0,"측정 대기","미방문"))))</f>
        <v>미방문</v>
      </c>
      <c r="AB229" s="60" t="str">
        <f aca="false">IF($AI229=0,"",IF(INDEX(입력_운동!$A$5:$A$1004,$AI229)="","",INDEX(입력_운동!$A$5:$A$1004,$AI229)))</f>
        <v/>
      </c>
      <c r="AC229" s="60" t="str">
        <f aca="false">IF($AJ229=0,"",IF(INDEX(입력_측정!$A$5:$A$1004,$AJ229)="","",INDEX(입력_측정!$A$5:$A$1004,$AJ229)))</f>
        <v/>
      </c>
      <c r="AD229" s="60" t="str">
        <f aca="false">IF($AK229=0,"",IF(INDEX(입력_상담!$A$5:$A$1004,$AK229)="","",INDEX(입력_상담!$A$5:$A$1004,$AK229)))</f>
        <v/>
      </c>
      <c r="AE229" s="25" t="str">
        <f aca="false">IF(AND(ISNUMBER(AB229),ISNUMBER(AC229)),IF(AC229&gt;=AB229,ROUND((AC229-AB229)*1440,0),""),"")</f>
        <v/>
      </c>
      <c r="AF229" s="25" t="str">
        <f aca="false">IF(AND(ISNUMBER(AC229),ISNUMBER(AD229)),IF(AD229&gt;=AC229,ROUND((AD229-AC229)*1440,0),""),"")</f>
        <v/>
      </c>
      <c r="AG229" s="25" t="str">
        <f aca="false">IF(AND(AA229="완료",ISNUMBER(AB229),ISNUMBER(AD229)),IF(AD229&gt;=AB229,ROUND((AD229-AB229)*1440,0),""),"")</f>
        <v/>
      </c>
      <c r="AH229" s="61" t="str">
        <f aca="false">IF(AND(AK229&gt;0,AJ229=0),"측정 기록 없음",IF(AND(AJ229&gt;0,AI229=0),"운동평가 기록 없음",IF(OR(COUNTIF(입력_운동!$B$5:$B$1004,$A229)&gt;1,COUNTIF(입력_측정!$B$5:$B$1004,$A229)&gt;1),"중복 입력","")))</f>
        <v/>
      </c>
      <c r="AI229" s="62" t="n">
        <f aca="false">SUMPRODUCT(MAX((입력_운동!$B$5:$B$1004=$A229)*(ROW(입력_운동!$B$5:$B$1004)-4)))</f>
        <v>0</v>
      </c>
      <c r="AJ229" s="62" t="n">
        <f aca="false">SUMPRODUCT(MAX((입력_측정!$B$5:$B$1004=$A229)*(ROW(입력_측정!$B$5:$B$1004)-4)))</f>
        <v>0</v>
      </c>
      <c r="AK229" s="62" t="n">
        <f aca="false">SUMPRODUCT(MAX((입력_상담!$B$5:$B$1004=$A229)*(ROW(입력_상담!$B$5:$B$1004)-4)))</f>
        <v>0</v>
      </c>
    </row>
    <row r="230" customFormat="false" ht="15" hidden="false" customHeight="false" outlineLevel="0" collapsed="false">
      <c r="A230" s="55" t="n">
        <v>226</v>
      </c>
      <c r="B230" s="56"/>
      <c r="C230" s="24"/>
      <c r="D230" s="24"/>
      <c r="E230" s="56"/>
      <c r="F230" s="57"/>
      <c r="G230" s="58"/>
      <c r="H230" s="56"/>
      <c r="I230" s="24"/>
      <c r="J230" s="24"/>
      <c r="K230" s="24"/>
      <c r="L230" s="24"/>
      <c r="M230" s="24"/>
      <c r="N230" s="56"/>
      <c r="O230" s="25" t="str">
        <f aca="false">IF($AI230=0,"",IF(INDEX(입력_운동!$C$5:$C$1004,$AI230)="","",INDEX(입력_운동!$C$5:$C$1004,$AI230)))</f>
        <v/>
      </c>
      <c r="P230" s="25" t="str">
        <f aca="false">IF($AI230=0,"",IF(INDEX(입력_운동!$D$5:$D$1004,$AI230)="","",INDEX(입력_운동!$D$5:$D$1004,$AI230)))</f>
        <v/>
      </c>
      <c r="Q230" s="25" t="str">
        <f aca="false">IF($AI230=0,"",IF(INDEX(입력_운동!$E$5:$E$1004,$AI230)="","",INDEX(입력_운동!$E$5:$E$1004,$AI230)))</f>
        <v/>
      </c>
      <c r="R230" s="25" t="str">
        <f aca="false">IF($AI230=0,"",IF(INDEX(입력_운동!$F$5:$F$1004,$AI230)="","",INDEX(입력_운동!$F$5:$F$1004,$AI230)))</f>
        <v/>
      </c>
      <c r="S230" s="25" t="str">
        <f aca="false">IF($AJ230=0,"",IF(INDEX(입력_측정!$C$5:$C$1004,$AJ230)="","",INDEX(입력_측정!$C$5:$C$1004,$AJ230)))</f>
        <v/>
      </c>
      <c r="T230" s="25" t="str">
        <f aca="false">IF($AJ230=0,"",IF(INDEX(입력_측정!$D$5:$D$1004,$AJ230)="","",INDEX(입력_측정!$D$5:$D$1004,$AJ230)))</f>
        <v/>
      </c>
      <c r="U230" s="25" t="str">
        <f aca="false">IF($AJ230=0,"",IF(INDEX(입력_측정!$E$5:$E$1004,$AJ230)="","",INDEX(입력_측정!$E$5:$E$1004,$AJ230)))</f>
        <v/>
      </c>
      <c r="V230" s="25" t="str">
        <f aca="false">IF($AJ230=0,"",IF(INDEX(입력_측정!$F$5:$F$1004,$AJ230)="","",INDEX(입력_측정!$F$5:$F$1004,$AJ230)))</f>
        <v/>
      </c>
      <c r="W230" s="25" t="str">
        <f aca="false">IF($AK230=0,"",IF(INDEX(입력_상담!$D$5:$D$1004,$AK230)="","",INDEX(입력_상담!$D$5:$D$1004,$AK230)))</f>
        <v/>
      </c>
      <c r="X230" s="25" t="str">
        <f aca="false">IF($AJ230=0,"",IF(INDEX(입력_측정!$I$5:$I$1004,$AJ230)="","",INDEX(입력_측정!$I$5:$I$1004,$AJ230)))</f>
        <v/>
      </c>
      <c r="Y230" s="25" t="str">
        <f aca="false">IF($AJ230=0,"",IF(INDEX(입력_측정!$J$5:$J$1004,$AJ230)="","",INDEX(입력_측정!$J$5:$J$1004,$AJ230)))</f>
        <v/>
      </c>
      <c r="Z230" s="25" t="str">
        <f aca="false">IF(OR(X230="긴급",LEFT(Y230,2)="긴급",W230="필요",W230="완료"),"대상","")</f>
        <v/>
      </c>
      <c r="AA230" s="59" t="str">
        <f aca="false">IF(M230&lt;&gt;"",M230,IF(AK230&gt;0,IF(W230="필요","추가상담 대기","완료"),IF(AJ230&gt;0,"결과상담 대기",IF(AI230&gt;0,"측정 대기","미방문"))))</f>
        <v>미방문</v>
      </c>
      <c r="AB230" s="60" t="str">
        <f aca="false">IF($AI230=0,"",IF(INDEX(입력_운동!$A$5:$A$1004,$AI230)="","",INDEX(입력_운동!$A$5:$A$1004,$AI230)))</f>
        <v/>
      </c>
      <c r="AC230" s="60" t="str">
        <f aca="false">IF($AJ230=0,"",IF(INDEX(입력_측정!$A$5:$A$1004,$AJ230)="","",INDEX(입력_측정!$A$5:$A$1004,$AJ230)))</f>
        <v/>
      </c>
      <c r="AD230" s="60" t="str">
        <f aca="false">IF($AK230=0,"",IF(INDEX(입력_상담!$A$5:$A$1004,$AK230)="","",INDEX(입력_상담!$A$5:$A$1004,$AK230)))</f>
        <v/>
      </c>
      <c r="AE230" s="25" t="str">
        <f aca="false">IF(AND(ISNUMBER(AB230),ISNUMBER(AC230)),IF(AC230&gt;=AB230,ROUND((AC230-AB230)*1440,0),""),"")</f>
        <v/>
      </c>
      <c r="AF230" s="25" t="str">
        <f aca="false">IF(AND(ISNUMBER(AC230),ISNUMBER(AD230)),IF(AD230&gt;=AC230,ROUND((AD230-AC230)*1440,0),""),"")</f>
        <v/>
      </c>
      <c r="AG230" s="25" t="str">
        <f aca="false">IF(AND(AA230="완료",ISNUMBER(AB230),ISNUMBER(AD230)),IF(AD230&gt;=AB230,ROUND((AD230-AB230)*1440,0),""),"")</f>
        <v/>
      </c>
      <c r="AH230" s="61" t="str">
        <f aca="false">IF(AND(AK230&gt;0,AJ230=0),"측정 기록 없음",IF(AND(AJ230&gt;0,AI230=0),"운동평가 기록 없음",IF(OR(COUNTIF(입력_운동!$B$5:$B$1004,$A230)&gt;1,COUNTIF(입력_측정!$B$5:$B$1004,$A230)&gt;1),"중복 입력","")))</f>
        <v/>
      </c>
      <c r="AI230" s="62" t="n">
        <f aca="false">SUMPRODUCT(MAX((입력_운동!$B$5:$B$1004=$A230)*(ROW(입력_운동!$B$5:$B$1004)-4)))</f>
        <v>0</v>
      </c>
      <c r="AJ230" s="62" t="n">
        <f aca="false">SUMPRODUCT(MAX((입력_측정!$B$5:$B$1004=$A230)*(ROW(입력_측정!$B$5:$B$1004)-4)))</f>
        <v>0</v>
      </c>
      <c r="AK230" s="62" t="n">
        <f aca="false">SUMPRODUCT(MAX((입력_상담!$B$5:$B$1004=$A230)*(ROW(입력_상담!$B$5:$B$1004)-4)))</f>
        <v>0</v>
      </c>
    </row>
    <row r="231" customFormat="false" ht="15" hidden="false" customHeight="false" outlineLevel="0" collapsed="false">
      <c r="A231" s="55" t="n">
        <v>227</v>
      </c>
      <c r="B231" s="56"/>
      <c r="C231" s="24"/>
      <c r="D231" s="24"/>
      <c r="E231" s="56"/>
      <c r="F231" s="57"/>
      <c r="G231" s="58"/>
      <c r="H231" s="56"/>
      <c r="I231" s="24"/>
      <c r="J231" s="24"/>
      <c r="K231" s="24"/>
      <c r="L231" s="24"/>
      <c r="M231" s="24"/>
      <c r="N231" s="56"/>
      <c r="O231" s="25" t="str">
        <f aca="false">IF($AI231=0,"",IF(INDEX(입력_운동!$C$5:$C$1004,$AI231)="","",INDEX(입력_운동!$C$5:$C$1004,$AI231)))</f>
        <v/>
      </c>
      <c r="P231" s="25" t="str">
        <f aca="false">IF($AI231=0,"",IF(INDEX(입력_운동!$D$5:$D$1004,$AI231)="","",INDEX(입력_운동!$D$5:$D$1004,$AI231)))</f>
        <v/>
      </c>
      <c r="Q231" s="25" t="str">
        <f aca="false">IF($AI231=0,"",IF(INDEX(입력_운동!$E$5:$E$1004,$AI231)="","",INDEX(입력_운동!$E$5:$E$1004,$AI231)))</f>
        <v/>
      </c>
      <c r="R231" s="25" t="str">
        <f aca="false">IF($AI231=0,"",IF(INDEX(입력_운동!$F$5:$F$1004,$AI231)="","",INDEX(입력_운동!$F$5:$F$1004,$AI231)))</f>
        <v/>
      </c>
      <c r="S231" s="25" t="str">
        <f aca="false">IF($AJ231=0,"",IF(INDEX(입력_측정!$C$5:$C$1004,$AJ231)="","",INDEX(입력_측정!$C$5:$C$1004,$AJ231)))</f>
        <v/>
      </c>
      <c r="T231" s="25" t="str">
        <f aca="false">IF($AJ231=0,"",IF(INDEX(입력_측정!$D$5:$D$1004,$AJ231)="","",INDEX(입력_측정!$D$5:$D$1004,$AJ231)))</f>
        <v/>
      </c>
      <c r="U231" s="25" t="str">
        <f aca="false">IF($AJ231=0,"",IF(INDEX(입력_측정!$E$5:$E$1004,$AJ231)="","",INDEX(입력_측정!$E$5:$E$1004,$AJ231)))</f>
        <v/>
      </c>
      <c r="V231" s="25" t="str">
        <f aca="false">IF($AJ231=0,"",IF(INDEX(입력_측정!$F$5:$F$1004,$AJ231)="","",INDEX(입력_측정!$F$5:$F$1004,$AJ231)))</f>
        <v/>
      </c>
      <c r="W231" s="25" t="str">
        <f aca="false">IF($AK231=0,"",IF(INDEX(입력_상담!$D$5:$D$1004,$AK231)="","",INDEX(입력_상담!$D$5:$D$1004,$AK231)))</f>
        <v/>
      </c>
      <c r="X231" s="25" t="str">
        <f aca="false">IF($AJ231=0,"",IF(INDEX(입력_측정!$I$5:$I$1004,$AJ231)="","",INDEX(입력_측정!$I$5:$I$1004,$AJ231)))</f>
        <v/>
      </c>
      <c r="Y231" s="25" t="str">
        <f aca="false">IF($AJ231=0,"",IF(INDEX(입력_측정!$J$5:$J$1004,$AJ231)="","",INDEX(입력_측정!$J$5:$J$1004,$AJ231)))</f>
        <v/>
      </c>
      <c r="Z231" s="25" t="str">
        <f aca="false">IF(OR(X231="긴급",LEFT(Y231,2)="긴급",W231="필요",W231="완료"),"대상","")</f>
        <v/>
      </c>
      <c r="AA231" s="59" t="str">
        <f aca="false">IF(M231&lt;&gt;"",M231,IF(AK231&gt;0,IF(W231="필요","추가상담 대기","완료"),IF(AJ231&gt;0,"결과상담 대기",IF(AI231&gt;0,"측정 대기","미방문"))))</f>
        <v>미방문</v>
      </c>
      <c r="AB231" s="60" t="str">
        <f aca="false">IF($AI231=0,"",IF(INDEX(입력_운동!$A$5:$A$1004,$AI231)="","",INDEX(입력_운동!$A$5:$A$1004,$AI231)))</f>
        <v/>
      </c>
      <c r="AC231" s="60" t="str">
        <f aca="false">IF($AJ231=0,"",IF(INDEX(입력_측정!$A$5:$A$1004,$AJ231)="","",INDEX(입력_측정!$A$5:$A$1004,$AJ231)))</f>
        <v/>
      </c>
      <c r="AD231" s="60" t="str">
        <f aca="false">IF($AK231=0,"",IF(INDEX(입력_상담!$A$5:$A$1004,$AK231)="","",INDEX(입력_상담!$A$5:$A$1004,$AK231)))</f>
        <v/>
      </c>
      <c r="AE231" s="25" t="str">
        <f aca="false">IF(AND(ISNUMBER(AB231),ISNUMBER(AC231)),IF(AC231&gt;=AB231,ROUND((AC231-AB231)*1440,0),""),"")</f>
        <v/>
      </c>
      <c r="AF231" s="25" t="str">
        <f aca="false">IF(AND(ISNUMBER(AC231),ISNUMBER(AD231)),IF(AD231&gt;=AC231,ROUND((AD231-AC231)*1440,0),""),"")</f>
        <v/>
      </c>
      <c r="AG231" s="25" t="str">
        <f aca="false">IF(AND(AA231="완료",ISNUMBER(AB231),ISNUMBER(AD231)),IF(AD231&gt;=AB231,ROUND((AD231-AB231)*1440,0),""),"")</f>
        <v/>
      </c>
      <c r="AH231" s="61" t="str">
        <f aca="false">IF(AND(AK231&gt;0,AJ231=0),"측정 기록 없음",IF(AND(AJ231&gt;0,AI231=0),"운동평가 기록 없음",IF(OR(COUNTIF(입력_운동!$B$5:$B$1004,$A231)&gt;1,COUNTIF(입력_측정!$B$5:$B$1004,$A231)&gt;1),"중복 입력","")))</f>
        <v/>
      </c>
      <c r="AI231" s="62" t="n">
        <f aca="false">SUMPRODUCT(MAX((입력_운동!$B$5:$B$1004=$A231)*(ROW(입력_운동!$B$5:$B$1004)-4)))</f>
        <v>0</v>
      </c>
      <c r="AJ231" s="62" t="n">
        <f aca="false">SUMPRODUCT(MAX((입력_측정!$B$5:$B$1004=$A231)*(ROW(입력_측정!$B$5:$B$1004)-4)))</f>
        <v>0</v>
      </c>
      <c r="AK231" s="62" t="n">
        <f aca="false">SUMPRODUCT(MAX((입력_상담!$B$5:$B$1004=$A231)*(ROW(입력_상담!$B$5:$B$1004)-4)))</f>
        <v>0</v>
      </c>
    </row>
    <row r="232" customFormat="false" ht="15" hidden="false" customHeight="false" outlineLevel="0" collapsed="false">
      <c r="A232" s="55" t="n">
        <v>228</v>
      </c>
      <c r="B232" s="56"/>
      <c r="C232" s="24"/>
      <c r="D232" s="24"/>
      <c r="E232" s="56"/>
      <c r="F232" s="57"/>
      <c r="G232" s="58"/>
      <c r="H232" s="56"/>
      <c r="I232" s="24"/>
      <c r="J232" s="24"/>
      <c r="K232" s="24"/>
      <c r="L232" s="24"/>
      <c r="M232" s="24"/>
      <c r="N232" s="56"/>
      <c r="O232" s="25" t="str">
        <f aca="false">IF($AI232=0,"",IF(INDEX(입력_운동!$C$5:$C$1004,$AI232)="","",INDEX(입력_운동!$C$5:$C$1004,$AI232)))</f>
        <v/>
      </c>
      <c r="P232" s="25" t="str">
        <f aca="false">IF($AI232=0,"",IF(INDEX(입력_운동!$D$5:$D$1004,$AI232)="","",INDEX(입력_운동!$D$5:$D$1004,$AI232)))</f>
        <v/>
      </c>
      <c r="Q232" s="25" t="str">
        <f aca="false">IF($AI232=0,"",IF(INDEX(입력_운동!$E$5:$E$1004,$AI232)="","",INDEX(입력_운동!$E$5:$E$1004,$AI232)))</f>
        <v/>
      </c>
      <c r="R232" s="25" t="str">
        <f aca="false">IF($AI232=0,"",IF(INDEX(입력_운동!$F$5:$F$1004,$AI232)="","",INDEX(입력_운동!$F$5:$F$1004,$AI232)))</f>
        <v/>
      </c>
      <c r="S232" s="25" t="str">
        <f aca="false">IF($AJ232=0,"",IF(INDEX(입력_측정!$C$5:$C$1004,$AJ232)="","",INDEX(입력_측정!$C$5:$C$1004,$AJ232)))</f>
        <v/>
      </c>
      <c r="T232" s="25" t="str">
        <f aca="false">IF($AJ232=0,"",IF(INDEX(입력_측정!$D$5:$D$1004,$AJ232)="","",INDEX(입력_측정!$D$5:$D$1004,$AJ232)))</f>
        <v/>
      </c>
      <c r="U232" s="25" t="str">
        <f aca="false">IF($AJ232=0,"",IF(INDEX(입력_측정!$E$5:$E$1004,$AJ232)="","",INDEX(입력_측정!$E$5:$E$1004,$AJ232)))</f>
        <v/>
      </c>
      <c r="V232" s="25" t="str">
        <f aca="false">IF($AJ232=0,"",IF(INDEX(입력_측정!$F$5:$F$1004,$AJ232)="","",INDEX(입력_측정!$F$5:$F$1004,$AJ232)))</f>
        <v/>
      </c>
      <c r="W232" s="25" t="str">
        <f aca="false">IF($AK232=0,"",IF(INDEX(입력_상담!$D$5:$D$1004,$AK232)="","",INDEX(입력_상담!$D$5:$D$1004,$AK232)))</f>
        <v/>
      </c>
      <c r="X232" s="25" t="str">
        <f aca="false">IF($AJ232=0,"",IF(INDEX(입력_측정!$I$5:$I$1004,$AJ232)="","",INDEX(입력_측정!$I$5:$I$1004,$AJ232)))</f>
        <v/>
      </c>
      <c r="Y232" s="25" t="str">
        <f aca="false">IF($AJ232=0,"",IF(INDEX(입력_측정!$J$5:$J$1004,$AJ232)="","",INDEX(입력_측정!$J$5:$J$1004,$AJ232)))</f>
        <v/>
      </c>
      <c r="Z232" s="25" t="str">
        <f aca="false">IF(OR(X232="긴급",LEFT(Y232,2)="긴급",W232="필요",W232="완료"),"대상","")</f>
        <v/>
      </c>
      <c r="AA232" s="59" t="str">
        <f aca="false">IF(M232&lt;&gt;"",M232,IF(AK232&gt;0,IF(W232="필요","추가상담 대기","완료"),IF(AJ232&gt;0,"결과상담 대기",IF(AI232&gt;0,"측정 대기","미방문"))))</f>
        <v>미방문</v>
      </c>
      <c r="AB232" s="60" t="str">
        <f aca="false">IF($AI232=0,"",IF(INDEX(입력_운동!$A$5:$A$1004,$AI232)="","",INDEX(입력_운동!$A$5:$A$1004,$AI232)))</f>
        <v/>
      </c>
      <c r="AC232" s="60" t="str">
        <f aca="false">IF($AJ232=0,"",IF(INDEX(입력_측정!$A$5:$A$1004,$AJ232)="","",INDEX(입력_측정!$A$5:$A$1004,$AJ232)))</f>
        <v/>
      </c>
      <c r="AD232" s="60" t="str">
        <f aca="false">IF($AK232=0,"",IF(INDEX(입력_상담!$A$5:$A$1004,$AK232)="","",INDEX(입력_상담!$A$5:$A$1004,$AK232)))</f>
        <v/>
      </c>
      <c r="AE232" s="25" t="str">
        <f aca="false">IF(AND(ISNUMBER(AB232),ISNUMBER(AC232)),IF(AC232&gt;=AB232,ROUND((AC232-AB232)*1440,0),""),"")</f>
        <v/>
      </c>
      <c r="AF232" s="25" t="str">
        <f aca="false">IF(AND(ISNUMBER(AC232),ISNUMBER(AD232)),IF(AD232&gt;=AC232,ROUND((AD232-AC232)*1440,0),""),"")</f>
        <v/>
      </c>
      <c r="AG232" s="25" t="str">
        <f aca="false">IF(AND(AA232="완료",ISNUMBER(AB232),ISNUMBER(AD232)),IF(AD232&gt;=AB232,ROUND((AD232-AB232)*1440,0),""),"")</f>
        <v/>
      </c>
      <c r="AH232" s="61" t="str">
        <f aca="false">IF(AND(AK232&gt;0,AJ232=0),"측정 기록 없음",IF(AND(AJ232&gt;0,AI232=0),"운동평가 기록 없음",IF(OR(COUNTIF(입력_운동!$B$5:$B$1004,$A232)&gt;1,COUNTIF(입력_측정!$B$5:$B$1004,$A232)&gt;1),"중복 입력","")))</f>
        <v/>
      </c>
      <c r="AI232" s="62" t="n">
        <f aca="false">SUMPRODUCT(MAX((입력_운동!$B$5:$B$1004=$A232)*(ROW(입력_운동!$B$5:$B$1004)-4)))</f>
        <v>0</v>
      </c>
      <c r="AJ232" s="62" t="n">
        <f aca="false">SUMPRODUCT(MAX((입력_측정!$B$5:$B$1004=$A232)*(ROW(입력_측정!$B$5:$B$1004)-4)))</f>
        <v>0</v>
      </c>
      <c r="AK232" s="62" t="n">
        <f aca="false">SUMPRODUCT(MAX((입력_상담!$B$5:$B$1004=$A232)*(ROW(입력_상담!$B$5:$B$1004)-4)))</f>
        <v>0</v>
      </c>
    </row>
    <row r="233" customFormat="false" ht="15" hidden="false" customHeight="false" outlineLevel="0" collapsed="false">
      <c r="A233" s="55" t="n">
        <v>229</v>
      </c>
      <c r="B233" s="56"/>
      <c r="C233" s="24"/>
      <c r="D233" s="24"/>
      <c r="E233" s="56"/>
      <c r="F233" s="57"/>
      <c r="G233" s="58"/>
      <c r="H233" s="56"/>
      <c r="I233" s="24"/>
      <c r="J233" s="24"/>
      <c r="K233" s="24"/>
      <c r="L233" s="24"/>
      <c r="M233" s="24"/>
      <c r="N233" s="56"/>
      <c r="O233" s="25" t="str">
        <f aca="false">IF($AI233=0,"",IF(INDEX(입력_운동!$C$5:$C$1004,$AI233)="","",INDEX(입력_운동!$C$5:$C$1004,$AI233)))</f>
        <v/>
      </c>
      <c r="P233" s="25" t="str">
        <f aca="false">IF($AI233=0,"",IF(INDEX(입력_운동!$D$5:$D$1004,$AI233)="","",INDEX(입력_운동!$D$5:$D$1004,$AI233)))</f>
        <v/>
      </c>
      <c r="Q233" s="25" t="str">
        <f aca="false">IF($AI233=0,"",IF(INDEX(입력_운동!$E$5:$E$1004,$AI233)="","",INDEX(입력_운동!$E$5:$E$1004,$AI233)))</f>
        <v/>
      </c>
      <c r="R233" s="25" t="str">
        <f aca="false">IF($AI233=0,"",IF(INDEX(입력_운동!$F$5:$F$1004,$AI233)="","",INDEX(입력_운동!$F$5:$F$1004,$AI233)))</f>
        <v/>
      </c>
      <c r="S233" s="25" t="str">
        <f aca="false">IF($AJ233=0,"",IF(INDEX(입력_측정!$C$5:$C$1004,$AJ233)="","",INDEX(입력_측정!$C$5:$C$1004,$AJ233)))</f>
        <v/>
      </c>
      <c r="T233" s="25" t="str">
        <f aca="false">IF($AJ233=0,"",IF(INDEX(입력_측정!$D$5:$D$1004,$AJ233)="","",INDEX(입력_측정!$D$5:$D$1004,$AJ233)))</f>
        <v/>
      </c>
      <c r="U233" s="25" t="str">
        <f aca="false">IF($AJ233=0,"",IF(INDEX(입력_측정!$E$5:$E$1004,$AJ233)="","",INDEX(입력_측정!$E$5:$E$1004,$AJ233)))</f>
        <v/>
      </c>
      <c r="V233" s="25" t="str">
        <f aca="false">IF($AJ233=0,"",IF(INDEX(입력_측정!$F$5:$F$1004,$AJ233)="","",INDEX(입력_측정!$F$5:$F$1004,$AJ233)))</f>
        <v/>
      </c>
      <c r="W233" s="25" t="str">
        <f aca="false">IF($AK233=0,"",IF(INDEX(입력_상담!$D$5:$D$1004,$AK233)="","",INDEX(입력_상담!$D$5:$D$1004,$AK233)))</f>
        <v/>
      </c>
      <c r="X233" s="25" t="str">
        <f aca="false">IF($AJ233=0,"",IF(INDEX(입력_측정!$I$5:$I$1004,$AJ233)="","",INDEX(입력_측정!$I$5:$I$1004,$AJ233)))</f>
        <v/>
      </c>
      <c r="Y233" s="25" t="str">
        <f aca="false">IF($AJ233=0,"",IF(INDEX(입력_측정!$J$5:$J$1004,$AJ233)="","",INDEX(입력_측정!$J$5:$J$1004,$AJ233)))</f>
        <v/>
      </c>
      <c r="Z233" s="25" t="str">
        <f aca="false">IF(OR(X233="긴급",LEFT(Y233,2)="긴급",W233="필요",W233="완료"),"대상","")</f>
        <v/>
      </c>
      <c r="AA233" s="59" t="str">
        <f aca="false">IF(M233&lt;&gt;"",M233,IF(AK233&gt;0,IF(W233="필요","추가상담 대기","완료"),IF(AJ233&gt;0,"결과상담 대기",IF(AI233&gt;0,"측정 대기","미방문"))))</f>
        <v>미방문</v>
      </c>
      <c r="AB233" s="60" t="str">
        <f aca="false">IF($AI233=0,"",IF(INDEX(입력_운동!$A$5:$A$1004,$AI233)="","",INDEX(입력_운동!$A$5:$A$1004,$AI233)))</f>
        <v/>
      </c>
      <c r="AC233" s="60" t="str">
        <f aca="false">IF($AJ233=0,"",IF(INDEX(입력_측정!$A$5:$A$1004,$AJ233)="","",INDEX(입력_측정!$A$5:$A$1004,$AJ233)))</f>
        <v/>
      </c>
      <c r="AD233" s="60" t="str">
        <f aca="false">IF($AK233=0,"",IF(INDEX(입력_상담!$A$5:$A$1004,$AK233)="","",INDEX(입력_상담!$A$5:$A$1004,$AK233)))</f>
        <v/>
      </c>
      <c r="AE233" s="25" t="str">
        <f aca="false">IF(AND(ISNUMBER(AB233),ISNUMBER(AC233)),IF(AC233&gt;=AB233,ROUND((AC233-AB233)*1440,0),""),"")</f>
        <v/>
      </c>
      <c r="AF233" s="25" t="str">
        <f aca="false">IF(AND(ISNUMBER(AC233),ISNUMBER(AD233)),IF(AD233&gt;=AC233,ROUND((AD233-AC233)*1440,0),""),"")</f>
        <v/>
      </c>
      <c r="AG233" s="25" t="str">
        <f aca="false">IF(AND(AA233="완료",ISNUMBER(AB233),ISNUMBER(AD233)),IF(AD233&gt;=AB233,ROUND((AD233-AB233)*1440,0),""),"")</f>
        <v/>
      </c>
      <c r="AH233" s="61" t="str">
        <f aca="false">IF(AND(AK233&gt;0,AJ233=0),"측정 기록 없음",IF(AND(AJ233&gt;0,AI233=0),"운동평가 기록 없음",IF(OR(COUNTIF(입력_운동!$B$5:$B$1004,$A233)&gt;1,COUNTIF(입력_측정!$B$5:$B$1004,$A233)&gt;1),"중복 입력","")))</f>
        <v/>
      </c>
      <c r="AI233" s="62" t="n">
        <f aca="false">SUMPRODUCT(MAX((입력_운동!$B$5:$B$1004=$A233)*(ROW(입력_운동!$B$5:$B$1004)-4)))</f>
        <v>0</v>
      </c>
      <c r="AJ233" s="62" t="n">
        <f aca="false">SUMPRODUCT(MAX((입력_측정!$B$5:$B$1004=$A233)*(ROW(입력_측정!$B$5:$B$1004)-4)))</f>
        <v>0</v>
      </c>
      <c r="AK233" s="62" t="n">
        <f aca="false">SUMPRODUCT(MAX((입력_상담!$B$5:$B$1004=$A233)*(ROW(입력_상담!$B$5:$B$1004)-4)))</f>
        <v>0</v>
      </c>
    </row>
    <row r="234" customFormat="false" ht="15" hidden="false" customHeight="false" outlineLevel="0" collapsed="false">
      <c r="A234" s="55" t="n">
        <v>230</v>
      </c>
      <c r="B234" s="56"/>
      <c r="C234" s="24"/>
      <c r="D234" s="24"/>
      <c r="E234" s="56"/>
      <c r="F234" s="57"/>
      <c r="G234" s="58"/>
      <c r="H234" s="56"/>
      <c r="I234" s="24"/>
      <c r="J234" s="24"/>
      <c r="K234" s="24"/>
      <c r="L234" s="24"/>
      <c r="M234" s="24"/>
      <c r="N234" s="56"/>
      <c r="O234" s="25" t="str">
        <f aca="false">IF($AI234=0,"",IF(INDEX(입력_운동!$C$5:$C$1004,$AI234)="","",INDEX(입력_운동!$C$5:$C$1004,$AI234)))</f>
        <v/>
      </c>
      <c r="P234" s="25" t="str">
        <f aca="false">IF($AI234=0,"",IF(INDEX(입력_운동!$D$5:$D$1004,$AI234)="","",INDEX(입력_운동!$D$5:$D$1004,$AI234)))</f>
        <v/>
      </c>
      <c r="Q234" s="25" t="str">
        <f aca="false">IF($AI234=0,"",IF(INDEX(입력_운동!$E$5:$E$1004,$AI234)="","",INDEX(입력_운동!$E$5:$E$1004,$AI234)))</f>
        <v/>
      </c>
      <c r="R234" s="25" t="str">
        <f aca="false">IF($AI234=0,"",IF(INDEX(입력_운동!$F$5:$F$1004,$AI234)="","",INDEX(입력_운동!$F$5:$F$1004,$AI234)))</f>
        <v/>
      </c>
      <c r="S234" s="25" t="str">
        <f aca="false">IF($AJ234=0,"",IF(INDEX(입력_측정!$C$5:$C$1004,$AJ234)="","",INDEX(입력_측정!$C$5:$C$1004,$AJ234)))</f>
        <v/>
      </c>
      <c r="T234" s="25" t="str">
        <f aca="false">IF($AJ234=0,"",IF(INDEX(입력_측정!$D$5:$D$1004,$AJ234)="","",INDEX(입력_측정!$D$5:$D$1004,$AJ234)))</f>
        <v/>
      </c>
      <c r="U234" s="25" t="str">
        <f aca="false">IF($AJ234=0,"",IF(INDEX(입력_측정!$E$5:$E$1004,$AJ234)="","",INDEX(입력_측정!$E$5:$E$1004,$AJ234)))</f>
        <v/>
      </c>
      <c r="V234" s="25" t="str">
        <f aca="false">IF($AJ234=0,"",IF(INDEX(입력_측정!$F$5:$F$1004,$AJ234)="","",INDEX(입력_측정!$F$5:$F$1004,$AJ234)))</f>
        <v/>
      </c>
      <c r="W234" s="25" t="str">
        <f aca="false">IF($AK234=0,"",IF(INDEX(입력_상담!$D$5:$D$1004,$AK234)="","",INDEX(입력_상담!$D$5:$D$1004,$AK234)))</f>
        <v/>
      </c>
      <c r="X234" s="25" t="str">
        <f aca="false">IF($AJ234=0,"",IF(INDEX(입력_측정!$I$5:$I$1004,$AJ234)="","",INDEX(입력_측정!$I$5:$I$1004,$AJ234)))</f>
        <v/>
      </c>
      <c r="Y234" s="25" t="str">
        <f aca="false">IF($AJ234=0,"",IF(INDEX(입력_측정!$J$5:$J$1004,$AJ234)="","",INDEX(입력_측정!$J$5:$J$1004,$AJ234)))</f>
        <v/>
      </c>
      <c r="Z234" s="25" t="str">
        <f aca="false">IF(OR(X234="긴급",LEFT(Y234,2)="긴급",W234="필요",W234="완료"),"대상","")</f>
        <v/>
      </c>
      <c r="AA234" s="59" t="str">
        <f aca="false">IF(M234&lt;&gt;"",M234,IF(AK234&gt;0,IF(W234="필요","추가상담 대기","완료"),IF(AJ234&gt;0,"결과상담 대기",IF(AI234&gt;0,"측정 대기","미방문"))))</f>
        <v>미방문</v>
      </c>
      <c r="AB234" s="60" t="str">
        <f aca="false">IF($AI234=0,"",IF(INDEX(입력_운동!$A$5:$A$1004,$AI234)="","",INDEX(입력_운동!$A$5:$A$1004,$AI234)))</f>
        <v/>
      </c>
      <c r="AC234" s="60" t="str">
        <f aca="false">IF($AJ234=0,"",IF(INDEX(입력_측정!$A$5:$A$1004,$AJ234)="","",INDEX(입력_측정!$A$5:$A$1004,$AJ234)))</f>
        <v/>
      </c>
      <c r="AD234" s="60" t="str">
        <f aca="false">IF($AK234=0,"",IF(INDEX(입력_상담!$A$5:$A$1004,$AK234)="","",INDEX(입력_상담!$A$5:$A$1004,$AK234)))</f>
        <v/>
      </c>
      <c r="AE234" s="25" t="str">
        <f aca="false">IF(AND(ISNUMBER(AB234),ISNUMBER(AC234)),IF(AC234&gt;=AB234,ROUND((AC234-AB234)*1440,0),""),"")</f>
        <v/>
      </c>
      <c r="AF234" s="25" t="str">
        <f aca="false">IF(AND(ISNUMBER(AC234),ISNUMBER(AD234)),IF(AD234&gt;=AC234,ROUND((AD234-AC234)*1440,0),""),"")</f>
        <v/>
      </c>
      <c r="AG234" s="25" t="str">
        <f aca="false">IF(AND(AA234="완료",ISNUMBER(AB234),ISNUMBER(AD234)),IF(AD234&gt;=AB234,ROUND((AD234-AB234)*1440,0),""),"")</f>
        <v/>
      </c>
      <c r="AH234" s="61" t="str">
        <f aca="false">IF(AND(AK234&gt;0,AJ234=0),"측정 기록 없음",IF(AND(AJ234&gt;0,AI234=0),"운동평가 기록 없음",IF(OR(COUNTIF(입력_운동!$B$5:$B$1004,$A234)&gt;1,COUNTIF(입력_측정!$B$5:$B$1004,$A234)&gt;1),"중복 입력","")))</f>
        <v/>
      </c>
      <c r="AI234" s="62" t="n">
        <f aca="false">SUMPRODUCT(MAX((입력_운동!$B$5:$B$1004=$A234)*(ROW(입력_운동!$B$5:$B$1004)-4)))</f>
        <v>0</v>
      </c>
      <c r="AJ234" s="62" t="n">
        <f aca="false">SUMPRODUCT(MAX((입력_측정!$B$5:$B$1004=$A234)*(ROW(입력_측정!$B$5:$B$1004)-4)))</f>
        <v>0</v>
      </c>
      <c r="AK234" s="62" t="n">
        <f aca="false">SUMPRODUCT(MAX((입력_상담!$B$5:$B$1004=$A234)*(ROW(입력_상담!$B$5:$B$1004)-4)))</f>
        <v>0</v>
      </c>
    </row>
    <row r="235" customFormat="false" ht="15" hidden="false" customHeight="false" outlineLevel="0" collapsed="false">
      <c r="A235" s="55" t="n">
        <v>231</v>
      </c>
      <c r="B235" s="56"/>
      <c r="C235" s="24"/>
      <c r="D235" s="24"/>
      <c r="E235" s="56"/>
      <c r="F235" s="57"/>
      <c r="G235" s="58"/>
      <c r="H235" s="56"/>
      <c r="I235" s="24"/>
      <c r="J235" s="24"/>
      <c r="K235" s="24"/>
      <c r="L235" s="24"/>
      <c r="M235" s="24"/>
      <c r="N235" s="56"/>
      <c r="O235" s="25" t="str">
        <f aca="false">IF($AI235=0,"",IF(INDEX(입력_운동!$C$5:$C$1004,$AI235)="","",INDEX(입력_운동!$C$5:$C$1004,$AI235)))</f>
        <v/>
      </c>
      <c r="P235" s="25" t="str">
        <f aca="false">IF($AI235=0,"",IF(INDEX(입력_운동!$D$5:$D$1004,$AI235)="","",INDEX(입력_운동!$D$5:$D$1004,$AI235)))</f>
        <v/>
      </c>
      <c r="Q235" s="25" t="str">
        <f aca="false">IF($AI235=0,"",IF(INDEX(입력_운동!$E$5:$E$1004,$AI235)="","",INDEX(입력_운동!$E$5:$E$1004,$AI235)))</f>
        <v/>
      </c>
      <c r="R235" s="25" t="str">
        <f aca="false">IF($AI235=0,"",IF(INDEX(입력_운동!$F$5:$F$1004,$AI235)="","",INDEX(입력_운동!$F$5:$F$1004,$AI235)))</f>
        <v/>
      </c>
      <c r="S235" s="25" t="str">
        <f aca="false">IF($AJ235=0,"",IF(INDEX(입력_측정!$C$5:$C$1004,$AJ235)="","",INDEX(입력_측정!$C$5:$C$1004,$AJ235)))</f>
        <v/>
      </c>
      <c r="T235" s="25" t="str">
        <f aca="false">IF($AJ235=0,"",IF(INDEX(입력_측정!$D$5:$D$1004,$AJ235)="","",INDEX(입력_측정!$D$5:$D$1004,$AJ235)))</f>
        <v/>
      </c>
      <c r="U235" s="25" t="str">
        <f aca="false">IF($AJ235=0,"",IF(INDEX(입력_측정!$E$5:$E$1004,$AJ235)="","",INDEX(입력_측정!$E$5:$E$1004,$AJ235)))</f>
        <v/>
      </c>
      <c r="V235" s="25" t="str">
        <f aca="false">IF($AJ235=0,"",IF(INDEX(입력_측정!$F$5:$F$1004,$AJ235)="","",INDEX(입력_측정!$F$5:$F$1004,$AJ235)))</f>
        <v/>
      </c>
      <c r="W235" s="25" t="str">
        <f aca="false">IF($AK235=0,"",IF(INDEX(입력_상담!$D$5:$D$1004,$AK235)="","",INDEX(입력_상담!$D$5:$D$1004,$AK235)))</f>
        <v/>
      </c>
      <c r="X235" s="25" t="str">
        <f aca="false">IF($AJ235=0,"",IF(INDEX(입력_측정!$I$5:$I$1004,$AJ235)="","",INDEX(입력_측정!$I$5:$I$1004,$AJ235)))</f>
        <v/>
      </c>
      <c r="Y235" s="25" t="str">
        <f aca="false">IF($AJ235=0,"",IF(INDEX(입력_측정!$J$5:$J$1004,$AJ235)="","",INDEX(입력_측정!$J$5:$J$1004,$AJ235)))</f>
        <v/>
      </c>
      <c r="Z235" s="25" t="str">
        <f aca="false">IF(OR(X235="긴급",LEFT(Y235,2)="긴급",W235="필요",W235="완료"),"대상","")</f>
        <v/>
      </c>
      <c r="AA235" s="59" t="str">
        <f aca="false">IF(M235&lt;&gt;"",M235,IF(AK235&gt;0,IF(W235="필요","추가상담 대기","완료"),IF(AJ235&gt;0,"결과상담 대기",IF(AI235&gt;0,"측정 대기","미방문"))))</f>
        <v>미방문</v>
      </c>
      <c r="AB235" s="60" t="str">
        <f aca="false">IF($AI235=0,"",IF(INDEX(입력_운동!$A$5:$A$1004,$AI235)="","",INDEX(입력_운동!$A$5:$A$1004,$AI235)))</f>
        <v/>
      </c>
      <c r="AC235" s="60" t="str">
        <f aca="false">IF($AJ235=0,"",IF(INDEX(입력_측정!$A$5:$A$1004,$AJ235)="","",INDEX(입력_측정!$A$5:$A$1004,$AJ235)))</f>
        <v/>
      </c>
      <c r="AD235" s="60" t="str">
        <f aca="false">IF($AK235=0,"",IF(INDEX(입력_상담!$A$5:$A$1004,$AK235)="","",INDEX(입력_상담!$A$5:$A$1004,$AK235)))</f>
        <v/>
      </c>
      <c r="AE235" s="25" t="str">
        <f aca="false">IF(AND(ISNUMBER(AB235),ISNUMBER(AC235)),IF(AC235&gt;=AB235,ROUND((AC235-AB235)*1440,0),""),"")</f>
        <v/>
      </c>
      <c r="AF235" s="25" t="str">
        <f aca="false">IF(AND(ISNUMBER(AC235),ISNUMBER(AD235)),IF(AD235&gt;=AC235,ROUND((AD235-AC235)*1440,0),""),"")</f>
        <v/>
      </c>
      <c r="AG235" s="25" t="str">
        <f aca="false">IF(AND(AA235="완료",ISNUMBER(AB235),ISNUMBER(AD235)),IF(AD235&gt;=AB235,ROUND((AD235-AB235)*1440,0),""),"")</f>
        <v/>
      </c>
      <c r="AH235" s="61" t="str">
        <f aca="false">IF(AND(AK235&gt;0,AJ235=0),"측정 기록 없음",IF(AND(AJ235&gt;0,AI235=0),"운동평가 기록 없음",IF(OR(COUNTIF(입력_운동!$B$5:$B$1004,$A235)&gt;1,COUNTIF(입력_측정!$B$5:$B$1004,$A235)&gt;1),"중복 입력","")))</f>
        <v/>
      </c>
      <c r="AI235" s="62" t="n">
        <f aca="false">SUMPRODUCT(MAX((입력_운동!$B$5:$B$1004=$A235)*(ROW(입력_운동!$B$5:$B$1004)-4)))</f>
        <v>0</v>
      </c>
      <c r="AJ235" s="62" t="n">
        <f aca="false">SUMPRODUCT(MAX((입력_측정!$B$5:$B$1004=$A235)*(ROW(입력_측정!$B$5:$B$1004)-4)))</f>
        <v>0</v>
      </c>
      <c r="AK235" s="62" t="n">
        <f aca="false">SUMPRODUCT(MAX((입력_상담!$B$5:$B$1004=$A235)*(ROW(입력_상담!$B$5:$B$1004)-4)))</f>
        <v>0</v>
      </c>
    </row>
    <row r="236" customFormat="false" ht="15" hidden="false" customHeight="false" outlineLevel="0" collapsed="false">
      <c r="A236" s="55" t="n">
        <v>232</v>
      </c>
      <c r="B236" s="56"/>
      <c r="C236" s="24"/>
      <c r="D236" s="24"/>
      <c r="E236" s="56"/>
      <c r="F236" s="57"/>
      <c r="G236" s="58"/>
      <c r="H236" s="56"/>
      <c r="I236" s="24"/>
      <c r="J236" s="24"/>
      <c r="K236" s="24"/>
      <c r="L236" s="24"/>
      <c r="M236" s="24"/>
      <c r="N236" s="56"/>
      <c r="O236" s="25" t="str">
        <f aca="false">IF($AI236=0,"",IF(INDEX(입력_운동!$C$5:$C$1004,$AI236)="","",INDEX(입력_운동!$C$5:$C$1004,$AI236)))</f>
        <v/>
      </c>
      <c r="P236" s="25" t="str">
        <f aca="false">IF($AI236=0,"",IF(INDEX(입력_운동!$D$5:$D$1004,$AI236)="","",INDEX(입력_운동!$D$5:$D$1004,$AI236)))</f>
        <v/>
      </c>
      <c r="Q236" s="25" t="str">
        <f aca="false">IF($AI236=0,"",IF(INDEX(입력_운동!$E$5:$E$1004,$AI236)="","",INDEX(입력_운동!$E$5:$E$1004,$AI236)))</f>
        <v/>
      </c>
      <c r="R236" s="25" t="str">
        <f aca="false">IF($AI236=0,"",IF(INDEX(입력_운동!$F$5:$F$1004,$AI236)="","",INDEX(입력_운동!$F$5:$F$1004,$AI236)))</f>
        <v/>
      </c>
      <c r="S236" s="25" t="str">
        <f aca="false">IF($AJ236=0,"",IF(INDEX(입력_측정!$C$5:$C$1004,$AJ236)="","",INDEX(입력_측정!$C$5:$C$1004,$AJ236)))</f>
        <v/>
      </c>
      <c r="T236" s="25" t="str">
        <f aca="false">IF($AJ236=0,"",IF(INDEX(입력_측정!$D$5:$D$1004,$AJ236)="","",INDEX(입력_측정!$D$5:$D$1004,$AJ236)))</f>
        <v/>
      </c>
      <c r="U236" s="25" t="str">
        <f aca="false">IF($AJ236=0,"",IF(INDEX(입력_측정!$E$5:$E$1004,$AJ236)="","",INDEX(입력_측정!$E$5:$E$1004,$AJ236)))</f>
        <v/>
      </c>
      <c r="V236" s="25" t="str">
        <f aca="false">IF($AJ236=0,"",IF(INDEX(입력_측정!$F$5:$F$1004,$AJ236)="","",INDEX(입력_측정!$F$5:$F$1004,$AJ236)))</f>
        <v/>
      </c>
      <c r="W236" s="25" t="str">
        <f aca="false">IF($AK236=0,"",IF(INDEX(입력_상담!$D$5:$D$1004,$AK236)="","",INDEX(입력_상담!$D$5:$D$1004,$AK236)))</f>
        <v/>
      </c>
      <c r="X236" s="25" t="str">
        <f aca="false">IF($AJ236=0,"",IF(INDEX(입력_측정!$I$5:$I$1004,$AJ236)="","",INDEX(입력_측정!$I$5:$I$1004,$AJ236)))</f>
        <v/>
      </c>
      <c r="Y236" s="25" t="str">
        <f aca="false">IF($AJ236=0,"",IF(INDEX(입력_측정!$J$5:$J$1004,$AJ236)="","",INDEX(입력_측정!$J$5:$J$1004,$AJ236)))</f>
        <v/>
      </c>
      <c r="Z236" s="25" t="str">
        <f aca="false">IF(OR(X236="긴급",LEFT(Y236,2)="긴급",W236="필요",W236="완료"),"대상","")</f>
        <v/>
      </c>
      <c r="AA236" s="59" t="str">
        <f aca="false">IF(M236&lt;&gt;"",M236,IF(AK236&gt;0,IF(W236="필요","추가상담 대기","완료"),IF(AJ236&gt;0,"결과상담 대기",IF(AI236&gt;0,"측정 대기","미방문"))))</f>
        <v>미방문</v>
      </c>
      <c r="AB236" s="60" t="str">
        <f aca="false">IF($AI236=0,"",IF(INDEX(입력_운동!$A$5:$A$1004,$AI236)="","",INDEX(입력_운동!$A$5:$A$1004,$AI236)))</f>
        <v/>
      </c>
      <c r="AC236" s="60" t="str">
        <f aca="false">IF($AJ236=0,"",IF(INDEX(입력_측정!$A$5:$A$1004,$AJ236)="","",INDEX(입력_측정!$A$5:$A$1004,$AJ236)))</f>
        <v/>
      </c>
      <c r="AD236" s="60" t="str">
        <f aca="false">IF($AK236=0,"",IF(INDEX(입력_상담!$A$5:$A$1004,$AK236)="","",INDEX(입력_상담!$A$5:$A$1004,$AK236)))</f>
        <v/>
      </c>
      <c r="AE236" s="25" t="str">
        <f aca="false">IF(AND(ISNUMBER(AB236),ISNUMBER(AC236)),IF(AC236&gt;=AB236,ROUND((AC236-AB236)*1440,0),""),"")</f>
        <v/>
      </c>
      <c r="AF236" s="25" t="str">
        <f aca="false">IF(AND(ISNUMBER(AC236),ISNUMBER(AD236)),IF(AD236&gt;=AC236,ROUND((AD236-AC236)*1440,0),""),"")</f>
        <v/>
      </c>
      <c r="AG236" s="25" t="str">
        <f aca="false">IF(AND(AA236="완료",ISNUMBER(AB236),ISNUMBER(AD236)),IF(AD236&gt;=AB236,ROUND((AD236-AB236)*1440,0),""),"")</f>
        <v/>
      </c>
      <c r="AH236" s="61" t="str">
        <f aca="false">IF(AND(AK236&gt;0,AJ236=0),"측정 기록 없음",IF(AND(AJ236&gt;0,AI236=0),"운동평가 기록 없음",IF(OR(COUNTIF(입력_운동!$B$5:$B$1004,$A236)&gt;1,COUNTIF(입력_측정!$B$5:$B$1004,$A236)&gt;1),"중복 입력","")))</f>
        <v/>
      </c>
      <c r="AI236" s="62" t="n">
        <f aca="false">SUMPRODUCT(MAX((입력_운동!$B$5:$B$1004=$A236)*(ROW(입력_운동!$B$5:$B$1004)-4)))</f>
        <v>0</v>
      </c>
      <c r="AJ236" s="62" t="n">
        <f aca="false">SUMPRODUCT(MAX((입력_측정!$B$5:$B$1004=$A236)*(ROW(입력_측정!$B$5:$B$1004)-4)))</f>
        <v>0</v>
      </c>
      <c r="AK236" s="62" t="n">
        <f aca="false">SUMPRODUCT(MAX((입력_상담!$B$5:$B$1004=$A236)*(ROW(입력_상담!$B$5:$B$1004)-4)))</f>
        <v>0</v>
      </c>
    </row>
    <row r="237" customFormat="false" ht="15" hidden="false" customHeight="false" outlineLevel="0" collapsed="false">
      <c r="A237" s="55" t="n">
        <v>233</v>
      </c>
      <c r="B237" s="56"/>
      <c r="C237" s="24"/>
      <c r="D237" s="24"/>
      <c r="E237" s="56"/>
      <c r="F237" s="57"/>
      <c r="G237" s="58"/>
      <c r="H237" s="56"/>
      <c r="I237" s="24"/>
      <c r="J237" s="24"/>
      <c r="K237" s="24"/>
      <c r="L237" s="24"/>
      <c r="M237" s="24"/>
      <c r="N237" s="56"/>
      <c r="O237" s="25" t="str">
        <f aca="false">IF($AI237=0,"",IF(INDEX(입력_운동!$C$5:$C$1004,$AI237)="","",INDEX(입력_운동!$C$5:$C$1004,$AI237)))</f>
        <v/>
      </c>
      <c r="P237" s="25" t="str">
        <f aca="false">IF($AI237=0,"",IF(INDEX(입력_운동!$D$5:$D$1004,$AI237)="","",INDEX(입력_운동!$D$5:$D$1004,$AI237)))</f>
        <v/>
      </c>
      <c r="Q237" s="25" t="str">
        <f aca="false">IF($AI237=0,"",IF(INDEX(입력_운동!$E$5:$E$1004,$AI237)="","",INDEX(입력_운동!$E$5:$E$1004,$AI237)))</f>
        <v/>
      </c>
      <c r="R237" s="25" t="str">
        <f aca="false">IF($AI237=0,"",IF(INDEX(입력_운동!$F$5:$F$1004,$AI237)="","",INDEX(입력_운동!$F$5:$F$1004,$AI237)))</f>
        <v/>
      </c>
      <c r="S237" s="25" t="str">
        <f aca="false">IF($AJ237=0,"",IF(INDEX(입력_측정!$C$5:$C$1004,$AJ237)="","",INDEX(입력_측정!$C$5:$C$1004,$AJ237)))</f>
        <v/>
      </c>
      <c r="T237" s="25" t="str">
        <f aca="false">IF($AJ237=0,"",IF(INDEX(입력_측정!$D$5:$D$1004,$AJ237)="","",INDEX(입력_측정!$D$5:$D$1004,$AJ237)))</f>
        <v/>
      </c>
      <c r="U237" s="25" t="str">
        <f aca="false">IF($AJ237=0,"",IF(INDEX(입력_측정!$E$5:$E$1004,$AJ237)="","",INDEX(입력_측정!$E$5:$E$1004,$AJ237)))</f>
        <v/>
      </c>
      <c r="V237" s="25" t="str">
        <f aca="false">IF($AJ237=0,"",IF(INDEX(입력_측정!$F$5:$F$1004,$AJ237)="","",INDEX(입력_측정!$F$5:$F$1004,$AJ237)))</f>
        <v/>
      </c>
      <c r="W237" s="25" t="str">
        <f aca="false">IF($AK237=0,"",IF(INDEX(입력_상담!$D$5:$D$1004,$AK237)="","",INDEX(입력_상담!$D$5:$D$1004,$AK237)))</f>
        <v/>
      </c>
      <c r="X237" s="25" t="str">
        <f aca="false">IF($AJ237=0,"",IF(INDEX(입력_측정!$I$5:$I$1004,$AJ237)="","",INDEX(입력_측정!$I$5:$I$1004,$AJ237)))</f>
        <v/>
      </c>
      <c r="Y237" s="25" t="str">
        <f aca="false">IF($AJ237=0,"",IF(INDEX(입력_측정!$J$5:$J$1004,$AJ237)="","",INDEX(입력_측정!$J$5:$J$1004,$AJ237)))</f>
        <v/>
      </c>
      <c r="Z237" s="25" t="str">
        <f aca="false">IF(OR(X237="긴급",LEFT(Y237,2)="긴급",W237="필요",W237="완료"),"대상","")</f>
        <v/>
      </c>
      <c r="AA237" s="59" t="str">
        <f aca="false">IF(M237&lt;&gt;"",M237,IF(AK237&gt;0,IF(W237="필요","추가상담 대기","완료"),IF(AJ237&gt;0,"결과상담 대기",IF(AI237&gt;0,"측정 대기","미방문"))))</f>
        <v>미방문</v>
      </c>
      <c r="AB237" s="60" t="str">
        <f aca="false">IF($AI237=0,"",IF(INDEX(입력_운동!$A$5:$A$1004,$AI237)="","",INDEX(입력_운동!$A$5:$A$1004,$AI237)))</f>
        <v/>
      </c>
      <c r="AC237" s="60" t="str">
        <f aca="false">IF($AJ237=0,"",IF(INDEX(입력_측정!$A$5:$A$1004,$AJ237)="","",INDEX(입력_측정!$A$5:$A$1004,$AJ237)))</f>
        <v/>
      </c>
      <c r="AD237" s="60" t="str">
        <f aca="false">IF($AK237=0,"",IF(INDEX(입력_상담!$A$5:$A$1004,$AK237)="","",INDEX(입력_상담!$A$5:$A$1004,$AK237)))</f>
        <v/>
      </c>
      <c r="AE237" s="25" t="str">
        <f aca="false">IF(AND(ISNUMBER(AB237),ISNUMBER(AC237)),IF(AC237&gt;=AB237,ROUND((AC237-AB237)*1440,0),""),"")</f>
        <v/>
      </c>
      <c r="AF237" s="25" t="str">
        <f aca="false">IF(AND(ISNUMBER(AC237),ISNUMBER(AD237)),IF(AD237&gt;=AC237,ROUND((AD237-AC237)*1440,0),""),"")</f>
        <v/>
      </c>
      <c r="AG237" s="25" t="str">
        <f aca="false">IF(AND(AA237="완료",ISNUMBER(AB237),ISNUMBER(AD237)),IF(AD237&gt;=AB237,ROUND((AD237-AB237)*1440,0),""),"")</f>
        <v/>
      </c>
      <c r="AH237" s="61" t="str">
        <f aca="false">IF(AND(AK237&gt;0,AJ237=0),"측정 기록 없음",IF(AND(AJ237&gt;0,AI237=0),"운동평가 기록 없음",IF(OR(COUNTIF(입력_운동!$B$5:$B$1004,$A237)&gt;1,COUNTIF(입력_측정!$B$5:$B$1004,$A237)&gt;1),"중복 입력","")))</f>
        <v/>
      </c>
      <c r="AI237" s="62" t="n">
        <f aca="false">SUMPRODUCT(MAX((입력_운동!$B$5:$B$1004=$A237)*(ROW(입력_운동!$B$5:$B$1004)-4)))</f>
        <v>0</v>
      </c>
      <c r="AJ237" s="62" t="n">
        <f aca="false">SUMPRODUCT(MAX((입력_측정!$B$5:$B$1004=$A237)*(ROW(입력_측정!$B$5:$B$1004)-4)))</f>
        <v>0</v>
      </c>
      <c r="AK237" s="62" t="n">
        <f aca="false">SUMPRODUCT(MAX((입력_상담!$B$5:$B$1004=$A237)*(ROW(입력_상담!$B$5:$B$1004)-4)))</f>
        <v>0</v>
      </c>
    </row>
    <row r="238" customFormat="false" ht="15" hidden="false" customHeight="false" outlineLevel="0" collapsed="false">
      <c r="A238" s="55" t="n">
        <v>234</v>
      </c>
      <c r="B238" s="56"/>
      <c r="C238" s="24"/>
      <c r="D238" s="24"/>
      <c r="E238" s="56"/>
      <c r="F238" s="57"/>
      <c r="G238" s="58"/>
      <c r="H238" s="56"/>
      <c r="I238" s="24"/>
      <c r="J238" s="24"/>
      <c r="K238" s="24"/>
      <c r="L238" s="24"/>
      <c r="M238" s="24"/>
      <c r="N238" s="56"/>
      <c r="O238" s="25" t="str">
        <f aca="false">IF($AI238=0,"",IF(INDEX(입력_운동!$C$5:$C$1004,$AI238)="","",INDEX(입력_운동!$C$5:$C$1004,$AI238)))</f>
        <v/>
      </c>
      <c r="P238" s="25" t="str">
        <f aca="false">IF($AI238=0,"",IF(INDEX(입력_운동!$D$5:$D$1004,$AI238)="","",INDEX(입력_운동!$D$5:$D$1004,$AI238)))</f>
        <v/>
      </c>
      <c r="Q238" s="25" t="str">
        <f aca="false">IF($AI238=0,"",IF(INDEX(입력_운동!$E$5:$E$1004,$AI238)="","",INDEX(입력_운동!$E$5:$E$1004,$AI238)))</f>
        <v/>
      </c>
      <c r="R238" s="25" t="str">
        <f aca="false">IF($AI238=0,"",IF(INDEX(입력_운동!$F$5:$F$1004,$AI238)="","",INDEX(입력_운동!$F$5:$F$1004,$AI238)))</f>
        <v/>
      </c>
      <c r="S238" s="25" t="str">
        <f aca="false">IF($AJ238=0,"",IF(INDEX(입력_측정!$C$5:$C$1004,$AJ238)="","",INDEX(입력_측정!$C$5:$C$1004,$AJ238)))</f>
        <v/>
      </c>
      <c r="T238" s="25" t="str">
        <f aca="false">IF($AJ238=0,"",IF(INDEX(입력_측정!$D$5:$D$1004,$AJ238)="","",INDEX(입력_측정!$D$5:$D$1004,$AJ238)))</f>
        <v/>
      </c>
      <c r="U238" s="25" t="str">
        <f aca="false">IF($AJ238=0,"",IF(INDEX(입력_측정!$E$5:$E$1004,$AJ238)="","",INDEX(입력_측정!$E$5:$E$1004,$AJ238)))</f>
        <v/>
      </c>
      <c r="V238" s="25" t="str">
        <f aca="false">IF($AJ238=0,"",IF(INDEX(입력_측정!$F$5:$F$1004,$AJ238)="","",INDEX(입력_측정!$F$5:$F$1004,$AJ238)))</f>
        <v/>
      </c>
      <c r="W238" s="25" t="str">
        <f aca="false">IF($AK238=0,"",IF(INDEX(입력_상담!$D$5:$D$1004,$AK238)="","",INDEX(입력_상담!$D$5:$D$1004,$AK238)))</f>
        <v/>
      </c>
      <c r="X238" s="25" t="str">
        <f aca="false">IF($AJ238=0,"",IF(INDEX(입력_측정!$I$5:$I$1004,$AJ238)="","",INDEX(입력_측정!$I$5:$I$1004,$AJ238)))</f>
        <v/>
      </c>
      <c r="Y238" s="25" t="str">
        <f aca="false">IF($AJ238=0,"",IF(INDEX(입력_측정!$J$5:$J$1004,$AJ238)="","",INDEX(입력_측정!$J$5:$J$1004,$AJ238)))</f>
        <v/>
      </c>
      <c r="Z238" s="25" t="str">
        <f aca="false">IF(OR(X238="긴급",LEFT(Y238,2)="긴급",W238="필요",W238="완료"),"대상","")</f>
        <v/>
      </c>
      <c r="AA238" s="59" t="str">
        <f aca="false">IF(M238&lt;&gt;"",M238,IF(AK238&gt;0,IF(W238="필요","추가상담 대기","완료"),IF(AJ238&gt;0,"결과상담 대기",IF(AI238&gt;0,"측정 대기","미방문"))))</f>
        <v>미방문</v>
      </c>
      <c r="AB238" s="60" t="str">
        <f aca="false">IF($AI238=0,"",IF(INDEX(입력_운동!$A$5:$A$1004,$AI238)="","",INDEX(입력_운동!$A$5:$A$1004,$AI238)))</f>
        <v/>
      </c>
      <c r="AC238" s="60" t="str">
        <f aca="false">IF($AJ238=0,"",IF(INDEX(입력_측정!$A$5:$A$1004,$AJ238)="","",INDEX(입력_측정!$A$5:$A$1004,$AJ238)))</f>
        <v/>
      </c>
      <c r="AD238" s="60" t="str">
        <f aca="false">IF($AK238=0,"",IF(INDEX(입력_상담!$A$5:$A$1004,$AK238)="","",INDEX(입력_상담!$A$5:$A$1004,$AK238)))</f>
        <v/>
      </c>
      <c r="AE238" s="25" t="str">
        <f aca="false">IF(AND(ISNUMBER(AB238),ISNUMBER(AC238)),IF(AC238&gt;=AB238,ROUND((AC238-AB238)*1440,0),""),"")</f>
        <v/>
      </c>
      <c r="AF238" s="25" t="str">
        <f aca="false">IF(AND(ISNUMBER(AC238),ISNUMBER(AD238)),IF(AD238&gt;=AC238,ROUND((AD238-AC238)*1440,0),""),"")</f>
        <v/>
      </c>
      <c r="AG238" s="25" t="str">
        <f aca="false">IF(AND(AA238="완료",ISNUMBER(AB238),ISNUMBER(AD238)),IF(AD238&gt;=AB238,ROUND((AD238-AB238)*1440,0),""),"")</f>
        <v/>
      </c>
      <c r="AH238" s="61" t="str">
        <f aca="false">IF(AND(AK238&gt;0,AJ238=0),"측정 기록 없음",IF(AND(AJ238&gt;0,AI238=0),"운동평가 기록 없음",IF(OR(COUNTIF(입력_운동!$B$5:$B$1004,$A238)&gt;1,COUNTIF(입력_측정!$B$5:$B$1004,$A238)&gt;1),"중복 입력","")))</f>
        <v/>
      </c>
      <c r="AI238" s="62" t="n">
        <f aca="false">SUMPRODUCT(MAX((입력_운동!$B$5:$B$1004=$A238)*(ROW(입력_운동!$B$5:$B$1004)-4)))</f>
        <v>0</v>
      </c>
      <c r="AJ238" s="62" t="n">
        <f aca="false">SUMPRODUCT(MAX((입력_측정!$B$5:$B$1004=$A238)*(ROW(입력_측정!$B$5:$B$1004)-4)))</f>
        <v>0</v>
      </c>
      <c r="AK238" s="62" t="n">
        <f aca="false">SUMPRODUCT(MAX((입력_상담!$B$5:$B$1004=$A238)*(ROW(입력_상담!$B$5:$B$1004)-4)))</f>
        <v>0</v>
      </c>
    </row>
    <row r="239" customFormat="false" ht="15" hidden="false" customHeight="false" outlineLevel="0" collapsed="false">
      <c r="A239" s="55" t="n">
        <v>235</v>
      </c>
      <c r="B239" s="56"/>
      <c r="C239" s="24"/>
      <c r="D239" s="24"/>
      <c r="E239" s="56"/>
      <c r="F239" s="57"/>
      <c r="G239" s="58"/>
      <c r="H239" s="56"/>
      <c r="I239" s="24"/>
      <c r="J239" s="24"/>
      <c r="K239" s="24"/>
      <c r="L239" s="24"/>
      <c r="M239" s="24"/>
      <c r="N239" s="56"/>
      <c r="O239" s="25" t="str">
        <f aca="false">IF($AI239=0,"",IF(INDEX(입력_운동!$C$5:$C$1004,$AI239)="","",INDEX(입력_운동!$C$5:$C$1004,$AI239)))</f>
        <v/>
      </c>
      <c r="P239" s="25" t="str">
        <f aca="false">IF($AI239=0,"",IF(INDEX(입력_운동!$D$5:$D$1004,$AI239)="","",INDEX(입력_운동!$D$5:$D$1004,$AI239)))</f>
        <v/>
      </c>
      <c r="Q239" s="25" t="str">
        <f aca="false">IF($AI239=0,"",IF(INDEX(입력_운동!$E$5:$E$1004,$AI239)="","",INDEX(입력_운동!$E$5:$E$1004,$AI239)))</f>
        <v/>
      </c>
      <c r="R239" s="25" t="str">
        <f aca="false">IF($AI239=0,"",IF(INDEX(입력_운동!$F$5:$F$1004,$AI239)="","",INDEX(입력_운동!$F$5:$F$1004,$AI239)))</f>
        <v/>
      </c>
      <c r="S239" s="25" t="str">
        <f aca="false">IF($AJ239=0,"",IF(INDEX(입력_측정!$C$5:$C$1004,$AJ239)="","",INDEX(입력_측정!$C$5:$C$1004,$AJ239)))</f>
        <v/>
      </c>
      <c r="T239" s="25" t="str">
        <f aca="false">IF($AJ239=0,"",IF(INDEX(입력_측정!$D$5:$D$1004,$AJ239)="","",INDEX(입력_측정!$D$5:$D$1004,$AJ239)))</f>
        <v/>
      </c>
      <c r="U239" s="25" t="str">
        <f aca="false">IF($AJ239=0,"",IF(INDEX(입력_측정!$E$5:$E$1004,$AJ239)="","",INDEX(입력_측정!$E$5:$E$1004,$AJ239)))</f>
        <v/>
      </c>
      <c r="V239" s="25" t="str">
        <f aca="false">IF($AJ239=0,"",IF(INDEX(입력_측정!$F$5:$F$1004,$AJ239)="","",INDEX(입력_측정!$F$5:$F$1004,$AJ239)))</f>
        <v/>
      </c>
      <c r="W239" s="25" t="str">
        <f aca="false">IF($AK239=0,"",IF(INDEX(입력_상담!$D$5:$D$1004,$AK239)="","",INDEX(입력_상담!$D$5:$D$1004,$AK239)))</f>
        <v/>
      </c>
      <c r="X239" s="25" t="str">
        <f aca="false">IF($AJ239=0,"",IF(INDEX(입력_측정!$I$5:$I$1004,$AJ239)="","",INDEX(입력_측정!$I$5:$I$1004,$AJ239)))</f>
        <v/>
      </c>
      <c r="Y239" s="25" t="str">
        <f aca="false">IF($AJ239=0,"",IF(INDEX(입력_측정!$J$5:$J$1004,$AJ239)="","",INDEX(입력_측정!$J$5:$J$1004,$AJ239)))</f>
        <v/>
      </c>
      <c r="Z239" s="25" t="str">
        <f aca="false">IF(OR(X239="긴급",LEFT(Y239,2)="긴급",W239="필요",W239="완료"),"대상","")</f>
        <v/>
      </c>
      <c r="AA239" s="59" t="str">
        <f aca="false">IF(M239&lt;&gt;"",M239,IF(AK239&gt;0,IF(W239="필요","추가상담 대기","완료"),IF(AJ239&gt;0,"결과상담 대기",IF(AI239&gt;0,"측정 대기","미방문"))))</f>
        <v>미방문</v>
      </c>
      <c r="AB239" s="60" t="str">
        <f aca="false">IF($AI239=0,"",IF(INDEX(입력_운동!$A$5:$A$1004,$AI239)="","",INDEX(입력_운동!$A$5:$A$1004,$AI239)))</f>
        <v/>
      </c>
      <c r="AC239" s="60" t="str">
        <f aca="false">IF($AJ239=0,"",IF(INDEX(입력_측정!$A$5:$A$1004,$AJ239)="","",INDEX(입력_측정!$A$5:$A$1004,$AJ239)))</f>
        <v/>
      </c>
      <c r="AD239" s="60" t="str">
        <f aca="false">IF($AK239=0,"",IF(INDEX(입력_상담!$A$5:$A$1004,$AK239)="","",INDEX(입력_상담!$A$5:$A$1004,$AK239)))</f>
        <v/>
      </c>
      <c r="AE239" s="25" t="str">
        <f aca="false">IF(AND(ISNUMBER(AB239),ISNUMBER(AC239)),IF(AC239&gt;=AB239,ROUND((AC239-AB239)*1440,0),""),"")</f>
        <v/>
      </c>
      <c r="AF239" s="25" t="str">
        <f aca="false">IF(AND(ISNUMBER(AC239),ISNUMBER(AD239)),IF(AD239&gt;=AC239,ROUND((AD239-AC239)*1440,0),""),"")</f>
        <v/>
      </c>
      <c r="AG239" s="25" t="str">
        <f aca="false">IF(AND(AA239="완료",ISNUMBER(AB239),ISNUMBER(AD239)),IF(AD239&gt;=AB239,ROUND((AD239-AB239)*1440,0),""),"")</f>
        <v/>
      </c>
      <c r="AH239" s="61" t="str">
        <f aca="false">IF(AND(AK239&gt;0,AJ239=0),"측정 기록 없음",IF(AND(AJ239&gt;0,AI239=0),"운동평가 기록 없음",IF(OR(COUNTIF(입력_운동!$B$5:$B$1004,$A239)&gt;1,COUNTIF(입력_측정!$B$5:$B$1004,$A239)&gt;1),"중복 입력","")))</f>
        <v/>
      </c>
      <c r="AI239" s="62" t="n">
        <f aca="false">SUMPRODUCT(MAX((입력_운동!$B$5:$B$1004=$A239)*(ROW(입력_운동!$B$5:$B$1004)-4)))</f>
        <v>0</v>
      </c>
      <c r="AJ239" s="62" t="n">
        <f aca="false">SUMPRODUCT(MAX((입력_측정!$B$5:$B$1004=$A239)*(ROW(입력_측정!$B$5:$B$1004)-4)))</f>
        <v>0</v>
      </c>
      <c r="AK239" s="62" t="n">
        <f aca="false">SUMPRODUCT(MAX((입력_상담!$B$5:$B$1004=$A239)*(ROW(입력_상담!$B$5:$B$1004)-4)))</f>
        <v>0</v>
      </c>
    </row>
    <row r="240" customFormat="false" ht="15" hidden="false" customHeight="false" outlineLevel="0" collapsed="false">
      <c r="A240" s="55" t="n">
        <v>236</v>
      </c>
      <c r="B240" s="56"/>
      <c r="C240" s="24"/>
      <c r="D240" s="24"/>
      <c r="E240" s="56"/>
      <c r="F240" s="57"/>
      <c r="G240" s="58"/>
      <c r="H240" s="56"/>
      <c r="I240" s="24"/>
      <c r="J240" s="24"/>
      <c r="K240" s="24"/>
      <c r="L240" s="24"/>
      <c r="M240" s="24"/>
      <c r="N240" s="56"/>
      <c r="O240" s="25" t="str">
        <f aca="false">IF($AI240=0,"",IF(INDEX(입력_운동!$C$5:$C$1004,$AI240)="","",INDEX(입력_운동!$C$5:$C$1004,$AI240)))</f>
        <v/>
      </c>
      <c r="P240" s="25" t="str">
        <f aca="false">IF($AI240=0,"",IF(INDEX(입력_운동!$D$5:$D$1004,$AI240)="","",INDEX(입력_운동!$D$5:$D$1004,$AI240)))</f>
        <v/>
      </c>
      <c r="Q240" s="25" t="str">
        <f aca="false">IF($AI240=0,"",IF(INDEX(입력_운동!$E$5:$E$1004,$AI240)="","",INDEX(입력_운동!$E$5:$E$1004,$AI240)))</f>
        <v/>
      </c>
      <c r="R240" s="25" t="str">
        <f aca="false">IF($AI240=0,"",IF(INDEX(입력_운동!$F$5:$F$1004,$AI240)="","",INDEX(입력_운동!$F$5:$F$1004,$AI240)))</f>
        <v/>
      </c>
      <c r="S240" s="25" t="str">
        <f aca="false">IF($AJ240=0,"",IF(INDEX(입력_측정!$C$5:$C$1004,$AJ240)="","",INDEX(입력_측정!$C$5:$C$1004,$AJ240)))</f>
        <v/>
      </c>
      <c r="T240" s="25" t="str">
        <f aca="false">IF($AJ240=0,"",IF(INDEX(입력_측정!$D$5:$D$1004,$AJ240)="","",INDEX(입력_측정!$D$5:$D$1004,$AJ240)))</f>
        <v/>
      </c>
      <c r="U240" s="25" t="str">
        <f aca="false">IF($AJ240=0,"",IF(INDEX(입력_측정!$E$5:$E$1004,$AJ240)="","",INDEX(입력_측정!$E$5:$E$1004,$AJ240)))</f>
        <v/>
      </c>
      <c r="V240" s="25" t="str">
        <f aca="false">IF($AJ240=0,"",IF(INDEX(입력_측정!$F$5:$F$1004,$AJ240)="","",INDEX(입력_측정!$F$5:$F$1004,$AJ240)))</f>
        <v/>
      </c>
      <c r="W240" s="25" t="str">
        <f aca="false">IF($AK240=0,"",IF(INDEX(입력_상담!$D$5:$D$1004,$AK240)="","",INDEX(입력_상담!$D$5:$D$1004,$AK240)))</f>
        <v/>
      </c>
      <c r="X240" s="25" t="str">
        <f aca="false">IF($AJ240=0,"",IF(INDEX(입력_측정!$I$5:$I$1004,$AJ240)="","",INDEX(입력_측정!$I$5:$I$1004,$AJ240)))</f>
        <v/>
      </c>
      <c r="Y240" s="25" t="str">
        <f aca="false">IF($AJ240=0,"",IF(INDEX(입력_측정!$J$5:$J$1004,$AJ240)="","",INDEX(입력_측정!$J$5:$J$1004,$AJ240)))</f>
        <v/>
      </c>
      <c r="Z240" s="25" t="str">
        <f aca="false">IF(OR(X240="긴급",LEFT(Y240,2)="긴급",W240="필요",W240="완료"),"대상","")</f>
        <v/>
      </c>
      <c r="AA240" s="59" t="str">
        <f aca="false">IF(M240&lt;&gt;"",M240,IF(AK240&gt;0,IF(W240="필요","추가상담 대기","완료"),IF(AJ240&gt;0,"결과상담 대기",IF(AI240&gt;0,"측정 대기","미방문"))))</f>
        <v>미방문</v>
      </c>
      <c r="AB240" s="60" t="str">
        <f aca="false">IF($AI240=0,"",IF(INDEX(입력_운동!$A$5:$A$1004,$AI240)="","",INDEX(입력_운동!$A$5:$A$1004,$AI240)))</f>
        <v/>
      </c>
      <c r="AC240" s="60" t="str">
        <f aca="false">IF($AJ240=0,"",IF(INDEX(입력_측정!$A$5:$A$1004,$AJ240)="","",INDEX(입력_측정!$A$5:$A$1004,$AJ240)))</f>
        <v/>
      </c>
      <c r="AD240" s="60" t="str">
        <f aca="false">IF($AK240=0,"",IF(INDEX(입력_상담!$A$5:$A$1004,$AK240)="","",INDEX(입력_상담!$A$5:$A$1004,$AK240)))</f>
        <v/>
      </c>
      <c r="AE240" s="25" t="str">
        <f aca="false">IF(AND(ISNUMBER(AB240),ISNUMBER(AC240)),IF(AC240&gt;=AB240,ROUND((AC240-AB240)*1440,0),""),"")</f>
        <v/>
      </c>
      <c r="AF240" s="25" t="str">
        <f aca="false">IF(AND(ISNUMBER(AC240),ISNUMBER(AD240)),IF(AD240&gt;=AC240,ROUND((AD240-AC240)*1440,0),""),"")</f>
        <v/>
      </c>
      <c r="AG240" s="25" t="str">
        <f aca="false">IF(AND(AA240="완료",ISNUMBER(AB240),ISNUMBER(AD240)),IF(AD240&gt;=AB240,ROUND((AD240-AB240)*1440,0),""),"")</f>
        <v/>
      </c>
      <c r="AH240" s="61" t="str">
        <f aca="false">IF(AND(AK240&gt;0,AJ240=0),"측정 기록 없음",IF(AND(AJ240&gt;0,AI240=0),"운동평가 기록 없음",IF(OR(COUNTIF(입력_운동!$B$5:$B$1004,$A240)&gt;1,COUNTIF(입력_측정!$B$5:$B$1004,$A240)&gt;1),"중복 입력","")))</f>
        <v/>
      </c>
      <c r="AI240" s="62" t="n">
        <f aca="false">SUMPRODUCT(MAX((입력_운동!$B$5:$B$1004=$A240)*(ROW(입력_운동!$B$5:$B$1004)-4)))</f>
        <v>0</v>
      </c>
      <c r="AJ240" s="62" t="n">
        <f aca="false">SUMPRODUCT(MAX((입력_측정!$B$5:$B$1004=$A240)*(ROW(입력_측정!$B$5:$B$1004)-4)))</f>
        <v>0</v>
      </c>
      <c r="AK240" s="62" t="n">
        <f aca="false">SUMPRODUCT(MAX((입력_상담!$B$5:$B$1004=$A240)*(ROW(입력_상담!$B$5:$B$1004)-4)))</f>
        <v>0</v>
      </c>
    </row>
    <row r="241" customFormat="false" ht="15" hidden="false" customHeight="false" outlineLevel="0" collapsed="false">
      <c r="A241" s="55" t="n">
        <v>237</v>
      </c>
      <c r="B241" s="56"/>
      <c r="C241" s="24"/>
      <c r="D241" s="24"/>
      <c r="E241" s="56"/>
      <c r="F241" s="57"/>
      <c r="G241" s="58"/>
      <c r="H241" s="56"/>
      <c r="I241" s="24"/>
      <c r="J241" s="24"/>
      <c r="K241" s="24"/>
      <c r="L241" s="24"/>
      <c r="M241" s="24"/>
      <c r="N241" s="56"/>
      <c r="O241" s="25" t="str">
        <f aca="false">IF($AI241=0,"",IF(INDEX(입력_운동!$C$5:$C$1004,$AI241)="","",INDEX(입력_운동!$C$5:$C$1004,$AI241)))</f>
        <v/>
      </c>
      <c r="P241" s="25" t="str">
        <f aca="false">IF($AI241=0,"",IF(INDEX(입력_운동!$D$5:$D$1004,$AI241)="","",INDEX(입력_운동!$D$5:$D$1004,$AI241)))</f>
        <v/>
      </c>
      <c r="Q241" s="25" t="str">
        <f aca="false">IF($AI241=0,"",IF(INDEX(입력_운동!$E$5:$E$1004,$AI241)="","",INDEX(입력_운동!$E$5:$E$1004,$AI241)))</f>
        <v/>
      </c>
      <c r="R241" s="25" t="str">
        <f aca="false">IF($AI241=0,"",IF(INDEX(입력_운동!$F$5:$F$1004,$AI241)="","",INDEX(입력_운동!$F$5:$F$1004,$AI241)))</f>
        <v/>
      </c>
      <c r="S241" s="25" t="str">
        <f aca="false">IF($AJ241=0,"",IF(INDEX(입력_측정!$C$5:$C$1004,$AJ241)="","",INDEX(입력_측정!$C$5:$C$1004,$AJ241)))</f>
        <v/>
      </c>
      <c r="T241" s="25" t="str">
        <f aca="false">IF($AJ241=0,"",IF(INDEX(입력_측정!$D$5:$D$1004,$AJ241)="","",INDEX(입력_측정!$D$5:$D$1004,$AJ241)))</f>
        <v/>
      </c>
      <c r="U241" s="25" t="str">
        <f aca="false">IF($AJ241=0,"",IF(INDEX(입력_측정!$E$5:$E$1004,$AJ241)="","",INDEX(입력_측정!$E$5:$E$1004,$AJ241)))</f>
        <v/>
      </c>
      <c r="V241" s="25" t="str">
        <f aca="false">IF($AJ241=0,"",IF(INDEX(입력_측정!$F$5:$F$1004,$AJ241)="","",INDEX(입력_측정!$F$5:$F$1004,$AJ241)))</f>
        <v/>
      </c>
      <c r="W241" s="25" t="str">
        <f aca="false">IF($AK241=0,"",IF(INDEX(입력_상담!$D$5:$D$1004,$AK241)="","",INDEX(입력_상담!$D$5:$D$1004,$AK241)))</f>
        <v/>
      </c>
      <c r="X241" s="25" t="str">
        <f aca="false">IF($AJ241=0,"",IF(INDEX(입력_측정!$I$5:$I$1004,$AJ241)="","",INDEX(입력_측정!$I$5:$I$1004,$AJ241)))</f>
        <v/>
      </c>
      <c r="Y241" s="25" t="str">
        <f aca="false">IF($AJ241=0,"",IF(INDEX(입력_측정!$J$5:$J$1004,$AJ241)="","",INDEX(입력_측정!$J$5:$J$1004,$AJ241)))</f>
        <v/>
      </c>
      <c r="Z241" s="25" t="str">
        <f aca="false">IF(OR(X241="긴급",LEFT(Y241,2)="긴급",W241="필요",W241="완료"),"대상","")</f>
        <v/>
      </c>
      <c r="AA241" s="59" t="str">
        <f aca="false">IF(M241&lt;&gt;"",M241,IF(AK241&gt;0,IF(W241="필요","추가상담 대기","완료"),IF(AJ241&gt;0,"결과상담 대기",IF(AI241&gt;0,"측정 대기","미방문"))))</f>
        <v>미방문</v>
      </c>
      <c r="AB241" s="60" t="str">
        <f aca="false">IF($AI241=0,"",IF(INDEX(입력_운동!$A$5:$A$1004,$AI241)="","",INDEX(입력_운동!$A$5:$A$1004,$AI241)))</f>
        <v/>
      </c>
      <c r="AC241" s="60" t="str">
        <f aca="false">IF($AJ241=0,"",IF(INDEX(입력_측정!$A$5:$A$1004,$AJ241)="","",INDEX(입력_측정!$A$5:$A$1004,$AJ241)))</f>
        <v/>
      </c>
      <c r="AD241" s="60" t="str">
        <f aca="false">IF($AK241=0,"",IF(INDEX(입력_상담!$A$5:$A$1004,$AK241)="","",INDEX(입력_상담!$A$5:$A$1004,$AK241)))</f>
        <v/>
      </c>
      <c r="AE241" s="25" t="str">
        <f aca="false">IF(AND(ISNUMBER(AB241),ISNUMBER(AC241)),IF(AC241&gt;=AB241,ROUND((AC241-AB241)*1440,0),""),"")</f>
        <v/>
      </c>
      <c r="AF241" s="25" t="str">
        <f aca="false">IF(AND(ISNUMBER(AC241),ISNUMBER(AD241)),IF(AD241&gt;=AC241,ROUND((AD241-AC241)*1440,0),""),"")</f>
        <v/>
      </c>
      <c r="AG241" s="25" t="str">
        <f aca="false">IF(AND(AA241="완료",ISNUMBER(AB241),ISNUMBER(AD241)),IF(AD241&gt;=AB241,ROUND((AD241-AB241)*1440,0),""),"")</f>
        <v/>
      </c>
      <c r="AH241" s="61" t="str">
        <f aca="false">IF(AND(AK241&gt;0,AJ241=0),"측정 기록 없음",IF(AND(AJ241&gt;0,AI241=0),"운동평가 기록 없음",IF(OR(COUNTIF(입력_운동!$B$5:$B$1004,$A241)&gt;1,COUNTIF(입력_측정!$B$5:$B$1004,$A241)&gt;1),"중복 입력","")))</f>
        <v/>
      </c>
      <c r="AI241" s="62" t="n">
        <f aca="false">SUMPRODUCT(MAX((입력_운동!$B$5:$B$1004=$A241)*(ROW(입력_운동!$B$5:$B$1004)-4)))</f>
        <v>0</v>
      </c>
      <c r="AJ241" s="62" t="n">
        <f aca="false">SUMPRODUCT(MAX((입력_측정!$B$5:$B$1004=$A241)*(ROW(입력_측정!$B$5:$B$1004)-4)))</f>
        <v>0</v>
      </c>
      <c r="AK241" s="62" t="n">
        <f aca="false">SUMPRODUCT(MAX((입력_상담!$B$5:$B$1004=$A241)*(ROW(입력_상담!$B$5:$B$1004)-4)))</f>
        <v>0</v>
      </c>
    </row>
    <row r="242" customFormat="false" ht="15" hidden="false" customHeight="false" outlineLevel="0" collapsed="false">
      <c r="A242" s="55" t="n">
        <v>238</v>
      </c>
      <c r="B242" s="56"/>
      <c r="C242" s="24"/>
      <c r="D242" s="24"/>
      <c r="E242" s="56"/>
      <c r="F242" s="57"/>
      <c r="G242" s="58"/>
      <c r="H242" s="56"/>
      <c r="I242" s="24"/>
      <c r="J242" s="24"/>
      <c r="K242" s="24"/>
      <c r="L242" s="24"/>
      <c r="M242" s="24"/>
      <c r="N242" s="56"/>
      <c r="O242" s="25" t="str">
        <f aca="false">IF($AI242=0,"",IF(INDEX(입력_운동!$C$5:$C$1004,$AI242)="","",INDEX(입력_운동!$C$5:$C$1004,$AI242)))</f>
        <v/>
      </c>
      <c r="P242" s="25" t="str">
        <f aca="false">IF($AI242=0,"",IF(INDEX(입력_운동!$D$5:$D$1004,$AI242)="","",INDEX(입력_운동!$D$5:$D$1004,$AI242)))</f>
        <v/>
      </c>
      <c r="Q242" s="25" t="str">
        <f aca="false">IF($AI242=0,"",IF(INDEX(입력_운동!$E$5:$E$1004,$AI242)="","",INDEX(입력_운동!$E$5:$E$1004,$AI242)))</f>
        <v/>
      </c>
      <c r="R242" s="25" t="str">
        <f aca="false">IF($AI242=0,"",IF(INDEX(입력_운동!$F$5:$F$1004,$AI242)="","",INDEX(입력_운동!$F$5:$F$1004,$AI242)))</f>
        <v/>
      </c>
      <c r="S242" s="25" t="str">
        <f aca="false">IF($AJ242=0,"",IF(INDEX(입력_측정!$C$5:$C$1004,$AJ242)="","",INDEX(입력_측정!$C$5:$C$1004,$AJ242)))</f>
        <v/>
      </c>
      <c r="T242" s="25" t="str">
        <f aca="false">IF($AJ242=0,"",IF(INDEX(입력_측정!$D$5:$D$1004,$AJ242)="","",INDEX(입력_측정!$D$5:$D$1004,$AJ242)))</f>
        <v/>
      </c>
      <c r="U242" s="25" t="str">
        <f aca="false">IF($AJ242=0,"",IF(INDEX(입력_측정!$E$5:$E$1004,$AJ242)="","",INDEX(입력_측정!$E$5:$E$1004,$AJ242)))</f>
        <v/>
      </c>
      <c r="V242" s="25" t="str">
        <f aca="false">IF($AJ242=0,"",IF(INDEX(입력_측정!$F$5:$F$1004,$AJ242)="","",INDEX(입력_측정!$F$5:$F$1004,$AJ242)))</f>
        <v/>
      </c>
      <c r="W242" s="25" t="str">
        <f aca="false">IF($AK242=0,"",IF(INDEX(입력_상담!$D$5:$D$1004,$AK242)="","",INDEX(입력_상담!$D$5:$D$1004,$AK242)))</f>
        <v/>
      </c>
      <c r="X242" s="25" t="str">
        <f aca="false">IF($AJ242=0,"",IF(INDEX(입력_측정!$I$5:$I$1004,$AJ242)="","",INDEX(입력_측정!$I$5:$I$1004,$AJ242)))</f>
        <v/>
      </c>
      <c r="Y242" s="25" t="str">
        <f aca="false">IF($AJ242=0,"",IF(INDEX(입력_측정!$J$5:$J$1004,$AJ242)="","",INDEX(입력_측정!$J$5:$J$1004,$AJ242)))</f>
        <v/>
      </c>
      <c r="Z242" s="25" t="str">
        <f aca="false">IF(OR(X242="긴급",LEFT(Y242,2)="긴급",W242="필요",W242="완료"),"대상","")</f>
        <v/>
      </c>
      <c r="AA242" s="59" t="str">
        <f aca="false">IF(M242&lt;&gt;"",M242,IF(AK242&gt;0,IF(W242="필요","추가상담 대기","완료"),IF(AJ242&gt;0,"결과상담 대기",IF(AI242&gt;0,"측정 대기","미방문"))))</f>
        <v>미방문</v>
      </c>
      <c r="AB242" s="60" t="str">
        <f aca="false">IF($AI242=0,"",IF(INDEX(입력_운동!$A$5:$A$1004,$AI242)="","",INDEX(입력_운동!$A$5:$A$1004,$AI242)))</f>
        <v/>
      </c>
      <c r="AC242" s="60" t="str">
        <f aca="false">IF($AJ242=0,"",IF(INDEX(입력_측정!$A$5:$A$1004,$AJ242)="","",INDEX(입력_측정!$A$5:$A$1004,$AJ242)))</f>
        <v/>
      </c>
      <c r="AD242" s="60" t="str">
        <f aca="false">IF($AK242=0,"",IF(INDEX(입력_상담!$A$5:$A$1004,$AK242)="","",INDEX(입력_상담!$A$5:$A$1004,$AK242)))</f>
        <v/>
      </c>
      <c r="AE242" s="25" t="str">
        <f aca="false">IF(AND(ISNUMBER(AB242),ISNUMBER(AC242)),IF(AC242&gt;=AB242,ROUND((AC242-AB242)*1440,0),""),"")</f>
        <v/>
      </c>
      <c r="AF242" s="25" t="str">
        <f aca="false">IF(AND(ISNUMBER(AC242),ISNUMBER(AD242)),IF(AD242&gt;=AC242,ROUND((AD242-AC242)*1440,0),""),"")</f>
        <v/>
      </c>
      <c r="AG242" s="25" t="str">
        <f aca="false">IF(AND(AA242="완료",ISNUMBER(AB242),ISNUMBER(AD242)),IF(AD242&gt;=AB242,ROUND((AD242-AB242)*1440,0),""),"")</f>
        <v/>
      </c>
      <c r="AH242" s="61" t="str">
        <f aca="false">IF(AND(AK242&gt;0,AJ242=0),"측정 기록 없음",IF(AND(AJ242&gt;0,AI242=0),"운동평가 기록 없음",IF(OR(COUNTIF(입력_운동!$B$5:$B$1004,$A242)&gt;1,COUNTIF(입력_측정!$B$5:$B$1004,$A242)&gt;1),"중복 입력","")))</f>
        <v/>
      </c>
      <c r="AI242" s="62" t="n">
        <f aca="false">SUMPRODUCT(MAX((입력_운동!$B$5:$B$1004=$A242)*(ROW(입력_운동!$B$5:$B$1004)-4)))</f>
        <v>0</v>
      </c>
      <c r="AJ242" s="62" t="n">
        <f aca="false">SUMPRODUCT(MAX((입력_측정!$B$5:$B$1004=$A242)*(ROW(입력_측정!$B$5:$B$1004)-4)))</f>
        <v>0</v>
      </c>
      <c r="AK242" s="62" t="n">
        <f aca="false">SUMPRODUCT(MAX((입력_상담!$B$5:$B$1004=$A242)*(ROW(입력_상담!$B$5:$B$1004)-4)))</f>
        <v>0</v>
      </c>
    </row>
    <row r="243" customFormat="false" ht="15" hidden="false" customHeight="false" outlineLevel="0" collapsed="false">
      <c r="A243" s="55" t="n">
        <v>239</v>
      </c>
      <c r="B243" s="56"/>
      <c r="C243" s="24"/>
      <c r="D243" s="24"/>
      <c r="E243" s="56"/>
      <c r="F243" s="57"/>
      <c r="G243" s="58"/>
      <c r="H243" s="56"/>
      <c r="I243" s="24"/>
      <c r="J243" s="24"/>
      <c r="K243" s="24"/>
      <c r="L243" s="24"/>
      <c r="M243" s="24"/>
      <c r="N243" s="56"/>
      <c r="O243" s="25" t="str">
        <f aca="false">IF($AI243=0,"",IF(INDEX(입력_운동!$C$5:$C$1004,$AI243)="","",INDEX(입력_운동!$C$5:$C$1004,$AI243)))</f>
        <v/>
      </c>
      <c r="P243" s="25" t="str">
        <f aca="false">IF($AI243=0,"",IF(INDEX(입력_운동!$D$5:$D$1004,$AI243)="","",INDEX(입력_운동!$D$5:$D$1004,$AI243)))</f>
        <v/>
      </c>
      <c r="Q243" s="25" t="str">
        <f aca="false">IF($AI243=0,"",IF(INDEX(입력_운동!$E$5:$E$1004,$AI243)="","",INDEX(입력_운동!$E$5:$E$1004,$AI243)))</f>
        <v/>
      </c>
      <c r="R243" s="25" t="str">
        <f aca="false">IF($AI243=0,"",IF(INDEX(입력_운동!$F$5:$F$1004,$AI243)="","",INDEX(입력_운동!$F$5:$F$1004,$AI243)))</f>
        <v/>
      </c>
      <c r="S243" s="25" t="str">
        <f aca="false">IF($AJ243=0,"",IF(INDEX(입력_측정!$C$5:$C$1004,$AJ243)="","",INDEX(입력_측정!$C$5:$C$1004,$AJ243)))</f>
        <v/>
      </c>
      <c r="T243" s="25" t="str">
        <f aca="false">IF($AJ243=0,"",IF(INDEX(입력_측정!$D$5:$D$1004,$AJ243)="","",INDEX(입력_측정!$D$5:$D$1004,$AJ243)))</f>
        <v/>
      </c>
      <c r="U243" s="25" t="str">
        <f aca="false">IF($AJ243=0,"",IF(INDEX(입력_측정!$E$5:$E$1004,$AJ243)="","",INDEX(입력_측정!$E$5:$E$1004,$AJ243)))</f>
        <v/>
      </c>
      <c r="V243" s="25" t="str">
        <f aca="false">IF($AJ243=0,"",IF(INDEX(입력_측정!$F$5:$F$1004,$AJ243)="","",INDEX(입력_측정!$F$5:$F$1004,$AJ243)))</f>
        <v/>
      </c>
      <c r="W243" s="25" t="str">
        <f aca="false">IF($AK243=0,"",IF(INDEX(입력_상담!$D$5:$D$1004,$AK243)="","",INDEX(입력_상담!$D$5:$D$1004,$AK243)))</f>
        <v/>
      </c>
      <c r="X243" s="25" t="str">
        <f aca="false">IF($AJ243=0,"",IF(INDEX(입력_측정!$I$5:$I$1004,$AJ243)="","",INDEX(입력_측정!$I$5:$I$1004,$AJ243)))</f>
        <v/>
      </c>
      <c r="Y243" s="25" t="str">
        <f aca="false">IF($AJ243=0,"",IF(INDEX(입력_측정!$J$5:$J$1004,$AJ243)="","",INDEX(입력_측정!$J$5:$J$1004,$AJ243)))</f>
        <v/>
      </c>
      <c r="Z243" s="25" t="str">
        <f aca="false">IF(OR(X243="긴급",LEFT(Y243,2)="긴급",W243="필요",W243="완료"),"대상","")</f>
        <v/>
      </c>
      <c r="AA243" s="59" t="str">
        <f aca="false">IF(M243&lt;&gt;"",M243,IF(AK243&gt;0,IF(W243="필요","추가상담 대기","완료"),IF(AJ243&gt;0,"결과상담 대기",IF(AI243&gt;0,"측정 대기","미방문"))))</f>
        <v>미방문</v>
      </c>
      <c r="AB243" s="60" t="str">
        <f aca="false">IF($AI243=0,"",IF(INDEX(입력_운동!$A$5:$A$1004,$AI243)="","",INDEX(입력_운동!$A$5:$A$1004,$AI243)))</f>
        <v/>
      </c>
      <c r="AC243" s="60" t="str">
        <f aca="false">IF($AJ243=0,"",IF(INDEX(입력_측정!$A$5:$A$1004,$AJ243)="","",INDEX(입력_측정!$A$5:$A$1004,$AJ243)))</f>
        <v/>
      </c>
      <c r="AD243" s="60" t="str">
        <f aca="false">IF($AK243=0,"",IF(INDEX(입력_상담!$A$5:$A$1004,$AK243)="","",INDEX(입력_상담!$A$5:$A$1004,$AK243)))</f>
        <v/>
      </c>
      <c r="AE243" s="25" t="str">
        <f aca="false">IF(AND(ISNUMBER(AB243),ISNUMBER(AC243)),IF(AC243&gt;=AB243,ROUND((AC243-AB243)*1440,0),""),"")</f>
        <v/>
      </c>
      <c r="AF243" s="25" t="str">
        <f aca="false">IF(AND(ISNUMBER(AC243),ISNUMBER(AD243)),IF(AD243&gt;=AC243,ROUND((AD243-AC243)*1440,0),""),"")</f>
        <v/>
      </c>
      <c r="AG243" s="25" t="str">
        <f aca="false">IF(AND(AA243="완료",ISNUMBER(AB243),ISNUMBER(AD243)),IF(AD243&gt;=AB243,ROUND((AD243-AB243)*1440,0),""),"")</f>
        <v/>
      </c>
      <c r="AH243" s="61" t="str">
        <f aca="false">IF(AND(AK243&gt;0,AJ243=0),"측정 기록 없음",IF(AND(AJ243&gt;0,AI243=0),"운동평가 기록 없음",IF(OR(COUNTIF(입력_운동!$B$5:$B$1004,$A243)&gt;1,COUNTIF(입력_측정!$B$5:$B$1004,$A243)&gt;1),"중복 입력","")))</f>
        <v/>
      </c>
      <c r="AI243" s="62" t="n">
        <f aca="false">SUMPRODUCT(MAX((입력_운동!$B$5:$B$1004=$A243)*(ROW(입력_운동!$B$5:$B$1004)-4)))</f>
        <v>0</v>
      </c>
      <c r="AJ243" s="62" t="n">
        <f aca="false">SUMPRODUCT(MAX((입력_측정!$B$5:$B$1004=$A243)*(ROW(입력_측정!$B$5:$B$1004)-4)))</f>
        <v>0</v>
      </c>
      <c r="AK243" s="62" t="n">
        <f aca="false">SUMPRODUCT(MAX((입력_상담!$B$5:$B$1004=$A243)*(ROW(입력_상담!$B$5:$B$1004)-4)))</f>
        <v>0</v>
      </c>
    </row>
    <row r="244" customFormat="false" ht="15" hidden="false" customHeight="false" outlineLevel="0" collapsed="false">
      <c r="A244" s="55" t="n">
        <v>240</v>
      </c>
      <c r="B244" s="56"/>
      <c r="C244" s="24"/>
      <c r="D244" s="24"/>
      <c r="E244" s="56"/>
      <c r="F244" s="57"/>
      <c r="G244" s="58"/>
      <c r="H244" s="56"/>
      <c r="I244" s="24"/>
      <c r="J244" s="24"/>
      <c r="K244" s="24"/>
      <c r="L244" s="24"/>
      <c r="M244" s="24"/>
      <c r="N244" s="56"/>
      <c r="O244" s="25" t="str">
        <f aca="false">IF($AI244=0,"",IF(INDEX(입력_운동!$C$5:$C$1004,$AI244)="","",INDEX(입력_운동!$C$5:$C$1004,$AI244)))</f>
        <v/>
      </c>
      <c r="P244" s="25" t="str">
        <f aca="false">IF($AI244=0,"",IF(INDEX(입력_운동!$D$5:$D$1004,$AI244)="","",INDEX(입력_운동!$D$5:$D$1004,$AI244)))</f>
        <v/>
      </c>
      <c r="Q244" s="25" t="str">
        <f aca="false">IF($AI244=0,"",IF(INDEX(입력_운동!$E$5:$E$1004,$AI244)="","",INDEX(입력_운동!$E$5:$E$1004,$AI244)))</f>
        <v/>
      </c>
      <c r="R244" s="25" t="str">
        <f aca="false">IF($AI244=0,"",IF(INDEX(입력_운동!$F$5:$F$1004,$AI244)="","",INDEX(입력_운동!$F$5:$F$1004,$AI244)))</f>
        <v/>
      </c>
      <c r="S244" s="25" t="str">
        <f aca="false">IF($AJ244=0,"",IF(INDEX(입력_측정!$C$5:$C$1004,$AJ244)="","",INDEX(입력_측정!$C$5:$C$1004,$AJ244)))</f>
        <v/>
      </c>
      <c r="T244" s="25" t="str">
        <f aca="false">IF($AJ244=0,"",IF(INDEX(입력_측정!$D$5:$D$1004,$AJ244)="","",INDEX(입력_측정!$D$5:$D$1004,$AJ244)))</f>
        <v/>
      </c>
      <c r="U244" s="25" t="str">
        <f aca="false">IF($AJ244=0,"",IF(INDEX(입력_측정!$E$5:$E$1004,$AJ244)="","",INDEX(입력_측정!$E$5:$E$1004,$AJ244)))</f>
        <v/>
      </c>
      <c r="V244" s="25" t="str">
        <f aca="false">IF($AJ244=0,"",IF(INDEX(입력_측정!$F$5:$F$1004,$AJ244)="","",INDEX(입력_측정!$F$5:$F$1004,$AJ244)))</f>
        <v/>
      </c>
      <c r="W244" s="25" t="str">
        <f aca="false">IF($AK244=0,"",IF(INDEX(입력_상담!$D$5:$D$1004,$AK244)="","",INDEX(입력_상담!$D$5:$D$1004,$AK244)))</f>
        <v/>
      </c>
      <c r="X244" s="25" t="str">
        <f aca="false">IF($AJ244=0,"",IF(INDEX(입력_측정!$I$5:$I$1004,$AJ244)="","",INDEX(입력_측정!$I$5:$I$1004,$AJ244)))</f>
        <v/>
      </c>
      <c r="Y244" s="25" t="str">
        <f aca="false">IF($AJ244=0,"",IF(INDEX(입력_측정!$J$5:$J$1004,$AJ244)="","",INDEX(입력_측정!$J$5:$J$1004,$AJ244)))</f>
        <v/>
      </c>
      <c r="Z244" s="25" t="str">
        <f aca="false">IF(OR(X244="긴급",LEFT(Y244,2)="긴급",W244="필요",W244="완료"),"대상","")</f>
        <v/>
      </c>
      <c r="AA244" s="59" t="str">
        <f aca="false">IF(M244&lt;&gt;"",M244,IF(AK244&gt;0,IF(W244="필요","추가상담 대기","완료"),IF(AJ244&gt;0,"결과상담 대기",IF(AI244&gt;0,"측정 대기","미방문"))))</f>
        <v>미방문</v>
      </c>
      <c r="AB244" s="60" t="str">
        <f aca="false">IF($AI244=0,"",IF(INDEX(입력_운동!$A$5:$A$1004,$AI244)="","",INDEX(입력_운동!$A$5:$A$1004,$AI244)))</f>
        <v/>
      </c>
      <c r="AC244" s="60" t="str">
        <f aca="false">IF($AJ244=0,"",IF(INDEX(입력_측정!$A$5:$A$1004,$AJ244)="","",INDEX(입력_측정!$A$5:$A$1004,$AJ244)))</f>
        <v/>
      </c>
      <c r="AD244" s="60" t="str">
        <f aca="false">IF($AK244=0,"",IF(INDEX(입력_상담!$A$5:$A$1004,$AK244)="","",INDEX(입력_상담!$A$5:$A$1004,$AK244)))</f>
        <v/>
      </c>
      <c r="AE244" s="25" t="str">
        <f aca="false">IF(AND(ISNUMBER(AB244),ISNUMBER(AC244)),IF(AC244&gt;=AB244,ROUND((AC244-AB244)*1440,0),""),"")</f>
        <v/>
      </c>
      <c r="AF244" s="25" t="str">
        <f aca="false">IF(AND(ISNUMBER(AC244),ISNUMBER(AD244)),IF(AD244&gt;=AC244,ROUND((AD244-AC244)*1440,0),""),"")</f>
        <v/>
      </c>
      <c r="AG244" s="25" t="str">
        <f aca="false">IF(AND(AA244="완료",ISNUMBER(AB244),ISNUMBER(AD244)),IF(AD244&gt;=AB244,ROUND((AD244-AB244)*1440,0),""),"")</f>
        <v/>
      </c>
      <c r="AH244" s="61" t="str">
        <f aca="false">IF(AND(AK244&gt;0,AJ244=0),"측정 기록 없음",IF(AND(AJ244&gt;0,AI244=0),"운동평가 기록 없음",IF(OR(COUNTIF(입력_운동!$B$5:$B$1004,$A244)&gt;1,COUNTIF(입력_측정!$B$5:$B$1004,$A244)&gt;1),"중복 입력","")))</f>
        <v/>
      </c>
      <c r="AI244" s="62" t="n">
        <f aca="false">SUMPRODUCT(MAX((입력_운동!$B$5:$B$1004=$A244)*(ROW(입력_운동!$B$5:$B$1004)-4)))</f>
        <v>0</v>
      </c>
      <c r="AJ244" s="62" t="n">
        <f aca="false">SUMPRODUCT(MAX((입력_측정!$B$5:$B$1004=$A244)*(ROW(입력_측정!$B$5:$B$1004)-4)))</f>
        <v>0</v>
      </c>
      <c r="AK244" s="62" t="n">
        <f aca="false">SUMPRODUCT(MAX((입력_상담!$B$5:$B$1004=$A244)*(ROW(입력_상담!$B$5:$B$1004)-4)))</f>
        <v>0</v>
      </c>
    </row>
    <row r="245" customFormat="false" ht="15" hidden="false" customHeight="false" outlineLevel="0" collapsed="false">
      <c r="A245" s="55" t="n">
        <v>241</v>
      </c>
      <c r="B245" s="56"/>
      <c r="C245" s="24"/>
      <c r="D245" s="24"/>
      <c r="E245" s="56"/>
      <c r="F245" s="57"/>
      <c r="G245" s="58"/>
      <c r="H245" s="56"/>
      <c r="I245" s="24"/>
      <c r="J245" s="24"/>
      <c r="K245" s="24"/>
      <c r="L245" s="24"/>
      <c r="M245" s="24"/>
      <c r="N245" s="56"/>
      <c r="O245" s="25" t="str">
        <f aca="false">IF($AI245=0,"",IF(INDEX(입력_운동!$C$5:$C$1004,$AI245)="","",INDEX(입력_운동!$C$5:$C$1004,$AI245)))</f>
        <v/>
      </c>
      <c r="P245" s="25" t="str">
        <f aca="false">IF($AI245=0,"",IF(INDEX(입력_운동!$D$5:$D$1004,$AI245)="","",INDEX(입력_운동!$D$5:$D$1004,$AI245)))</f>
        <v/>
      </c>
      <c r="Q245" s="25" t="str">
        <f aca="false">IF($AI245=0,"",IF(INDEX(입력_운동!$E$5:$E$1004,$AI245)="","",INDEX(입력_운동!$E$5:$E$1004,$AI245)))</f>
        <v/>
      </c>
      <c r="R245" s="25" t="str">
        <f aca="false">IF($AI245=0,"",IF(INDEX(입력_운동!$F$5:$F$1004,$AI245)="","",INDEX(입력_운동!$F$5:$F$1004,$AI245)))</f>
        <v/>
      </c>
      <c r="S245" s="25" t="str">
        <f aca="false">IF($AJ245=0,"",IF(INDEX(입력_측정!$C$5:$C$1004,$AJ245)="","",INDEX(입력_측정!$C$5:$C$1004,$AJ245)))</f>
        <v/>
      </c>
      <c r="T245" s="25" t="str">
        <f aca="false">IF($AJ245=0,"",IF(INDEX(입력_측정!$D$5:$D$1004,$AJ245)="","",INDEX(입력_측정!$D$5:$D$1004,$AJ245)))</f>
        <v/>
      </c>
      <c r="U245" s="25" t="str">
        <f aca="false">IF($AJ245=0,"",IF(INDEX(입력_측정!$E$5:$E$1004,$AJ245)="","",INDEX(입력_측정!$E$5:$E$1004,$AJ245)))</f>
        <v/>
      </c>
      <c r="V245" s="25" t="str">
        <f aca="false">IF($AJ245=0,"",IF(INDEX(입력_측정!$F$5:$F$1004,$AJ245)="","",INDEX(입력_측정!$F$5:$F$1004,$AJ245)))</f>
        <v/>
      </c>
      <c r="W245" s="25" t="str">
        <f aca="false">IF($AK245=0,"",IF(INDEX(입력_상담!$D$5:$D$1004,$AK245)="","",INDEX(입력_상담!$D$5:$D$1004,$AK245)))</f>
        <v/>
      </c>
      <c r="X245" s="25" t="str">
        <f aca="false">IF($AJ245=0,"",IF(INDEX(입력_측정!$I$5:$I$1004,$AJ245)="","",INDEX(입력_측정!$I$5:$I$1004,$AJ245)))</f>
        <v/>
      </c>
      <c r="Y245" s="25" t="str">
        <f aca="false">IF($AJ245=0,"",IF(INDEX(입력_측정!$J$5:$J$1004,$AJ245)="","",INDEX(입력_측정!$J$5:$J$1004,$AJ245)))</f>
        <v/>
      </c>
      <c r="Z245" s="25" t="str">
        <f aca="false">IF(OR(X245="긴급",LEFT(Y245,2)="긴급",W245="필요",W245="완료"),"대상","")</f>
        <v/>
      </c>
      <c r="AA245" s="59" t="str">
        <f aca="false">IF(M245&lt;&gt;"",M245,IF(AK245&gt;0,IF(W245="필요","추가상담 대기","완료"),IF(AJ245&gt;0,"결과상담 대기",IF(AI245&gt;0,"측정 대기","미방문"))))</f>
        <v>미방문</v>
      </c>
      <c r="AB245" s="60" t="str">
        <f aca="false">IF($AI245=0,"",IF(INDEX(입력_운동!$A$5:$A$1004,$AI245)="","",INDEX(입력_운동!$A$5:$A$1004,$AI245)))</f>
        <v/>
      </c>
      <c r="AC245" s="60" t="str">
        <f aca="false">IF($AJ245=0,"",IF(INDEX(입력_측정!$A$5:$A$1004,$AJ245)="","",INDEX(입력_측정!$A$5:$A$1004,$AJ245)))</f>
        <v/>
      </c>
      <c r="AD245" s="60" t="str">
        <f aca="false">IF($AK245=0,"",IF(INDEX(입력_상담!$A$5:$A$1004,$AK245)="","",INDEX(입력_상담!$A$5:$A$1004,$AK245)))</f>
        <v/>
      </c>
      <c r="AE245" s="25" t="str">
        <f aca="false">IF(AND(ISNUMBER(AB245),ISNUMBER(AC245)),IF(AC245&gt;=AB245,ROUND((AC245-AB245)*1440,0),""),"")</f>
        <v/>
      </c>
      <c r="AF245" s="25" t="str">
        <f aca="false">IF(AND(ISNUMBER(AC245),ISNUMBER(AD245)),IF(AD245&gt;=AC245,ROUND((AD245-AC245)*1440,0),""),"")</f>
        <v/>
      </c>
      <c r="AG245" s="25" t="str">
        <f aca="false">IF(AND(AA245="완료",ISNUMBER(AB245),ISNUMBER(AD245)),IF(AD245&gt;=AB245,ROUND((AD245-AB245)*1440,0),""),"")</f>
        <v/>
      </c>
      <c r="AH245" s="61" t="str">
        <f aca="false">IF(AND(AK245&gt;0,AJ245=0),"측정 기록 없음",IF(AND(AJ245&gt;0,AI245=0),"운동평가 기록 없음",IF(OR(COUNTIF(입력_운동!$B$5:$B$1004,$A245)&gt;1,COUNTIF(입력_측정!$B$5:$B$1004,$A245)&gt;1),"중복 입력","")))</f>
        <v/>
      </c>
      <c r="AI245" s="62" t="n">
        <f aca="false">SUMPRODUCT(MAX((입력_운동!$B$5:$B$1004=$A245)*(ROW(입력_운동!$B$5:$B$1004)-4)))</f>
        <v>0</v>
      </c>
      <c r="AJ245" s="62" t="n">
        <f aca="false">SUMPRODUCT(MAX((입력_측정!$B$5:$B$1004=$A245)*(ROW(입력_측정!$B$5:$B$1004)-4)))</f>
        <v>0</v>
      </c>
      <c r="AK245" s="62" t="n">
        <f aca="false">SUMPRODUCT(MAX((입력_상담!$B$5:$B$1004=$A245)*(ROW(입력_상담!$B$5:$B$1004)-4)))</f>
        <v>0</v>
      </c>
    </row>
    <row r="246" customFormat="false" ht="15" hidden="false" customHeight="false" outlineLevel="0" collapsed="false">
      <c r="A246" s="55" t="n">
        <v>242</v>
      </c>
      <c r="B246" s="56"/>
      <c r="C246" s="24"/>
      <c r="D246" s="24"/>
      <c r="E246" s="56"/>
      <c r="F246" s="57"/>
      <c r="G246" s="58"/>
      <c r="H246" s="56"/>
      <c r="I246" s="24"/>
      <c r="J246" s="24"/>
      <c r="K246" s="24"/>
      <c r="L246" s="24"/>
      <c r="M246" s="24"/>
      <c r="N246" s="56"/>
      <c r="O246" s="25" t="str">
        <f aca="false">IF($AI246=0,"",IF(INDEX(입력_운동!$C$5:$C$1004,$AI246)="","",INDEX(입력_운동!$C$5:$C$1004,$AI246)))</f>
        <v/>
      </c>
      <c r="P246" s="25" t="str">
        <f aca="false">IF($AI246=0,"",IF(INDEX(입력_운동!$D$5:$D$1004,$AI246)="","",INDEX(입력_운동!$D$5:$D$1004,$AI246)))</f>
        <v/>
      </c>
      <c r="Q246" s="25" t="str">
        <f aca="false">IF($AI246=0,"",IF(INDEX(입력_운동!$E$5:$E$1004,$AI246)="","",INDEX(입력_운동!$E$5:$E$1004,$AI246)))</f>
        <v/>
      </c>
      <c r="R246" s="25" t="str">
        <f aca="false">IF($AI246=0,"",IF(INDEX(입력_운동!$F$5:$F$1004,$AI246)="","",INDEX(입력_운동!$F$5:$F$1004,$AI246)))</f>
        <v/>
      </c>
      <c r="S246" s="25" t="str">
        <f aca="false">IF($AJ246=0,"",IF(INDEX(입력_측정!$C$5:$C$1004,$AJ246)="","",INDEX(입력_측정!$C$5:$C$1004,$AJ246)))</f>
        <v/>
      </c>
      <c r="T246" s="25" t="str">
        <f aca="false">IF($AJ246=0,"",IF(INDEX(입력_측정!$D$5:$D$1004,$AJ246)="","",INDEX(입력_측정!$D$5:$D$1004,$AJ246)))</f>
        <v/>
      </c>
      <c r="U246" s="25" t="str">
        <f aca="false">IF($AJ246=0,"",IF(INDEX(입력_측정!$E$5:$E$1004,$AJ246)="","",INDEX(입력_측정!$E$5:$E$1004,$AJ246)))</f>
        <v/>
      </c>
      <c r="V246" s="25" t="str">
        <f aca="false">IF($AJ246=0,"",IF(INDEX(입력_측정!$F$5:$F$1004,$AJ246)="","",INDEX(입력_측정!$F$5:$F$1004,$AJ246)))</f>
        <v/>
      </c>
      <c r="W246" s="25" t="str">
        <f aca="false">IF($AK246=0,"",IF(INDEX(입력_상담!$D$5:$D$1004,$AK246)="","",INDEX(입력_상담!$D$5:$D$1004,$AK246)))</f>
        <v/>
      </c>
      <c r="X246" s="25" t="str">
        <f aca="false">IF($AJ246=0,"",IF(INDEX(입력_측정!$I$5:$I$1004,$AJ246)="","",INDEX(입력_측정!$I$5:$I$1004,$AJ246)))</f>
        <v/>
      </c>
      <c r="Y246" s="25" t="str">
        <f aca="false">IF($AJ246=0,"",IF(INDEX(입력_측정!$J$5:$J$1004,$AJ246)="","",INDEX(입력_측정!$J$5:$J$1004,$AJ246)))</f>
        <v/>
      </c>
      <c r="Z246" s="25" t="str">
        <f aca="false">IF(OR(X246="긴급",LEFT(Y246,2)="긴급",W246="필요",W246="완료"),"대상","")</f>
        <v/>
      </c>
      <c r="AA246" s="59" t="str">
        <f aca="false">IF(M246&lt;&gt;"",M246,IF(AK246&gt;0,IF(W246="필요","추가상담 대기","완료"),IF(AJ246&gt;0,"결과상담 대기",IF(AI246&gt;0,"측정 대기","미방문"))))</f>
        <v>미방문</v>
      </c>
      <c r="AB246" s="60" t="str">
        <f aca="false">IF($AI246=0,"",IF(INDEX(입력_운동!$A$5:$A$1004,$AI246)="","",INDEX(입력_운동!$A$5:$A$1004,$AI246)))</f>
        <v/>
      </c>
      <c r="AC246" s="60" t="str">
        <f aca="false">IF($AJ246=0,"",IF(INDEX(입력_측정!$A$5:$A$1004,$AJ246)="","",INDEX(입력_측정!$A$5:$A$1004,$AJ246)))</f>
        <v/>
      </c>
      <c r="AD246" s="60" t="str">
        <f aca="false">IF($AK246=0,"",IF(INDEX(입력_상담!$A$5:$A$1004,$AK246)="","",INDEX(입력_상담!$A$5:$A$1004,$AK246)))</f>
        <v/>
      </c>
      <c r="AE246" s="25" t="str">
        <f aca="false">IF(AND(ISNUMBER(AB246),ISNUMBER(AC246)),IF(AC246&gt;=AB246,ROUND((AC246-AB246)*1440,0),""),"")</f>
        <v/>
      </c>
      <c r="AF246" s="25" t="str">
        <f aca="false">IF(AND(ISNUMBER(AC246),ISNUMBER(AD246)),IF(AD246&gt;=AC246,ROUND((AD246-AC246)*1440,0),""),"")</f>
        <v/>
      </c>
      <c r="AG246" s="25" t="str">
        <f aca="false">IF(AND(AA246="완료",ISNUMBER(AB246),ISNUMBER(AD246)),IF(AD246&gt;=AB246,ROUND((AD246-AB246)*1440,0),""),"")</f>
        <v/>
      </c>
      <c r="AH246" s="61" t="str">
        <f aca="false">IF(AND(AK246&gt;0,AJ246=0),"측정 기록 없음",IF(AND(AJ246&gt;0,AI246=0),"운동평가 기록 없음",IF(OR(COUNTIF(입력_운동!$B$5:$B$1004,$A246)&gt;1,COUNTIF(입력_측정!$B$5:$B$1004,$A246)&gt;1),"중복 입력","")))</f>
        <v/>
      </c>
      <c r="AI246" s="62" t="n">
        <f aca="false">SUMPRODUCT(MAX((입력_운동!$B$5:$B$1004=$A246)*(ROW(입력_운동!$B$5:$B$1004)-4)))</f>
        <v>0</v>
      </c>
      <c r="AJ246" s="62" t="n">
        <f aca="false">SUMPRODUCT(MAX((입력_측정!$B$5:$B$1004=$A246)*(ROW(입력_측정!$B$5:$B$1004)-4)))</f>
        <v>0</v>
      </c>
      <c r="AK246" s="62" t="n">
        <f aca="false">SUMPRODUCT(MAX((입력_상담!$B$5:$B$1004=$A246)*(ROW(입력_상담!$B$5:$B$1004)-4)))</f>
        <v>0</v>
      </c>
    </row>
    <row r="247" customFormat="false" ht="15" hidden="false" customHeight="false" outlineLevel="0" collapsed="false">
      <c r="A247" s="55" t="n">
        <v>243</v>
      </c>
      <c r="B247" s="56"/>
      <c r="C247" s="24"/>
      <c r="D247" s="24"/>
      <c r="E247" s="56"/>
      <c r="F247" s="57"/>
      <c r="G247" s="58"/>
      <c r="H247" s="56"/>
      <c r="I247" s="24"/>
      <c r="J247" s="24"/>
      <c r="K247" s="24"/>
      <c r="L247" s="24"/>
      <c r="M247" s="24"/>
      <c r="N247" s="56"/>
      <c r="O247" s="25" t="str">
        <f aca="false">IF($AI247=0,"",IF(INDEX(입력_운동!$C$5:$C$1004,$AI247)="","",INDEX(입력_운동!$C$5:$C$1004,$AI247)))</f>
        <v/>
      </c>
      <c r="P247" s="25" t="str">
        <f aca="false">IF($AI247=0,"",IF(INDEX(입력_운동!$D$5:$D$1004,$AI247)="","",INDEX(입력_운동!$D$5:$D$1004,$AI247)))</f>
        <v/>
      </c>
      <c r="Q247" s="25" t="str">
        <f aca="false">IF($AI247=0,"",IF(INDEX(입력_운동!$E$5:$E$1004,$AI247)="","",INDEX(입력_운동!$E$5:$E$1004,$AI247)))</f>
        <v/>
      </c>
      <c r="R247" s="25" t="str">
        <f aca="false">IF($AI247=0,"",IF(INDEX(입력_운동!$F$5:$F$1004,$AI247)="","",INDEX(입력_운동!$F$5:$F$1004,$AI247)))</f>
        <v/>
      </c>
      <c r="S247" s="25" t="str">
        <f aca="false">IF($AJ247=0,"",IF(INDEX(입력_측정!$C$5:$C$1004,$AJ247)="","",INDEX(입력_측정!$C$5:$C$1004,$AJ247)))</f>
        <v/>
      </c>
      <c r="T247" s="25" t="str">
        <f aca="false">IF($AJ247=0,"",IF(INDEX(입력_측정!$D$5:$D$1004,$AJ247)="","",INDEX(입력_측정!$D$5:$D$1004,$AJ247)))</f>
        <v/>
      </c>
      <c r="U247" s="25" t="str">
        <f aca="false">IF($AJ247=0,"",IF(INDEX(입력_측정!$E$5:$E$1004,$AJ247)="","",INDEX(입력_측정!$E$5:$E$1004,$AJ247)))</f>
        <v/>
      </c>
      <c r="V247" s="25" t="str">
        <f aca="false">IF($AJ247=0,"",IF(INDEX(입력_측정!$F$5:$F$1004,$AJ247)="","",INDEX(입력_측정!$F$5:$F$1004,$AJ247)))</f>
        <v/>
      </c>
      <c r="W247" s="25" t="str">
        <f aca="false">IF($AK247=0,"",IF(INDEX(입력_상담!$D$5:$D$1004,$AK247)="","",INDEX(입력_상담!$D$5:$D$1004,$AK247)))</f>
        <v/>
      </c>
      <c r="X247" s="25" t="str">
        <f aca="false">IF($AJ247=0,"",IF(INDEX(입력_측정!$I$5:$I$1004,$AJ247)="","",INDEX(입력_측정!$I$5:$I$1004,$AJ247)))</f>
        <v/>
      </c>
      <c r="Y247" s="25" t="str">
        <f aca="false">IF($AJ247=0,"",IF(INDEX(입력_측정!$J$5:$J$1004,$AJ247)="","",INDEX(입력_측정!$J$5:$J$1004,$AJ247)))</f>
        <v/>
      </c>
      <c r="Z247" s="25" t="str">
        <f aca="false">IF(OR(X247="긴급",LEFT(Y247,2)="긴급",W247="필요",W247="완료"),"대상","")</f>
        <v/>
      </c>
      <c r="AA247" s="59" t="str">
        <f aca="false">IF(M247&lt;&gt;"",M247,IF(AK247&gt;0,IF(W247="필요","추가상담 대기","완료"),IF(AJ247&gt;0,"결과상담 대기",IF(AI247&gt;0,"측정 대기","미방문"))))</f>
        <v>미방문</v>
      </c>
      <c r="AB247" s="60" t="str">
        <f aca="false">IF($AI247=0,"",IF(INDEX(입력_운동!$A$5:$A$1004,$AI247)="","",INDEX(입력_운동!$A$5:$A$1004,$AI247)))</f>
        <v/>
      </c>
      <c r="AC247" s="60" t="str">
        <f aca="false">IF($AJ247=0,"",IF(INDEX(입력_측정!$A$5:$A$1004,$AJ247)="","",INDEX(입력_측정!$A$5:$A$1004,$AJ247)))</f>
        <v/>
      </c>
      <c r="AD247" s="60" t="str">
        <f aca="false">IF($AK247=0,"",IF(INDEX(입력_상담!$A$5:$A$1004,$AK247)="","",INDEX(입력_상담!$A$5:$A$1004,$AK247)))</f>
        <v/>
      </c>
      <c r="AE247" s="25" t="str">
        <f aca="false">IF(AND(ISNUMBER(AB247),ISNUMBER(AC247)),IF(AC247&gt;=AB247,ROUND((AC247-AB247)*1440,0),""),"")</f>
        <v/>
      </c>
      <c r="AF247" s="25" t="str">
        <f aca="false">IF(AND(ISNUMBER(AC247),ISNUMBER(AD247)),IF(AD247&gt;=AC247,ROUND((AD247-AC247)*1440,0),""),"")</f>
        <v/>
      </c>
      <c r="AG247" s="25" t="str">
        <f aca="false">IF(AND(AA247="완료",ISNUMBER(AB247),ISNUMBER(AD247)),IF(AD247&gt;=AB247,ROUND((AD247-AB247)*1440,0),""),"")</f>
        <v/>
      </c>
      <c r="AH247" s="61" t="str">
        <f aca="false">IF(AND(AK247&gt;0,AJ247=0),"측정 기록 없음",IF(AND(AJ247&gt;0,AI247=0),"운동평가 기록 없음",IF(OR(COUNTIF(입력_운동!$B$5:$B$1004,$A247)&gt;1,COUNTIF(입력_측정!$B$5:$B$1004,$A247)&gt;1),"중복 입력","")))</f>
        <v/>
      </c>
      <c r="AI247" s="62" t="n">
        <f aca="false">SUMPRODUCT(MAX((입력_운동!$B$5:$B$1004=$A247)*(ROW(입력_운동!$B$5:$B$1004)-4)))</f>
        <v>0</v>
      </c>
      <c r="AJ247" s="62" t="n">
        <f aca="false">SUMPRODUCT(MAX((입력_측정!$B$5:$B$1004=$A247)*(ROW(입력_측정!$B$5:$B$1004)-4)))</f>
        <v>0</v>
      </c>
      <c r="AK247" s="62" t="n">
        <f aca="false">SUMPRODUCT(MAX((입력_상담!$B$5:$B$1004=$A247)*(ROW(입력_상담!$B$5:$B$1004)-4)))</f>
        <v>0</v>
      </c>
    </row>
    <row r="248" customFormat="false" ht="15" hidden="false" customHeight="false" outlineLevel="0" collapsed="false">
      <c r="A248" s="55" t="n">
        <v>244</v>
      </c>
      <c r="B248" s="56"/>
      <c r="C248" s="24"/>
      <c r="D248" s="24"/>
      <c r="E248" s="56"/>
      <c r="F248" s="57"/>
      <c r="G248" s="58"/>
      <c r="H248" s="56"/>
      <c r="I248" s="24"/>
      <c r="J248" s="24"/>
      <c r="K248" s="24"/>
      <c r="L248" s="24"/>
      <c r="M248" s="24"/>
      <c r="N248" s="56"/>
      <c r="O248" s="25" t="str">
        <f aca="false">IF($AI248=0,"",IF(INDEX(입력_운동!$C$5:$C$1004,$AI248)="","",INDEX(입력_운동!$C$5:$C$1004,$AI248)))</f>
        <v/>
      </c>
      <c r="P248" s="25" t="str">
        <f aca="false">IF($AI248=0,"",IF(INDEX(입력_운동!$D$5:$D$1004,$AI248)="","",INDEX(입력_운동!$D$5:$D$1004,$AI248)))</f>
        <v/>
      </c>
      <c r="Q248" s="25" t="str">
        <f aca="false">IF($AI248=0,"",IF(INDEX(입력_운동!$E$5:$E$1004,$AI248)="","",INDEX(입력_운동!$E$5:$E$1004,$AI248)))</f>
        <v/>
      </c>
      <c r="R248" s="25" t="str">
        <f aca="false">IF($AI248=0,"",IF(INDEX(입력_운동!$F$5:$F$1004,$AI248)="","",INDEX(입력_운동!$F$5:$F$1004,$AI248)))</f>
        <v/>
      </c>
      <c r="S248" s="25" t="str">
        <f aca="false">IF($AJ248=0,"",IF(INDEX(입력_측정!$C$5:$C$1004,$AJ248)="","",INDEX(입력_측정!$C$5:$C$1004,$AJ248)))</f>
        <v/>
      </c>
      <c r="T248" s="25" t="str">
        <f aca="false">IF($AJ248=0,"",IF(INDEX(입력_측정!$D$5:$D$1004,$AJ248)="","",INDEX(입력_측정!$D$5:$D$1004,$AJ248)))</f>
        <v/>
      </c>
      <c r="U248" s="25" t="str">
        <f aca="false">IF($AJ248=0,"",IF(INDEX(입력_측정!$E$5:$E$1004,$AJ248)="","",INDEX(입력_측정!$E$5:$E$1004,$AJ248)))</f>
        <v/>
      </c>
      <c r="V248" s="25" t="str">
        <f aca="false">IF($AJ248=0,"",IF(INDEX(입력_측정!$F$5:$F$1004,$AJ248)="","",INDEX(입력_측정!$F$5:$F$1004,$AJ248)))</f>
        <v/>
      </c>
      <c r="W248" s="25" t="str">
        <f aca="false">IF($AK248=0,"",IF(INDEX(입력_상담!$D$5:$D$1004,$AK248)="","",INDEX(입력_상담!$D$5:$D$1004,$AK248)))</f>
        <v/>
      </c>
      <c r="X248" s="25" t="str">
        <f aca="false">IF($AJ248=0,"",IF(INDEX(입력_측정!$I$5:$I$1004,$AJ248)="","",INDEX(입력_측정!$I$5:$I$1004,$AJ248)))</f>
        <v/>
      </c>
      <c r="Y248" s="25" t="str">
        <f aca="false">IF($AJ248=0,"",IF(INDEX(입력_측정!$J$5:$J$1004,$AJ248)="","",INDEX(입력_측정!$J$5:$J$1004,$AJ248)))</f>
        <v/>
      </c>
      <c r="Z248" s="25" t="str">
        <f aca="false">IF(OR(X248="긴급",LEFT(Y248,2)="긴급",W248="필요",W248="완료"),"대상","")</f>
        <v/>
      </c>
      <c r="AA248" s="59" t="str">
        <f aca="false">IF(M248&lt;&gt;"",M248,IF(AK248&gt;0,IF(W248="필요","추가상담 대기","완료"),IF(AJ248&gt;0,"결과상담 대기",IF(AI248&gt;0,"측정 대기","미방문"))))</f>
        <v>미방문</v>
      </c>
      <c r="AB248" s="60" t="str">
        <f aca="false">IF($AI248=0,"",IF(INDEX(입력_운동!$A$5:$A$1004,$AI248)="","",INDEX(입력_운동!$A$5:$A$1004,$AI248)))</f>
        <v/>
      </c>
      <c r="AC248" s="60" t="str">
        <f aca="false">IF($AJ248=0,"",IF(INDEX(입력_측정!$A$5:$A$1004,$AJ248)="","",INDEX(입력_측정!$A$5:$A$1004,$AJ248)))</f>
        <v/>
      </c>
      <c r="AD248" s="60" t="str">
        <f aca="false">IF($AK248=0,"",IF(INDEX(입력_상담!$A$5:$A$1004,$AK248)="","",INDEX(입력_상담!$A$5:$A$1004,$AK248)))</f>
        <v/>
      </c>
      <c r="AE248" s="25" t="str">
        <f aca="false">IF(AND(ISNUMBER(AB248),ISNUMBER(AC248)),IF(AC248&gt;=AB248,ROUND((AC248-AB248)*1440,0),""),"")</f>
        <v/>
      </c>
      <c r="AF248" s="25" t="str">
        <f aca="false">IF(AND(ISNUMBER(AC248),ISNUMBER(AD248)),IF(AD248&gt;=AC248,ROUND((AD248-AC248)*1440,0),""),"")</f>
        <v/>
      </c>
      <c r="AG248" s="25" t="str">
        <f aca="false">IF(AND(AA248="완료",ISNUMBER(AB248),ISNUMBER(AD248)),IF(AD248&gt;=AB248,ROUND((AD248-AB248)*1440,0),""),"")</f>
        <v/>
      </c>
      <c r="AH248" s="61" t="str">
        <f aca="false">IF(AND(AK248&gt;0,AJ248=0),"측정 기록 없음",IF(AND(AJ248&gt;0,AI248=0),"운동평가 기록 없음",IF(OR(COUNTIF(입력_운동!$B$5:$B$1004,$A248)&gt;1,COUNTIF(입력_측정!$B$5:$B$1004,$A248)&gt;1),"중복 입력","")))</f>
        <v/>
      </c>
      <c r="AI248" s="62" t="n">
        <f aca="false">SUMPRODUCT(MAX((입력_운동!$B$5:$B$1004=$A248)*(ROW(입력_운동!$B$5:$B$1004)-4)))</f>
        <v>0</v>
      </c>
      <c r="AJ248" s="62" t="n">
        <f aca="false">SUMPRODUCT(MAX((입력_측정!$B$5:$B$1004=$A248)*(ROW(입력_측정!$B$5:$B$1004)-4)))</f>
        <v>0</v>
      </c>
      <c r="AK248" s="62" t="n">
        <f aca="false">SUMPRODUCT(MAX((입력_상담!$B$5:$B$1004=$A248)*(ROW(입력_상담!$B$5:$B$1004)-4)))</f>
        <v>0</v>
      </c>
    </row>
    <row r="249" customFormat="false" ht="15" hidden="false" customHeight="false" outlineLevel="0" collapsed="false">
      <c r="A249" s="55" t="n">
        <v>245</v>
      </c>
      <c r="B249" s="56"/>
      <c r="C249" s="24"/>
      <c r="D249" s="24"/>
      <c r="E249" s="56"/>
      <c r="F249" s="57"/>
      <c r="G249" s="58"/>
      <c r="H249" s="56"/>
      <c r="I249" s="24"/>
      <c r="J249" s="24"/>
      <c r="K249" s="24"/>
      <c r="L249" s="24"/>
      <c r="M249" s="24"/>
      <c r="N249" s="56"/>
      <c r="O249" s="25" t="str">
        <f aca="false">IF($AI249=0,"",IF(INDEX(입력_운동!$C$5:$C$1004,$AI249)="","",INDEX(입력_운동!$C$5:$C$1004,$AI249)))</f>
        <v/>
      </c>
      <c r="P249" s="25" t="str">
        <f aca="false">IF($AI249=0,"",IF(INDEX(입력_운동!$D$5:$D$1004,$AI249)="","",INDEX(입력_운동!$D$5:$D$1004,$AI249)))</f>
        <v/>
      </c>
      <c r="Q249" s="25" t="str">
        <f aca="false">IF($AI249=0,"",IF(INDEX(입력_운동!$E$5:$E$1004,$AI249)="","",INDEX(입력_운동!$E$5:$E$1004,$AI249)))</f>
        <v/>
      </c>
      <c r="R249" s="25" t="str">
        <f aca="false">IF($AI249=0,"",IF(INDEX(입력_운동!$F$5:$F$1004,$AI249)="","",INDEX(입력_운동!$F$5:$F$1004,$AI249)))</f>
        <v/>
      </c>
      <c r="S249" s="25" t="str">
        <f aca="false">IF($AJ249=0,"",IF(INDEX(입력_측정!$C$5:$C$1004,$AJ249)="","",INDEX(입력_측정!$C$5:$C$1004,$AJ249)))</f>
        <v/>
      </c>
      <c r="T249" s="25" t="str">
        <f aca="false">IF($AJ249=0,"",IF(INDEX(입력_측정!$D$5:$D$1004,$AJ249)="","",INDEX(입력_측정!$D$5:$D$1004,$AJ249)))</f>
        <v/>
      </c>
      <c r="U249" s="25" t="str">
        <f aca="false">IF($AJ249=0,"",IF(INDEX(입력_측정!$E$5:$E$1004,$AJ249)="","",INDEX(입력_측정!$E$5:$E$1004,$AJ249)))</f>
        <v/>
      </c>
      <c r="V249" s="25" t="str">
        <f aca="false">IF($AJ249=0,"",IF(INDEX(입력_측정!$F$5:$F$1004,$AJ249)="","",INDEX(입력_측정!$F$5:$F$1004,$AJ249)))</f>
        <v/>
      </c>
      <c r="W249" s="25" t="str">
        <f aca="false">IF($AK249=0,"",IF(INDEX(입력_상담!$D$5:$D$1004,$AK249)="","",INDEX(입력_상담!$D$5:$D$1004,$AK249)))</f>
        <v/>
      </c>
      <c r="X249" s="25" t="str">
        <f aca="false">IF($AJ249=0,"",IF(INDEX(입력_측정!$I$5:$I$1004,$AJ249)="","",INDEX(입력_측정!$I$5:$I$1004,$AJ249)))</f>
        <v/>
      </c>
      <c r="Y249" s="25" t="str">
        <f aca="false">IF($AJ249=0,"",IF(INDEX(입력_측정!$J$5:$J$1004,$AJ249)="","",INDEX(입력_측정!$J$5:$J$1004,$AJ249)))</f>
        <v/>
      </c>
      <c r="Z249" s="25" t="str">
        <f aca="false">IF(OR(X249="긴급",LEFT(Y249,2)="긴급",W249="필요",W249="완료"),"대상","")</f>
        <v/>
      </c>
      <c r="AA249" s="59" t="str">
        <f aca="false">IF(M249&lt;&gt;"",M249,IF(AK249&gt;0,IF(W249="필요","추가상담 대기","완료"),IF(AJ249&gt;0,"결과상담 대기",IF(AI249&gt;0,"측정 대기","미방문"))))</f>
        <v>미방문</v>
      </c>
      <c r="AB249" s="60" t="str">
        <f aca="false">IF($AI249=0,"",IF(INDEX(입력_운동!$A$5:$A$1004,$AI249)="","",INDEX(입력_운동!$A$5:$A$1004,$AI249)))</f>
        <v/>
      </c>
      <c r="AC249" s="60" t="str">
        <f aca="false">IF($AJ249=0,"",IF(INDEX(입력_측정!$A$5:$A$1004,$AJ249)="","",INDEX(입력_측정!$A$5:$A$1004,$AJ249)))</f>
        <v/>
      </c>
      <c r="AD249" s="60" t="str">
        <f aca="false">IF($AK249=0,"",IF(INDEX(입력_상담!$A$5:$A$1004,$AK249)="","",INDEX(입력_상담!$A$5:$A$1004,$AK249)))</f>
        <v/>
      </c>
      <c r="AE249" s="25" t="str">
        <f aca="false">IF(AND(ISNUMBER(AB249),ISNUMBER(AC249)),IF(AC249&gt;=AB249,ROUND((AC249-AB249)*1440,0),""),"")</f>
        <v/>
      </c>
      <c r="AF249" s="25" t="str">
        <f aca="false">IF(AND(ISNUMBER(AC249),ISNUMBER(AD249)),IF(AD249&gt;=AC249,ROUND((AD249-AC249)*1440,0),""),"")</f>
        <v/>
      </c>
      <c r="AG249" s="25" t="str">
        <f aca="false">IF(AND(AA249="완료",ISNUMBER(AB249),ISNUMBER(AD249)),IF(AD249&gt;=AB249,ROUND((AD249-AB249)*1440,0),""),"")</f>
        <v/>
      </c>
      <c r="AH249" s="61" t="str">
        <f aca="false">IF(AND(AK249&gt;0,AJ249=0),"측정 기록 없음",IF(AND(AJ249&gt;0,AI249=0),"운동평가 기록 없음",IF(OR(COUNTIF(입력_운동!$B$5:$B$1004,$A249)&gt;1,COUNTIF(입력_측정!$B$5:$B$1004,$A249)&gt;1),"중복 입력","")))</f>
        <v/>
      </c>
      <c r="AI249" s="62" t="n">
        <f aca="false">SUMPRODUCT(MAX((입력_운동!$B$5:$B$1004=$A249)*(ROW(입력_운동!$B$5:$B$1004)-4)))</f>
        <v>0</v>
      </c>
      <c r="AJ249" s="62" t="n">
        <f aca="false">SUMPRODUCT(MAX((입력_측정!$B$5:$B$1004=$A249)*(ROW(입력_측정!$B$5:$B$1004)-4)))</f>
        <v>0</v>
      </c>
      <c r="AK249" s="62" t="n">
        <f aca="false">SUMPRODUCT(MAX((입력_상담!$B$5:$B$1004=$A249)*(ROW(입력_상담!$B$5:$B$1004)-4)))</f>
        <v>0</v>
      </c>
    </row>
    <row r="250" customFormat="false" ht="15" hidden="false" customHeight="false" outlineLevel="0" collapsed="false">
      <c r="A250" s="55" t="n">
        <v>246</v>
      </c>
      <c r="B250" s="56"/>
      <c r="C250" s="24"/>
      <c r="D250" s="24"/>
      <c r="E250" s="56"/>
      <c r="F250" s="57"/>
      <c r="G250" s="58"/>
      <c r="H250" s="56"/>
      <c r="I250" s="24"/>
      <c r="J250" s="24"/>
      <c r="K250" s="24"/>
      <c r="L250" s="24"/>
      <c r="M250" s="24"/>
      <c r="N250" s="56"/>
      <c r="O250" s="25" t="str">
        <f aca="false">IF($AI250=0,"",IF(INDEX(입력_운동!$C$5:$C$1004,$AI250)="","",INDEX(입력_운동!$C$5:$C$1004,$AI250)))</f>
        <v/>
      </c>
      <c r="P250" s="25" t="str">
        <f aca="false">IF($AI250=0,"",IF(INDEX(입력_운동!$D$5:$D$1004,$AI250)="","",INDEX(입력_운동!$D$5:$D$1004,$AI250)))</f>
        <v/>
      </c>
      <c r="Q250" s="25" t="str">
        <f aca="false">IF($AI250=0,"",IF(INDEX(입력_운동!$E$5:$E$1004,$AI250)="","",INDEX(입력_운동!$E$5:$E$1004,$AI250)))</f>
        <v/>
      </c>
      <c r="R250" s="25" t="str">
        <f aca="false">IF($AI250=0,"",IF(INDEX(입력_운동!$F$5:$F$1004,$AI250)="","",INDEX(입력_운동!$F$5:$F$1004,$AI250)))</f>
        <v/>
      </c>
      <c r="S250" s="25" t="str">
        <f aca="false">IF($AJ250=0,"",IF(INDEX(입력_측정!$C$5:$C$1004,$AJ250)="","",INDEX(입력_측정!$C$5:$C$1004,$AJ250)))</f>
        <v/>
      </c>
      <c r="T250" s="25" t="str">
        <f aca="false">IF($AJ250=0,"",IF(INDEX(입력_측정!$D$5:$D$1004,$AJ250)="","",INDEX(입력_측정!$D$5:$D$1004,$AJ250)))</f>
        <v/>
      </c>
      <c r="U250" s="25" t="str">
        <f aca="false">IF($AJ250=0,"",IF(INDEX(입력_측정!$E$5:$E$1004,$AJ250)="","",INDEX(입력_측정!$E$5:$E$1004,$AJ250)))</f>
        <v/>
      </c>
      <c r="V250" s="25" t="str">
        <f aca="false">IF($AJ250=0,"",IF(INDEX(입력_측정!$F$5:$F$1004,$AJ250)="","",INDEX(입력_측정!$F$5:$F$1004,$AJ250)))</f>
        <v/>
      </c>
      <c r="W250" s="25" t="str">
        <f aca="false">IF($AK250=0,"",IF(INDEX(입력_상담!$D$5:$D$1004,$AK250)="","",INDEX(입력_상담!$D$5:$D$1004,$AK250)))</f>
        <v/>
      </c>
      <c r="X250" s="25" t="str">
        <f aca="false">IF($AJ250=0,"",IF(INDEX(입력_측정!$I$5:$I$1004,$AJ250)="","",INDEX(입력_측정!$I$5:$I$1004,$AJ250)))</f>
        <v/>
      </c>
      <c r="Y250" s="25" t="str">
        <f aca="false">IF($AJ250=0,"",IF(INDEX(입력_측정!$J$5:$J$1004,$AJ250)="","",INDEX(입력_측정!$J$5:$J$1004,$AJ250)))</f>
        <v/>
      </c>
      <c r="Z250" s="25" t="str">
        <f aca="false">IF(OR(X250="긴급",LEFT(Y250,2)="긴급",W250="필요",W250="완료"),"대상","")</f>
        <v/>
      </c>
      <c r="AA250" s="59" t="str">
        <f aca="false">IF(M250&lt;&gt;"",M250,IF(AK250&gt;0,IF(W250="필요","추가상담 대기","완료"),IF(AJ250&gt;0,"결과상담 대기",IF(AI250&gt;0,"측정 대기","미방문"))))</f>
        <v>미방문</v>
      </c>
      <c r="AB250" s="60" t="str">
        <f aca="false">IF($AI250=0,"",IF(INDEX(입력_운동!$A$5:$A$1004,$AI250)="","",INDEX(입력_운동!$A$5:$A$1004,$AI250)))</f>
        <v/>
      </c>
      <c r="AC250" s="60" t="str">
        <f aca="false">IF($AJ250=0,"",IF(INDEX(입력_측정!$A$5:$A$1004,$AJ250)="","",INDEX(입력_측정!$A$5:$A$1004,$AJ250)))</f>
        <v/>
      </c>
      <c r="AD250" s="60" t="str">
        <f aca="false">IF($AK250=0,"",IF(INDEX(입력_상담!$A$5:$A$1004,$AK250)="","",INDEX(입력_상담!$A$5:$A$1004,$AK250)))</f>
        <v/>
      </c>
      <c r="AE250" s="25" t="str">
        <f aca="false">IF(AND(ISNUMBER(AB250),ISNUMBER(AC250)),IF(AC250&gt;=AB250,ROUND((AC250-AB250)*1440,0),""),"")</f>
        <v/>
      </c>
      <c r="AF250" s="25" t="str">
        <f aca="false">IF(AND(ISNUMBER(AC250),ISNUMBER(AD250)),IF(AD250&gt;=AC250,ROUND((AD250-AC250)*1440,0),""),"")</f>
        <v/>
      </c>
      <c r="AG250" s="25" t="str">
        <f aca="false">IF(AND(AA250="완료",ISNUMBER(AB250),ISNUMBER(AD250)),IF(AD250&gt;=AB250,ROUND((AD250-AB250)*1440,0),""),"")</f>
        <v/>
      </c>
      <c r="AH250" s="61" t="str">
        <f aca="false">IF(AND(AK250&gt;0,AJ250=0),"측정 기록 없음",IF(AND(AJ250&gt;0,AI250=0),"운동평가 기록 없음",IF(OR(COUNTIF(입력_운동!$B$5:$B$1004,$A250)&gt;1,COUNTIF(입력_측정!$B$5:$B$1004,$A250)&gt;1),"중복 입력","")))</f>
        <v/>
      </c>
      <c r="AI250" s="62" t="n">
        <f aca="false">SUMPRODUCT(MAX((입력_운동!$B$5:$B$1004=$A250)*(ROW(입력_운동!$B$5:$B$1004)-4)))</f>
        <v>0</v>
      </c>
      <c r="AJ250" s="62" t="n">
        <f aca="false">SUMPRODUCT(MAX((입력_측정!$B$5:$B$1004=$A250)*(ROW(입력_측정!$B$5:$B$1004)-4)))</f>
        <v>0</v>
      </c>
      <c r="AK250" s="62" t="n">
        <f aca="false">SUMPRODUCT(MAX((입력_상담!$B$5:$B$1004=$A250)*(ROW(입력_상담!$B$5:$B$1004)-4)))</f>
        <v>0</v>
      </c>
    </row>
    <row r="251" customFormat="false" ht="15" hidden="false" customHeight="false" outlineLevel="0" collapsed="false">
      <c r="A251" s="55" t="n">
        <v>247</v>
      </c>
      <c r="B251" s="56"/>
      <c r="C251" s="24"/>
      <c r="D251" s="24"/>
      <c r="E251" s="56"/>
      <c r="F251" s="57"/>
      <c r="G251" s="58"/>
      <c r="H251" s="56"/>
      <c r="I251" s="24"/>
      <c r="J251" s="24"/>
      <c r="K251" s="24"/>
      <c r="L251" s="24"/>
      <c r="M251" s="24"/>
      <c r="N251" s="56"/>
      <c r="O251" s="25" t="str">
        <f aca="false">IF($AI251=0,"",IF(INDEX(입력_운동!$C$5:$C$1004,$AI251)="","",INDEX(입력_운동!$C$5:$C$1004,$AI251)))</f>
        <v/>
      </c>
      <c r="P251" s="25" t="str">
        <f aca="false">IF($AI251=0,"",IF(INDEX(입력_운동!$D$5:$D$1004,$AI251)="","",INDEX(입력_운동!$D$5:$D$1004,$AI251)))</f>
        <v/>
      </c>
      <c r="Q251" s="25" t="str">
        <f aca="false">IF($AI251=0,"",IF(INDEX(입력_운동!$E$5:$E$1004,$AI251)="","",INDEX(입력_운동!$E$5:$E$1004,$AI251)))</f>
        <v/>
      </c>
      <c r="R251" s="25" t="str">
        <f aca="false">IF($AI251=0,"",IF(INDEX(입력_운동!$F$5:$F$1004,$AI251)="","",INDEX(입력_운동!$F$5:$F$1004,$AI251)))</f>
        <v/>
      </c>
      <c r="S251" s="25" t="str">
        <f aca="false">IF($AJ251=0,"",IF(INDEX(입력_측정!$C$5:$C$1004,$AJ251)="","",INDEX(입력_측정!$C$5:$C$1004,$AJ251)))</f>
        <v/>
      </c>
      <c r="T251" s="25" t="str">
        <f aca="false">IF($AJ251=0,"",IF(INDEX(입력_측정!$D$5:$D$1004,$AJ251)="","",INDEX(입력_측정!$D$5:$D$1004,$AJ251)))</f>
        <v/>
      </c>
      <c r="U251" s="25" t="str">
        <f aca="false">IF($AJ251=0,"",IF(INDEX(입력_측정!$E$5:$E$1004,$AJ251)="","",INDEX(입력_측정!$E$5:$E$1004,$AJ251)))</f>
        <v/>
      </c>
      <c r="V251" s="25" t="str">
        <f aca="false">IF($AJ251=0,"",IF(INDEX(입력_측정!$F$5:$F$1004,$AJ251)="","",INDEX(입력_측정!$F$5:$F$1004,$AJ251)))</f>
        <v/>
      </c>
      <c r="W251" s="25" t="str">
        <f aca="false">IF($AK251=0,"",IF(INDEX(입력_상담!$D$5:$D$1004,$AK251)="","",INDEX(입력_상담!$D$5:$D$1004,$AK251)))</f>
        <v/>
      </c>
      <c r="X251" s="25" t="str">
        <f aca="false">IF($AJ251=0,"",IF(INDEX(입력_측정!$I$5:$I$1004,$AJ251)="","",INDEX(입력_측정!$I$5:$I$1004,$AJ251)))</f>
        <v/>
      </c>
      <c r="Y251" s="25" t="str">
        <f aca="false">IF($AJ251=0,"",IF(INDEX(입력_측정!$J$5:$J$1004,$AJ251)="","",INDEX(입력_측정!$J$5:$J$1004,$AJ251)))</f>
        <v/>
      </c>
      <c r="Z251" s="25" t="str">
        <f aca="false">IF(OR(X251="긴급",LEFT(Y251,2)="긴급",W251="필요",W251="완료"),"대상","")</f>
        <v/>
      </c>
      <c r="AA251" s="59" t="str">
        <f aca="false">IF(M251&lt;&gt;"",M251,IF(AK251&gt;0,IF(W251="필요","추가상담 대기","완료"),IF(AJ251&gt;0,"결과상담 대기",IF(AI251&gt;0,"측정 대기","미방문"))))</f>
        <v>미방문</v>
      </c>
      <c r="AB251" s="60" t="str">
        <f aca="false">IF($AI251=0,"",IF(INDEX(입력_운동!$A$5:$A$1004,$AI251)="","",INDEX(입력_운동!$A$5:$A$1004,$AI251)))</f>
        <v/>
      </c>
      <c r="AC251" s="60" t="str">
        <f aca="false">IF($AJ251=0,"",IF(INDEX(입력_측정!$A$5:$A$1004,$AJ251)="","",INDEX(입력_측정!$A$5:$A$1004,$AJ251)))</f>
        <v/>
      </c>
      <c r="AD251" s="60" t="str">
        <f aca="false">IF($AK251=0,"",IF(INDEX(입력_상담!$A$5:$A$1004,$AK251)="","",INDEX(입력_상담!$A$5:$A$1004,$AK251)))</f>
        <v/>
      </c>
      <c r="AE251" s="25" t="str">
        <f aca="false">IF(AND(ISNUMBER(AB251),ISNUMBER(AC251)),IF(AC251&gt;=AB251,ROUND((AC251-AB251)*1440,0),""),"")</f>
        <v/>
      </c>
      <c r="AF251" s="25" t="str">
        <f aca="false">IF(AND(ISNUMBER(AC251),ISNUMBER(AD251)),IF(AD251&gt;=AC251,ROUND((AD251-AC251)*1440,0),""),"")</f>
        <v/>
      </c>
      <c r="AG251" s="25" t="str">
        <f aca="false">IF(AND(AA251="완료",ISNUMBER(AB251),ISNUMBER(AD251)),IF(AD251&gt;=AB251,ROUND((AD251-AB251)*1440,0),""),"")</f>
        <v/>
      </c>
      <c r="AH251" s="61" t="str">
        <f aca="false">IF(AND(AK251&gt;0,AJ251=0),"측정 기록 없음",IF(AND(AJ251&gt;0,AI251=0),"운동평가 기록 없음",IF(OR(COUNTIF(입력_운동!$B$5:$B$1004,$A251)&gt;1,COUNTIF(입력_측정!$B$5:$B$1004,$A251)&gt;1),"중복 입력","")))</f>
        <v/>
      </c>
      <c r="AI251" s="62" t="n">
        <f aca="false">SUMPRODUCT(MAX((입력_운동!$B$5:$B$1004=$A251)*(ROW(입력_운동!$B$5:$B$1004)-4)))</f>
        <v>0</v>
      </c>
      <c r="AJ251" s="62" t="n">
        <f aca="false">SUMPRODUCT(MAX((입력_측정!$B$5:$B$1004=$A251)*(ROW(입력_측정!$B$5:$B$1004)-4)))</f>
        <v>0</v>
      </c>
      <c r="AK251" s="62" t="n">
        <f aca="false">SUMPRODUCT(MAX((입력_상담!$B$5:$B$1004=$A251)*(ROW(입력_상담!$B$5:$B$1004)-4)))</f>
        <v>0</v>
      </c>
    </row>
    <row r="252" customFormat="false" ht="15" hidden="false" customHeight="false" outlineLevel="0" collapsed="false">
      <c r="A252" s="55" t="n">
        <v>248</v>
      </c>
      <c r="B252" s="56"/>
      <c r="C252" s="24"/>
      <c r="D252" s="24"/>
      <c r="E252" s="56"/>
      <c r="F252" s="57"/>
      <c r="G252" s="58"/>
      <c r="H252" s="56"/>
      <c r="I252" s="24"/>
      <c r="J252" s="24"/>
      <c r="K252" s="24"/>
      <c r="L252" s="24"/>
      <c r="M252" s="24"/>
      <c r="N252" s="56"/>
      <c r="O252" s="25" t="str">
        <f aca="false">IF($AI252=0,"",IF(INDEX(입력_운동!$C$5:$C$1004,$AI252)="","",INDEX(입력_운동!$C$5:$C$1004,$AI252)))</f>
        <v/>
      </c>
      <c r="P252" s="25" t="str">
        <f aca="false">IF($AI252=0,"",IF(INDEX(입력_운동!$D$5:$D$1004,$AI252)="","",INDEX(입력_운동!$D$5:$D$1004,$AI252)))</f>
        <v/>
      </c>
      <c r="Q252" s="25" t="str">
        <f aca="false">IF($AI252=0,"",IF(INDEX(입력_운동!$E$5:$E$1004,$AI252)="","",INDEX(입력_운동!$E$5:$E$1004,$AI252)))</f>
        <v/>
      </c>
      <c r="R252" s="25" t="str">
        <f aca="false">IF($AI252=0,"",IF(INDEX(입력_운동!$F$5:$F$1004,$AI252)="","",INDEX(입력_운동!$F$5:$F$1004,$AI252)))</f>
        <v/>
      </c>
      <c r="S252" s="25" t="str">
        <f aca="false">IF($AJ252=0,"",IF(INDEX(입력_측정!$C$5:$C$1004,$AJ252)="","",INDEX(입력_측정!$C$5:$C$1004,$AJ252)))</f>
        <v/>
      </c>
      <c r="T252" s="25" t="str">
        <f aca="false">IF($AJ252=0,"",IF(INDEX(입력_측정!$D$5:$D$1004,$AJ252)="","",INDEX(입력_측정!$D$5:$D$1004,$AJ252)))</f>
        <v/>
      </c>
      <c r="U252" s="25" t="str">
        <f aca="false">IF($AJ252=0,"",IF(INDEX(입력_측정!$E$5:$E$1004,$AJ252)="","",INDEX(입력_측정!$E$5:$E$1004,$AJ252)))</f>
        <v/>
      </c>
      <c r="V252" s="25" t="str">
        <f aca="false">IF($AJ252=0,"",IF(INDEX(입력_측정!$F$5:$F$1004,$AJ252)="","",INDEX(입력_측정!$F$5:$F$1004,$AJ252)))</f>
        <v/>
      </c>
      <c r="W252" s="25" t="str">
        <f aca="false">IF($AK252=0,"",IF(INDEX(입력_상담!$D$5:$D$1004,$AK252)="","",INDEX(입력_상담!$D$5:$D$1004,$AK252)))</f>
        <v/>
      </c>
      <c r="X252" s="25" t="str">
        <f aca="false">IF($AJ252=0,"",IF(INDEX(입력_측정!$I$5:$I$1004,$AJ252)="","",INDEX(입력_측정!$I$5:$I$1004,$AJ252)))</f>
        <v/>
      </c>
      <c r="Y252" s="25" t="str">
        <f aca="false">IF($AJ252=0,"",IF(INDEX(입력_측정!$J$5:$J$1004,$AJ252)="","",INDEX(입력_측정!$J$5:$J$1004,$AJ252)))</f>
        <v/>
      </c>
      <c r="Z252" s="25" t="str">
        <f aca="false">IF(OR(X252="긴급",LEFT(Y252,2)="긴급",W252="필요",W252="완료"),"대상","")</f>
        <v/>
      </c>
      <c r="AA252" s="59" t="str">
        <f aca="false">IF(M252&lt;&gt;"",M252,IF(AK252&gt;0,IF(W252="필요","추가상담 대기","완료"),IF(AJ252&gt;0,"결과상담 대기",IF(AI252&gt;0,"측정 대기","미방문"))))</f>
        <v>미방문</v>
      </c>
      <c r="AB252" s="60" t="str">
        <f aca="false">IF($AI252=0,"",IF(INDEX(입력_운동!$A$5:$A$1004,$AI252)="","",INDEX(입력_운동!$A$5:$A$1004,$AI252)))</f>
        <v/>
      </c>
      <c r="AC252" s="60" t="str">
        <f aca="false">IF($AJ252=0,"",IF(INDEX(입력_측정!$A$5:$A$1004,$AJ252)="","",INDEX(입력_측정!$A$5:$A$1004,$AJ252)))</f>
        <v/>
      </c>
      <c r="AD252" s="60" t="str">
        <f aca="false">IF($AK252=0,"",IF(INDEX(입력_상담!$A$5:$A$1004,$AK252)="","",INDEX(입력_상담!$A$5:$A$1004,$AK252)))</f>
        <v/>
      </c>
      <c r="AE252" s="25" t="str">
        <f aca="false">IF(AND(ISNUMBER(AB252),ISNUMBER(AC252)),IF(AC252&gt;=AB252,ROUND((AC252-AB252)*1440,0),""),"")</f>
        <v/>
      </c>
      <c r="AF252" s="25" t="str">
        <f aca="false">IF(AND(ISNUMBER(AC252),ISNUMBER(AD252)),IF(AD252&gt;=AC252,ROUND((AD252-AC252)*1440,0),""),"")</f>
        <v/>
      </c>
      <c r="AG252" s="25" t="str">
        <f aca="false">IF(AND(AA252="완료",ISNUMBER(AB252),ISNUMBER(AD252)),IF(AD252&gt;=AB252,ROUND((AD252-AB252)*1440,0),""),"")</f>
        <v/>
      </c>
      <c r="AH252" s="61" t="str">
        <f aca="false">IF(AND(AK252&gt;0,AJ252=0),"측정 기록 없음",IF(AND(AJ252&gt;0,AI252=0),"운동평가 기록 없음",IF(OR(COUNTIF(입력_운동!$B$5:$B$1004,$A252)&gt;1,COUNTIF(입력_측정!$B$5:$B$1004,$A252)&gt;1),"중복 입력","")))</f>
        <v/>
      </c>
      <c r="AI252" s="62" t="n">
        <f aca="false">SUMPRODUCT(MAX((입력_운동!$B$5:$B$1004=$A252)*(ROW(입력_운동!$B$5:$B$1004)-4)))</f>
        <v>0</v>
      </c>
      <c r="AJ252" s="62" t="n">
        <f aca="false">SUMPRODUCT(MAX((입력_측정!$B$5:$B$1004=$A252)*(ROW(입력_측정!$B$5:$B$1004)-4)))</f>
        <v>0</v>
      </c>
      <c r="AK252" s="62" t="n">
        <f aca="false">SUMPRODUCT(MAX((입력_상담!$B$5:$B$1004=$A252)*(ROW(입력_상담!$B$5:$B$1004)-4)))</f>
        <v>0</v>
      </c>
    </row>
    <row r="253" customFormat="false" ht="15" hidden="false" customHeight="false" outlineLevel="0" collapsed="false">
      <c r="A253" s="55" t="n">
        <v>249</v>
      </c>
      <c r="B253" s="56"/>
      <c r="C253" s="24"/>
      <c r="D253" s="24"/>
      <c r="E253" s="56"/>
      <c r="F253" s="57"/>
      <c r="G253" s="58"/>
      <c r="H253" s="56"/>
      <c r="I253" s="24"/>
      <c r="J253" s="24"/>
      <c r="K253" s="24"/>
      <c r="L253" s="24"/>
      <c r="M253" s="24"/>
      <c r="N253" s="56"/>
      <c r="O253" s="25" t="str">
        <f aca="false">IF($AI253=0,"",IF(INDEX(입력_운동!$C$5:$C$1004,$AI253)="","",INDEX(입력_운동!$C$5:$C$1004,$AI253)))</f>
        <v/>
      </c>
      <c r="P253" s="25" t="str">
        <f aca="false">IF($AI253=0,"",IF(INDEX(입력_운동!$D$5:$D$1004,$AI253)="","",INDEX(입력_운동!$D$5:$D$1004,$AI253)))</f>
        <v/>
      </c>
      <c r="Q253" s="25" t="str">
        <f aca="false">IF($AI253=0,"",IF(INDEX(입력_운동!$E$5:$E$1004,$AI253)="","",INDEX(입력_운동!$E$5:$E$1004,$AI253)))</f>
        <v/>
      </c>
      <c r="R253" s="25" t="str">
        <f aca="false">IF($AI253=0,"",IF(INDEX(입력_운동!$F$5:$F$1004,$AI253)="","",INDEX(입력_운동!$F$5:$F$1004,$AI253)))</f>
        <v/>
      </c>
      <c r="S253" s="25" t="str">
        <f aca="false">IF($AJ253=0,"",IF(INDEX(입력_측정!$C$5:$C$1004,$AJ253)="","",INDEX(입력_측정!$C$5:$C$1004,$AJ253)))</f>
        <v/>
      </c>
      <c r="T253" s="25" t="str">
        <f aca="false">IF($AJ253=0,"",IF(INDEX(입력_측정!$D$5:$D$1004,$AJ253)="","",INDEX(입력_측정!$D$5:$D$1004,$AJ253)))</f>
        <v/>
      </c>
      <c r="U253" s="25" t="str">
        <f aca="false">IF($AJ253=0,"",IF(INDEX(입력_측정!$E$5:$E$1004,$AJ253)="","",INDEX(입력_측정!$E$5:$E$1004,$AJ253)))</f>
        <v/>
      </c>
      <c r="V253" s="25" t="str">
        <f aca="false">IF($AJ253=0,"",IF(INDEX(입력_측정!$F$5:$F$1004,$AJ253)="","",INDEX(입력_측정!$F$5:$F$1004,$AJ253)))</f>
        <v/>
      </c>
      <c r="W253" s="25" t="str">
        <f aca="false">IF($AK253=0,"",IF(INDEX(입력_상담!$D$5:$D$1004,$AK253)="","",INDEX(입력_상담!$D$5:$D$1004,$AK253)))</f>
        <v/>
      </c>
      <c r="X253" s="25" t="str">
        <f aca="false">IF($AJ253=0,"",IF(INDEX(입력_측정!$I$5:$I$1004,$AJ253)="","",INDEX(입력_측정!$I$5:$I$1004,$AJ253)))</f>
        <v/>
      </c>
      <c r="Y253" s="25" t="str">
        <f aca="false">IF($AJ253=0,"",IF(INDEX(입력_측정!$J$5:$J$1004,$AJ253)="","",INDEX(입력_측정!$J$5:$J$1004,$AJ253)))</f>
        <v/>
      </c>
      <c r="Z253" s="25" t="str">
        <f aca="false">IF(OR(X253="긴급",LEFT(Y253,2)="긴급",W253="필요",W253="완료"),"대상","")</f>
        <v/>
      </c>
      <c r="AA253" s="59" t="str">
        <f aca="false">IF(M253&lt;&gt;"",M253,IF(AK253&gt;0,IF(W253="필요","추가상담 대기","완료"),IF(AJ253&gt;0,"결과상담 대기",IF(AI253&gt;0,"측정 대기","미방문"))))</f>
        <v>미방문</v>
      </c>
      <c r="AB253" s="60" t="str">
        <f aca="false">IF($AI253=0,"",IF(INDEX(입력_운동!$A$5:$A$1004,$AI253)="","",INDEX(입력_운동!$A$5:$A$1004,$AI253)))</f>
        <v/>
      </c>
      <c r="AC253" s="60" t="str">
        <f aca="false">IF($AJ253=0,"",IF(INDEX(입력_측정!$A$5:$A$1004,$AJ253)="","",INDEX(입력_측정!$A$5:$A$1004,$AJ253)))</f>
        <v/>
      </c>
      <c r="AD253" s="60" t="str">
        <f aca="false">IF($AK253=0,"",IF(INDEX(입력_상담!$A$5:$A$1004,$AK253)="","",INDEX(입력_상담!$A$5:$A$1004,$AK253)))</f>
        <v/>
      </c>
      <c r="AE253" s="25" t="str">
        <f aca="false">IF(AND(ISNUMBER(AB253),ISNUMBER(AC253)),IF(AC253&gt;=AB253,ROUND((AC253-AB253)*1440,0),""),"")</f>
        <v/>
      </c>
      <c r="AF253" s="25" t="str">
        <f aca="false">IF(AND(ISNUMBER(AC253),ISNUMBER(AD253)),IF(AD253&gt;=AC253,ROUND((AD253-AC253)*1440,0),""),"")</f>
        <v/>
      </c>
      <c r="AG253" s="25" t="str">
        <f aca="false">IF(AND(AA253="완료",ISNUMBER(AB253),ISNUMBER(AD253)),IF(AD253&gt;=AB253,ROUND((AD253-AB253)*1440,0),""),"")</f>
        <v/>
      </c>
      <c r="AH253" s="61" t="str">
        <f aca="false">IF(AND(AK253&gt;0,AJ253=0),"측정 기록 없음",IF(AND(AJ253&gt;0,AI253=0),"운동평가 기록 없음",IF(OR(COUNTIF(입력_운동!$B$5:$B$1004,$A253)&gt;1,COUNTIF(입력_측정!$B$5:$B$1004,$A253)&gt;1),"중복 입력","")))</f>
        <v/>
      </c>
      <c r="AI253" s="62" t="n">
        <f aca="false">SUMPRODUCT(MAX((입력_운동!$B$5:$B$1004=$A253)*(ROW(입력_운동!$B$5:$B$1004)-4)))</f>
        <v>0</v>
      </c>
      <c r="AJ253" s="62" t="n">
        <f aca="false">SUMPRODUCT(MAX((입력_측정!$B$5:$B$1004=$A253)*(ROW(입력_측정!$B$5:$B$1004)-4)))</f>
        <v>0</v>
      </c>
      <c r="AK253" s="62" t="n">
        <f aca="false">SUMPRODUCT(MAX((입력_상담!$B$5:$B$1004=$A253)*(ROW(입력_상담!$B$5:$B$1004)-4)))</f>
        <v>0</v>
      </c>
    </row>
    <row r="254" customFormat="false" ht="15" hidden="false" customHeight="false" outlineLevel="0" collapsed="false">
      <c r="A254" s="55" t="n">
        <v>250</v>
      </c>
      <c r="B254" s="56"/>
      <c r="C254" s="24"/>
      <c r="D254" s="24"/>
      <c r="E254" s="56"/>
      <c r="F254" s="57"/>
      <c r="G254" s="58"/>
      <c r="H254" s="56"/>
      <c r="I254" s="24"/>
      <c r="J254" s="24"/>
      <c r="K254" s="24"/>
      <c r="L254" s="24"/>
      <c r="M254" s="24"/>
      <c r="N254" s="56"/>
      <c r="O254" s="25" t="str">
        <f aca="false">IF($AI254=0,"",IF(INDEX(입력_운동!$C$5:$C$1004,$AI254)="","",INDEX(입력_운동!$C$5:$C$1004,$AI254)))</f>
        <v/>
      </c>
      <c r="P254" s="25" t="str">
        <f aca="false">IF($AI254=0,"",IF(INDEX(입력_운동!$D$5:$D$1004,$AI254)="","",INDEX(입력_운동!$D$5:$D$1004,$AI254)))</f>
        <v/>
      </c>
      <c r="Q254" s="25" t="str">
        <f aca="false">IF($AI254=0,"",IF(INDEX(입력_운동!$E$5:$E$1004,$AI254)="","",INDEX(입력_운동!$E$5:$E$1004,$AI254)))</f>
        <v/>
      </c>
      <c r="R254" s="25" t="str">
        <f aca="false">IF($AI254=0,"",IF(INDEX(입력_운동!$F$5:$F$1004,$AI254)="","",INDEX(입력_운동!$F$5:$F$1004,$AI254)))</f>
        <v/>
      </c>
      <c r="S254" s="25" t="str">
        <f aca="false">IF($AJ254=0,"",IF(INDEX(입력_측정!$C$5:$C$1004,$AJ254)="","",INDEX(입력_측정!$C$5:$C$1004,$AJ254)))</f>
        <v/>
      </c>
      <c r="T254" s="25" t="str">
        <f aca="false">IF($AJ254=0,"",IF(INDEX(입력_측정!$D$5:$D$1004,$AJ254)="","",INDEX(입력_측정!$D$5:$D$1004,$AJ254)))</f>
        <v/>
      </c>
      <c r="U254" s="25" t="str">
        <f aca="false">IF($AJ254=0,"",IF(INDEX(입력_측정!$E$5:$E$1004,$AJ254)="","",INDEX(입력_측정!$E$5:$E$1004,$AJ254)))</f>
        <v/>
      </c>
      <c r="V254" s="25" t="str">
        <f aca="false">IF($AJ254=0,"",IF(INDEX(입력_측정!$F$5:$F$1004,$AJ254)="","",INDEX(입력_측정!$F$5:$F$1004,$AJ254)))</f>
        <v/>
      </c>
      <c r="W254" s="25" t="str">
        <f aca="false">IF($AK254=0,"",IF(INDEX(입력_상담!$D$5:$D$1004,$AK254)="","",INDEX(입력_상담!$D$5:$D$1004,$AK254)))</f>
        <v/>
      </c>
      <c r="X254" s="25" t="str">
        <f aca="false">IF($AJ254=0,"",IF(INDEX(입력_측정!$I$5:$I$1004,$AJ254)="","",INDEX(입력_측정!$I$5:$I$1004,$AJ254)))</f>
        <v/>
      </c>
      <c r="Y254" s="25" t="str">
        <f aca="false">IF($AJ254=0,"",IF(INDEX(입력_측정!$J$5:$J$1004,$AJ254)="","",INDEX(입력_측정!$J$5:$J$1004,$AJ254)))</f>
        <v/>
      </c>
      <c r="Z254" s="25" t="str">
        <f aca="false">IF(OR(X254="긴급",LEFT(Y254,2)="긴급",W254="필요",W254="완료"),"대상","")</f>
        <v/>
      </c>
      <c r="AA254" s="59" t="str">
        <f aca="false">IF(M254&lt;&gt;"",M254,IF(AK254&gt;0,IF(W254="필요","추가상담 대기","완료"),IF(AJ254&gt;0,"결과상담 대기",IF(AI254&gt;0,"측정 대기","미방문"))))</f>
        <v>미방문</v>
      </c>
      <c r="AB254" s="60" t="str">
        <f aca="false">IF($AI254=0,"",IF(INDEX(입력_운동!$A$5:$A$1004,$AI254)="","",INDEX(입력_운동!$A$5:$A$1004,$AI254)))</f>
        <v/>
      </c>
      <c r="AC254" s="60" t="str">
        <f aca="false">IF($AJ254=0,"",IF(INDEX(입력_측정!$A$5:$A$1004,$AJ254)="","",INDEX(입력_측정!$A$5:$A$1004,$AJ254)))</f>
        <v/>
      </c>
      <c r="AD254" s="60" t="str">
        <f aca="false">IF($AK254=0,"",IF(INDEX(입력_상담!$A$5:$A$1004,$AK254)="","",INDEX(입력_상담!$A$5:$A$1004,$AK254)))</f>
        <v/>
      </c>
      <c r="AE254" s="25" t="str">
        <f aca="false">IF(AND(ISNUMBER(AB254),ISNUMBER(AC254)),IF(AC254&gt;=AB254,ROUND((AC254-AB254)*1440,0),""),"")</f>
        <v/>
      </c>
      <c r="AF254" s="25" t="str">
        <f aca="false">IF(AND(ISNUMBER(AC254),ISNUMBER(AD254)),IF(AD254&gt;=AC254,ROUND((AD254-AC254)*1440,0),""),"")</f>
        <v/>
      </c>
      <c r="AG254" s="25" t="str">
        <f aca="false">IF(AND(AA254="완료",ISNUMBER(AB254),ISNUMBER(AD254)),IF(AD254&gt;=AB254,ROUND((AD254-AB254)*1440,0),""),"")</f>
        <v/>
      </c>
      <c r="AH254" s="61" t="str">
        <f aca="false">IF(AND(AK254&gt;0,AJ254=0),"측정 기록 없음",IF(AND(AJ254&gt;0,AI254=0),"운동평가 기록 없음",IF(OR(COUNTIF(입력_운동!$B$5:$B$1004,$A254)&gt;1,COUNTIF(입력_측정!$B$5:$B$1004,$A254)&gt;1),"중복 입력","")))</f>
        <v/>
      </c>
      <c r="AI254" s="62" t="n">
        <f aca="false">SUMPRODUCT(MAX((입력_운동!$B$5:$B$1004=$A254)*(ROW(입력_운동!$B$5:$B$1004)-4)))</f>
        <v>0</v>
      </c>
      <c r="AJ254" s="62" t="n">
        <f aca="false">SUMPRODUCT(MAX((입력_측정!$B$5:$B$1004=$A254)*(ROW(입력_측정!$B$5:$B$1004)-4)))</f>
        <v>0</v>
      </c>
      <c r="AK254" s="62" t="n">
        <f aca="false">SUMPRODUCT(MAX((입력_상담!$B$5:$B$1004=$A254)*(ROW(입력_상담!$B$5:$B$1004)-4)))</f>
        <v>0</v>
      </c>
    </row>
    <row r="255" customFormat="false" ht="15" hidden="false" customHeight="false" outlineLevel="0" collapsed="false">
      <c r="A255" s="55" t="n">
        <v>251</v>
      </c>
      <c r="B255" s="56"/>
      <c r="C255" s="24"/>
      <c r="D255" s="24"/>
      <c r="E255" s="56"/>
      <c r="F255" s="57"/>
      <c r="G255" s="58"/>
      <c r="H255" s="56"/>
      <c r="I255" s="24"/>
      <c r="J255" s="24"/>
      <c r="K255" s="24"/>
      <c r="L255" s="24"/>
      <c r="M255" s="24"/>
      <c r="N255" s="56"/>
      <c r="O255" s="25" t="str">
        <f aca="false">IF($AI255=0,"",IF(INDEX(입력_운동!$C$5:$C$1004,$AI255)="","",INDEX(입력_운동!$C$5:$C$1004,$AI255)))</f>
        <v/>
      </c>
      <c r="P255" s="25" t="str">
        <f aca="false">IF($AI255=0,"",IF(INDEX(입력_운동!$D$5:$D$1004,$AI255)="","",INDEX(입력_운동!$D$5:$D$1004,$AI255)))</f>
        <v/>
      </c>
      <c r="Q255" s="25" t="str">
        <f aca="false">IF($AI255=0,"",IF(INDEX(입력_운동!$E$5:$E$1004,$AI255)="","",INDEX(입력_운동!$E$5:$E$1004,$AI255)))</f>
        <v/>
      </c>
      <c r="R255" s="25" t="str">
        <f aca="false">IF($AI255=0,"",IF(INDEX(입력_운동!$F$5:$F$1004,$AI255)="","",INDEX(입력_운동!$F$5:$F$1004,$AI255)))</f>
        <v/>
      </c>
      <c r="S255" s="25" t="str">
        <f aca="false">IF($AJ255=0,"",IF(INDEX(입력_측정!$C$5:$C$1004,$AJ255)="","",INDEX(입력_측정!$C$5:$C$1004,$AJ255)))</f>
        <v/>
      </c>
      <c r="T255" s="25" t="str">
        <f aca="false">IF($AJ255=0,"",IF(INDEX(입력_측정!$D$5:$D$1004,$AJ255)="","",INDEX(입력_측정!$D$5:$D$1004,$AJ255)))</f>
        <v/>
      </c>
      <c r="U255" s="25" t="str">
        <f aca="false">IF($AJ255=0,"",IF(INDEX(입력_측정!$E$5:$E$1004,$AJ255)="","",INDEX(입력_측정!$E$5:$E$1004,$AJ255)))</f>
        <v/>
      </c>
      <c r="V255" s="25" t="str">
        <f aca="false">IF($AJ255=0,"",IF(INDEX(입력_측정!$F$5:$F$1004,$AJ255)="","",INDEX(입력_측정!$F$5:$F$1004,$AJ255)))</f>
        <v/>
      </c>
      <c r="W255" s="25" t="str">
        <f aca="false">IF($AK255=0,"",IF(INDEX(입력_상담!$D$5:$D$1004,$AK255)="","",INDEX(입력_상담!$D$5:$D$1004,$AK255)))</f>
        <v/>
      </c>
      <c r="X255" s="25" t="str">
        <f aca="false">IF($AJ255=0,"",IF(INDEX(입력_측정!$I$5:$I$1004,$AJ255)="","",INDEX(입력_측정!$I$5:$I$1004,$AJ255)))</f>
        <v/>
      </c>
      <c r="Y255" s="25" t="str">
        <f aca="false">IF($AJ255=0,"",IF(INDEX(입력_측정!$J$5:$J$1004,$AJ255)="","",INDEX(입력_측정!$J$5:$J$1004,$AJ255)))</f>
        <v/>
      </c>
      <c r="Z255" s="25" t="str">
        <f aca="false">IF(OR(X255="긴급",LEFT(Y255,2)="긴급",W255="필요",W255="완료"),"대상","")</f>
        <v/>
      </c>
      <c r="AA255" s="59" t="str">
        <f aca="false">IF(M255&lt;&gt;"",M255,IF(AK255&gt;0,IF(W255="필요","추가상담 대기","완료"),IF(AJ255&gt;0,"결과상담 대기",IF(AI255&gt;0,"측정 대기","미방문"))))</f>
        <v>미방문</v>
      </c>
      <c r="AB255" s="60" t="str">
        <f aca="false">IF($AI255=0,"",IF(INDEX(입력_운동!$A$5:$A$1004,$AI255)="","",INDEX(입력_운동!$A$5:$A$1004,$AI255)))</f>
        <v/>
      </c>
      <c r="AC255" s="60" t="str">
        <f aca="false">IF($AJ255=0,"",IF(INDEX(입력_측정!$A$5:$A$1004,$AJ255)="","",INDEX(입력_측정!$A$5:$A$1004,$AJ255)))</f>
        <v/>
      </c>
      <c r="AD255" s="60" t="str">
        <f aca="false">IF($AK255=0,"",IF(INDEX(입력_상담!$A$5:$A$1004,$AK255)="","",INDEX(입력_상담!$A$5:$A$1004,$AK255)))</f>
        <v/>
      </c>
      <c r="AE255" s="25" t="str">
        <f aca="false">IF(AND(ISNUMBER(AB255),ISNUMBER(AC255)),IF(AC255&gt;=AB255,ROUND((AC255-AB255)*1440,0),""),"")</f>
        <v/>
      </c>
      <c r="AF255" s="25" t="str">
        <f aca="false">IF(AND(ISNUMBER(AC255),ISNUMBER(AD255)),IF(AD255&gt;=AC255,ROUND((AD255-AC255)*1440,0),""),"")</f>
        <v/>
      </c>
      <c r="AG255" s="25" t="str">
        <f aca="false">IF(AND(AA255="완료",ISNUMBER(AB255),ISNUMBER(AD255)),IF(AD255&gt;=AB255,ROUND((AD255-AB255)*1440,0),""),"")</f>
        <v/>
      </c>
      <c r="AH255" s="61" t="str">
        <f aca="false">IF(AND(AK255&gt;0,AJ255=0),"측정 기록 없음",IF(AND(AJ255&gt;0,AI255=0),"운동평가 기록 없음",IF(OR(COUNTIF(입력_운동!$B$5:$B$1004,$A255)&gt;1,COUNTIF(입력_측정!$B$5:$B$1004,$A255)&gt;1),"중복 입력","")))</f>
        <v/>
      </c>
      <c r="AI255" s="62" t="n">
        <f aca="false">SUMPRODUCT(MAX((입력_운동!$B$5:$B$1004=$A255)*(ROW(입력_운동!$B$5:$B$1004)-4)))</f>
        <v>0</v>
      </c>
      <c r="AJ255" s="62" t="n">
        <f aca="false">SUMPRODUCT(MAX((입력_측정!$B$5:$B$1004=$A255)*(ROW(입력_측정!$B$5:$B$1004)-4)))</f>
        <v>0</v>
      </c>
      <c r="AK255" s="62" t="n">
        <f aca="false">SUMPRODUCT(MAX((입력_상담!$B$5:$B$1004=$A255)*(ROW(입력_상담!$B$5:$B$1004)-4)))</f>
        <v>0</v>
      </c>
    </row>
    <row r="256" customFormat="false" ht="15" hidden="false" customHeight="false" outlineLevel="0" collapsed="false">
      <c r="A256" s="55" t="n">
        <v>252</v>
      </c>
      <c r="B256" s="56"/>
      <c r="C256" s="24"/>
      <c r="D256" s="24"/>
      <c r="E256" s="56"/>
      <c r="F256" s="57"/>
      <c r="G256" s="58"/>
      <c r="H256" s="56"/>
      <c r="I256" s="24"/>
      <c r="J256" s="24"/>
      <c r="K256" s="24"/>
      <c r="L256" s="24"/>
      <c r="M256" s="24"/>
      <c r="N256" s="56"/>
      <c r="O256" s="25" t="str">
        <f aca="false">IF($AI256=0,"",IF(INDEX(입력_운동!$C$5:$C$1004,$AI256)="","",INDEX(입력_운동!$C$5:$C$1004,$AI256)))</f>
        <v/>
      </c>
      <c r="P256" s="25" t="str">
        <f aca="false">IF($AI256=0,"",IF(INDEX(입력_운동!$D$5:$D$1004,$AI256)="","",INDEX(입력_운동!$D$5:$D$1004,$AI256)))</f>
        <v/>
      </c>
      <c r="Q256" s="25" t="str">
        <f aca="false">IF($AI256=0,"",IF(INDEX(입력_운동!$E$5:$E$1004,$AI256)="","",INDEX(입력_운동!$E$5:$E$1004,$AI256)))</f>
        <v/>
      </c>
      <c r="R256" s="25" t="str">
        <f aca="false">IF($AI256=0,"",IF(INDEX(입력_운동!$F$5:$F$1004,$AI256)="","",INDEX(입력_운동!$F$5:$F$1004,$AI256)))</f>
        <v/>
      </c>
      <c r="S256" s="25" t="str">
        <f aca="false">IF($AJ256=0,"",IF(INDEX(입력_측정!$C$5:$C$1004,$AJ256)="","",INDEX(입력_측정!$C$5:$C$1004,$AJ256)))</f>
        <v/>
      </c>
      <c r="T256" s="25" t="str">
        <f aca="false">IF($AJ256=0,"",IF(INDEX(입력_측정!$D$5:$D$1004,$AJ256)="","",INDEX(입력_측정!$D$5:$D$1004,$AJ256)))</f>
        <v/>
      </c>
      <c r="U256" s="25" t="str">
        <f aca="false">IF($AJ256=0,"",IF(INDEX(입력_측정!$E$5:$E$1004,$AJ256)="","",INDEX(입력_측정!$E$5:$E$1004,$AJ256)))</f>
        <v/>
      </c>
      <c r="V256" s="25" t="str">
        <f aca="false">IF($AJ256=0,"",IF(INDEX(입력_측정!$F$5:$F$1004,$AJ256)="","",INDEX(입력_측정!$F$5:$F$1004,$AJ256)))</f>
        <v/>
      </c>
      <c r="W256" s="25" t="str">
        <f aca="false">IF($AK256=0,"",IF(INDEX(입력_상담!$D$5:$D$1004,$AK256)="","",INDEX(입력_상담!$D$5:$D$1004,$AK256)))</f>
        <v/>
      </c>
      <c r="X256" s="25" t="str">
        <f aca="false">IF($AJ256=0,"",IF(INDEX(입력_측정!$I$5:$I$1004,$AJ256)="","",INDEX(입력_측정!$I$5:$I$1004,$AJ256)))</f>
        <v/>
      </c>
      <c r="Y256" s="25" t="str">
        <f aca="false">IF($AJ256=0,"",IF(INDEX(입력_측정!$J$5:$J$1004,$AJ256)="","",INDEX(입력_측정!$J$5:$J$1004,$AJ256)))</f>
        <v/>
      </c>
      <c r="Z256" s="25" t="str">
        <f aca="false">IF(OR(X256="긴급",LEFT(Y256,2)="긴급",W256="필요",W256="완료"),"대상","")</f>
        <v/>
      </c>
      <c r="AA256" s="59" t="str">
        <f aca="false">IF(M256&lt;&gt;"",M256,IF(AK256&gt;0,IF(W256="필요","추가상담 대기","완료"),IF(AJ256&gt;0,"결과상담 대기",IF(AI256&gt;0,"측정 대기","미방문"))))</f>
        <v>미방문</v>
      </c>
      <c r="AB256" s="60" t="str">
        <f aca="false">IF($AI256=0,"",IF(INDEX(입력_운동!$A$5:$A$1004,$AI256)="","",INDEX(입력_운동!$A$5:$A$1004,$AI256)))</f>
        <v/>
      </c>
      <c r="AC256" s="60" t="str">
        <f aca="false">IF($AJ256=0,"",IF(INDEX(입력_측정!$A$5:$A$1004,$AJ256)="","",INDEX(입력_측정!$A$5:$A$1004,$AJ256)))</f>
        <v/>
      </c>
      <c r="AD256" s="60" t="str">
        <f aca="false">IF($AK256=0,"",IF(INDEX(입력_상담!$A$5:$A$1004,$AK256)="","",INDEX(입력_상담!$A$5:$A$1004,$AK256)))</f>
        <v/>
      </c>
      <c r="AE256" s="25" t="str">
        <f aca="false">IF(AND(ISNUMBER(AB256),ISNUMBER(AC256)),IF(AC256&gt;=AB256,ROUND((AC256-AB256)*1440,0),""),"")</f>
        <v/>
      </c>
      <c r="AF256" s="25" t="str">
        <f aca="false">IF(AND(ISNUMBER(AC256),ISNUMBER(AD256)),IF(AD256&gt;=AC256,ROUND((AD256-AC256)*1440,0),""),"")</f>
        <v/>
      </c>
      <c r="AG256" s="25" t="str">
        <f aca="false">IF(AND(AA256="완료",ISNUMBER(AB256),ISNUMBER(AD256)),IF(AD256&gt;=AB256,ROUND((AD256-AB256)*1440,0),""),"")</f>
        <v/>
      </c>
      <c r="AH256" s="61" t="str">
        <f aca="false">IF(AND(AK256&gt;0,AJ256=0),"측정 기록 없음",IF(AND(AJ256&gt;0,AI256=0),"운동평가 기록 없음",IF(OR(COUNTIF(입력_운동!$B$5:$B$1004,$A256)&gt;1,COUNTIF(입력_측정!$B$5:$B$1004,$A256)&gt;1),"중복 입력","")))</f>
        <v/>
      </c>
      <c r="AI256" s="62" t="n">
        <f aca="false">SUMPRODUCT(MAX((입력_운동!$B$5:$B$1004=$A256)*(ROW(입력_운동!$B$5:$B$1004)-4)))</f>
        <v>0</v>
      </c>
      <c r="AJ256" s="62" t="n">
        <f aca="false">SUMPRODUCT(MAX((입력_측정!$B$5:$B$1004=$A256)*(ROW(입력_측정!$B$5:$B$1004)-4)))</f>
        <v>0</v>
      </c>
      <c r="AK256" s="62" t="n">
        <f aca="false">SUMPRODUCT(MAX((입력_상담!$B$5:$B$1004=$A256)*(ROW(입력_상담!$B$5:$B$1004)-4)))</f>
        <v>0</v>
      </c>
    </row>
    <row r="257" customFormat="false" ht="15" hidden="false" customHeight="false" outlineLevel="0" collapsed="false">
      <c r="A257" s="55" t="n">
        <v>253</v>
      </c>
      <c r="B257" s="56"/>
      <c r="C257" s="24"/>
      <c r="D257" s="24"/>
      <c r="E257" s="56"/>
      <c r="F257" s="57"/>
      <c r="G257" s="58"/>
      <c r="H257" s="56"/>
      <c r="I257" s="24"/>
      <c r="J257" s="24"/>
      <c r="K257" s="24"/>
      <c r="L257" s="24"/>
      <c r="M257" s="24"/>
      <c r="N257" s="56"/>
      <c r="O257" s="25" t="str">
        <f aca="false">IF($AI257=0,"",IF(INDEX(입력_운동!$C$5:$C$1004,$AI257)="","",INDEX(입력_운동!$C$5:$C$1004,$AI257)))</f>
        <v/>
      </c>
      <c r="P257" s="25" t="str">
        <f aca="false">IF($AI257=0,"",IF(INDEX(입력_운동!$D$5:$D$1004,$AI257)="","",INDEX(입력_운동!$D$5:$D$1004,$AI257)))</f>
        <v/>
      </c>
      <c r="Q257" s="25" t="str">
        <f aca="false">IF($AI257=0,"",IF(INDEX(입력_운동!$E$5:$E$1004,$AI257)="","",INDEX(입력_운동!$E$5:$E$1004,$AI257)))</f>
        <v/>
      </c>
      <c r="R257" s="25" t="str">
        <f aca="false">IF($AI257=0,"",IF(INDEX(입력_운동!$F$5:$F$1004,$AI257)="","",INDEX(입력_운동!$F$5:$F$1004,$AI257)))</f>
        <v/>
      </c>
      <c r="S257" s="25" t="str">
        <f aca="false">IF($AJ257=0,"",IF(INDEX(입력_측정!$C$5:$C$1004,$AJ257)="","",INDEX(입력_측정!$C$5:$C$1004,$AJ257)))</f>
        <v/>
      </c>
      <c r="T257" s="25" t="str">
        <f aca="false">IF($AJ257=0,"",IF(INDEX(입력_측정!$D$5:$D$1004,$AJ257)="","",INDEX(입력_측정!$D$5:$D$1004,$AJ257)))</f>
        <v/>
      </c>
      <c r="U257" s="25" t="str">
        <f aca="false">IF($AJ257=0,"",IF(INDEX(입력_측정!$E$5:$E$1004,$AJ257)="","",INDEX(입력_측정!$E$5:$E$1004,$AJ257)))</f>
        <v/>
      </c>
      <c r="V257" s="25" t="str">
        <f aca="false">IF($AJ257=0,"",IF(INDEX(입력_측정!$F$5:$F$1004,$AJ257)="","",INDEX(입력_측정!$F$5:$F$1004,$AJ257)))</f>
        <v/>
      </c>
      <c r="W257" s="25" t="str">
        <f aca="false">IF($AK257=0,"",IF(INDEX(입력_상담!$D$5:$D$1004,$AK257)="","",INDEX(입력_상담!$D$5:$D$1004,$AK257)))</f>
        <v/>
      </c>
      <c r="X257" s="25" t="str">
        <f aca="false">IF($AJ257=0,"",IF(INDEX(입력_측정!$I$5:$I$1004,$AJ257)="","",INDEX(입력_측정!$I$5:$I$1004,$AJ257)))</f>
        <v/>
      </c>
      <c r="Y257" s="25" t="str">
        <f aca="false">IF($AJ257=0,"",IF(INDEX(입력_측정!$J$5:$J$1004,$AJ257)="","",INDEX(입력_측정!$J$5:$J$1004,$AJ257)))</f>
        <v/>
      </c>
      <c r="Z257" s="25" t="str">
        <f aca="false">IF(OR(X257="긴급",LEFT(Y257,2)="긴급",W257="필요",W257="완료"),"대상","")</f>
        <v/>
      </c>
      <c r="AA257" s="59" t="str">
        <f aca="false">IF(M257&lt;&gt;"",M257,IF(AK257&gt;0,IF(W257="필요","추가상담 대기","완료"),IF(AJ257&gt;0,"결과상담 대기",IF(AI257&gt;0,"측정 대기","미방문"))))</f>
        <v>미방문</v>
      </c>
      <c r="AB257" s="60" t="str">
        <f aca="false">IF($AI257=0,"",IF(INDEX(입력_운동!$A$5:$A$1004,$AI257)="","",INDEX(입력_운동!$A$5:$A$1004,$AI257)))</f>
        <v/>
      </c>
      <c r="AC257" s="60" t="str">
        <f aca="false">IF($AJ257=0,"",IF(INDEX(입력_측정!$A$5:$A$1004,$AJ257)="","",INDEX(입력_측정!$A$5:$A$1004,$AJ257)))</f>
        <v/>
      </c>
      <c r="AD257" s="60" t="str">
        <f aca="false">IF($AK257=0,"",IF(INDEX(입력_상담!$A$5:$A$1004,$AK257)="","",INDEX(입력_상담!$A$5:$A$1004,$AK257)))</f>
        <v/>
      </c>
      <c r="AE257" s="25" t="str">
        <f aca="false">IF(AND(ISNUMBER(AB257),ISNUMBER(AC257)),IF(AC257&gt;=AB257,ROUND((AC257-AB257)*1440,0),""),"")</f>
        <v/>
      </c>
      <c r="AF257" s="25" t="str">
        <f aca="false">IF(AND(ISNUMBER(AC257),ISNUMBER(AD257)),IF(AD257&gt;=AC257,ROUND((AD257-AC257)*1440,0),""),"")</f>
        <v/>
      </c>
      <c r="AG257" s="25" t="str">
        <f aca="false">IF(AND(AA257="완료",ISNUMBER(AB257),ISNUMBER(AD257)),IF(AD257&gt;=AB257,ROUND((AD257-AB257)*1440,0),""),"")</f>
        <v/>
      </c>
      <c r="AH257" s="61" t="str">
        <f aca="false">IF(AND(AK257&gt;0,AJ257=0),"측정 기록 없음",IF(AND(AJ257&gt;0,AI257=0),"운동평가 기록 없음",IF(OR(COUNTIF(입력_운동!$B$5:$B$1004,$A257)&gt;1,COUNTIF(입력_측정!$B$5:$B$1004,$A257)&gt;1),"중복 입력","")))</f>
        <v/>
      </c>
      <c r="AI257" s="62" t="n">
        <f aca="false">SUMPRODUCT(MAX((입력_운동!$B$5:$B$1004=$A257)*(ROW(입력_운동!$B$5:$B$1004)-4)))</f>
        <v>0</v>
      </c>
      <c r="AJ257" s="62" t="n">
        <f aca="false">SUMPRODUCT(MAX((입력_측정!$B$5:$B$1004=$A257)*(ROW(입력_측정!$B$5:$B$1004)-4)))</f>
        <v>0</v>
      </c>
      <c r="AK257" s="62" t="n">
        <f aca="false">SUMPRODUCT(MAX((입력_상담!$B$5:$B$1004=$A257)*(ROW(입력_상담!$B$5:$B$1004)-4)))</f>
        <v>0</v>
      </c>
    </row>
    <row r="258" customFormat="false" ht="15" hidden="false" customHeight="false" outlineLevel="0" collapsed="false">
      <c r="A258" s="55" t="n">
        <v>254</v>
      </c>
      <c r="B258" s="56"/>
      <c r="C258" s="24"/>
      <c r="D258" s="24"/>
      <c r="E258" s="56"/>
      <c r="F258" s="57"/>
      <c r="G258" s="58"/>
      <c r="H258" s="56"/>
      <c r="I258" s="24"/>
      <c r="J258" s="24"/>
      <c r="K258" s="24"/>
      <c r="L258" s="24"/>
      <c r="M258" s="24"/>
      <c r="N258" s="56"/>
      <c r="O258" s="25" t="str">
        <f aca="false">IF($AI258=0,"",IF(INDEX(입력_운동!$C$5:$C$1004,$AI258)="","",INDEX(입력_운동!$C$5:$C$1004,$AI258)))</f>
        <v/>
      </c>
      <c r="P258" s="25" t="str">
        <f aca="false">IF($AI258=0,"",IF(INDEX(입력_운동!$D$5:$D$1004,$AI258)="","",INDEX(입력_운동!$D$5:$D$1004,$AI258)))</f>
        <v/>
      </c>
      <c r="Q258" s="25" t="str">
        <f aca="false">IF($AI258=0,"",IF(INDEX(입력_운동!$E$5:$E$1004,$AI258)="","",INDEX(입력_운동!$E$5:$E$1004,$AI258)))</f>
        <v/>
      </c>
      <c r="R258" s="25" t="str">
        <f aca="false">IF($AI258=0,"",IF(INDEX(입력_운동!$F$5:$F$1004,$AI258)="","",INDEX(입력_운동!$F$5:$F$1004,$AI258)))</f>
        <v/>
      </c>
      <c r="S258" s="25" t="str">
        <f aca="false">IF($AJ258=0,"",IF(INDEX(입력_측정!$C$5:$C$1004,$AJ258)="","",INDEX(입력_측정!$C$5:$C$1004,$AJ258)))</f>
        <v/>
      </c>
      <c r="T258" s="25" t="str">
        <f aca="false">IF($AJ258=0,"",IF(INDEX(입력_측정!$D$5:$D$1004,$AJ258)="","",INDEX(입력_측정!$D$5:$D$1004,$AJ258)))</f>
        <v/>
      </c>
      <c r="U258" s="25" t="str">
        <f aca="false">IF($AJ258=0,"",IF(INDEX(입력_측정!$E$5:$E$1004,$AJ258)="","",INDEX(입력_측정!$E$5:$E$1004,$AJ258)))</f>
        <v/>
      </c>
      <c r="V258" s="25" t="str">
        <f aca="false">IF($AJ258=0,"",IF(INDEX(입력_측정!$F$5:$F$1004,$AJ258)="","",INDEX(입력_측정!$F$5:$F$1004,$AJ258)))</f>
        <v/>
      </c>
      <c r="W258" s="25" t="str">
        <f aca="false">IF($AK258=0,"",IF(INDEX(입력_상담!$D$5:$D$1004,$AK258)="","",INDEX(입력_상담!$D$5:$D$1004,$AK258)))</f>
        <v/>
      </c>
      <c r="X258" s="25" t="str">
        <f aca="false">IF($AJ258=0,"",IF(INDEX(입력_측정!$I$5:$I$1004,$AJ258)="","",INDEX(입력_측정!$I$5:$I$1004,$AJ258)))</f>
        <v/>
      </c>
      <c r="Y258" s="25" t="str">
        <f aca="false">IF($AJ258=0,"",IF(INDEX(입력_측정!$J$5:$J$1004,$AJ258)="","",INDEX(입력_측정!$J$5:$J$1004,$AJ258)))</f>
        <v/>
      </c>
      <c r="Z258" s="25" t="str">
        <f aca="false">IF(OR(X258="긴급",LEFT(Y258,2)="긴급",W258="필요",W258="완료"),"대상","")</f>
        <v/>
      </c>
      <c r="AA258" s="59" t="str">
        <f aca="false">IF(M258&lt;&gt;"",M258,IF(AK258&gt;0,IF(W258="필요","추가상담 대기","완료"),IF(AJ258&gt;0,"결과상담 대기",IF(AI258&gt;0,"측정 대기","미방문"))))</f>
        <v>미방문</v>
      </c>
      <c r="AB258" s="60" t="str">
        <f aca="false">IF($AI258=0,"",IF(INDEX(입력_운동!$A$5:$A$1004,$AI258)="","",INDEX(입력_운동!$A$5:$A$1004,$AI258)))</f>
        <v/>
      </c>
      <c r="AC258" s="60" t="str">
        <f aca="false">IF($AJ258=0,"",IF(INDEX(입력_측정!$A$5:$A$1004,$AJ258)="","",INDEX(입력_측정!$A$5:$A$1004,$AJ258)))</f>
        <v/>
      </c>
      <c r="AD258" s="60" t="str">
        <f aca="false">IF($AK258=0,"",IF(INDEX(입력_상담!$A$5:$A$1004,$AK258)="","",INDEX(입력_상담!$A$5:$A$1004,$AK258)))</f>
        <v/>
      </c>
      <c r="AE258" s="25" t="str">
        <f aca="false">IF(AND(ISNUMBER(AB258),ISNUMBER(AC258)),IF(AC258&gt;=AB258,ROUND((AC258-AB258)*1440,0),""),"")</f>
        <v/>
      </c>
      <c r="AF258" s="25" t="str">
        <f aca="false">IF(AND(ISNUMBER(AC258),ISNUMBER(AD258)),IF(AD258&gt;=AC258,ROUND((AD258-AC258)*1440,0),""),"")</f>
        <v/>
      </c>
      <c r="AG258" s="25" t="str">
        <f aca="false">IF(AND(AA258="완료",ISNUMBER(AB258),ISNUMBER(AD258)),IF(AD258&gt;=AB258,ROUND((AD258-AB258)*1440,0),""),"")</f>
        <v/>
      </c>
      <c r="AH258" s="61" t="str">
        <f aca="false">IF(AND(AK258&gt;0,AJ258=0),"측정 기록 없음",IF(AND(AJ258&gt;0,AI258=0),"운동평가 기록 없음",IF(OR(COUNTIF(입력_운동!$B$5:$B$1004,$A258)&gt;1,COUNTIF(입력_측정!$B$5:$B$1004,$A258)&gt;1),"중복 입력","")))</f>
        <v/>
      </c>
      <c r="AI258" s="62" t="n">
        <f aca="false">SUMPRODUCT(MAX((입력_운동!$B$5:$B$1004=$A258)*(ROW(입력_운동!$B$5:$B$1004)-4)))</f>
        <v>0</v>
      </c>
      <c r="AJ258" s="62" t="n">
        <f aca="false">SUMPRODUCT(MAX((입력_측정!$B$5:$B$1004=$A258)*(ROW(입력_측정!$B$5:$B$1004)-4)))</f>
        <v>0</v>
      </c>
      <c r="AK258" s="62" t="n">
        <f aca="false">SUMPRODUCT(MAX((입력_상담!$B$5:$B$1004=$A258)*(ROW(입력_상담!$B$5:$B$1004)-4)))</f>
        <v>0</v>
      </c>
    </row>
    <row r="259" customFormat="false" ht="15" hidden="false" customHeight="false" outlineLevel="0" collapsed="false">
      <c r="A259" s="55" t="n">
        <v>255</v>
      </c>
      <c r="B259" s="56"/>
      <c r="C259" s="24"/>
      <c r="D259" s="24"/>
      <c r="E259" s="56"/>
      <c r="F259" s="57"/>
      <c r="G259" s="58"/>
      <c r="H259" s="56"/>
      <c r="I259" s="24"/>
      <c r="J259" s="24"/>
      <c r="K259" s="24"/>
      <c r="L259" s="24"/>
      <c r="M259" s="24"/>
      <c r="N259" s="56"/>
      <c r="O259" s="25" t="str">
        <f aca="false">IF($AI259=0,"",IF(INDEX(입력_운동!$C$5:$C$1004,$AI259)="","",INDEX(입력_운동!$C$5:$C$1004,$AI259)))</f>
        <v/>
      </c>
      <c r="P259" s="25" t="str">
        <f aca="false">IF($AI259=0,"",IF(INDEX(입력_운동!$D$5:$D$1004,$AI259)="","",INDEX(입력_운동!$D$5:$D$1004,$AI259)))</f>
        <v/>
      </c>
      <c r="Q259" s="25" t="str">
        <f aca="false">IF($AI259=0,"",IF(INDEX(입력_운동!$E$5:$E$1004,$AI259)="","",INDEX(입력_운동!$E$5:$E$1004,$AI259)))</f>
        <v/>
      </c>
      <c r="R259" s="25" t="str">
        <f aca="false">IF($AI259=0,"",IF(INDEX(입력_운동!$F$5:$F$1004,$AI259)="","",INDEX(입력_운동!$F$5:$F$1004,$AI259)))</f>
        <v/>
      </c>
      <c r="S259" s="25" t="str">
        <f aca="false">IF($AJ259=0,"",IF(INDEX(입력_측정!$C$5:$C$1004,$AJ259)="","",INDEX(입력_측정!$C$5:$C$1004,$AJ259)))</f>
        <v/>
      </c>
      <c r="T259" s="25" t="str">
        <f aca="false">IF($AJ259=0,"",IF(INDEX(입력_측정!$D$5:$D$1004,$AJ259)="","",INDEX(입력_측정!$D$5:$D$1004,$AJ259)))</f>
        <v/>
      </c>
      <c r="U259" s="25" t="str">
        <f aca="false">IF($AJ259=0,"",IF(INDEX(입력_측정!$E$5:$E$1004,$AJ259)="","",INDEX(입력_측정!$E$5:$E$1004,$AJ259)))</f>
        <v/>
      </c>
      <c r="V259" s="25" t="str">
        <f aca="false">IF($AJ259=0,"",IF(INDEX(입력_측정!$F$5:$F$1004,$AJ259)="","",INDEX(입력_측정!$F$5:$F$1004,$AJ259)))</f>
        <v/>
      </c>
      <c r="W259" s="25" t="str">
        <f aca="false">IF($AK259=0,"",IF(INDEX(입력_상담!$D$5:$D$1004,$AK259)="","",INDEX(입력_상담!$D$5:$D$1004,$AK259)))</f>
        <v/>
      </c>
      <c r="X259" s="25" t="str">
        <f aca="false">IF($AJ259=0,"",IF(INDEX(입력_측정!$I$5:$I$1004,$AJ259)="","",INDEX(입력_측정!$I$5:$I$1004,$AJ259)))</f>
        <v/>
      </c>
      <c r="Y259" s="25" t="str">
        <f aca="false">IF($AJ259=0,"",IF(INDEX(입력_측정!$J$5:$J$1004,$AJ259)="","",INDEX(입력_측정!$J$5:$J$1004,$AJ259)))</f>
        <v/>
      </c>
      <c r="Z259" s="25" t="str">
        <f aca="false">IF(OR(X259="긴급",LEFT(Y259,2)="긴급",W259="필요",W259="완료"),"대상","")</f>
        <v/>
      </c>
      <c r="AA259" s="59" t="str">
        <f aca="false">IF(M259&lt;&gt;"",M259,IF(AK259&gt;0,IF(W259="필요","추가상담 대기","완료"),IF(AJ259&gt;0,"결과상담 대기",IF(AI259&gt;0,"측정 대기","미방문"))))</f>
        <v>미방문</v>
      </c>
      <c r="AB259" s="60" t="str">
        <f aca="false">IF($AI259=0,"",IF(INDEX(입력_운동!$A$5:$A$1004,$AI259)="","",INDEX(입력_운동!$A$5:$A$1004,$AI259)))</f>
        <v/>
      </c>
      <c r="AC259" s="60" t="str">
        <f aca="false">IF($AJ259=0,"",IF(INDEX(입력_측정!$A$5:$A$1004,$AJ259)="","",INDEX(입력_측정!$A$5:$A$1004,$AJ259)))</f>
        <v/>
      </c>
      <c r="AD259" s="60" t="str">
        <f aca="false">IF($AK259=0,"",IF(INDEX(입력_상담!$A$5:$A$1004,$AK259)="","",INDEX(입력_상담!$A$5:$A$1004,$AK259)))</f>
        <v/>
      </c>
      <c r="AE259" s="25" t="str">
        <f aca="false">IF(AND(ISNUMBER(AB259),ISNUMBER(AC259)),IF(AC259&gt;=AB259,ROUND((AC259-AB259)*1440,0),""),"")</f>
        <v/>
      </c>
      <c r="AF259" s="25" t="str">
        <f aca="false">IF(AND(ISNUMBER(AC259),ISNUMBER(AD259)),IF(AD259&gt;=AC259,ROUND((AD259-AC259)*1440,0),""),"")</f>
        <v/>
      </c>
      <c r="AG259" s="25" t="str">
        <f aca="false">IF(AND(AA259="완료",ISNUMBER(AB259),ISNUMBER(AD259)),IF(AD259&gt;=AB259,ROUND((AD259-AB259)*1440,0),""),"")</f>
        <v/>
      </c>
      <c r="AH259" s="61" t="str">
        <f aca="false">IF(AND(AK259&gt;0,AJ259=0),"측정 기록 없음",IF(AND(AJ259&gt;0,AI259=0),"운동평가 기록 없음",IF(OR(COUNTIF(입력_운동!$B$5:$B$1004,$A259)&gt;1,COUNTIF(입력_측정!$B$5:$B$1004,$A259)&gt;1),"중복 입력","")))</f>
        <v/>
      </c>
      <c r="AI259" s="62" t="n">
        <f aca="false">SUMPRODUCT(MAX((입력_운동!$B$5:$B$1004=$A259)*(ROW(입력_운동!$B$5:$B$1004)-4)))</f>
        <v>0</v>
      </c>
      <c r="AJ259" s="62" t="n">
        <f aca="false">SUMPRODUCT(MAX((입력_측정!$B$5:$B$1004=$A259)*(ROW(입력_측정!$B$5:$B$1004)-4)))</f>
        <v>0</v>
      </c>
      <c r="AK259" s="62" t="n">
        <f aca="false">SUMPRODUCT(MAX((입력_상담!$B$5:$B$1004=$A259)*(ROW(입력_상담!$B$5:$B$1004)-4)))</f>
        <v>0</v>
      </c>
    </row>
    <row r="260" customFormat="false" ht="15" hidden="false" customHeight="false" outlineLevel="0" collapsed="false">
      <c r="A260" s="55" t="n">
        <v>256</v>
      </c>
      <c r="B260" s="56"/>
      <c r="C260" s="24"/>
      <c r="D260" s="24"/>
      <c r="E260" s="56"/>
      <c r="F260" s="57"/>
      <c r="G260" s="58"/>
      <c r="H260" s="56"/>
      <c r="I260" s="24"/>
      <c r="J260" s="24"/>
      <c r="K260" s="24"/>
      <c r="L260" s="24"/>
      <c r="M260" s="24"/>
      <c r="N260" s="56"/>
      <c r="O260" s="25" t="str">
        <f aca="false">IF($AI260=0,"",IF(INDEX(입력_운동!$C$5:$C$1004,$AI260)="","",INDEX(입력_운동!$C$5:$C$1004,$AI260)))</f>
        <v/>
      </c>
      <c r="P260" s="25" t="str">
        <f aca="false">IF($AI260=0,"",IF(INDEX(입력_운동!$D$5:$D$1004,$AI260)="","",INDEX(입력_운동!$D$5:$D$1004,$AI260)))</f>
        <v/>
      </c>
      <c r="Q260" s="25" t="str">
        <f aca="false">IF($AI260=0,"",IF(INDEX(입력_운동!$E$5:$E$1004,$AI260)="","",INDEX(입력_운동!$E$5:$E$1004,$AI260)))</f>
        <v/>
      </c>
      <c r="R260" s="25" t="str">
        <f aca="false">IF($AI260=0,"",IF(INDEX(입력_운동!$F$5:$F$1004,$AI260)="","",INDEX(입력_운동!$F$5:$F$1004,$AI260)))</f>
        <v/>
      </c>
      <c r="S260" s="25" t="str">
        <f aca="false">IF($AJ260=0,"",IF(INDEX(입력_측정!$C$5:$C$1004,$AJ260)="","",INDEX(입력_측정!$C$5:$C$1004,$AJ260)))</f>
        <v/>
      </c>
      <c r="T260" s="25" t="str">
        <f aca="false">IF($AJ260=0,"",IF(INDEX(입력_측정!$D$5:$D$1004,$AJ260)="","",INDEX(입력_측정!$D$5:$D$1004,$AJ260)))</f>
        <v/>
      </c>
      <c r="U260" s="25" t="str">
        <f aca="false">IF($AJ260=0,"",IF(INDEX(입력_측정!$E$5:$E$1004,$AJ260)="","",INDEX(입력_측정!$E$5:$E$1004,$AJ260)))</f>
        <v/>
      </c>
      <c r="V260" s="25" t="str">
        <f aca="false">IF($AJ260=0,"",IF(INDEX(입력_측정!$F$5:$F$1004,$AJ260)="","",INDEX(입력_측정!$F$5:$F$1004,$AJ260)))</f>
        <v/>
      </c>
      <c r="W260" s="25" t="str">
        <f aca="false">IF($AK260=0,"",IF(INDEX(입력_상담!$D$5:$D$1004,$AK260)="","",INDEX(입력_상담!$D$5:$D$1004,$AK260)))</f>
        <v/>
      </c>
      <c r="X260" s="25" t="str">
        <f aca="false">IF($AJ260=0,"",IF(INDEX(입력_측정!$I$5:$I$1004,$AJ260)="","",INDEX(입력_측정!$I$5:$I$1004,$AJ260)))</f>
        <v/>
      </c>
      <c r="Y260" s="25" t="str">
        <f aca="false">IF($AJ260=0,"",IF(INDEX(입력_측정!$J$5:$J$1004,$AJ260)="","",INDEX(입력_측정!$J$5:$J$1004,$AJ260)))</f>
        <v/>
      </c>
      <c r="Z260" s="25" t="str">
        <f aca="false">IF(OR(X260="긴급",LEFT(Y260,2)="긴급",W260="필요",W260="완료"),"대상","")</f>
        <v/>
      </c>
      <c r="AA260" s="59" t="str">
        <f aca="false">IF(M260&lt;&gt;"",M260,IF(AK260&gt;0,IF(W260="필요","추가상담 대기","완료"),IF(AJ260&gt;0,"결과상담 대기",IF(AI260&gt;0,"측정 대기","미방문"))))</f>
        <v>미방문</v>
      </c>
      <c r="AB260" s="60" t="str">
        <f aca="false">IF($AI260=0,"",IF(INDEX(입력_운동!$A$5:$A$1004,$AI260)="","",INDEX(입력_운동!$A$5:$A$1004,$AI260)))</f>
        <v/>
      </c>
      <c r="AC260" s="60" t="str">
        <f aca="false">IF($AJ260=0,"",IF(INDEX(입력_측정!$A$5:$A$1004,$AJ260)="","",INDEX(입력_측정!$A$5:$A$1004,$AJ260)))</f>
        <v/>
      </c>
      <c r="AD260" s="60" t="str">
        <f aca="false">IF($AK260=0,"",IF(INDEX(입력_상담!$A$5:$A$1004,$AK260)="","",INDEX(입력_상담!$A$5:$A$1004,$AK260)))</f>
        <v/>
      </c>
      <c r="AE260" s="25" t="str">
        <f aca="false">IF(AND(ISNUMBER(AB260),ISNUMBER(AC260)),IF(AC260&gt;=AB260,ROUND((AC260-AB260)*1440,0),""),"")</f>
        <v/>
      </c>
      <c r="AF260" s="25" t="str">
        <f aca="false">IF(AND(ISNUMBER(AC260),ISNUMBER(AD260)),IF(AD260&gt;=AC260,ROUND((AD260-AC260)*1440,0),""),"")</f>
        <v/>
      </c>
      <c r="AG260" s="25" t="str">
        <f aca="false">IF(AND(AA260="완료",ISNUMBER(AB260),ISNUMBER(AD260)),IF(AD260&gt;=AB260,ROUND((AD260-AB260)*1440,0),""),"")</f>
        <v/>
      </c>
      <c r="AH260" s="61" t="str">
        <f aca="false">IF(AND(AK260&gt;0,AJ260=0),"측정 기록 없음",IF(AND(AJ260&gt;0,AI260=0),"운동평가 기록 없음",IF(OR(COUNTIF(입력_운동!$B$5:$B$1004,$A260)&gt;1,COUNTIF(입력_측정!$B$5:$B$1004,$A260)&gt;1),"중복 입력","")))</f>
        <v/>
      </c>
      <c r="AI260" s="62" t="n">
        <f aca="false">SUMPRODUCT(MAX((입력_운동!$B$5:$B$1004=$A260)*(ROW(입력_운동!$B$5:$B$1004)-4)))</f>
        <v>0</v>
      </c>
      <c r="AJ260" s="62" t="n">
        <f aca="false">SUMPRODUCT(MAX((입력_측정!$B$5:$B$1004=$A260)*(ROW(입력_측정!$B$5:$B$1004)-4)))</f>
        <v>0</v>
      </c>
      <c r="AK260" s="62" t="n">
        <f aca="false">SUMPRODUCT(MAX((입력_상담!$B$5:$B$1004=$A260)*(ROW(입력_상담!$B$5:$B$1004)-4)))</f>
        <v>0</v>
      </c>
    </row>
    <row r="261" customFormat="false" ht="15" hidden="false" customHeight="false" outlineLevel="0" collapsed="false">
      <c r="A261" s="55" t="n">
        <v>257</v>
      </c>
      <c r="B261" s="56"/>
      <c r="C261" s="24"/>
      <c r="D261" s="24"/>
      <c r="E261" s="56"/>
      <c r="F261" s="57"/>
      <c r="G261" s="58"/>
      <c r="H261" s="56"/>
      <c r="I261" s="24"/>
      <c r="J261" s="24"/>
      <c r="K261" s="24"/>
      <c r="L261" s="24"/>
      <c r="M261" s="24"/>
      <c r="N261" s="56"/>
      <c r="O261" s="25" t="str">
        <f aca="false">IF($AI261=0,"",IF(INDEX(입력_운동!$C$5:$C$1004,$AI261)="","",INDEX(입력_운동!$C$5:$C$1004,$AI261)))</f>
        <v/>
      </c>
      <c r="P261" s="25" t="str">
        <f aca="false">IF($AI261=0,"",IF(INDEX(입력_운동!$D$5:$D$1004,$AI261)="","",INDEX(입력_운동!$D$5:$D$1004,$AI261)))</f>
        <v/>
      </c>
      <c r="Q261" s="25" t="str">
        <f aca="false">IF($AI261=0,"",IF(INDEX(입력_운동!$E$5:$E$1004,$AI261)="","",INDEX(입력_운동!$E$5:$E$1004,$AI261)))</f>
        <v/>
      </c>
      <c r="R261" s="25" t="str">
        <f aca="false">IF($AI261=0,"",IF(INDEX(입력_운동!$F$5:$F$1004,$AI261)="","",INDEX(입력_운동!$F$5:$F$1004,$AI261)))</f>
        <v/>
      </c>
      <c r="S261" s="25" t="str">
        <f aca="false">IF($AJ261=0,"",IF(INDEX(입력_측정!$C$5:$C$1004,$AJ261)="","",INDEX(입력_측정!$C$5:$C$1004,$AJ261)))</f>
        <v/>
      </c>
      <c r="T261" s="25" t="str">
        <f aca="false">IF($AJ261=0,"",IF(INDEX(입력_측정!$D$5:$D$1004,$AJ261)="","",INDEX(입력_측정!$D$5:$D$1004,$AJ261)))</f>
        <v/>
      </c>
      <c r="U261" s="25" t="str">
        <f aca="false">IF($AJ261=0,"",IF(INDEX(입력_측정!$E$5:$E$1004,$AJ261)="","",INDEX(입력_측정!$E$5:$E$1004,$AJ261)))</f>
        <v/>
      </c>
      <c r="V261" s="25" t="str">
        <f aca="false">IF($AJ261=0,"",IF(INDEX(입력_측정!$F$5:$F$1004,$AJ261)="","",INDEX(입력_측정!$F$5:$F$1004,$AJ261)))</f>
        <v/>
      </c>
      <c r="W261" s="25" t="str">
        <f aca="false">IF($AK261=0,"",IF(INDEX(입력_상담!$D$5:$D$1004,$AK261)="","",INDEX(입력_상담!$D$5:$D$1004,$AK261)))</f>
        <v/>
      </c>
      <c r="X261" s="25" t="str">
        <f aca="false">IF($AJ261=0,"",IF(INDEX(입력_측정!$I$5:$I$1004,$AJ261)="","",INDEX(입력_측정!$I$5:$I$1004,$AJ261)))</f>
        <v/>
      </c>
      <c r="Y261" s="25" t="str">
        <f aca="false">IF($AJ261=0,"",IF(INDEX(입력_측정!$J$5:$J$1004,$AJ261)="","",INDEX(입력_측정!$J$5:$J$1004,$AJ261)))</f>
        <v/>
      </c>
      <c r="Z261" s="25" t="str">
        <f aca="false">IF(OR(X261="긴급",LEFT(Y261,2)="긴급",W261="필요",W261="완료"),"대상","")</f>
        <v/>
      </c>
      <c r="AA261" s="59" t="str">
        <f aca="false">IF(M261&lt;&gt;"",M261,IF(AK261&gt;0,IF(W261="필요","추가상담 대기","완료"),IF(AJ261&gt;0,"결과상담 대기",IF(AI261&gt;0,"측정 대기","미방문"))))</f>
        <v>미방문</v>
      </c>
      <c r="AB261" s="60" t="str">
        <f aca="false">IF($AI261=0,"",IF(INDEX(입력_운동!$A$5:$A$1004,$AI261)="","",INDEX(입력_운동!$A$5:$A$1004,$AI261)))</f>
        <v/>
      </c>
      <c r="AC261" s="60" t="str">
        <f aca="false">IF($AJ261=0,"",IF(INDEX(입력_측정!$A$5:$A$1004,$AJ261)="","",INDEX(입력_측정!$A$5:$A$1004,$AJ261)))</f>
        <v/>
      </c>
      <c r="AD261" s="60" t="str">
        <f aca="false">IF($AK261=0,"",IF(INDEX(입력_상담!$A$5:$A$1004,$AK261)="","",INDEX(입력_상담!$A$5:$A$1004,$AK261)))</f>
        <v/>
      </c>
      <c r="AE261" s="25" t="str">
        <f aca="false">IF(AND(ISNUMBER(AB261),ISNUMBER(AC261)),IF(AC261&gt;=AB261,ROUND((AC261-AB261)*1440,0),""),"")</f>
        <v/>
      </c>
      <c r="AF261" s="25" t="str">
        <f aca="false">IF(AND(ISNUMBER(AC261),ISNUMBER(AD261)),IF(AD261&gt;=AC261,ROUND((AD261-AC261)*1440,0),""),"")</f>
        <v/>
      </c>
      <c r="AG261" s="25" t="str">
        <f aca="false">IF(AND(AA261="완료",ISNUMBER(AB261),ISNUMBER(AD261)),IF(AD261&gt;=AB261,ROUND((AD261-AB261)*1440,0),""),"")</f>
        <v/>
      </c>
      <c r="AH261" s="61" t="str">
        <f aca="false">IF(AND(AK261&gt;0,AJ261=0),"측정 기록 없음",IF(AND(AJ261&gt;0,AI261=0),"운동평가 기록 없음",IF(OR(COUNTIF(입력_운동!$B$5:$B$1004,$A261)&gt;1,COUNTIF(입력_측정!$B$5:$B$1004,$A261)&gt;1),"중복 입력","")))</f>
        <v/>
      </c>
      <c r="AI261" s="62" t="n">
        <f aca="false">SUMPRODUCT(MAX((입력_운동!$B$5:$B$1004=$A261)*(ROW(입력_운동!$B$5:$B$1004)-4)))</f>
        <v>0</v>
      </c>
      <c r="AJ261" s="62" t="n">
        <f aca="false">SUMPRODUCT(MAX((입력_측정!$B$5:$B$1004=$A261)*(ROW(입력_측정!$B$5:$B$1004)-4)))</f>
        <v>0</v>
      </c>
      <c r="AK261" s="62" t="n">
        <f aca="false">SUMPRODUCT(MAX((입력_상담!$B$5:$B$1004=$A261)*(ROW(입력_상담!$B$5:$B$1004)-4)))</f>
        <v>0</v>
      </c>
    </row>
    <row r="262" customFormat="false" ht="15" hidden="false" customHeight="false" outlineLevel="0" collapsed="false">
      <c r="A262" s="55" t="n">
        <v>258</v>
      </c>
      <c r="B262" s="56"/>
      <c r="C262" s="24"/>
      <c r="D262" s="24"/>
      <c r="E262" s="56"/>
      <c r="F262" s="57"/>
      <c r="G262" s="58"/>
      <c r="H262" s="56"/>
      <c r="I262" s="24"/>
      <c r="J262" s="24"/>
      <c r="K262" s="24"/>
      <c r="L262" s="24"/>
      <c r="M262" s="24"/>
      <c r="N262" s="56"/>
      <c r="O262" s="25" t="str">
        <f aca="false">IF($AI262=0,"",IF(INDEX(입력_운동!$C$5:$C$1004,$AI262)="","",INDEX(입력_운동!$C$5:$C$1004,$AI262)))</f>
        <v/>
      </c>
      <c r="P262" s="25" t="str">
        <f aca="false">IF($AI262=0,"",IF(INDEX(입력_운동!$D$5:$D$1004,$AI262)="","",INDEX(입력_운동!$D$5:$D$1004,$AI262)))</f>
        <v/>
      </c>
      <c r="Q262" s="25" t="str">
        <f aca="false">IF($AI262=0,"",IF(INDEX(입력_운동!$E$5:$E$1004,$AI262)="","",INDEX(입력_운동!$E$5:$E$1004,$AI262)))</f>
        <v/>
      </c>
      <c r="R262" s="25" t="str">
        <f aca="false">IF($AI262=0,"",IF(INDEX(입력_운동!$F$5:$F$1004,$AI262)="","",INDEX(입력_운동!$F$5:$F$1004,$AI262)))</f>
        <v/>
      </c>
      <c r="S262" s="25" t="str">
        <f aca="false">IF($AJ262=0,"",IF(INDEX(입력_측정!$C$5:$C$1004,$AJ262)="","",INDEX(입력_측정!$C$5:$C$1004,$AJ262)))</f>
        <v/>
      </c>
      <c r="T262" s="25" t="str">
        <f aca="false">IF($AJ262=0,"",IF(INDEX(입력_측정!$D$5:$D$1004,$AJ262)="","",INDEX(입력_측정!$D$5:$D$1004,$AJ262)))</f>
        <v/>
      </c>
      <c r="U262" s="25" t="str">
        <f aca="false">IF($AJ262=0,"",IF(INDEX(입력_측정!$E$5:$E$1004,$AJ262)="","",INDEX(입력_측정!$E$5:$E$1004,$AJ262)))</f>
        <v/>
      </c>
      <c r="V262" s="25" t="str">
        <f aca="false">IF($AJ262=0,"",IF(INDEX(입력_측정!$F$5:$F$1004,$AJ262)="","",INDEX(입력_측정!$F$5:$F$1004,$AJ262)))</f>
        <v/>
      </c>
      <c r="W262" s="25" t="str">
        <f aca="false">IF($AK262=0,"",IF(INDEX(입력_상담!$D$5:$D$1004,$AK262)="","",INDEX(입력_상담!$D$5:$D$1004,$AK262)))</f>
        <v/>
      </c>
      <c r="X262" s="25" t="str">
        <f aca="false">IF($AJ262=0,"",IF(INDEX(입력_측정!$I$5:$I$1004,$AJ262)="","",INDEX(입력_측정!$I$5:$I$1004,$AJ262)))</f>
        <v/>
      </c>
      <c r="Y262" s="25" t="str">
        <f aca="false">IF($AJ262=0,"",IF(INDEX(입력_측정!$J$5:$J$1004,$AJ262)="","",INDEX(입력_측정!$J$5:$J$1004,$AJ262)))</f>
        <v/>
      </c>
      <c r="Z262" s="25" t="str">
        <f aca="false">IF(OR(X262="긴급",LEFT(Y262,2)="긴급",W262="필요",W262="완료"),"대상","")</f>
        <v/>
      </c>
      <c r="AA262" s="59" t="str">
        <f aca="false">IF(M262&lt;&gt;"",M262,IF(AK262&gt;0,IF(W262="필요","추가상담 대기","완료"),IF(AJ262&gt;0,"결과상담 대기",IF(AI262&gt;0,"측정 대기","미방문"))))</f>
        <v>미방문</v>
      </c>
      <c r="AB262" s="60" t="str">
        <f aca="false">IF($AI262=0,"",IF(INDEX(입력_운동!$A$5:$A$1004,$AI262)="","",INDEX(입력_운동!$A$5:$A$1004,$AI262)))</f>
        <v/>
      </c>
      <c r="AC262" s="60" t="str">
        <f aca="false">IF($AJ262=0,"",IF(INDEX(입력_측정!$A$5:$A$1004,$AJ262)="","",INDEX(입력_측정!$A$5:$A$1004,$AJ262)))</f>
        <v/>
      </c>
      <c r="AD262" s="60" t="str">
        <f aca="false">IF($AK262=0,"",IF(INDEX(입력_상담!$A$5:$A$1004,$AK262)="","",INDEX(입력_상담!$A$5:$A$1004,$AK262)))</f>
        <v/>
      </c>
      <c r="AE262" s="25" t="str">
        <f aca="false">IF(AND(ISNUMBER(AB262),ISNUMBER(AC262)),IF(AC262&gt;=AB262,ROUND((AC262-AB262)*1440,0),""),"")</f>
        <v/>
      </c>
      <c r="AF262" s="25" t="str">
        <f aca="false">IF(AND(ISNUMBER(AC262),ISNUMBER(AD262)),IF(AD262&gt;=AC262,ROUND((AD262-AC262)*1440,0),""),"")</f>
        <v/>
      </c>
      <c r="AG262" s="25" t="str">
        <f aca="false">IF(AND(AA262="완료",ISNUMBER(AB262),ISNUMBER(AD262)),IF(AD262&gt;=AB262,ROUND((AD262-AB262)*1440,0),""),"")</f>
        <v/>
      </c>
      <c r="AH262" s="61" t="str">
        <f aca="false">IF(AND(AK262&gt;0,AJ262=0),"측정 기록 없음",IF(AND(AJ262&gt;0,AI262=0),"운동평가 기록 없음",IF(OR(COUNTIF(입력_운동!$B$5:$B$1004,$A262)&gt;1,COUNTIF(입력_측정!$B$5:$B$1004,$A262)&gt;1),"중복 입력","")))</f>
        <v/>
      </c>
      <c r="AI262" s="62" t="n">
        <f aca="false">SUMPRODUCT(MAX((입력_운동!$B$5:$B$1004=$A262)*(ROW(입력_운동!$B$5:$B$1004)-4)))</f>
        <v>0</v>
      </c>
      <c r="AJ262" s="62" t="n">
        <f aca="false">SUMPRODUCT(MAX((입력_측정!$B$5:$B$1004=$A262)*(ROW(입력_측정!$B$5:$B$1004)-4)))</f>
        <v>0</v>
      </c>
      <c r="AK262" s="62" t="n">
        <f aca="false">SUMPRODUCT(MAX((입력_상담!$B$5:$B$1004=$A262)*(ROW(입력_상담!$B$5:$B$1004)-4)))</f>
        <v>0</v>
      </c>
    </row>
    <row r="263" customFormat="false" ht="15" hidden="false" customHeight="false" outlineLevel="0" collapsed="false">
      <c r="A263" s="55" t="n">
        <v>259</v>
      </c>
      <c r="B263" s="56"/>
      <c r="C263" s="24"/>
      <c r="D263" s="24"/>
      <c r="E263" s="56"/>
      <c r="F263" s="57"/>
      <c r="G263" s="58"/>
      <c r="H263" s="56"/>
      <c r="I263" s="24"/>
      <c r="J263" s="24"/>
      <c r="K263" s="24"/>
      <c r="L263" s="24"/>
      <c r="M263" s="24"/>
      <c r="N263" s="56"/>
      <c r="O263" s="25" t="str">
        <f aca="false">IF($AI263=0,"",IF(INDEX(입력_운동!$C$5:$C$1004,$AI263)="","",INDEX(입력_운동!$C$5:$C$1004,$AI263)))</f>
        <v/>
      </c>
      <c r="P263" s="25" t="str">
        <f aca="false">IF($AI263=0,"",IF(INDEX(입력_운동!$D$5:$D$1004,$AI263)="","",INDEX(입력_운동!$D$5:$D$1004,$AI263)))</f>
        <v/>
      </c>
      <c r="Q263" s="25" t="str">
        <f aca="false">IF($AI263=0,"",IF(INDEX(입력_운동!$E$5:$E$1004,$AI263)="","",INDEX(입력_운동!$E$5:$E$1004,$AI263)))</f>
        <v/>
      </c>
      <c r="R263" s="25" t="str">
        <f aca="false">IF($AI263=0,"",IF(INDEX(입력_운동!$F$5:$F$1004,$AI263)="","",INDEX(입력_운동!$F$5:$F$1004,$AI263)))</f>
        <v/>
      </c>
      <c r="S263" s="25" t="str">
        <f aca="false">IF($AJ263=0,"",IF(INDEX(입력_측정!$C$5:$C$1004,$AJ263)="","",INDEX(입력_측정!$C$5:$C$1004,$AJ263)))</f>
        <v/>
      </c>
      <c r="T263" s="25" t="str">
        <f aca="false">IF($AJ263=0,"",IF(INDEX(입력_측정!$D$5:$D$1004,$AJ263)="","",INDEX(입력_측정!$D$5:$D$1004,$AJ263)))</f>
        <v/>
      </c>
      <c r="U263" s="25" t="str">
        <f aca="false">IF($AJ263=0,"",IF(INDEX(입력_측정!$E$5:$E$1004,$AJ263)="","",INDEX(입력_측정!$E$5:$E$1004,$AJ263)))</f>
        <v/>
      </c>
      <c r="V263" s="25" t="str">
        <f aca="false">IF($AJ263=0,"",IF(INDEX(입력_측정!$F$5:$F$1004,$AJ263)="","",INDEX(입력_측정!$F$5:$F$1004,$AJ263)))</f>
        <v/>
      </c>
      <c r="W263" s="25" t="str">
        <f aca="false">IF($AK263=0,"",IF(INDEX(입력_상담!$D$5:$D$1004,$AK263)="","",INDEX(입력_상담!$D$5:$D$1004,$AK263)))</f>
        <v/>
      </c>
      <c r="X263" s="25" t="str">
        <f aca="false">IF($AJ263=0,"",IF(INDEX(입력_측정!$I$5:$I$1004,$AJ263)="","",INDEX(입력_측정!$I$5:$I$1004,$AJ263)))</f>
        <v/>
      </c>
      <c r="Y263" s="25" t="str">
        <f aca="false">IF($AJ263=0,"",IF(INDEX(입력_측정!$J$5:$J$1004,$AJ263)="","",INDEX(입력_측정!$J$5:$J$1004,$AJ263)))</f>
        <v/>
      </c>
      <c r="Z263" s="25" t="str">
        <f aca="false">IF(OR(X263="긴급",LEFT(Y263,2)="긴급",W263="필요",W263="완료"),"대상","")</f>
        <v/>
      </c>
      <c r="AA263" s="59" t="str">
        <f aca="false">IF(M263&lt;&gt;"",M263,IF(AK263&gt;0,IF(W263="필요","추가상담 대기","완료"),IF(AJ263&gt;0,"결과상담 대기",IF(AI263&gt;0,"측정 대기","미방문"))))</f>
        <v>미방문</v>
      </c>
      <c r="AB263" s="60" t="str">
        <f aca="false">IF($AI263=0,"",IF(INDEX(입력_운동!$A$5:$A$1004,$AI263)="","",INDEX(입력_운동!$A$5:$A$1004,$AI263)))</f>
        <v/>
      </c>
      <c r="AC263" s="60" t="str">
        <f aca="false">IF($AJ263=0,"",IF(INDEX(입력_측정!$A$5:$A$1004,$AJ263)="","",INDEX(입력_측정!$A$5:$A$1004,$AJ263)))</f>
        <v/>
      </c>
      <c r="AD263" s="60" t="str">
        <f aca="false">IF($AK263=0,"",IF(INDEX(입력_상담!$A$5:$A$1004,$AK263)="","",INDEX(입력_상담!$A$5:$A$1004,$AK263)))</f>
        <v/>
      </c>
      <c r="AE263" s="25" t="str">
        <f aca="false">IF(AND(ISNUMBER(AB263),ISNUMBER(AC263)),IF(AC263&gt;=AB263,ROUND((AC263-AB263)*1440,0),""),"")</f>
        <v/>
      </c>
      <c r="AF263" s="25" t="str">
        <f aca="false">IF(AND(ISNUMBER(AC263),ISNUMBER(AD263)),IF(AD263&gt;=AC263,ROUND((AD263-AC263)*1440,0),""),"")</f>
        <v/>
      </c>
      <c r="AG263" s="25" t="str">
        <f aca="false">IF(AND(AA263="완료",ISNUMBER(AB263),ISNUMBER(AD263)),IF(AD263&gt;=AB263,ROUND((AD263-AB263)*1440,0),""),"")</f>
        <v/>
      </c>
      <c r="AH263" s="61" t="str">
        <f aca="false">IF(AND(AK263&gt;0,AJ263=0),"측정 기록 없음",IF(AND(AJ263&gt;0,AI263=0),"운동평가 기록 없음",IF(OR(COUNTIF(입력_운동!$B$5:$B$1004,$A263)&gt;1,COUNTIF(입력_측정!$B$5:$B$1004,$A263)&gt;1),"중복 입력","")))</f>
        <v/>
      </c>
      <c r="AI263" s="62" t="n">
        <f aca="false">SUMPRODUCT(MAX((입력_운동!$B$5:$B$1004=$A263)*(ROW(입력_운동!$B$5:$B$1004)-4)))</f>
        <v>0</v>
      </c>
      <c r="AJ263" s="62" t="n">
        <f aca="false">SUMPRODUCT(MAX((입력_측정!$B$5:$B$1004=$A263)*(ROW(입력_측정!$B$5:$B$1004)-4)))</f>
        <v>0</v>
      </c>
      <c r="AK263" s="62" t="n">
        <f aca="false">SUMPRODUCT(MAX((입력_상담!$B$5:$B$1004=$A263)*(ROW(입력_상담!$B$5:$B$1004)-4)))</f>
        <v>0</v>
      </c>
    </row>
    <row r="264" customFormat="false" ht="15" hidden="false" customHeight="false" outlineLevel="0" collapsed="false">
      <c r="A264" s="55" t="n">
        <v>260</v>
      </c>
      <c r="B264" s="56"/>
      <c r="C264" s="24"/>
      <c r="D264" s="24"/>
      <c r="E264" s="56"/>
      <c r="F264" s="57"/>
      <c r="G264" s="58"/>
      <c r="H264" s="56"/>
      <c r="I264" s="24"/>
      <c r="J264" s="24"/>
      <c r="K264" s="24"/>
      <c r="L264" s="24"/>
      <c r="M264" s="24"/>
      <c r="N264" s="56"/>
      <c r="O264" s="25" t="str">
        <f aca="false">IF($AI264=0,"",IF(INDEX(입력_운동!$C$5:$C$1004,$AI264)="","",INDEX(입력_운동!$C$5:$C$1004,$AI264)))</f>
        <v/>
      </c>
      <c r="P264" s="25" t="str">
        <f aca="false">IF($AI264=0,"",IF(INDEX(입력_운동!$D$5:$D$1004,$AI264)="","",INDEX(입력_운동!$D$5:$D$1004,$AI264)))</f>
        <v/>
      </c>
      <c r="Q264" s="25" t="str">
        <f aca="false">IF($AI264=0,"",IF(INDEX(입력_운동!$E$5:$E$1004,$AI264)="","",INDEX(입력_운동!$E$5:$E$1004,$AI264)))</f>
        <v/>
      </c>
      <c r="R264" s="25" t="str">
        <f aca="false">IF($AI264=0,"",IF(INDEX(입력_운동!$F$5:$F$1004,$AI264)="","",INDEX(입력_운동!$F$5:$F$1004,$AI264)))</f>
        <v/>
      </c>
      <c r="S264" s="25" t="str">
        <f aca="false">IF($AJ264=0,"",IF(INDEX(입력_측정!$C$5:$C$1004,$AJ264)="","",INDEX(입력_측정!$C$5:$C$1004,$AJ264)))</f>
        <v/>
      </c>
      <c r="T264" s="25" t="str">
        <f aca="false">IF($AJ264=0,"",IF(INDEX(입력_측정!$D$5:$D$1004,$AJ264)="","",INDEX(입력_측정!$D$5:$D$1004,$AJ264)))</f>
        <v/>
      </c>
      <c r="U264" s="25" t="str">
        <f aca="false">IF($AJ264=0,"",IF(INDEX(입력_측정!$E$5:$E$1004,$AJ264)="","",INDEX(입력_측정!$E$5:$E$1004,$AJ264)))</f>
        <v/>
      </c>
      <c r="V264" s="25" t="str">
        <f aca="false">IF($AJ264=0,"",IF(INDEX(입력_측정!$F$5:$F$1004,$AJ264)="","",INDEX(입력_측정!$F$5:$F$1004,$AJ264)))</f>
        <v/>
      </c>
      <c r="W264" s="25" t="str">
        <f aca="false">IF($AK264=0,"",IF(INDEX(입력_상담!$D$5:$D$1004,$AK264)="","",INDEX(입력_상담!$D$5:$D$1004,$AK264)))</f>
        <v/>
      </c>
      <c r="X264" s="25" t="str">
        <f aca="false">IF($AJ264=0,"",IF(INDEX(입력_측정!$I$5:$I$1004,$AJ264)="","",INDEX(입력_측정!$I$5:$I$1004,$AJ264)))</f>
        <v/>
      </c>
      <c r="Y264" s="25" t="str">
        <f aca="false">IF($AJ264=0,"",IF(INDEX(입력_측정!$J$5:$J$1004,$AJ264)="","",INDEX(입력_측정!$J$5:$J$1004,$AJ264)))</f>
        <v/>
      </c>
      <c r="Z264" s="25" t="str">
        <f aca="false">IF(OR(X264="긴급",LEFT(Y264,2)="긴급",W264="필요",W264="완료"),"대상","")</f>
        <v/>
      </c>
      <c r="AA264" s="59" t="str">
        <f aca="false">IF(M264&lt;&gt;"",M264,IF(AK264&gt;0,IF(W264="필요","추가상담 대기","완료"),IF(AJ264&gt;0,"결과상담 대기",IF(AI264&gt;0,"측정 대기","미방문"))))</f>
        <v>미방문</v>
      </c>
      <c r="AB264" s="60" t="str">
        <f aca="false">IF($AI264=0,"",IF(INDEX(입력_운동!$A$5:$A$1004,$AI264)="","",INDEX(입력_운동!$A$5:$A$1004,$AI264)))</f>
        <v/>
      </c>
      <c r="AC264" s="60" t="str">
        <f aca="false">IF($AJ264=0,"",IF(INDEX(입력_측정!$A$5:$A$1004,$AJ264)="","",INDEX(입력_측정!$A$5:$A$1004,$AJ264)))</f>
        <v/>
      </c>
      <c r="AD264" s="60" t="str">
        <f aca="false">IF($AK264=0,"",IF(INDEX(입력_상담!$A$5:$A$1004,$AK264)="","",INDEX(입력_상담!$A$5:$A$1004,$AK264)))</f>
        <v/>
      </c>
      <c r="AE264" s="25" t="str">
        <f aca="false">IF(AND(ISNUMBER(AB264),ISNUMBER(AC264)),IF(AC264&gt;=AB264,ROUND((AC264-AB264)*1440,0),""),"")</f>
        <v/>
      </c>
      <c r="AF264" s="25" t="str">
        <f aca="false">IF(AND(ISNUMBER(AC264),ISNUMBER(AD264)),IF(AD264&gt;=AC264,ROUND((AD264-AC264)*1440,0),""),"")</f>
        <v/>
      </c>
      <c r="AG264" s="25" t="str">
        <f aca="false">IF(AND(AA264="완료",ISNUMBER(AB264),ISNUMBER(AD264)),IF(AD264&gt;=AB264,ROUND((AD264-AB264)*1440,0),""),"")</f>
        <v/>
      </c>
      <c r="AH264" s="61" t="str">
        <f aca="false">IF(AND(AK264&gt;0,AJ264=0),"측정 기록 없음",IF(AND(AJ264&gt;0,AI264=0),"운동평가 기록 없음",IF(OR(COUNTIF(입력_운동!$B$5:$B$1004,$A264)&gt;1,COUNTIF(입력_측정!$B$5:$B$1004,$A264)&gt;1),"중복 입력","")))</f>
        <v/>
      </c>
      <c r="AI264" s="62" t="n">
        <f aca="false">SUMPRODUCT(MAX((입력_운동!$B$5:$B$1004=$A264)*(ROW(입력_운동!$B$5:$B$1004)-4)))</f>
        <v>0</v>
      </c>
      <c r="AJ264" s="62" t="n">
        <f aca="false">SUMPRODUCT(MAX((입력_측정!$B$5:$B$1004=$A264)*(ROW(입력_측정!$B$5:$B$1004)-4)))</f>
        <v>0</v>
      </c>
      <c r="AK264" s="62" t="n">
        <f aca="false">SUMPRODUCT(MAX((입력_상담!$B$5:$B$1004=$A264)*(ROW(입력_상담!$B$5:$B$1004)-4)))</f>
        <v>0</v>
      </c>
    </row>
    <row r="265" customFormat="false" ht="15" hidden="false" customHeight="false" outlineLevel="0" collapsed="false">
      <c r="A265" s="55" t="n">
        <v>261</v>
      </c>
      <c r="B265" s="56"/>
      <c r="C265" s="24"/>
      <c r="D265" s="24"/>
      <c r="E265" s="56"/>
      <c r="F265" s="57"/>
      <c r="G265" s="58"/>
      <c r="H265" s="56"/>
      <c r="I265" s="24"/>
      <c r="J265" s="24"/>
      <c r="K265" s="24"/>
      <c r="L265" s="24"/>
      <c r="M265" s="24"/>
      <c r="N265" s="56"/>
      <c r="O265" s="25" t="str">
        <f aca="false">IF($AI265=0,"",IF(INDEX(입력_운동!$C$5:$C$1004,$AI265)="","",INDEX(입력_운동!$C$5:$C$1004,$AI265)))</f>
        <v/>
      </c>
      <c r="P265" s="25" t="str">
        <f aca="false">IF($AI265=0,"",IF(INDEX(입력_운동!$D$5:$D$1004,$AI265)="","",INDEX(입력_운동!$D$5:$D$1004,$AI265)))</f>
        <v/>
      </c>
      <c r="Q265" s="25" t="str">
        <f aca="false">IF($AI265=0,"",IF(INDEX(입력_운동!$E$5:$E$1004,$AI265)="","",INDEX(입력_운동!$E$5:$E$1004,$AI265)))</f>
        <v/>
      </c>
      <c r="R265" s="25" t="str">
        <f aca="false">IF($AI265=0,"",IF(INDEX(입력_운동!$F$5:$F$1004,$AI265)="","",INDEX(입력_운동!$F$5:$F$1004,$AI265)))</f>
        <v/>
      </c>
      <c r="S265" s="25" t="str">
        <f aca="false">IF($AJ265=0,"",IF(INDEX(입력_측정!$C$5:$C$1004,$AJ265)="","",INDEX(입력_측정!$C$5:$C$1004,$AJ265)))</f>
        <v/>
      </c>
      <c r="T265" s="25" t="str">
        <f aca="false">IF($AJ265=0,"",IF(INDEX(입력_측정!$D$5:$D$1004,$AJ265)="","",INDEX(입력_측정!$D$5:$D$1004,$AJ265)))</f>
        <v/>
      </c>
      <c r="U265" s="25" t="str">
        <f aca="false">IF($AJ265=0,"",IF(INDEX(입력_측정!$E$5:$E$1004,$AJ265)="","",INDEX(입력_측정!$E$5:$E$1004,$AJ265)))</f>
        <v/>
      </c>
      <c r="V265" s="25" t="str">
        <f aca="false">IF($AJ265=0,"",IF(INDEX(입력_측정!$F$5:$F$1004,$AJ265)="","",INDEX(입력_측정!$F$5:$F$1004,$AJ265)))</f>
        <v/>
      </c>
      <c r="W265" s="25" t="str">
        <f aca="false">IF($AK265=0,"",IF(INDEX(입력_상담!$D$5:$D$1004,$AK265)="","",INDEX(입력_상담!$D$5:$D$1004,$AK265)))</f>
        <v/>
      </c>
      <c r="X265" s="25" t="str">
        <f aca="false">IF($AJ265=0,"",IF(INDEX(입력_측정!$I$5:$I$1004,$AJ265)="","",INDEX(입력_측정!$I$5:$I$1004,$AJ265)))</f>
        <v/>
      </c>
      <c r="Y265" s="25" t="str">
        <f aca="false">IF($AJ265=0,"",IF(INDEX(입력_측정!$J$5:$J$1004,$AJ265)="","",INDEX(입력_측정!$J$5:$J$1004,$AJ265)))</f>
        <v/>
      </c>
      <c r="Z265" s="25" t="str">
        <f aca="false">IF(OR(X265="긴급",LEFT(Y265,2)="긴급",W265="필요",W265="완료"),"대상","")</f>
        <v/>
      </c>
      <c r="AA265" s="59" t="str">
        <f aca="false">IF(M265&lt;&gt;"",M265,IF(AK265&gt;0,IF(W265="필요","추가상담 대기","완료"),IF(AJ265&gt;0,"결과상담 대기",IF(AI265&gt;0,"측정 대기","미방문"))))</f>
        <v>미방문</v>
      </c>
      <c r="AB265" s="60" t="str">
        <f aca="false">IF($AI265=0,"",IF(INDEX(입력_운동!$A$5:$A$1004,$AI265)="","",INDEX(입력_운동!$A$5:$A$1004,$AI265)))</f>
        <v/>
      </c>
      <c r="AC265" s="60" t="str">
        <f aca="false">IF($AJ265=0,"",IF(INDEX(입력_측정!$A$5:$A$1004,$AJ265)="","",INDEX(입력_측정!$A$5:$A$1004,$AJ265)))</f>
        <v/>
      </c>
      <c r="AD265" s="60" t="str">
        <f aca="false">IF($AK265=0,"",IF(INDEX(입력_상담!$A$5:$A$1004,$AK265)="","",INDEX(입력_상담!$A$5:$A$1004,$AK265)))</f>
        <v/>
      </c>
      <c r="AE265" s="25" t="str">
        <f aca="false">IF(AND(ISNUMBER(AB265),ISNUMBER(AC265)),IF(AC265&gt;=AB265,ROUND((AC265-AB265)*1440,0),""),"")</f>
        <v/>
      </c>
      <c r="AF265" s="25" t="str">
        <f aca="false">IF(AND(ISNUMBER(AC265),ISNUMBER(AD265)),IF(AD265&gt;=AC265,ROUND((AD265-AC265)*1440,0),""),"")</f>
        <v/>
      </c>
      <c r="AG265" s="25" t="str">
        <f aca="false">IF(AND(AA265="완료",ISNUMBER(AB265),ISNUMBER(AD265)),IF(AD265&gt;=AB265,ROUND((AD265-AB265)*1440,0),""),"")</f>
        <v/>
      </c>
      <c r="AH265" s="61" t="str">
        <f aca="false">IF(AND(AK265&gt;0,AJ265=0),"측정 기록 없음",IF(AND(AJ265&gt;0,AI265=0),"운동평가 기록 없음",IF(OR(COUNTIF(입력_운동!$B$5:$B$1004,$A265)&gt;1,COUNTIF(입력_측정!$B$5:$B$1004,$A265)&gt;1),"중복 입력","")))</f>
        <v/>
      </c>
      <c r="AI265" s="62" t="n">
        <f aca="false">SUMPRODUCT(MAX((입력_운동!$B$5:$B$1004=$A265)*(ROW(입력_운동!$B$5:$B$1004)-4)))</f>
        <v>0</v>
      </c>
      <c r="AJ265" s="62" t="n">
        <f aca="false">SUMPRODUCT(MAX((입력_측정!$B$5:$B$1004=$A265)*(ROW(입력_측정!$B$5:$B$1004)-4)))</f>
        <v>0</v>
      </c>
      <c r="AK265" s="62" t="n">
        <f aca="false">SUMPRODUCT(MAX((입력_상담!$B$5:$B$1004=$A265)*(ROW(입력_상담!$B$5:$B$1004)-4)))</f>
        <v>0</v>
      </c>
    </row>
    <row r="266" customFormat="false" ht="15" hidden="false" customHeight="false" outlineLevel="0" collapsed="false">
      <c r="A266" s="55" t="n">
        <v>262</v>
      </c>
      <c r="B266" s="56"/>
      <c r="C266" s="24"/>
      <c r="D266" s="24"/>
      <c r="E266" s="56"/>
      <c r="F266" s="57"/>
      <c r="G266" s="58"/>
      <c r="H266" s="56"/>
      <c r="I266" s="24"/>
      <c r="J266" s="24"/>
      <c r="K266" s="24"/>
      <c r="L266" s="24"/>
      <c r="M266" s="24"/>
      <c r="N266" s="56"/>
      <c r="O266" s="25" t="str">
        <f aca="false">IF($AI266=0,"",IF(INDEX(입력_운동!$C$5:$C$1004,$AI266)="","",INDEX(입력_운동!$C$5:$C$1004,$AI266)))</f>
        <v/>
      </c>
      <c r="P266" s="25" t="str">
        <f aca="false">IF($AI266=0,"",IF(INDEX(입력_운동!$D$5:$D$1004,$AI266)="","",INDEX(입력_운동!$D$5:$D$1004,$AI266)))</f>
        <v/>
      </c>
      <c r="Q266" s="25" t="str">
        <f aca="false">IF($AI266=0,"",IF(INDEX(입력_운동!$E$5:$E$1004,$AI266)="","",INDEX(입력_운동!$E$5:$E$1004,$AI266)))</f>
        <v/>
      </c>
      <c r="R266" s="25" t="str">
        <f aca="false">IF($AI266=0,"",IF(INDEX(입력_운동!$F$5:$F$1004,$AI266)="","",INDEX(입력_운동!$F$5:$F$1004,$AI266)))</f>
        <v/>
      </c>
      <c r="S266" s="25" t="str">
        <f aca="false">IF($AJ266=0,"",IF(INDEX(입력_측정!$C$5:$C$1004,$AJ266)="","",INDEX(입력_측정!$C$5:$C$1004,$AJ266)))</f>
        <v/>
      </c>
      <c r="T266" s="25" t="str">
        <f aca="false">IF($AJ266=0,"",IF(INDEX(입력_측정!$D$5:$D$1004,$AJ266)="","",INDEX(입력_측정!$D$5:$D$1004,$AJ266)))</f>
        <v/>
      </c>
      <c r="U266" s="25" t="str">
        <f aca="false">IF($AJ266=0,"",IF(INDEX(입력_측정!$E$5:$E$1004,$AJ266)="","",INDEX(입력_측정!$E$5:$E$1004,$AJ266)))</f>
        <v/>
      </c>
      <c r="V266" s="25" t="str">
        <f aca="false">IF($AJ266=0,"",IF(INDEX(입력_측정!$F$5:$F$1004,$AJ266)="","",INDEX(입력_측정!$F$5:$F$1004,$AJ266)))</f>
        <v/>
      </c>
      <c r="W266" s="25" t="str">
        <f aca="false">IF($AK266=0,"",IF(INDEX(입력_상담!$D$5:$D$1004,$AK266)="","",INDEX(입력_상담!$D$5:$D$1004,$AK266)))</f>
        <v/>
      </c>
      <c r="X266" s="25" t="str">
        <f aca="false">IF($AJ266=0,"",IF(INDEX(입력_측정!$I$5:$I$1004,$AJ266)="","",INDEX(입력_측정!$I$5:$I$1004,$AJ266)))</f>
        <v/>
      </c>
      <c r="Y266" s="25" t="str">
        <f aca="false">IF($AJ266=0,"",IF(INDEX(입력_측정!$J$5:$J$1004,$AJ266)="","",INDEX(입력_측정!$J$5:$J$1004,$AJ266)))</f>
        <v/>
      </c>
      <c r="Z266" s="25" t="str">
        <f aca="false">IF(OR(X266="긴급",LEFT(Y266,2)="긴급",W266="필요",W266="완료"),"대상","")</f>
        <v/>
      </c>
      <c r="AA266" s="59" t="str">
        <f aca="false">IF(M266&lt;&gt;"",M266,IF(AK266&gt;0,IF(W266="필요","추가상담 대기","완료"),IF(AJ266&gt;0,"결과상담 대기",IF(AI266&gt;0,"측정 대기","미방문"))))</f>
        <v>미방문</v>
      </c>
      <c r="AB266" s="60" t="str">
        <f aca="false">IF($AI266=0,"",IF(INDEX(입력_운동!$A$5:$A$1004,$AI266)="","",INDEX(입력_운동!$A$5:$A$1004,$AI266)))</f>
        <v/>
      </c>
      <c r="AC266" s="60" t="str">
        <f aca="false">IF($AJ266=0,"",IF(INDEX(입력_측정!$A$5:$A$1004,$AJ266)="","",INDEX(입력_측정!$A$5:$A$1004,$AJ266)))</f>
        <v/>
      </c>
      <c r="AD266" s="60" t="str">
        <f aca="false">IF($AK266=0,"",IF(INDEX(입력_상담!$A$5:$A$1004,$AK266)="","",INDEX(입력_상담!$A$5:$A$1004,$AK266)))</f>
        <v/>
      </c>
      <c r="AE266" s="25" t="str">
        <f aca="false">IF(AND(ISNUMBER(AB266),ISNUMBER(AC266)),IF(AC266&gt;=AB266,ROUND((AC266-AB266)*1440,0),""),"")</f>
        <v/>
      </c>
      <c r="AF266" s="25" t="str">
        <f aca="false">IF(AND(ISNUMBER(AC266),ISNUMBER(AD266)),IF(AD266&gt;=AC266,ROUND((AD266-AC266)*1440,0),""),"")</f>
        <v/>
      </c>
      <c r="AG266" s="25" t="str">
        <f aca="false">IF(AND(AA266="완료",ISNUMBER(AB266),ISNUMBER(AD266)),IF(AD266&gt;=AB266,ROUND((AD266-AB266)*1440,0),""),"")</f>
        <v/>
      </c>
      <c r="AH266" s="61" t="str">
        <f aca="false">IF(AND(AK266&gt;0,AJ266=0),"측정 기록 없음",IF(AND(AJ266&gt;0,AI266=0),"운동평가 기록 없음",IF(OR(COUNTIF(입력_운동!$B$5:$B$1004,$A266)&gt;1,COUNTIF(입력_측정!$B$5:$B$1004,$A266)&gt;1),"중복 입력","")))</f>
        <v/>
      </c>
      <c r="AI266" s="62" t="n">
        <f aca="false">SUMPRODUCT(MAX((입력_운동!$B$5:$B$1004=$A266)*(ROW(입력_운동!$B$5:$B$1004)-4)))</f>
        <v>0</v>
      </c>
      <c r="AJ266" s="62" t="n">
        <f aca="false">SUMPRODUCT(MAX((입력_측정!$B$5:$B$1004=$A266)*(ROW(입력_측정!$B$5:$B$1004)-4)))</f>
        <v>0</v>
      </c>
      <c r="AK266" s="62" t="n">
        <f aca="false">SUMPRODUCT(MAX((입력_상담!$B$5:$B$1004=$A266)*(ROW(입력_상담!$B$5:$B$1004)-4)))</f>
        <v>0</v>
      </c>
    </row>
    <row r="267" customFormat="false" ht="15" hidden="false" customHeight="false" outlineLevel="0" collapsed="false">
      <c r="A267" s="55" t="n">
        <v>263</v>
      </c>
      <c r="B267" s="56"/>
      <c r="C267" s="24"/>
      <c r="D267" s="24"/>
      <c r="E267" s="56"/>
      <c r="F267" s="57"/>
      <c r="G267" s="58"/>
      <c r="H267" s="56"/>
      <c r="I267" s="24"/>
      <c r="J267" s="24"/>
      <c r="K267" s="24"/>
      <c r="L267" s="24"/>
      <c r="M267" s="24"/>
      <c r="N267" s="56"/>
      <c r="O267" s="25" t="str">
        <f aca="false">IF($AI267=0,"",IF(INDEX(입력_운동!$C$5:$C$1004,$AI267)="","",INDEX(입력_운동!$C$5:$C$1004,$AI267)))</f>
        <v/>
      </c>
      <c r="P267" s="25" t="str">
        <f aca="false">IF($AI267=0,"",IF(INDEX(입력_운동!$D$5:$D$1004,$AI267)="","",INDEX(입력_운동!$D$5:$D$1004,$AI267)))</f>
        <v/>
      </c>
      <c r="Q267" s="25" t="str">
        <f aca="false">IF($AI267=0,"",IF(INDEX(입력_운동!$E$5:$E$1004,$AI267)="","",INDEX(입력_운동!$E$5:$E$1004,$AI267)))</f>
        <v/>
      </c>
      <c r="R267" s="25" t="str">
        <f aca="false">IF($AI267=0,"",IF(INDEX(입력_운동!$F$5:$F$1004,$AI267)="","",INDEX(입력_운동!$F$5:$F$1004,$AI267)))</f>
        <v/>
      </c>
      <c r="S267" s="25" t="str">
        <f aca="false">IF($AJ267=0,"",IF(INDEX(입력_측정!$C$5:$C$1004,$AJ267)="","",INDEX(입력_측정!$C$5:$C$1004,$AJ267)))</f>
        <v/>
      </c>
      <c r="T267" s="25" t="str">
        <f aca="false">IF($AJ267=0,"",IF(INDEX(입력_측정!$D$5:$D$1004,$AJ267)="","",INDEX(입력_측정!$D$5:$D$1004,$AJ267)))</f>
        <v/>
      </c>
      <c r="U267" s="25" t="str">
        <f aca="false">IF($AJ267=0,"",IF(INDEX(입력_측정!$E$5:$E$1004,$AJ267)="","",INDEX(입력_측정!$E$5:$E$1004,$AJ267)))</f>
        <v/>
      </c>
      <c r="V267" s="25" t="str">
        <f aca="false">IF($AJ267=0,"",IF(INDEX(입력_측정!$F$5:$F$1004,$AJ267)="","",INDEX(입력_측정!$F$5:$F$1004,$AJ267)))</f>
        <v/>
      </c>
      <c r="W267" s="25" t="str">
        <f aca="false">IF($AK267=0,"",IF(INDEX(입력_상담!$D$5:$D$1004,$AK267)="","",INDEX(입력_상담!$D$5:$D$1004,$AK267)))</f>
        <v/>
      </c>
      <c r="X267" s="25" t="str">
        <f aca="false">IF($AJ267=0,"",IF(INDEX(입력_측정!$I$5:$I$1004,$AJ267)="","",INDEX(입력_측정!$I$5:$I$1004,$AJ267)))</f>
        <v/>
      </c>
      <c r="Y267" s="25" t="str">
        <f aca="false">IF($AJ267=0,"",IF(INDEX(입력_측정!$J$5:$J$1004,$AJ267)="","",INDEX(입력_측정!$J$5:$J$1004,$AJ267)))</f>
        <v/>
      </c>
      <c r="Z267" s="25" t="str">
        <f aca="false">IF(OR(X267="긴급",LEFT(Y267,2)="긴급",W267="필요",W267="완료"),"대상","")</f>
        <v/>
      </c>
      <c r="AA267" s="59" t="str">
        <f aca="false">IF(M267&lt;&gt;"",M267,IF(AK267&gt;0,IF(W267="필요","추가상담 대기","완료"),IF(AJ267&gt;0,"결과상담 대기",IF(AI267&gt;0,"측정 대기","미방문"))))</f>
        <v>미방문</v>
      </c>
      <c r="AB267" s="60" t="str">
        <f aca="false">IF($AI267=0,"",IF(INDEX(입력_운동!$A$5:$A$1004,$AI267)="","",INDEX(입력_운동!$A$5:$A$1004,$AI267)))</f>
        <v/>
      </c>
      <c r="AC267" s="60" t="str">
        <f aca="false">IF($AJ267=0,"",IF(INDEX(입력_측정!$A$5:$A$1004,$AJ267)="","",INDEX(입력_측정!$A$5:$A$1004,$AJ267)))</f>
        <v/>
      </c>
      <c r="AD267" s="60" t="str">
        <f aca="false">IF($AK267=0,"",IF(INDEX(입력_상담!$A$5:$A$1004,$AK267)="","",INDEX(입력_상담!$A$5:$A$1004,$AK267)))</f>
        <v/>
      </c>
      <c r="AE267" s="25" t="str">
        <f aca="false">IF(AND(ISNUMBER(AB267),ISNUMBER(AC267)),IF(AC267&gt;=AB267,ROUND((AC267-AB267)*1440,0),""),"")</f>
        <v/>
      </c>
      <c r="AF267" s="25" t="str">
        <f aca="false">IF(AND(ISNUMBER(AC267),ISNUMBER(AD267)),IF(AD267&gt;=AC267,ROUND((AD267-AC267)*1440,0),""),"")</f>
        <v/>
      </c>
      <c r="AG267" s="25" t="str">
        <f aca="false">IF(AND(AA267="완료",ISNUMBER(AB267),ISNUMBER(AD267)),IF(AD267&gt;=AB267,ROUND((AD267-AB267)*1440,0),""),"")</f>
        <v/>
      </c>
      <c r="AH267" s="61" t="str">
        <f aca="false">IF(AND(AK267&gt;0,AJ267=0),"측정 기록 없음",IF(AND(AJ267&gt;0,AI267=0),"운동평가 기록 없음",IF(OR(COUNTIF(입력_운동!$B$5:$B$1004,$A267)&gt;1,COUNTIF(입력_측정!$B$5:$B$1004,$A267)&gt;1),"중복 입력","")))</f>
        <v/>
      </c>
      <c r="AI267" s="62" t="n">
        <f aca="false">SUMPRODUCT(MAX((입력_운동!$B$5:$B$1004=$A267)*(ROW(입력_운동!$B$5:$B$1004)-4)))</f>
        <v>0</v>
      </c>
      <c r="AJ267" s="62" t="n">
        <f aca="false">SUMPRODUCT(MAX((입력_측정!$B$5:$B$1004=$A267)*(ROW(입력_측정!$B$5:$B$1004)-4)))</f>
        <v>0</v>
      </c>
      <c r="AK267" s="62" t="n">
        <f aca="false">SUMPRODUCT(MAX((입력_상담!$B$5:$B$1004=$A267)*(ROW(입력_상담!$B$5:$B$1004)-4)))</f>
        <v>0</v>
      </c>
    </row>
    <row r="268" customFormat="false" ht="15" hidden="false" customHeight="false" outlineLevel="0" collapsed="false">
      <c r="A268" s="55" t="n">
        <v>264</v>
      </c>
      <c r="B268" s="56"/>
      <c r="C268" s="24"/>
      <c r="D268" s="24"/>
      <c r="E268" s="56"/>
      <c r="F268" s="57"/>
      <c r="G268" s="58"/>
      <c r="H268" s="56"/>
      <c r="I268" s="24"/>
      <c r="J268" s="24"/>
      <c r="K268" s="24"/>
      <c r="L268" s="24"/>
      <c r="M268" s="24"/>
      <c r="N268" s="56"/>
      <c r="O268" s="25" t="str">
        <f aca="false">IF($AI268=0,"",IF(INDEX(입력_운동!$C$5:$C$1004,$AI268)="","",INDEX(입력_운동!$C$5:$C$1004,$AI268)))</f>
        <v/>
      </c>
      <c r="P268" s="25" t="str">
        <f aca="false">IF($AI268=0,"",IF(INDEX(입력_운동!$D$5:$D$1004,$AI268)="","",INDEX(입력_운동!$D$5:$D$1004,$AI268)))</f>
        <v/>
      </c>
      <c r="Q268" s="25" t="str">
        <f aca="false">IF($AI268=0,"",IF(INDEX(입력_운동!$E$5:$E$1004,$AI268)="","",INDEX(입력_운동!$E$5:$E$1004,$AI268)))</f>
        <v/>
      </c>
      <c r="R268" s="25" t="str">
        <f aca="false">IF($AI268=0,"",IF(INDEX(입력_운동!$F$5:$F$1004,$AI268)="","",INDEX(입력_운동!$F$5:$F$1004,$AI268)))</f>
        <v/>
      </c>
      <c r="S268" s="25" t="str">
        <f aca="false">IF($AJ268=0,"",IF(INDEX(입력_측정!$C$5:$C$1004,$AJ268)="","",INDEX(입력_측정!$C$5:$C$1004,$AJ268)))</f>
        <v/>
      </c>
      <c r="T268" s="25" t="str">
        <f aca="false">IF($AJ268=0,"",IF(INDEX(입력_측정!$D$5:$D$1004,$AJ268)="","",INDEX(입력_측정!$D$5:$D$1004,$AJ268)))</f>
        <v/>
      </c>
      <c r="U268" s="25" t="str">
        <f aca="false">IF($AJ268=0,"",IF(INDEX(입력_측정!$E$5:$E$1004,$AJ268)="","",INDEX(입력_측정!$E$5:$E$1004,$AJ268)))</f>
        <v/>
      </c>
      <c r="V268" s="25" t="str">
        <f aca="false">IF($AJ268=0,"",IF(INDEX(입력_측정!$F$5:$F$1004,$AJ268)="","",INDEX(입력_측정!$F$5:$F$1004,$AJ268)))</f>
        <v/>
      </c>
      <c r="W268" s="25" t="str">
        <f aca="false">IF($AK268=0,"",IF(INDEX(입력_상담!$D$5:$D$1004,$AK268)="","",INDEX(입력_상담!$D$5:$D$1004,$AK268)))</f>
        <v/>
      </c>
      <c r="X268" s="25" t="str">
        <f aca="false">IF($AJ268=0,"",IF(INDEX(입력_측정!$I$5:$I$1004,$AJ268)="","",INDEX(입력_측정!$I$5:$I$1004,$AJ268)))</f>
        <v/>
      </c>
      <c r="Y268" s="25" t="str">
        <f aca="false">IF($AJ268=0,"",IF(INDEX(입력_측정!$J$5:$J$1004,$AJ268)="","",INDEX(입력_측정!$J$5:$J$1004,$AJ268)))</f>
        <v/>
      </c>
      <c r="Z268" s="25" t="str">
        <f aca="false">IF(OR(X268="긴급",LEFT(Y268,2)="긴급",W268="필요",W268="완료"),"대상","")</f>
        <v/>
      </c>
      <c r="AA268" s="59" t="str">
        <f aca="false">IF(M268&lt;&gt;"",M268,IF(AK268&gt;0,IF(W268="필요","추가상담 대기","완료"),IF(AJ268&gt;0,"결과상담 대기",IF(AI268&gt;0,"측정 대기","미방문"))))</f>
        <v>미방문</v>
      </c>
      <c r="AB268" s="60" t="str">
        <f aca="false">IF($AI268=0,"",IF(INDEX(입력_운동!$A$5:$A$1004,$AI268)="","",INDEX(입력_운동!$A$5:$A$1004,$AI268)))</f>
        <v/>
      </c>
      <c r="AC268" s="60" t="str">
        <f aca="false">IF($AJ268=0,"",IF(INDEX(입력_측정!$A$5:$A$1004,$AJ268)="","",INDEX(입력_측정!$A$5:$A$1004,$AJ268)))</f>
        <v/>
      </c>
      <c r="AD268" s="60" t="str">
        <f aca="false">IF($AK268=0,"",IF(INDEX(입력_상담!$A$5:$A$1004,$AK268)="","",INDEX(입력_상담!$A$5:$A$1004,$AK268)))</f>
        <v/>
      </c>
      <c r="AE268" s="25" t="str">
        <f aca="false">IF(AND(ISNUMBER(AB268),ISNUMBER(AC268)),IF(AC268&gt;=AB268,ROUND((AC268-AB268)*1440,0),""),"")</f>
        <v/>
      </c>
      <c r="AF268" s="25" t="str">
        <f aca="false">IF(AND(ISNUMBER(AC268),ISNUMBER(AD268)),IF(AD268&gt;=AC268,ROUND((AD268-AC268)*1440,0),""),"")</f>
        <v/>
      </c>
      <c r="AG268" s="25" t="str">
        <f aca="false">IF(AND(AA268="완료",ISNUMBER(AB268),ISNUMBER(AD268)),IF(AD268&gt;=AB268,ROUND((AD268-AB268)*1440,0),""),"")</f>
        <v/>
      </c>
      <c r="AH268" s="61" t="str">
        <f aca="false">IF(AND(AK268&gt;0,AJ268=0),"측정 기록 없음",IF(AND(AJ268&gt;0,AI268=0),"운동평가 기록 없음",IF(OR(COUNTIF(입력_운동!$B$5:$B$1004,$A268)&gt;1,COUNTIF(입력_측정!$B$5:$B$1004,$A268)&gt;1),"중복 입력","")))</f>
        <v/>
      </c>
      <c r="AI268" s="62" t="n">
        <f aca="false">SUMPRODUCT(MAX((입력_운동!$B$5:$B$1004=$A268)*(ROW(입력_운동!$B$5:$B$1004)-4)))</f>
        <v>0</v>
      </c>
      <c r="AJ268" s="62" t="n">
        <f aca="false">SUMPRODUCT(MAX((입력_측정!$B$5:$B$1004=$A268)*(ROW(입력_측정!$B$5:$B$1004)-4)))</f>
        <v>0</v>
      </c>
      <c r="AK268" s="62" t="n">
        <f aca="false">SUMPRODUCT(MAX((입력_상담!$B$5:$B$1004=$A268)*(ROW(입력_상담!$B$5:$B$1004)-4)))</f>
        <v>0</v>
      </c>
    </row>
    <row r="269" customFormat="false" ht="15" hidden="false" customHeight="false" outlineLevel="0" collapsed="false">
      <c r="A269" s="55" t="n">
        <v>265</v>
      </c>
      <c r="B269" s="56"/>
      <c r="C269" s="24"/>
      <c r="D269" s="24"/>
      <c r="E269" s="56"/>
      <c r="F269" s="57"/>
      <c r="G269" s="58"/>
      <c r="H269" s="56"/>
      <c r="I269" s="24"/>
      <c r="J269" s="24"/>
      <c r="K269" s="24"/>
      <c r="L269" s="24"/>
      <c r="M269" s="24"/>
      <c r="N269" s="56"/>
      <c r="O269" s="25" t="str">
        <f aca="false">IF($AI269=0,"",IF(INDEX(입력_운동!$C$5:$C$1004,$AI269)="","",INDEX(입력_운동!$C$5:$C$1004,$AI269)))</f>
        <v/>
      </c>
      <c r="P269" s="25" t="str">
        <f aca="false">IF($AI269=0,"",IF(INDEX(입력_운동!$D$5:$D$1004,$AI269)="","",INDEX(입력_운동!$D$5:$D$1004,$AI269)))</f>
        <v/>
      </c>
      <c r="Q269" s="25" t="str">
        <f aca="false">IF($AI269=0,"",IF(INDEX(입력_운동!$E$5:$E$1004,$AI269)="","",INDEX(입력_운동!$E$5:$E$1004,$AI269)))</f>
        <v/>
      </c>
      <c r="R269" s="25" t="str">
        <f aca="false">IF($AI269=0,"",IF(INDEX(입력_운동!$F$5:$F$1004,$AI269)="","",INDEX(입력_운동!$F$5:$F$1004,$AI269)))</f>
        <v/>
      </c>
      <c r="S269" s="25" t="str">
        <f aca="false">IF($AJ269=0,"",IF(INDEX(입력_측정!$C$5:$C$1004,$AJ269)="","",INDEX(입력_측정!$C$5:$C$1004,$AJ269)))</f>
        <v/>
      </c>
      <c r="T269" s="25" t="str">
        <f aca="false">IF($AJ269=0,"",IF(INDEX(입력_측정!$D$5:$D$1004,$AJ269)="","",INDEX(입력_측정!$D$5:$D$1004,$AJ269)))</f>
        <v/>
      </c>
      <c r="U269" s="25" t="str">
        <f aca="false">IF($AJ269=0,"",IF(INDEX(입력_측정!$E$5:$E$1004,$AJ269)="","",INDEX(입력_측정!$E$5:$E$1004,$AJ269)))</f>
        <v/>
      </c>
      <c r="V269" s="25" t="str">
        <f aca="false">IF($AJ269=0,"",IF(INDEX(입력_측정!$F$5:$F$1004,$AJ269)="","",INDEX(입력_측정!$F$5:$F$1004,$AJ269)))</f>
        <v/>
      </c>
      <c r="W269" s="25" t="str">
        <f aca="false">IF($AK269=0,"",IF(INDEX(입력_상담!$D$5:$D$1004,$AK269)="","",INDEX(입력_상담!$D$5:$D$1004,$AK269)))</f>
        <v/>
      </c>
      <c r="X269" s="25" t="str">
        <f aca="false">IF($AJ269=0,"",IF(INDEX(입력_측정!$I$5:$I$1004,$AJ269)="","",INDEX(입력_측정!$I$5:$I$1004,$AJ269)))</f>
        <v/>
      </c>
      <c r="Y269" s="25" t="str">
        <f aca="false">IF($AJ269=0,"",IF(INDEX(입력_측정!$J$5:$J$1004,$AJ269)="","",INDEX(입력_측정!$J$5:$J$1004,$AJ269)))</f>
        <v/>
      </c>
      <c r="Z269" s="25" t="str">
        <f aca="false">IF(OR(X269="긴급",LEFT(Y269,2)="긴급",W269="필요",W269="완료"),"대상","")</f>
        <v/>
      </c>
      <c r="AA269" s="59" t="str">
        <f aca="false">IF(M269&lt;&gt;"",M269,IF(AK269&gt;0,IF(W269="필요","추가상담 대기","완료"),IF(AJ269&gt;0,"결과상담 대기",IF(AI269&gt;0,"측정 대기","미방문"))))</f>
        <v>미방문</v>
      </c>
      <c r="AB269" s="60" t="str">
        <f aca="false">IF($AI269=0,"",IF(INDEX(입력_운동!$A$5:$A$1004,$AI269)="","",INDEX(입력_운동!$A$5:$A$1004,$AI269)))</f>
        <v/>
      </c>
      <c r="AC269" s="60" t="str">
        <f aca="false">IF($AJ269=0,"",IF(INDEX(입력_측정!$A$5:$A$1004,$AJ269)="","",INDEX(입력_측정!$A$5:$A$1004,$AJ269)))</f>
        <v/>
      </c>
      <c r="AD269" s="60" t="str">
        <f aca="false">IF($AK269=0,"",IF(INDEX(입력_상담!$A$5:$A$1004,$AK269)="","",INDEX(입력_상담!$A$5:$A$1004,$AK269)))</f>
        <v/>
      </c>
      <c r="AE269" s="25" t="str">
        <f aca="false">IF(AND(ISNUMBER(AB269),ISNUMBER(AC269)),IF(AC269&gt;=AB269,ROUND((AC269-AB269)*1440,0),""),"")</f>
        <v/>
      </c>
      <c r="AF269" s="25" t="str">
        <f aca="false">IF(AND(ISNUMBER(AC269),ISNUMBER(AD269)),IF(AD269&gt;=AC269,ROUND((AD269-AC269)*1440,0),""),"")</f>
        <v/>
      </c>
      <c r="AG269" s="25" t="str">
        <f aca="false">IF(AND(AA269="완료",ISNUMBER(AB269),ISNUMBER(AD269)),IF(AD269&gt;=AB269,ROUND((AD269-AB269)*1440,0),""),"")</f>
        <v/>
      </c>
      <c r="AH269" s="61" t="str">
        <f aca="false">IF(AND(AK269&gt;0,AJ269=0),"측정 기록 없음",IF(AND(AJ269&gt;0,AI269=0),"운동평가 기록 없음",IF(OR(COUNTIF(입력_운동!$B$5:$B$1004,$A269)&gt;1,COUNTIF(입력_측정!$B$5:$B$1004,$A269)&gt;1),"중복 입력","")))</f>
        <v/>
      </c>
      <c r="AI269" s="62" t="n">
        <f aca="false">SUMPRODUCT(MAX((입력_운동!$B$5:$B$1004=$A269)*(ROW(입력_운동!$B$5:$B$1004)-4)))</f>
        <v>0</v>
      </c>
      <c r="AJ269" s="62" t="n">
        <f aca="false">SUMPRODUCT(MAX((입력_측정!$B$5:$B$1004=$A269)*(ROW(입력_측정!$B$5:$B$1004)-4)))</f>
        <v>0</v>
      </c>
      <c r="AK269" s="62" t="n">
        <f aca="false">SUMPRODUCT(MAX((입력_상담!$B$5:$B$1004=$A269)*(ROW(입력_상담!$B$5:$B$1004)-4)))</f>
        <v>0</v>
      </c>
    </row>
    <row r="270" customFormat="false" ht="15" hidden="false" customHeight="false" outlineLevel="0" collapsed="false">
      <c r="A270" s="55" t="n">
        <v>266</v>
      </c>
      <c r="B270" s="56"/>
      <c r="C270" s="24"/>
      <c r="D270" s="24"/>
      <c r="E270" s="56"/>
      <c r="F270" s="57"/>
      <c r="G270" s="58"/>
      <c r="H270" s="56"/>
      <c r="I270" s="24"/>
      <c r="J270" s="24"/>
      <c r="K270" s="24"/>
      <c r="L270" s="24"/>
      <c r="M270" s="24"/>
      <c r="N270" s="56"/>
      <c r="O270" s="25" t="str">
        <f aca="false">IF($AI270=0,"",IF(INDEX(입력_운동!$C$5:$C$1004,$AI270)="","",INDEX(입력_운동!$C$5:$C$1004,$AI270)))</f>
        <v/>
      </c>
      <c r="P270" s="25" t="str">
        <f aca="false">IF($AI270=0,"",IF(INDEX(입력_운동!$D$5:$D$1004,$AI270)="","",INDEX(입력_운동!$D$5:$D$1004,$AI270)))</f>
        <v/>
      </c>
      <c r="Q270" s="25" t="str">
        <f aca="false">IF($AI270=0,"",IF(INDEX(입력_운동!$E$5:$E$1004,$AI270)="","",INDEX(입력_운동!$E$5:$E$1004,$AI270)))</f>
        <v/>
      </c>
      <c r="R270" s="25" t="str">
        <f aca="false">IF($AI270=0,"",IF(INDEX(입력_운동!$F$5:$F$1004,$AI270)="","",INDEX(입력_운동!$F$5:$F$1004,$AI270)))</f>
        <v/>
      </c>
      <c r="S270" s="25" t="str">
        <f aca="false">IF($AJ270=0,"",IF(INDEX(입력_측정!$C$5:$C$1004,$AJ270)="","",INDEX(입력_측정!$C$5:$C$1004,$AJ270)))</f>
        <v/>
      </c>
      <c r="T270" s="25" t="str">
        <f aca="false">IF($AJ270=0,"",IF(INDEX(입력_측정!$D$5:$D$1004,$AJ270)="","",INDEX(입력_측정!$D$5:$D$1004,$AJ270)))</f>
        <v/>
      </c>
      <c r="U270" s="25" t="str">
        <f aca="false">IF($AJ270=0,"",IF(INDEX(입력_측정!$E$5:$E$1004,$AJ270)="","",INDEX(입력_측정!$E$5:$E$1004,$AJ270)))</f>
        <v/>
      </c>
      <c r="V270" s="25" t="str">
        <f aca="false">IF($AJ270=0,"",IF(INDEX(입력_측정!$F$5:$F$1004,$AJ270)="","",INDEX(입력_측정!$F$5:$F$1004,$AJ270)))</f>
        <v/>
      </c>
      <c r="W270" s="25" t="str">
        <f aca="false">IF($AK270=0,"",IF(INDEX(입력_상담!$D$5:$D$1004,$AK270)="","",INDEX(입력_상담!$D$5:$D$1004,$AK270)))</f>
        <v/>
      </c>
      <c r="X270" s="25" t="str">
        <f aca="false">IF($AJ270=0,"",IF(INDEX(입력_측정!$I$5:$I$1004,$AJ270)="","",INDEX(입력_측정!$I$5:$I$1004,$AJ270)))</f>
        <v/>
      </c>
      <c r="Y270" s="25" t="str">
        <f aca="false">IF($AJ270=0,"",IF(INDEX(입력_측정!$J$5:$J$1004,$AJ270)="","",INDEX(입력_측정!$J$5:$J$1004,$AJ270)))</f>
        <v/>
      </c>
      <c r="Z270" s="25" t="str">
        <f aca="false">IF(OR(X270="긴급",LEFT(Y270,2)="긴급",W270="필요",W270="완료"),"대상","")</f>
        <v/>
      </c>
      <c r="AA270" s="59" t="str">
        <f aca="false">IF(M270&lt;&gt;"",M270,IF(AK270&gt;0,IF(W270="필요","추가상담 대기","완료"),IF(AJ270&gt;0,"결과상담 대기",IF(AI270&gt;0,"측정 대기","미방문"))))</f>
        <v>미방문</v>
      </c>
      <c r="AB270" s="60" t="str">
        <f aca="false">IF($AI270=0,"",IF(INDEX(입력_운동!$A$5:$A$1004,$AI270)="","",INDEX(입력_운동!$A$5:$A$1004,$AI270)))</f>
        <v/>
      </c>
      <c r="AC270" s="60" t="str">
        <f aca="false">IF($AJ270=0,"",IF(INDEX(입력_측정!$A$5:$A$1004,$AJ270)="","",INDEX(입력_측정!$A$5:$A$1004,$AJ270)))</f>
        <v/>
      </c>
      <c r="AD270" s="60" t="str">
        <f aca="false">IF($AK270=0,"",IF(INDEX(입력_상담!$A$5:$A$1004,$AK270)="","",INDEX(입력_상담!$A$5:$A$1004,$AK270)))</f>
        <v/>
      </c>
      <c r="AE270" s="25" t="str">
        <f aca="false">IF(AND(ISNUMBER(AB270),ISNUMBER(AC270)),IF(AC270&gt;=AB270,ROUND((AC270-AB270)*1440,0),""),"")</f>
        <v/>
      </c>
      <c r="AF270" s="25" t="str">
        <f aca="false">IF(AND(ISNUMBER(AC270),ISNUMBER(AD270)),IF(AD270&gt;=AC270,ROUND((AD270-AC270)*1440,0),""),"")</f>
        <v/>
      </c>
      <c r="AG270" s="25" t="str">
        <f aca="false">IF(AND(AA270="완료",ISNUMBER(AB270),ISNUMBER(AD270)),IF(AD270&gt;=AB270,ROUND((AD270-AB270)*1440,0),""),"")</f>
        <v/>
      </c>
      <c r="AH270" s="61" t="str">
        <f aca="false">IF(AND(AK270&gt;0,AJ270=0),"측정 기록 없음",IF(AND(AJ270&gt;0,AI270=0),"운동평가 기록 없음",IF(OR(COUNTIF(입력_운동!$B$5:$B$1004,$A270)&gt;1,COUNTIF(입력_측정!$B$5:$B$1004,$A270)&gt;1),"중복 입력","")))</f>
        <v/>
      </c>
      <c r="AI270" s="62" t="n">
        <f aca="false">SUMPRODUCT(MAX((입력_운동!$B$5:$B$1004=$A270)*(ROW(입력_운동!$B$5:$B$1004)-4)))</f>
        <v>0</v>
      </c>
      <c r="AJ270" s="62" t="n">
        <f aca="false">SUMPRODUCT(MAX((입력_측정!$B$5:$B$1004=$A270)*(ROW(입력_측정!$B$5:$B$1004)-4)))</f>
        <v>0</v>
      </c>
      <c r="AK270" s="62" t="n">
        <f aca="false">SUMPRODUCT(MAX((입력_상담!$B$5:$B$1004=$A270)*(ROW(입력_상담!$B$5:$B$1004)-4)))</f>
        <v>0</v>
      </c>
    </row>
    <row r="271" customFormat="false" ht="15" hidden="false" customHeight="false" outlineLevel="0" collapsed="false">
      <c r="A271" s="55" t="n">
        <v>267</v>
      </c>
      <c r="B271" s="56"/>
      <c r="C271" s="24"/>
      <c r="D271" s="24"/>
      <c r="E271" s="56"/>
      <c r="F271" s="57"/>
      <c r="G271" s="58"/>
      <c r="H271" s="56"/>
      <c r="I271" s="24"/>
      <c r="J271" s="24"/>
      <c r="K271" s="24"/>
      <c r="L271" s="24"/>
      <c r="M271" s="24"/>
      <c r="N271" s="56"/>
      <c r="O271" s="25" t="str">
        <f aca="false">IF($AI271=0,"",IF(INDEX(입력_운동!$C$5:$C$1004,$AI271)="","",INDEX(입력_운동!$C$5:$C$1004,$AI271)))</f>
        <v/>
      </c>
      <c r="P271" s="25" t="str">
        <f aca="false">IF($AI271=0,"",IF(INDEX(입력_운동!$D$5:$D$1004,$AI271)="","",INDEX(입력_운동!$D$5:$D$1004,$AI271)))</f>
        <v/>
      </c>
      <c r="Q271" s="25" t="str">
        <f aca="false">IF($AI271=0,"",IF(INDEX(입력_운동!$E$5:$E$1004,$AI271)="","",INDEX(입력_운동!$E$5:$E$1004,$AI271)))</f>
        <v/>
      </c>
      <c r="R271" s="25" t="str">
        <f aca="false">IF($AI271=0,"",IF(INDEX(입력_운동!$F$5:$F$1004,$AI271)="","",INDEX(입력_운동!$F$5:$F$1004,$AI271)))</f>
        <v/>
      </c>
      <c r="S271" s="25" t="str">
        <f aca="false">IF($AJ271=0,"",IF(INDEX(입력_측정!$C$5:$C$1004,$AJ271)="","",INDEX(입력_측정!$C$5:$C$1004,$AJ271)))</f>
        <v/>
      </c>
      <c r="T271" s="25" t="str">
        <f aca="false">IF($AJ271=0,"",IF(INDEX(입력_측정!$D$5:$D$1004,$AJ271)="","",INDEX(입력_측정!$D$5:$D$1004,$AJ271)))</f>
        <v/>
      </c>
      <c r="U271" s="25" t="str">
        <f aca="false">IF($AJ271=0,"",IF(INDEX(입력_측정!$E$5:$E$1004,$AJ271)="","",INDEX(입력_측정!$E$5:$E$1004,$AJ271)))</f>
        <v/>
      </c>
      <c r="V271" s="25" t="str">
        <f aca="false">IF($AJ271=0,"",IF(INDEX(입력_측정!$F$5:$F$1004,$AJ271)="","",INDEX(입력_측정!$F$5:$F$1004,$AJ271)))</f>
        <v/>
      </c>
      <c r="W271" s="25" t="str">
        <f aca="false">IF($AK271=0,"",IF(INDEX(입력_상담!$D$5:$D$1004,$AK271)="","",INDEX(입력_상담!$D$5:$D$1004,$AK271)))</f>
        <v/>
      </c>
      <c r="X271" s="25" t="str">
        <f aca="false">IF($AJ271=0,"",IF(INDEX(입력_측정!$I$5:$I$1004,$AJ271)="","",INDEX(입력_측정!$I$5:$I$1004,$AJ271)))</f>
        <v/>
      </c>
      <c r="Y271" s="25" t="str">
        <f aca="false">IF($AJ271=0,"",IF(INDEX(입력_측정!$J$5:$J$1004,$AJ271)="","",INDEX(입력_측정!$J$5:$J$1004,$AJ271)))</f>
        <v/>
      </c>
      <c r="Z271" s="25" t="str">
        <f aca="false">IF(OR(X271="긴급",LEFT(Y271,2)="긴급",W271="필요",W271="완료"),"대상","")</f>
        <v/>
      </c>
      <c r="AA271" s="59" t="str">
        <f aca="false">IF(M271&lt;&gt;"",M271,IF(AK271&gt;0,IF(W271="필요","추가상담 대기","완료"),IF(AJ271&gt;0,"결과상담 대기",IF(AI271&gt;0,"측정 대기","미방문"))))</f>
        <v>미방문</v>
      </c>
      <c r="AB271" s="60" t="str">
        <f aca="false">IF($AI271=0,"",IF(INDEX(입력_운동!$A$5:$A$1004,$AI271)="","",INDEX(입력_운동!$A$5:$A$1004,$AI271)))</f>
        <v/>
      </c>
      <c r="AC271" s="60" t="str">
        <f aca="false">IF($AJ271=0,"",IF(INDEX(입력_측정!$A$5:$A$1004,$AJ271)="","",INDEX(입력_측정!$A$5:$A$1004,$AJ271)))</f>
        <v/>
      </c>
      <c r="AD271" s="60" t="str">
        <f aca="false">IF($AK271=0,"",IF(INDEX(입력_상담!$A$5:$A$1004,$AK271)="","",INDEX(입력_상담!$A$5:$A$1004,$AK271)))</f>
        <v/>
      </c>
      <c r="AE271" s="25" t="str">
        <f aca="false">IF(AND(ISNUMBER(AB271),ISNUMBER(AC271)),IF(AC271&gt;=AB271,ROUND((AC271-AB271)*1440,0),""),"")</f>
        <v/>
      </c>
      <c r="AF271" s="25" t="str">
        <f aca="false">IF(AND(ISNUMBER(AC271),ISNUMBER(AD271)),IF(AD271&gt;=AC271,ROUND((AD271-AC271)*1440,0),""),"")</f>
        <v/>
      </c>
      <c r="AG271" s="25" t="str">
        <f aca="false">IF(AND(AA271="완료",ISNUMBER(AB271),ISNUMBER(AD271)),IF(AD271&gt;=AB271,ROUND((AD271-AB271)*1440,0),""),"")</f>
        <v/>
      </c>
      <c r="AH271" s="61" t="str">
        <f aca="false">IF(AND(AK271&gt;0,AJ271=0),"측정 기록 없음",IF(AND(AJ271&gt;0,AI271=0),"운동평가 기록 없음",IF(OR(COUNTIF(입력_운동!$B$5:$B$1004,$A271)&gt;1,COUNTIF(입력_측정!$B$5:$B$1004,$A271)&gt;1),"중복 입력","")))</f>
        <v/>
      </c>
      <c r="AI271" s="62" t="n">
        <f aca="false">SUMPRODUCT(MAX((입력_운동!$B$5:$B$1004=$A271)*(ROW(입력_운동!$B$5:$B$1004)-4)))</f>
        <v>0</v>
      </c>
      <c r="AJ271" s="62" t="n">
        <f aca="false">SUMPRODUCT(MAX((입력_측정!$B$5:$B$1004=$A271)*(ROW(입력_측정!$B$5:$B$1004)-4)))</f>
        <v>0</v>
      </c>
      <c r="AK271" s="62" t="n">
        <f aca="false">SUMPRODUCT(MAX((입력_상담!$B$5:$B$1004=$A271)*(ROW(입력_상담!$B$5:$B$1004)-4)))</f>
        <v>0</v>
      </c>
    </row>
    <row r="272" customFormat="false" ht="15" hidden="false" customHeight="false" outlineLevel="0" collapsed="false">
      <c r="A272" s="55" t="n">
        <v>268</v>
      </c>
      <c r="B272" s="56"/>
      <c r="C272" s="24"/>
      <c r="D272" s="24"/>
      <c r="E272" s="56"/>
      <c r="F272" s="57"/>
      <c r="G272" s="58"/>
      <c r="H272" s="56"/>
      <c r="I272" s="24"/>
      <c r="J272" s="24"/>
      <c r="K272" s="24"/>
      <c r="L272" s="24"/>
      <c r="M272" s="24"/>
      <c r="N272" s="56"/>
      <c r="O272" s="25" t="str">
        <f aca="false">IF($AI272=0,"",IF(INDEX(입력_운동!$C$5:$C$1004,$AI272)="","",INDEX(입력_운동!$C$5:$C$1004,$AI272)))</f>
        <v/>
      </c>
      <c r="P272" s="25" t="str">
        <f aca="false">IF($AI272=0,"",IF(INDEX(입력_운동!$D$5:$D$1004,$AI272)="","",INDEX(입력_운동!$D$5:$D$1004,$AI272)))</f>
        <v/>
      </c>
      <c r="Q272" s="25" t="str">
        <f aca="false">IF($AI272=0,"",IF(INDEX(입력_운동!$E$5:$E$1004,$AI272)="","",INDEX(입력_운동!$E$5:$E$1004,$AI272)))</f>
        <v/>
      </c>
      <c r="R272" s="25" t="str">
        <f aca="false">IF($AI272=0,"",IF(INDEX(입력_운동!$F$5:$F$1004,$AI272)="","",INDEX(입력_운동!$F$5:$F$1004,$AI272)))</f>
        <v/>
      </c>
      <c r="S272" s="25" t="str">
        <f aca="false">IF($AJ272=0,"",IF(INDEX(입력_측정!$C$5:$C$1004,$AJ272)="","",INDEX(입력_측정!$C$5:$C$1004,$AJ272)))</f>
        <v/>
      </c>
      <c r="T272" s="25" t="str">
        <f aca="false">IF($AJ272=0,"",IF(INDEX(입력_측정!$D$5:$D$1004,$AJ272)="","",INDEX(입력_측정!$D$5:$D$1004,$AJ272)))</f>
        <v/>
      </c>
      <c r="U272" s="25" t="str">
        <f aca="false">IF($AJ272=0,"",IF(INDEX(입력_측정!$E$5:$E$1004,$AJ272)="","",INDEX(입력_측정!$E$5:$E$1004,$AJ272)))</f>
        <v/>
      </c>
      <c r="V272" s="25" t="str">
        <f aca="false">IF($AJ272=0,"",IF(INDEX(입력_측정!$F$5:$F$1004,$AJ272)="","",INDEX(입력_측정!$F$5:$F$1004,$AJ272)))</f>
        <v/>
      </c>
      <c r="W272" s="25" t="str">
        <f aca="false">IF($AK272=0,"",IF(INDEX(입력_상담!$D$5:$D$1004,$AK272)="","",INDEX(입력_상담!$D$5:$D$1004,$AK272)))</f>
        <v/>
      </c>
      <c r="X272" s="25" t="str">
        <f aca="false">IF($AJ272=0,"",IF(INDEX(입력_측정!$I$5:$I$1004,$AJ272)="","",INDEX(입력_측정!$I$5:$I$1004,$AJ272)))</f>
        <v/>
      </c>
      <c r="Y272" s="25" t="str">
        <f aca="false">IF($AJ272=0,"",IF(INDEX(입력_측정!$J$5:$J$1004,$AJ272)="","",INDEX(입력_측정!$J$5:$J$1004,$AJ272)))</f>
        <v/>
      </c>
      <c r="Z272" s="25" t="str">
        <f aca="false">IF(OR(X272="긴급",LEFT(Y272,2)="긴급",W272="필요",W272="완료"),"대상","")</f>
        <v/>
      </c>
      <c r="AA272" s="59" t="str">
        <f aca="false">IF(M272&lt;&gt;"",M272,IF(AK272&gt;0,IF(W272="필요","추가상담 대기","완료"),IF(AJ272&gt;0,"결과상담 대기",IF(AI272&gt;0,"측정 대기","미방문"))))</f>
        <v>미방문</v>
      </c>
      <c r="AB272" s="60" t="str">
        <f aca="false">IF($AI272=0,"",IF(INDEX(입력_운동!$A$5:$A$1004,$AI272)="","",INDEX(입력_운동!$A$5:$A$1004,$AI272)))</f>
        <v/>
      </c>
      <c r="AC272" s="60" t="str">
        <f aca="false">IF($AJ272=0,"",IF(INDEX(입력_측정!$A$5:$A$1004,$AJ272)="","",INDEX(입력_측정!$A$5:$A$1004,$AJ272)))</f>
        <v/>
      </c>
      <c r="AD272" s="60" t="str">
        <f aca="false">IF($AK272=0,"",IF(INDEX(입력_상담!$A$5:$A$1004,$AK272)="","",INDEX(입력_상담!$A$5:$A$1004,$AK272)))</f>
        <v/>
      </c>
      <c r="AE272" s="25" t="str">
        <f aca="false">IF(AND(ISNUMBER(AB272),ISNUMBER(AC272)),IF(AC272&gt;=AB272,ROUND((AC272-AB272)*1440,0),""),"")</f>
        <v/>
      </c>
      <c r="AF272" s="25" t="str">
        <f aca="false">IF(AND(ISNUMBER(AC272),ISNUMBER(AD272)),IF(AD272&gt;=AC272,ROUND((AD272-AC272)*1440,0),""),"")</f>
        <v/>
      </c>
      <c r="AG272" s="25" t="str">
        <f aca="false">IF(AND(AA272="완료",ISNUMBER(AB272),ISNUMBER(AD272)),IF(AD272&gt;=AB272,ROUND((AD272-AB272)*1440,0),""),"")</f>
        <v/>
      </c>
      <c r="AH272" s="61" t="str">
        <f aca="false">IF(AND(AK272&gt;0,AJ272=0),"측정 기록 없음",IF(AND(AJ272&gt;0,AI272=0),"운동평가 기록 없음",IF(OR(COUNTIF(입력_운동!$B$5:$B$1004,$A272)&gt;1,COUNTIF(입력_측정!$B$5:$B$1004,$A272)&gt;1),"중복 입력","")))</f>
        <v/>
      </c>
      <c r="AI272" s="62" t="n">
        <f aca="false">SUMPRODUCT(MAX((입력_운동!$B$5:$B$1004=$A272)*(ROW(입력_운동!$B$5:$B$1004)-4)))</f>
        <v>0</v>
      </c>
      <c r="AJ272" s="62" t="n">
        <f aca="false">SUMPRODUCT(MAX((입력_측정!$B$5:$B$1004=$A272)*(ROW(입력_측정!$B$5:$B$1004)-4)))</f>
        <v>0</v>
      </c>
      <c r="AK272" s="62" t="n">
        <f aca="false">SUMPRODUCT(MAX((입력_상담!$B$5:$B$1004=$A272)*(ROW(입력_상담!$B$5:$B$1004)-4)))</f>
        <v>0</v>
      </c>
    </row>
    <row r="273" customFormat="false" ht="15" hidden="false" customHeight="false" outlineLevel="0" collapsed="false">
      <c r="A273" s="55" t="n">
        <v>269</v>
      </c>
      <c r="B273" s="56"/>
      <c r="C273" s="24"/>
      <c r="D273" s="24"/>
      <c r="E273" s="56"/>
      <c r="F273" s="57"/>
      <c r="G273" s="58"/>
      <c r="H273" s="56"/>
      <c r="I273" s="24"/>
      <c r="J273" s="24"/>
      <c r="K273" s="24"/>
      <c r="L273" s="24"/>
      <c r="M273" s="24"/>
      <c r="N273" s="56"/>
      <c r="O273" s="25" t="str">
        <f aca="false">IF($AI273=0,"",IF(INDEX(입력_운동!$C$5:$C$1004,$AI273)="","",INDEX(입력_운동!$C$5:$C$1004,$AI273)))</f>
        <v/>
      </c>
      <c r="P273" s="25" t="str">
        <f aca="false">IF($AI273=0,"",IF(INDEX(입력_운동!$D$5:$D$1004,$AI273)="","",INDEX(입력_운동!$D$5:$D$1004,$AI273)))</f>
        <v/>
      </c>
      <c r="Q273" s="25" t="str">
        <f aca="false">IF($AI273=0,"",IF(INDEX(입력_운동!$E$5:$E$1004,$AI273)="","",INDEX(입력_운동!$E$5:$E$1004,$AI273)))</f>
        <v/>
      </c>
      <c r="R273" s="25" t="str">
        <f aca="false">IF($AI273=0,"",IF(INDEX(입력_운동!$F$5:$F$1004,$AI273)="","",INDEX(입력_운동!$F$5:$F$1004,$AI273)))</f>
        <v/>
      </c>
      <c r="S273" s="25" t="str">
        <f aca="false">IF($AJ273=0,"",IF(INDEX(입력_측정!$C$5:$C$1004,$AJ273)="","",INDEX(입력_측정!$C$5:$C$1004,$AJ273)))</f>
        <v/>
      </c>
      <c r="T273" s="25" t="str">
        <f aca="false">IF($AJ273=0,"",IF(INDEX(입력_측정!$D$5:$D$1004,$AJ273)="","",INDEX(입력_측정!$D$5:$D$1004,$AJ273)))</f>
        <v/>
      </c>
      <c r="U273" s="25" t="str">
        <f aca="false">IF($AJ273=0,"",IF(INDEX(입력_측정!$E$5:$E$1004,$AJ273)="","",INDEX(입력_측정!$E$5:$E$1004,$AJ273)))</f>
        <v/>
      </c>
      <c r="V273" s="25" t="str">
        <f aca="false">IF($AJ273=0,"",IF(INDEX(입력_측정!$F$5:$F$1004,$AJ273)="","",INDEX(입력_측정!$F$5:$F$1004,$AJ273)))</f>
        <v/>
      </c>
      <c r="W273" s="25" t="str">
        <f aca="false">IF($AK273=0,"",IF(INDEX(입력_상담!$D$5:$D$1004,$AK273)="","",INDEX(입력_상담!$D$5:$D$1004,$AK273)))</f>
        <v/>
      </c>
      <c r="X273" s="25" t="str">
        <f aca="false">IF($AJ273=0,"",IF(INDEX(입력_측정!$I$5:$I$1004,$AJ273)="","",INDEX(입력_측정!$I$5:$I$1004,$AJ273)))</f>
        <v/>
      </c>
      <c r="Y273" s="25" t="str">
        <f aca="false">IF($AJ273=0,"",IF(INDEX(입력_측정!$J$5:$J$1004,$AJ273)="","",INDEX(입력_측정!$J$5:$J$1004,$AJ273)))</f>
        <v/>
      </c>
      <c r="Z273" s="25" t="str">
        <f aca="false">IF(OR(X273="긴급",LEFT(Y273,2)="긴급",W273="필요",W273="완료"),"대상","")</f>
        <v/>
      </c>
      <c r="AA273" s="59" t="str">
        <f aca="false">IF(M273&lt;&gt;"",M273,IF(AK273&gt;0,IF(W273="필요","추가상담 대기","완료"),IF(AJ273&gt;0,"결과상담 대기",IF(AI273&gt;0,"측정 대기","미방문"))))</f>
        <v>미방문</v>
      </c>
      <c r="AB273" s="60" t="str">
        <f aca="false">IF($AI273=0,"",IF(INDEX(입력_운동!$A$5:$A$1004,$AI273)="","",INDEX(입력_운동!$A$5:$A$1004,$AI273)))</f>
        <v/>
      </c>
      <c r="AC273" s="60" t="str">
        <f aca="false">IF($AJ273=0,"",IF(INDEX(입력_측정!$A$5:$A$1004,$AJ273)="","",INDEX(입력_측정!$A$5:$A$1004,$AJ273)))</f>
        <v/>
      </c>
      <c r="AD273" s="60" t="str">
        <f aca="false">IF($AK273=0,"",IF(INDEX(입력_상담!$A$5:$A$1004,$AK273)="","",INDEX(입력_상담!$A$5:$A$1004,$AK273)))</f>
        <v/>
      </c>
      <c r="AE273" s="25" t="str">
        <f aca="false">IF(AND(ISNUMBER(AB273),ISNUMBER(AC273)),IF(AC273&gt;=AB273,ROUND((AC273-AB273)*1440,0),""),"")</f>
        <v/>
      </c>
      <c r="AF273" s="25" t="str">
        <f aca="false">IF(AND(ISNUMBER(AC273),ISNUMBER(AD273)),IF(AD273&gt;=AC273,ROUND((AD273-AC273)*1440,0),""),"")</f>
        <v/>
      </c>
      <c r="AG273" s="25" t="str">
        <f aca="false">IF(AND(AA273="완료",ISNUMBER(AB273),ISNUMBER(AD273)),IF(AD273&gt;=AB273,ROUND((AD273-AB273)*1440,0),""),"")</f>
        <v/>
      </c>
      <c r="AH273" s="61" t="str">
        <f aca="false">IF(AND(AK273&gt;0,AJ273=0),"측정 기록 없음",IF(AND(AJ273&gt;0,AI273=0),"운동평가 기록 없음",IF(OR(COUNTIF(입력_운동!$B$5:$B$1004,$A273)&gt;1,COUNTIF(입력_측정!$B$5:$B$1004,$A273)&gt;1),"중복 입력","")))</f>
        <v/>
      </c>
      <c r="AI273" s="62" t="n">
        <f aca="false">SUMPRODUCT(MAX((입력_운동!$B$5:$B$1004=$A273)*(ROW(입력_운동!$B$5:$B$1004)-4)))</f>
        <v>0</v>
      </c>
      <c r="AJ273" s="62" t="n">
        <f aca="false">SUMPRODUCT(MAX((입력_측정!$B$5:$B$1004=$A273)*(ROW(입력_측정!$B$5:$B$1004)-4)))</f>
        <v>0</v>
      </c>
      <c r="AK273" s="62" t="n">
        <f aca="false">SUMPRODUCT(MAX((입력_상담!$B$5:$B$1004=$A273)*(ROW(입력_상담!$B$5:$B$1004)-4)))</f>
        <v>0</v>
      </c>
    </row>
    <row r="274" customFormat="false" ht="15" hidden="false" customHeight="false" outlineLevel="0" collapsed="false">
      <c r="A274" s="55" t="n">
        <v>270</v>
      </c>
      <c r="B274" s="56"/>
      <c r="C274" s="24"/>
      <c r="D274" s="24"/>
      <c r="E274" s="56"/>
      <c r="F274" s="57"/>
      <c r="G274" s="58"/>
      <c r="H274" s="56"/>
      <c r="I274" s="24"/>
      <c r="J274" s="24"/>
      <c r="K274" s="24"/>
      <c r="L274" s="24"/>
      <c r="M274" s="24"/>
      <c r="N274" s="56"/>
      <c r="O274" s="25" t="str">
        <f aca="false">IF($AI274=0,"",IF(INDEX(입력_운동!$C$5:$C$1004,$AI274)="","",INDEX(입력_운동!$C$5:$C$1004,$AI274)))</f>
        <v/>
      </c>
      <c r="P274" s="25" t="str">
        <f aca="false">IF($AI274=0,"",IF(INDEX(입력_운동!$D$5:$D$1004,$AI274)="","",INDEX(입력_운동!$D$5:$D$1004,$AI274)))</f>
        <v/>
      </c>
      <c r="Q274" s="25" t="str">
        <f aca="false">IF($AI274=0,"",IF(INDEX(입력_운동!$E$5:$E$1004,$AI274)="","",INDEX(입력_운동!$E$5:$E$1004,$AI274)))</f>
        <v/>
      </c>
      <c r="R274" s="25" t="str">
        <f aca="false">IF($AI274=0,"",IF(INDEX(입력_운동!$F$5:$F$1004,$AI274)="","",INDEX(입력_운동!$F$5:$F$1004,$AI274)))</f>
        <v/>
      </c>
      <c r="S274" s="25" t="str">
        <f aca="false">IF($AJ274=0,"",IF(INDEX(입력_측정!$C$5:$C$1004,$AJ274)="","",INDEX(입력_측정!$C$5:$C$1004,$AJ274)))</f>
        <v/>
      </c>
      <c r="T274" s="25" t="str">
        <f aca="false">IF($AJ274=0,"",IF(INDEX(입력_측정!$D$5:$D$1004,$AJ274)="","",INDEX(입력_측정!$D$5:$D$1004,$AJ274)))</f>
        <v/>
      </c>
      <c r="U274" s="25" t="str">
        <f aca="false">IF($AJ274=0,"",IF(INDEX(입력_측정!$E$5:$E$1004,$AJ274)="","",INDEX(입력_측정!$E$5:$E$1004,$AJ274)))</f>
        <v/>
      </c>
      <c r="V274" s="25" t="str">
        <f aca="false">IF($AJ274=0,"",IF(INDEX(입력_측정!$F$5:$F$1004,$AJ274)="","",INDEX(입력_측정!$F$5:$F$1004,$AJ274)))</f>
        <v/>
      </c>
      <c r="W274" s="25" t="str">
        <f aca="false">IF($AK274=0,"",IF(INDEX(입력_상담!$D$5:$D$1004,$AK274)="","",INDEX(입력_상담!$D$5:$D$1004,$AK274)))</f>
        <v/>
      </c>
      <c r="X274" s="25" t="str">
        <f aca="false">IF($AJ274=0,"",IF(INDEX(입력_측정!$I$5:$I$1004,$AJ274)="","",INDEX(입력_측정!$I$5:$I$1004,$AJ274)))</f>
        <v/>
      </c>
      <c r="Y274" s="25" t="str">
        <f aca="false">IF($AJ274=0,"",IF(INDEX(입력_측정!$J$5:$J$1004,$AJ274)="","",INDEX(입력_측정!$J$5:$J$1004,$AJ274)))</f>
        <v/>
      </c>
      <c r="Z274" s="25" t="str">
        <f aca="false">IF(OR(X274="긴급",LEFT(Y274,2)="긴급",W274="필요",W274="완료"),"대상","")</f>
        <v/>
      </c>
      <c r="AA274" s="59" t="str">
        <f aca="false">IF(M274&lt;&gt;"",M274,IF(AK274&gt;0,IF(W274="필요","추가상담 대기","완료"),IF(AJ274&gt;0,"결과상담 대기",IF(AI274&gt;0,"측정 대기","미방문"))))</f>
        <v>미방문</v>
      </c>
      <c r="AB274" s="60" t="str">
        <f aca="false">IF($AI274=0,"",IF(INDEX(입력_운동!$A$5:$A$1004,$AI274)="","",INDEX(입력_운동!$A$5:$A$1004,$AI274)))</f>
        <v/>
      </c>
      <c r="AC274" s="60" t="str">
        <f aca="false">IF($AJ274=0,"",IF(INDEX(입력_측정!$A$5:$A$1004,$AJ274)="","",INDEX(입력_측정!$A$5:$A$1004,$AJ274)))</f>
        <v/>
      </c>
      <c r="AD274" s="60" t="str">
        <f aca="false">IF($AK274=0,"",IF(INDEX(입력_상담!$A$5:$A$1004,$AK274)="","",INDEX(입력_상담!$A$5:$A$1004,$AK274)))</f>
        <v/>
      </c>
      <c r="AE274" s="25" t="str">
        <f aca="false">IF(AND(ISNUMBER(AB274),ISNUMBER(AC274)),IF(AC274&gt;=AB274,ROUND((AC274-AB274)*1440,0),""),"")</f>
        <v/>
      </c>
      <c r="AF274" s="25" t="str">
        <f aca="false">IF(AND(ISNUMBER(AC274),ISNUMBER(AD274)),IF(AD274&gt;=AC274,ROUND((AD274-AC274)*1440,0),""),"")</f>
        <v/>
      </c>
      <c r="AG274" s="25" t="str">
        <f aca="false">IF(AND(AA274="완료",ISNUMBER(AB274),ISNUMBER(AD274)),IF(AD274&gt;=AB274,ROUND((AD274-AB274)*1440,0),""),"")</f>
        <v/>
      </c>
      <c r="AH274" s="61" t="str">
        <f aca="false">IF(AND(AK274&gt;0,AJ274=0),"측정 기록 없음",IF(AND(AJ274&gt;0,AI274=0),"운동평가 기록 없음",IF(OR(COUNTIF(입력_운동!$B$5:$B$1004,$A274)&gt;1,COUNTIF(입력_측정!$B$5:$B$1004,$A274)&gt;1),"중복 입력","")))</f>
        <v/>
      </c>
      <c r="AI274" s="62" t="n">
        <f aca="false">SUMPRODUCT(MAX((입력_운동!$B$5:$B$1004=$A274)*(ROW(입력_운동!$B$5:$B$1004)-4)))</f>
        <v>0</v>
      </c>
      <c r="AJ274" s="62" t="n">
        <f aca="false">SUMPRODUCT(MAX((입력_측정!$B$5:$B$1004=$A274)*(ROW(입력_측정!$B$5:$B$1004)-4)))</f>
        <v>0</v>
      </c>
      <c r="AK274" s="62" t="n">
        <f aca="false">SUMPRODUCT(MAX((입력_상담!$B$5:$B$1004=$A274)*(ROW(입력_상담!$B$5:$B$1004)-4)))</f>
        <v>0</v>
      </c>
    </row>
    <row r="275" customFormat="false" ht="15" hidden="false" customHeight="false" outlineLevel="0" collapsed="false">
      <c r="A275" s="55" t="n">
        <v>271</v>
      </c>
      <c r="B275" s="56"/>
      <c r="C275" s="24"/>
      <c r="D275" s="24"/>
      <c r="E275" s="56"/>
      <c r="F275" s="57"/>
      <c r="G275" s="58"/>
      <c r="H275" s="56"/>
      <c r="I275" s="24"/>
      <c r="J275" s="24"/>
      <c r="K275" s="24"/>
      <c r="L275" s="24"/>
      <c r="M275" s="24"/>
      <c r="N275" s="56"/>
      <c r="O275" s="25" t="str">
        <f aca="false">IF($AI275=0,"",IF(INDEX(입력_운동!$C$5:$C$1004,$AI275)="","",INDEX(입력_운동!$C$5:$C$1004,$AI275)))</f>
        <v/>
      </c>
      <c r="P275" s="25" t="str">
        <f aca="false">IF($AI275=0,"",IF(INDEX(입력_운동!$D$5:$D$1004,$AI275)="","",INDEX(입력_운동!$D$5:$D$1004,$AI275)))</f>
        <v/>
      </c>
      <c r="Q275" s="25" t="str">
        <f aca="false">IF($AI275=0,"",IF(INDEX(입력_운동!$E$5:$E$1004,$AI275)="","",INDEX(입력_운동!$E$5:$E$1004,$AI275)))</f>
        <v/>
      </c>
      <c r="R275" s="25" t="str">
        <f aca="false">IF($AI275=0,"",IF(INDEX(입력_운동!$F$5:$F$1004,$AI275)="","",INDEX(입력_운동!$F$5:$F$1004,$AI275)))</f>
        <v/>
      </c>
      <c r="S275" s="25" t="str">
        <f aca="false">IF($AJ275=0,"",IF(INDEX(입력_측정!$C$5:$C$1004,$AJ275)="","",INDEX(입력_측정!$C$5:$C$1004,$AJ275)))</f>
        <v/>
      </c>
      <c r="T275" s="25" t="str">
        <f aca="false">IF($AJ275=0,"",IF(INDEX(입력_측정!$D$5:$D$1004,$AJ275)="","",INDEX(입력_측정!$D$5:$D$1004,$AJ275)))</f>
        <v/>
      </c>
      <c r="U275" s="25" t="str">
        <f aca="false">IF($AJ275=0,"",IF(INDEX(입력_측정!$E$5:$E$1004,$AJ275)="","",INDEX(입력_측정!$E$5:$E$1004,$AJ275)))</f>
        <v/>
      </c>
      <c r="V275" s="25" t="str">
        <f aca="false">IF($AJ275=0,"",IF(INDEX(입력_측정!$F$5:$F$1004,$AJ275)="","",INDEX(입력_측정!$F$5:$F$1004,$AJ275)))</f>
        <v/>
      </c>
      <c r="W275" s="25" t="str">
        <f aca="false">IF($AK275=0,"",IF(INDEX(입력_상담!$D$5:$D$1004,$AK275)="","",INDEX(입력_상담!$D$5:$D$1004,$AK275)))</f>
        <v/>
      </c>
      <c r="X275" s="25" t="str">
        <f aca="false">IF($AJ275=0,"",IF(INDEX(입력_측정!$I$5:$I$1004,$AJ275)="","",INDEX(입력_측정!$I$5:$I$1004,$AJ275)))</f>
        <v/>
      </c>
      <c r="Y275" s="25" t="str">
        <f aca="false">IF($AJ275=0,"",IF(INDEX(입력_측정!$J$5:$J$1004,$AJ275)="","",INDEX(입력_측정!$J$5:$J$1004,$AJ275)))</f>
        <v/>
      </c>
      <c r="Z275" s="25" t="str">
        <f aca="false">IF(OR(X275="긴급",LEFT(Y275,2)="긴급",W275="필요",W275="완료"),"대상","")</f>
        <v/>
      </c>
      <c r="AA275" s="59" t="str">
        <f aca="false">IF(M275&lt;&gt;"",M275,IF(AK275&gt;0,IF(W275="필요","추가상담 대기","완료"),IF(AJ275&gt;0,"결과상담 대기",IF(AI275&gt;0,"측정 대기","미방문"))))</f>
        <v>미방문</v>
      </c>
      <c r="AB275" s="60" t="str">
        <f aca="false">IF($AI275=0,"",IF(INDEX(입력_운동!$A$5:$A$1004,$AI275)="","",INDEX(입력_운동!$A$5:$A$1004,$AI275)))</f>
        <v/>
      </c>
      <c r="AC275" s="60" t="str">
        <f aca="false">IF($AJ275=0,"",IF(INDEX(입력_측정!$A$5:$A$1004,$AJ275)="","",INDEX(입력_측정!$A$5:$A$1004,$AJ275)))</f>
        <v/>
      </c>
      <c r="AD275" s="60" t="str">
        <f aca="false">IF($AK275=0,"",IF(INDEX(입력_상담!$A$5:$A$1004,$AK275)="","",INDEX(입력_상담!$A$5:$A$1004,$AK275)))</f>
        <v/>
      </c>
      <c r="AE275" s="25" t="str">
        <f aca="false">IF(AND(ISNUMBER(AB275),ISNUMBER(AC275)),IF(AC275&gt;=AB275,ROUND((AC275-AB275)*1440,0),""),"")</f>
        <v/>
      </c>
      <c r="AF275" s="25" t="str">
        <f aca="false">IF(AND(ISNUMBER(AC275),ISNUMBER(AD275)),IF(AD275&gt;=AC275,ROUND((AD275-AC275)*1440,0),""),"")</f>
        <v/>
      </c>
      <c r="AG275" s="25" t="str">
        <f aca="false">IF(AND(AA275="완료",ISNUMBER(AB275),ISNUMBER(AD275)),IF(AD275&gt;=AB275,ROUND((AD275-AB275)*1440,0),""),"")</f>
        <v/>
      </c>
      <c r="AH275" s="61" t="str">
        <f aca="false">IF(AND(AK275&gt;0,AJ275=0),"측정 기록 없음",IF(AND(AJ275&gt;0,AI275=0),"운동평가 기록 없음",IF(OR(COUNTIF(입력_운동!$B$5:$B$1004,$A275)&gt;1,COUNTIF(입력_측정!$B$5:$B$1004,$A275)&gt;1),"중복 입력","")))</f>
        <v/>
      </c>
      <c r="AI275" s="62" t="n">
        <f aca="false">SUMPRODUCT(MAX((입력_운동!$B$5:$B$1004=$A275)*(ROW(입력_운동!$B$5:$B$1004)-4)))</f>
        <v>0</v>
      </c>
      <c r="AJ275" s="62" t="n">
        <f aca="false">SUMPRODUCT(MAX((입력_측정!$B$5:$B$1004=$A275)*(ROW(입력_측정!$B$5:$B$1004)-4)))</f>
        <v>0</v>
      </c>
      <c r="AK275" s="62" t="n">
        <f aca="false">SUMPRODUCT(MAX((입력_상담!$B$5:$B$1004=$A275)*(ROW(입력_상담!$B$5:$B$1004)-4)))</f>
        <v>0</v>
      </c>
    </row>
    <row r="276" customFormat="false" ht="15" hidden="false" customHeight="false" outlineLevel="0" collapsed="false">
      <c r="A276" s="55" t="n">
        <v>272</v>
      </c>
      <c r="B276" s="56"/>
      <c r="C276" s="24"/>
      <c r="D276" s="24"/>
      <c r="E276" s="56"/>
      <c r="F276" s="57"/>
      <c r="G276" s="58"/>
      <c r="H276" s="56"/>
      <c r="I276" s="24"/>
      <c r="J276" s="24"/>
      <c r="K276" s="24"/>
      <c r="L276" s="24"/>
      <c r="M276" s="24"/>
      <c r="N276" s="56"/>
      <c r="O276" s="25" t="str">
        <f aca="false">IF($AI276=0,"",IF(INDEX(입력_운동!$C$5:$C$1004,$AI276)="","",INDEX(입력_운동!$C$5:$C$1004,$AI276)))</f>
        <v/>
      </c>
      <c r="P276" s="25" t="str">
        <f aca="false">IF($AI276=0,"",IF(INDEX(입력_운동!$D$5:$D$1004,$AI276)="","",INDEX(입력_운동!$D$5:$D$1004,$AI276)))</f>
        <v/>
      </c>
      <c r="Q276" s="25" t="str">
        <f aca="false">IF($AI276=0,"",IF(INDEX(입력_운동!$E$5:$E$1004,$AI276)="","",INDEX(입력_운동!$E$5:$E$1004,$AI276)))</f>
        <v/>
      </c>
      <c r="R276" s="25" t="str">
        <f aca="false">IF($AI276=0,"",IF(INDEX(입력_운동!$F$5:$F$1004,$AI276)="","",INDEX(입력_운동!$F$5:$F$1004,$AI276)))</f>
        <v/>
      </c>
      <c r="S276" s="25" t="str">
        <f aca="false">IF($AJ276=0,"",IF(INDEX(입력_측정!$C$5:$C$1004,$AJ276)="","",INDEX(입력_측정!$C$5:$C$1004,$AJ276)))</f>
        <v/>
      </c>
      <c r="T276" s="25" t="str">
        <f aca="false">IF($AJ276=0,"",IF(INDEX(입력_측정!$D$5:$D$1004,$AJ276)="","",INDEX(입력_측정!$D$5:$D$1004,$AJ276)))</f>
        <v/>
      </c>
      <c r="U276" s="25" t="str">
        <f aca="false">IF($AJ276=0,"",IF(INDEX(입력_측정!$E$5:$E$1004,$AJ276)="","",INDEX(입력_측정!$E$5:$E$1004,$AJ276)))</f>
        <v/>
      </c>
      <c r="V276" s="25" t="str">
        <f aca="false">IF($AJ276=0,"",IF(INDEX(입력_측정!$F$5:$F$1004,$AJ276)="","",INDEX(입력_측정!$F$5:$F$1004,$AJ276)))</f>
        <v/>
      </c>
      <c r="W276" s="25" t="str">
        <f aca="false">IF($AK276=0,"",IF(INDEX(입력_상담!$D$5:$D$1004,$AK276)="","",INDEX(입력_상담!$D$5:$D$1004,$AK276)))</f>
        <v/>
      </c>
      <c r="X276" s="25" t="str">
        <f aca="false">IF($AJ276=0,"",IF(INDEX(입력_측정!$I$5:$I$1004,$AJ276)="","",INDEX(입력_측정!$I$5:$I$1004,$AJ276)))</f>
        <v/>
      </c>
      <c r="Y276" s="25" t="str">
        <f aca="false">IF($AJ276=0,"",IF(INDEX(입력_측정!$J$5:$J$1004,$AJ276)="","",INDEX(입력_측정!$J$5:$J$1004,$AJ276)))</f>
        <v/>
      </c>
      <c r="Z276" s="25" t="str">
        <f aca="false">IF(OR(X276="긴급",LEFT(Y276,2)="긴급",W276="필요",W276="완료"),"대상","")</f>
        <v/>
      </c>
      <c r="AA276" s="59" t="str">
        <f aca="false">IF(M276&lt;&gt;"",M276,IF(AK276&gt;0,IF(W276="필요","추가상담 대기","완료"),IF(AJ276&gt;0,"결과상담 대기",IF(AI276&gt;0,"측정 대기","미방문"))))</f>
        <v>미방문</v>
      </c>
      <c r="AB276" s="60" t="str">
        <f aca="false">IF($AI276=0,"",IF(INDEX(입력_운동!$A$5:$A$1004,$AI276)="","",INDEX(입력_운동!$A$5:$A$1004,$AI276)))</f>
        <v/>
      </c>
      <c r="AC276" s="60" t="str">
        <f aca="false">IF($AJ276=0,"",IF(INDEX(입력_측정!$A$5:$A$1004,$AJ276)="","",INDEX(입력_측정!$A$5:$A$1004,$AJ276)))</f>
        <v/>
      </c>
      <c r="AD276" s="60" t="str">
        <f aca="false">IF($AK276=0,"",IF(INDEX(입력_상담!$A$5:$A$1004,$AK276)="","",INDEX(입력_상담!$A$5:$A$1004,$AK276)))</f>
        <v/>
      </c>
      <c r="AE276" s="25" t="str">
        <f aca="false">IF(AND(ISNUMBER(AB276),ISNUMBER(AC276)),IF(AC276&gt;=AB276,ROUND((AC276-AB276)*1440,0),""),"")</f>
        <v/>
      </c>
      <c r="AF276" s="25" t="str">
        <f aca="false">IF(AND(ISNUMBER(AC276),ISNUMBER(AD276)),IF(AD276&gt;=AC276,ROUND((AD276-AC276)*1440,0),""),"")</f>
        <v/>
      </c>
      <c r="AG276" s="25" t="str">
        <f aca="false">IF(AND(AA276="완료",ISNUMBER(AB276),ISNUMBER(AD276)),IF(AD276&gt;=AB276,ROUND((AD276-AB276)*1440,0),""),"")</f>
        <v/>
      </c>
      <c r="AH276" s="61" t="str">
        <f aca="false">IF(AND(AK276&gt;0,AJ276=0),"측정 기록 없음",IF(AND(AJ276&gt;0,AI276=0),"운동평가 기록 없음",IF(OR(COUNTIF(입력_운동!$B$5:$B$1004,$A276)&gt;1,COUNTIF(입력_측정!$B$5:$B$1004,$A276)&gt;1),"중복 입력","")))</f>
        <v/>
      </c>
      <c r="AI276" s="62" t="n">
        <f aca="false">SUMPRODUCT(MAX((입력_운동!$B$5:$B$1004=$A276)*(ROW(입력_운동!$B$5:$B$1004)-4)))</f>
        <v>0</v>
      </c>
      <c r="AJ276" s="62" t="n">
        <f aca="false">SUMPRODUCT(MAX((입력_측정!$B$5:$B$1004=$A276)*(ROW(입력_측정!$B$5:$B$1004)-4)))</f>
        <v>0</v>
      </c>
      <c r="AK276" s="62" t="n">
        <f aca="false">SUMPRODUCT(MAX((입력_상담!$B$5:$B$1004=$A276)*(ROW(입력_상담!$B$5:$B$1004)-4)))</f>
        <v>0</v>
      </c>
    </row>
    <row r="277" customFormat="false" ht="15" hidden="false" customHeight="false" outlineLevel="0" collapsed="false">
      <c r="A277" s="55" t="n">
        <v>273</v>
      </c>
      <c r="B277" s="56"/>
      <c r="C277" s="24"/>
      <c r="D277" s="24"/>
      <c r="E277" s="56"/>
      <c r="F277" s="57"/>
      <c r="G277" s="58"/>
      <c r="H277" s="56"/>
      <c r="I277" s="24"/>
      <c r="J277" s="24"/>
      <c r="K277" s="24"/>
      <c r="L277" s="24"/>
      <c r="M277" s="24"/>
      <c r="N277" s="56"/>
      <c r="O277" s="25" t="str">
        <f aca="false">IF($AI277=0,"",IF(INDEX(입력_운동!$C$5:$C$1004,$AI277)="","",INDEX(입력_운동!$C$5:$C$1004,$AI277)))</f>
        <v/>
      </c>
      <c r="P277" s="25" t="str">
        <f aca="false">IF($AI277=0,"",IF(INDEX(입력_운동!$D$5:$D$1004,$AI277)="","",INDEX(입력_운동!$D$5:$D$1004,$AI277)))</f>
        <v/>
      </c>
      <c r="Q277" s="25" t="str">
        <f aca="false">IF($AI277=0,"",IF(INDEX(입력_운동!$E$5:$E$1004,$AI277)="","",INDEX(입력_운동!$E$5:$E$1004,$AI277)))</f>
        <v/>
      </c>
      <c r="R277" s="25" t="str">
        <f aca="false">IF($AI277=0,"",IF(INDEX(입력_운동!$F$5:$F$1004,$AI277)="","",INDEX(입력_운동!$F$5:$F$1004,$AI277)))</f>
        <v/>
      </c>
      <c r="S277" s="25" t="str">
        <f aca="false">IF($AJ277=0,"",IF(INDEX(입력_측정!$C$5:$C$1004,$AJ277)="","",INDEX(입력_측정!$C$5:$C$1004,$AJ277)))</f>
        <v/>
      </c>
      <c r="T277" s="25" t="str">
        <f aca="false">IF($AJ277=0,"",IF(INDEX(입력_측정!$D$5:$D$1004,$AJ277)="","",INDEX(입력_측정!$D$5:$D$1004,$AJ277)))</f>
        <v/>
      </c>
      <c r="U277" s="25" t="str">
        <f aca="false">IF($AJ277=0,"",IF(INDEX(입력_측정!$E$5:$E$1004,$AJ277)="","",INDEX(입력_측정!$E$5:$E$1004,$AJ277)))</f>
        <v/>
      </c>
      <c r="V277" s="25" t="str">
        <f aca="false">IF($AJ277=0,"",IF(INDEX(입력_측정!$F$5:$F$1004,$AJ277)="","",INDEX(입력_측정!$F$5:$F$1004,$AJ277)))</f>
        <v/>
      </c>
      <c r="W277" s="25" t="str">
        <f aca="false">IF($AK277=0,"",IF(INDEX(입력_상담!$D$5:$D$1004,$AK277)="","",INDEX(입력_상담!$D$5:$D$1004,$AK277)))</f>
        <v/>
      </c>
      <c r="X277" s="25" t="str">
        <f aca="false">IF($AJ277=0,"",IF(INDEX(입력_측정!$I$5:$I$1004,$AJ277)="","",INDEX(입력_측정!$I$5:$I$1004,$AJ277)))</f>
        <v/>
      </c>
      <c r="Y277" s="25" t="str">
        <f aca="false">IF($AJ277=0,"",IF(INDEX(입력_측정!$J$5:$J$1004,$AJ277)="","",INDEX(입력_측정!$J$5:$J$1004,$AJ277)))</f>
        <v/>
      </c>
      <c r="Z277" s="25" t="str">
        <f aca="false">IF(OR(X277="긴급",LEFT(Y277,2)="긴급",W277="필요",W277="완료"),"대상","")</f>
        <v/>
      </c>
      <c r="AA277" s="59" t="str">
        <f aca="false">IF(M277&lt;&gt;"",M277,IF(AK277&gt;0,IF(W277="필요","추가상담 대기","완료"),IF(AJ277&gt;0,"결과상담 대기",IF(AI277&gt;0,"측정 대기","미방문"))))</f>
        <v>미방문</v>
      </c>
      <c r="AB277" s="60" t="str">
        <f aca="false">IF($AI277=0,"",IF(INDEX(입력_운동!$A$5:$A$1004,$AI277)="","",INDEX(입력_운동!$A$5:$A$1004,$AI277)))</f>
        <v/>
      </c>
      <c r="AC277" s="60" t="str">
        <f aca="false">IF($AJ277=0,"",IF(INDEX(입력_측정!$A$5:$A$1004,$AJ277)="","",INDEX(입력_측정!$A$5:$A$1004,$AJ277)))</f>
        <v/>
      </c>
      <c r="AD277" s="60" t="str">
        <f aca="false">IF($AK277=0,"",IF(INDEX(입력_상담!$A$5:$A$1004,$AK277)="","",INDEX(입력_상담!$A$5:$A$1004,$AK277)))</f>
        <v/>
      </c>
      <c r="AE277" s="25" t="str">
        <f aca="false">IF(AND(ISNUMBER(AB277),ISNUMBER(AC277)),IF(AC277&gt;=AB277,ROUND((AC277-AB277)*1440,0),""),"")</f>
        <v/>
      </c>
      <c r="AF277" s="25" t="str">
        <f aca="false">IF(AND(ISNUMBER(AC277),ISNUMBER(AD277)),IF(AD277&gt;=AC277,ROUND((AD277-AC277)*1440,0),""),"")</f>
        <v/>
      </c>
      <c r="AG277" s="25" t="str">
        <f aca="false">IF(AND(AA277="완료",ISNUMBER(AB277),ISNUMBER(AD277)),IF(AD277&gt;=AB277,ROUND((AD277-AB277)*1440,0),""),"")</f>
        <v/>
      </c>
      <c r="AH277" s="61" t="str">
        <f aca="false">IF(AND(AK277&gt;0,AJ277=0),"측정 기록 없음",IF(AND(AJ277&gt;0,AI277=0),"운동평가 기록 없음",IF(OR(COUNTIF(입력_운동!$B$5:$B$1004,$A277)&gt;1,COUNTIF(입력_측정!$B$5:$B$1004,$A277)&gt;1),"중복 입력","")))</f>
        <v/>
      </c>
      <c r="AI277" s="62" t="n">
        <f aca="false">SUMPRODUCT(MAX((입력_운동!$B$5:$B$1004=$A277)*(ROW(입력_운동!$B$5:$B$1004)-4)))</f>
        <v>0</v>
      </c>
      <c r="AJ277" s="62" t="n">
        <f aca="false">SUMPRODUCT(MAX((입력_측정!$B$5:$B$1004=$A277)*(ROW(입력_측정!$B$5:$B$1004)-4)))</f>
        <v>0</v>
      </c>
      <c r="AK277" s="62" t="n">
        <f aca="false">SUMPRODUCT(MAX((입력_상담!$B$5:$B$1004=$A277)*(ROW(입력_상담!$B$5:$B$1004)-4)))</f>
        <v>0</v>
      </c>
    </row>
    <row r="278" customFormat="false" ht="15" hidden="false" customHeight="false" outlineLevel="0" collapsed="false">
      <c r="A278" s="55" t="n">
        <v>274</v>
      </c>
      <c r="B278" s="56"/>
      <c r="C278" s="24"/>
      <c r="D278" s="24"/>
      <c r="E278" s="56"/>
      <c r="F278" s="57"/>
      <c r="G278" s="58"/>
      <c r="H278" s="56"/>
      <c r="I278" s="24"/>
      <c r="J278" s="24"/>
      <c r="K278" s="24"/>
      <c r="L278" s="24"/>
      <c r="M278" s="24"/>
      <c r="N278" s="56"/>
      <c r="O278" s="25" t="str">
        <f aca="false">IF($AI278=0,"",IF(INDEX(입력_운동!$C$5:$C$1004,$AI278)="","",INDEX(입력_운동!$C$5:$C$1004,$AI278)))</f>
        <v/>
      </c>
      <c r="P278" s="25" t="str">
        <f aca="false">IF($AI278=0,"",IF(INDEX(입력_운동!$D$5:$D$1004,$AI278)="","",INDEX(입력_운동!$D$5:$D$1004,$AI278)))</f>
        <v/>
      </c>
      <c r="Q278" s="25" t="str">
        <f aca="false">IF($AI278=0,"",IF(INDEX(입력_운동!$E$5:$E$1004,$AI278)="","",INDEX(입력_운동!$E$5:$E$1004,$AI278)))</f>
        <v/>
      </c>
      <c r="R278" s="25" t="str">
        <f aca="false">IF($AI278=0,"",IF(INDEX(입력_운동!$F$5:$F$1004,$AI278)="","",INDEX(입력_운동!$F$5:$F$1004,$AI278)))</f>
        <v/>
      </c>
      <c r="S278" s="25" t="str">
        <f aca="false">IF($AJ278=0,"",IF(INDEX(입력_측정!$C$5:$C$1004,$AJ278)="","",INDEX(입력_측정!$C$5:$C$1004,$AJ278)))</f>
        <v/>
      </c>
      <c r="T278" s="25" t="str">
        <f aca="false">IF($AJ278=0,"",IF(INDEX(입력_측정!$D$5:$D$1004,$AJ278)="","",INDEX(입력_측정!$D$5:$D$1004,$AJ278)))</f>
        <v/>
      </c>
      <c r="U278" s="25" t="str">
        <f aca="false">IF($AJ278=0,"",IF(INDEX(입력_측정!$E$5:$E$1004,$AJ278)="","",INDEX(입력_측정!$E$5:$E$1004,$AJ278)))</f>
        <v/>
      </c>
      <c r="V278" s="25" t="str">
        <f aca="false">IF($AJ278=0,"",IF(INDEX(입력_측정!$F$5:$F$1004,$AJ278)="","",INDEX(입력_측정!$F$5:$F$1004,$AJ278)))</f>
        <v/>
      </c>
      <c r="W278" s="25" t="str">
        <f aca="false">IF($AK278=0,"",IF(INDEX(입력_상담!$D$5:$D$1004,$AK278)="","",INDEX(입력_상담!$D$5:$D$1004,$AK278)))</f>
        <v/>
      </c>
      <c r="X278" s="25" t="str">
        <f aca="false">IF($AJ278=0,"",IF(INDEX(입력_측정!$I$5:$I$1004,$AJ278)="","",INDEX(입력_측정!$I$5:$I$1004,$AJ278)))</f>
        <v/>
      </c>
      <c r="Y278" s="25" t="str">
        <f aca="false">IF($AJ278=0,"",IF(INDEX(입력_측정!$J$5:$J$1004,$AJ278)="","",INDEX(입력_측정!$J$5:$J$1004,$AJ278)))</f>
        <v/>
      </c>
      <c r="Z278" s="25" t="str">
        <f aca="false">IF(OR(X278="긴급",LEFT(Y278,2)="긴급",W278="필요",W278="완료"),"대상","")</f>
        <v/>
      </c>
      <c r="AA278" s="59" t="str">
        <f aca="false">IF(M278&lt;&gt;"",M278,IF(AK278&gt;0,IF(W278="필요","추가상담 대기","완료"),IF(AJ278&gt;0,"결과상담 대기",IF(AI278&gt;0,"측정 대기","미방문"))))</f>
        <v>미방문</v>
      </c>
      <c r="AB278" s="60" t="str">
        <f aca="false">IF($AI278=0,"",IF(INDEX(입력_운동!$A$5:$A$1004,$AI278)="","",INDEX(입력_운동!$A$5:$A$1004,$AI278)))</f>
        <v/>
      </c>
      <c r="AC278" s="60" t="str">
        <f aca="false">IF($AJ278=0,"",IF(INDEX(입력_측정!$A$5:$A$1004,$AJ278)="","",INDEX(입력_측정!$A$5:$A$1004,$AJ278)))</f>
        <v/>
      </c>
      <c r="AD278" s="60" t="str">
        <f aca="false">IF($AK278=0,"",IF(INDEX(입력_상담!$A$5:$A$1004,$AK278)="","",INDEX(입력_상담!$A$5:$A$1004,$AK278)))</f>
        <v/>
      </c>
      <c r="AE278" s="25" t="str">
        <f aca="false">IF(AND(ISNUMBER(AB278),ISNUMBER(AC278)),IF(AC278&gt;=AB278,ROUND((AC278-AB278)*1440,0),""),"")</f>
        <v/>
      </c>
      <c r="AF278" s="25" t="str">
        <f aca="false">IF(AND(ISNUMBER(AC278),ISNUMBER(AD278)),IF(AD278&gt;=AC278,ROUND((AD278-AC278)*1440,0),""),"")</f>
        <v/>
      </c>
      <c r="AG278" s="25" t="str">
        <f aca="false">IF(AND(AA278="완료",ISNUMBER(AB278),ISNUMBER(AD278)),IF(AD278&gt;=AB278,ROUND((AD278-AB278)*1440,0),""),"")</f>
        <v/>
      </c>
      <c r="AH278" s="61" t="str">
        <f aca="false">IF(AND(AK278&gt;0,AJ278=0),"측정 기록 없음",IF(AND(AJ278&gt;0,AI278=0),"운동평가 기록 없음",IF(OR(COUNTIF(입력_운동!$B$5:$B$1004,$A278)&gt;1,COUNTIF(입력_측정!$B$5:$B$1004,$A278)&gt;1),"중복 입력","")))</f>
        <v/>
      </c>
      <c r="AI278" s="62" t="n">
        <f aca="false">SUMPRODUCT(MAX((입력_운동!$B$5:$B$1004=$A278)*(ROW(입력_운동!$B$5:$B$1004)-4)))</f>
        <v>0</v>
      </c>
      <c r="AJ278" s="62" t="n">
        <f aca="false">SUMPRODUCT(MAX((입력_측정!$B$5:$B$1004=$A278)*(ROW(입력_측정!$B$5:$B$1004)-4)))</f>
        <v>0</v>
      </c>
      <c r="AK278" s="62" t="n">
        <f aca="false">SUMPRODUCT(MAX((입력_상담!$B$5:$B$1004=$A278)*(ROW(입력_상담!$B$5:$B$1004)-4)))</f>
        <v>0</v>
      </c>
    </row>
    <row r="279" customFormat="false" ht="15" hidden="false" customHeight="false" outlineLevel="0" collapsed="false">
      <c r="A279" s="55" t="n">
        <v>275</v>
      </c>
      <c r="B279" s="56"/>
      <c r="C279" s="24"/>
      <c r="D279" s="24"/>
      <c r="E279" s="56"/>
      <c r="F279" s="57"/>
      <c r="G279" s="58"/>
      <c r="H279" s="56"/>
      <c r="I279" s="24"/>
      <c r="J279" s="24"/>
      <c r="K279" s="24"/>
      <c r="L279" s="24"/>
      <c r="M279" s="24"/>
      <c r="N279" s="56"/>
      <c r="O279" s="25" t="str">
        <f aca="false">IF($AI279=0,"",IF(INDEX(입력_운동!$C$5:$C$1004,$AI279)="","",INDEX(입력_운동!$C$5:$C$1004,$AI279)))</f>
        <v/>
      </c>
      <c r="P279" s="25" t="str">
        <f aca="false">IF($AI279=0,"",IF(INDEX(입력_운동!$D$5:$D$1004,$AI279)="","",INDEX(입력_운동!$D$5:$D$1004,$AI279)))</f>
        <v/>
      </c>
      <c r="Q279" s="25" t="str">
        <f aca="false">IF($AI279=0,"",IF(INDEX(입력_운동!$E$5:$E$1004,$AI279)="","",INDEX(입력_운동!$E$5:$E$1004,$AI279)))</f>
        <v/>
      </c>
      <c r="R279" s="25" t="str">
        <f aca="false">IF($AI279=0,"",IF(INDEX(입력_운동!$F$5:$F$1004,$AI279)="","",INDEX(입력_운동!$F$5:$F$1004,$AI279)))</f>
        <v/>
      </c>
      <c r="S279" s="25" t="str">
        <f aca="false">IF($AJ279=0,"",IF(INDEX(입력_측정!$C$5:$C$1004,$AJ279)="","",INDEX(입력_측정!$C$5:$C$1004,$AJ279)))</f>
        <v/>
      </c>
      <c r="T279" s="25" t="str">
        <f aca="false">IF($AJ279=0,"",IF(INDEX(입력_측정!$D$5:$D$1004,$AJ279)="","",INDEX(입력_측정!$D$5:$D$1004,$AJ279)))</f>
        <v/>
      </c>
      <c r="U279" s="25" t="str">
        <f aca="false">IF($AJ279=0,"",IF(INDEX(입력_측정!$E$5:$E$1004,$AJ279)="","",INDEX(입력_측정!$E$5:$E$1004,$AJ279)))</f>
        <v/>
      </c>
      <c r="V279" s="25" t="str">
        <f aca="false">IF($AJ279=0,"",IF(INDEX(입력_측정!$F$5:$F$1004,$AJ279)="","",INDEX(입력_측정!$F$5:$F$1004,$AJ279)))</f>
        <v/>
      </c>
      <c r="W279" s="25" t="str">
        <f aca="false">IF($AK279=0,"",IF(INDEX(입력_상담!$D$5:$D$1004,$AK279)="","",INDEX(입력_상담!$D$5:$D$1004,$AK279)))</f>
        <v/>
      </c>
      <c r="X279" s="25" t="str">
        <f aca="false">IF($AJ279=0,"",IF(INDEX(입력_측정!$I$5:$I$1004,$AJ279)="","",INDEX(입력_측정!$I$5:$I$1004,$AJ279)))</f>
        <v/>
      </c>
      <c r="Y279" s="25" t="str">
        <f aca="false">IF($AJ279=0,"",IF(INDEX(입력_측정!$J$5:$J$1004,$AJ279)="","",INDEX(입력_측정!$J$5:$J$1004,$AJ279)))</f>
        <v/>
      </c>
      <c r="Z279" s="25" t="str">
        <f aca="false">IF(OR(X279="긴급",LEFT(Y279,2)="긴급",W279="필요",W279="완료"),"대상","")</f>
        <v/>
      </c>
      <c r="AA279" s="59" t="str">
        <f aca="false">IF(M279&lt;&gt;"",M279,IF(AK279&gt;0,IF(W279="필요","추가상담 대기","완료"),IF(AJ279&gt;0,"결과상담 대기",IF(AI279&gt;0,"측정 대기","미방문"))))</f>
        <v>미방문</v>
      </c>
      <c r="AB279" s="60" t="str">
        <f aca="false">IF($AI279=0,"",IF(INDEX(입력_운동!$A$5:$A$1004,$AI279)="","",INDEX(입력_운동!$A$5:$A$1004,$AI279)))</f>
        <v/>
      </c>
      <c r="AC279" s="60" t="str">
        <f aca="false">IF($AJ279=0,"",IF(INDEX(입력_측정!$A$5:$A$1004,$AJ279)="","",INDEX(입력_측정!$A$5:$A$1004,$AJ279)))</f>
        <v/>
      </c>
      <c r="AD279" s="60" t="str">
        <f aca="false">IF($AK279=0,"",IF(INDEX(입력_상담!$A$5:$A$1004,$AK279)="","",INDEX(입력_상담!$A$5:$A$1004,$AK279)))</f>
        <v/>
      </c>
      <c r="AE279" s="25" t="str">
        <f aca="false">IF(AND(ISNUMBER(AB279),ISNUMBER(AC279)),IF(AC279&gt;=AB279,ROUND((AC279-AB279)*1440,0),""),"")</f>
        <v/>
      </c>
      <c r="AF279" s="25" t="str">
        <f aca="false">IF(AND(ISNUMBER(AC279),ISNUMBER(AD279)),IF(AD279&gt;=AC279,ROUND((AD279-AC279)*1440,0),""),"")</f>
        <v/>
      </c>
      <c r="AG279" s="25" t="str">
        <f aca="false">IF(AND(AA279="완료",ISNUMBER(AB279),ISNUMBER(AD279)),IF(AD279&gt;=AB279,ROUND((AD279-AB279)*1440,0),""),"")</f>
        <v/>
      </c>
      <c r="AH279" s="61" t="str">
        <f aca="false">IF(AND(AK279&gt;0,AJ279=0),"측정 기록 없음",IF(AND(AJ279&gt;0,AI279=0),"운동평가 기록 없음",IF(OR(COUNTIF(입력_운동!$B$5:$B$1004,$A279)&gt;1,COUNTIF(입력_측정!$B$5:$B$1004,$A279)&gt;1),"중복 입력","")))</f>
        <v/>
      </c>
      <c r="AI279" s="62" t="n">
        <f aca="false">SUMPRODUCT(MAX((입력_운동!$B$5:$B$1004=$A279)*(ROW(입력_운동!$B$5:$B$1004)-4)))</f>
        <v>0</v>
      </c>
      <c r="AJ279" s="62" t="n">
        <f aca="false">SUMPRODUCT(MAX((입력_측정!$B$5:$B$1004=$A279)*(ROW(입력_측정!$B$5:$B$1004)-4)))</f>
        <v>0</v>
      </c>
      <c r="AK279" s="62" t="n">
        <f aca="false">SUMPRODUCT(MAX((입력_상담!$B$5:$B$1004=$A279)*(ROW(입력_상담!$B$5:$B$1004)-4)))</f>
        <v>0</v>
      </c>
    </row>
    <row r="280" customFormat="false" ht="15" hidden="false" customHeight="false" outlineLevel="0" collapsed="false">
      <c r="A280" s="55" t="n">
        <v>276</v>
      </c>
      <c r="B280" s="56"/>
      <c r="C280" s="24"/>
      <c r="D280" s="24"/>
      <c r="E280" s="56"/>
      <c r="F280" s="57"/>
      <c r="G280" s="58"/>
      <c r="H280" s="56"/>
      <c r="I280" s="24"/>
      <c r="J280" s="24"/>
      <c r="K280" s="24"/>
      <c r="L280" s="24"/>
      <c r="M280" s="24"/>
      <c r="N280" s="56"/>
      <c r="O280" s="25" t="str">
        <f aca="false">IF($AI280=0,"",IF(INDEX(입력_운동!$C$5:$C$1004,$AI280)="","",INDEX(입력_운동!$C$5:$C$1004,$AI280)))</f>
        <v/>
      </c>
      <c r="P280" s="25" t="str">
        <f aca="false">IF($AI280=0,"",IF(INDEX(입력_운동!$D$5:$D$1004,$AI280)="","",INDEX(입력_운동!$D$5:$D$1004,$AI280)))</f>
        <v/>
      </c>
      <c r="Q280" s="25" t="str">
        <f aca="false">IF($AI280=0,"",IF(INDEX(입력_운동!$E$5:$E$1004,$AI280)="","",INDEX(입력_운동!$E$5:$E$1004,$AI280)))</f>
        <v/>
      </c>
      <c r="R280" s="25" t="str">
        <f aca="false">IF($AI280=0,"",IF(INDEX(입력_운동!$F$5:$F$1004,$AI280)="","",INDEX(입력_운동!$F$5:$F$1004,$AI280)))</f>
        <v/>
      </c>
      <c r="S280" s="25" t="str">
        <f aca="false">IF($AJ280=0,"",IF(INDEX(입력_측정!$C$5:$C$1004,$AJ280)="","",INDEX(입력_측정!$C$5:$C$1004,$AJ280)))</f>
        <v/>
      </c>
      <c r="T280" s="25" t="str">
        <f aca="false">IF($AJ280=0,"",IF(INDEX(입력_측정!$D$5:$D$1004,$AJ280)="","",INDEX(입력_측정!$D$5:$D$1004,$AJ280)))</f>
        <v/>
      </c>
      <c r="U280" s="25" t="str">
        <f aca="false">IF($AJ280=0,"",IF(INDEX(입력_측정!$E$5:$E$1004,$AJ280)="","",INDEX(입력_측정!$E$5:$E$1004,$AJ280)))</f>
        <v/>
      </c>
      <c r="V280" s="25" t="str">
        <f aca="false">IF($AJ280=0,"",IF(INDEX(입력_측정!$F$5:$F$1004,$AJ280)="","",INDEX(입력_측정!$F$5:$F$1004,$AJ280)))</f>
        <v/>
      </c>
      <c r="W280" s="25" t="str">
        <f aca="false">IF($AK280=0,"",IF(INDEX(입력_상담!$D$5:$D$1004,$AK280)="","",INDEX(입력_상담!$D$5:$D$1004,$AK280)))</f>
        <v/>
      </c>
      <c r="X280" s="25" t="str">
        <f aca="false">IF($AJ280=0,"",IF(INDEX(입력_측정!$I$5:$I$1004,$AJ280)="","",INDEX(입력_측정!$I$5:$I$1004,$AJ280)))</f>
        <v/>
      </c>
      <c r="Y280" s="25" t="str">
        <f aca="false">IF($AJ280=0,"",IF(INDEX(입력_측정!$J$5:$J$1004,$AJ280)="","",INDEX(입력_측정!$J$5:$J$1004,$AJ280)))</f>
        <v/>
      </c>
      <c r="Z280" s="25" t="str">
        <f aca="false">IF(OR(X280="긴급",LEFT(Y280,2)="긴급",W280="필요",W280="완료"),"대상","")</f>
        <v/>
      </c>
      <c r="AA280" s="59" t="str">
        <f aca="false">IF(M280&lt;&gt;"",M280,IF(AK280&gt;0,IF(W280="필요","추가상담 대기","완료"),IF(AJ280&gt;0,"결과상담 대기",IF(AI280&gt;0,"측정 대기","미방문"))))</f>
        <v>미방문</v>
      </c>
      <c r="AB280" s="60" t="str">
        <f aca="false">IF($AI280=0,"",IF(INDEX(입력_운동!$A$5:$A$1004,$AI280)="","",INDEX(입력_운동!$A$5:$A$1004,$AI280)))</f>
        <v/>
      </c>
      <c r="AC280" s="60" t="str">
        <f aca="false">IF($AJ280=0,"",IF(INDEX(입력_측정!$A$5:$A$1004,$AJ280)="","",INDEX(입력_측정!$A$5:$A$1004,$AJ280)))</f>
        <v/>
      </c>
      <c r="AD280" s="60" t="str">
        <f aca="false">IF($AK280=0,"",IF(INDEX(입력_상담!$A$5:$A$1004,$AK280)="","",INDEX(입력_상담!$A$5:$A$1004,$AK280)))</f>
        <v/>
      </c>
      <c r="AE280" s="25" t="str">
        <f aca="false">IF(AND(ISNUMBER(AB280),ISNUMBER(AC280)),IF(AC280&gt;=AB280,ROUND((AC280-AB280)*1440,0),""),"")</f>
        <v/>
      </c>
      <c r="AF280" s="25" t="str">
        <f aca="false">IF(AND(ISNUMBER(AC280),ISNUMBER(AD280)),IF(AD280&gt;=AC280,ROUND((AD280-AC280)*1440,0),""),"")</f>
        <v/>
      </c>
      <c r="AG280" s="25" t="str">
        <f aca="false">IF(AND(AA280="완료",ISNUMBER(AB280),ISNUMBER(AD280)),IF(AD280&gt;=AB280,ROUND((AD280-AB280)*1440,0),""),"")</f>
        <v/>
      </c>
      <c r="AH280" s="61" t="str">
        <f aca="false">IF(AND(AK280&gt;0,AJ280=0),"측정 기록 없음",IF(AND(AJ280&gt;0,AI280=0),"운동평가 기록 없음",IF(OR(COUNTIF(입력_운동!$B$5:$B$1004,$A280)&gt;1,COUNTIF(입력_측정!$B$5:$B$1004,$A280)&gt;1),"중복 입력","")))</f>
        <v/>
      </c>
      <c r="AI280" s="62" t="n">
        <f aca="false">SUMPRODUCT(MAX((입력_운동!$B$5:$B$1004=$A280)*(ROW(입력_운동!$B$5:$B$1004)-4)))</f>
        <v>0</v>
      </c>
      <c r="AJ280" s="62" t="n">
        <f aca="false">SUMPRODUCT(MAX((입력_측정!$B$5:$B$1004=$A280)*(ROW(입력_측정!$B$5:$B$1004)-4)))</f>
        <v>0</v>
      </c>
      <c r="AK280" s="62" t="n">
        <f aca="false">SUMPRODUCT(MAX((입력_상담!$B$5:$B$1004=$A280)*(ROW(입력_상담!$B$5:$B$1004)-4)))</f>
        <v>0</v>
      </c>
    </row>
    <row r="281" customFormat="false" ht="15" hidden="false" customHeight="false" outlineLevel="0" collapsed="false">
      <c r="A281" s="55" t="n">
        <v>277</v>
      </c>
      <c r="B281" s="56"/>
      <c r="C281" s="24"/>
      <c r="D281" s="24"/>
      <c r="E281" s="56"/>
      <c r="F281" s="57"/>
      <c r="G281" s="58"/>
      <c r="H281" s="56"/>
      <c r="I281" s="24"/>
      <c r="J281" s="24"/>
      <c r="K281" s="24"/>
      <c r="L281" s="24"/>
      <c r="M281" s="24"/>
      <c r="N281" s="56"/>
      <c r="O281" s="25" t="str">
        <f aca="false">IF($AI281=0,"",IF(INDEX(입력_운동!$C$5:$C$1004,$AI281)="","",INDEX(입력_운동!$C$5:$C$1004,$AI281)))</f>
        <v/>
      </c>
      <c r="P281" s="25" t="str">
        <f aca="false">IF($AI281=0,"",IF(INDEX(입력_운동!$D$5:$D$1004,$AI281)="","",INDEX(입력_운동!$D$5:$D$1004,$AI281)))</f>
        <v/>
      </c>
      <c r="Q281" s="25" t="str">
        <f aca="false">IF($AI281=0,"",IF(INDEX(입력_운동!$E$5:$E$1004,$AI281)="","",INDEX(입력_운동!$E$5:$E$1004,$AI281)))</f>
        <v/>
      </c>
      <c r="R281" s="25" t="str">
        <f aca="false">IF($AI281=0,"",IF(INDEX(입력_운동!$F$5:$F$1004,$AI281)="","",INDEX(입력_운동!$F$5:$F$1004,$AI281)))</f>
        <v/>
      </c>
      <c r="S281" s="25" t="str">
        <f aca="false">IF($AJ281=0,"",IF(INDEX(입력_측정!$C$5:$C$1004,$AJ281)="","",INDEX(입력_측정!$C$5:$C$1004,$AJ281)))</f>
        <v/>
      </c>
      <c r="T281" s="25" t="str">
        <f aca="false">IF($AJ281=0,"",IF(INDEX(입력_측정!$D$5:$D$1004,$AJ281)="","",INDEX(입력_측정!$D$5:$D$1004,$AJ281)))</f>
        <v/>
      </c>
      <c r="U281" s="25" t="str">
        <f aca="false">IF($AJ281=0,"",IF(INDEX(입력_측정!$E$5:$E$1004,$AJ281)="","",INDEX(입력_측정!$E$5:$E$1004,$AJ281)))</f>
        <v/>
      </c>
      <c r="V281" s="25" t="str">
        <f aca="false">IF($AJ281=0,"",IF(INDEX(입력_측정!$F$5:$F$1004,$AJ281)="","",INDEX(입력_측정!$F$5:$F$1004,$AJ281)))</f>
        <v/>
      </c>
      <c r="W281" s="25" t="str">
        <f aca="false">IF($AK281=0,"",IF(INDEX(입력_상담!$D$5:$D$1004,$AK281)="","",INDEX(입력_상담!$D$5:$D$1004,$AK281)))</f>
        <v/>
      </c>
      <c r="X281" s="25" t="str">
        <f aca="false">IF($AJ281=0,"",IF(INDEX(입력_측정!$I$5:$I$1004,$AJ281)="","",INDEX(입력_측정!$I$5:$I$1004,$AJ281)))</f>
        <v/>
      </c>
      <c r="Y281" s="25" t="str">
        <f aca="false">IF($AJ281=0,"",IF(INDEX(입력_측정!$J$5:$J$1004,$AJ281)="","",INDEX(입력_측정!$J$5:$J$1004,$AJ281)))</f>
        <v/>
      </c>
      <c r="Z281" s="25" t="str">
        <f aca="false">IF(OR(X281="긴급",LEFT(Y281,2)="긴급",W281="필요",W281="완료"),"대상","")</f>
        <v/>
      </c>
      <c r="AA281" s="59" t="str">
        <f aca="false">IF(M281&lt;&gt;"",M281,IF(AK281&gt;0,IF(W281="필요","추가상담 대기","완료"),IF(AJ281&gt;0,"결과상담 대기",IF(AI281&gt;0,"측정 대기","미방문"))))</f>
        <v>미방문</v>
      </c>
      <c r="AB281" s="60" t="str">
        <f aca="false">IF($AI281=0,"",IF(INDEX(입력_운동!$A$5:$A$1004,$AI281)="","",INDEX(입력_운동!$A$5:$A$1004,$AI281)))</f>
        <v/>
      </c>
      <c r="AC281" s="60" t="str">
        <f aca="false">IF($AJ281=0,"",IF(INDEX(입력_측정!$A$5:$A$1004,$AJ281)="","",INDEX(입력_측정!$A$5:$A$1004,$AJ281)))</f>
        <v/>
      </c>
      <c r="AD281" s="60" t="str">
        <f aca="false">IF($AK281=0,"",IF(INDEX(입력_상담!$A$5:$A$1004,$AK281)="","",INDEX(입력_상담!$A$5:$A$1004,$AK281)))</f>
        <v/>
      </c>
      <c r="AE281" s="25" t="str">
        <f aca="false">IF(AND(ISNUMBER(AB281),ISNUMBER(AC281)),IF(AC281&gt;=AB281,ROUND((AC281-AB281)*1440,0),""),"")</f>
        <v/>
      </c>
      <c r="AF281" s="25" t="str">
        <f aca="false">IF(AND(ISNUMBER(AC281),ISNUMBER(AD281)),IF(AD281&gt;=AC281,ROUND((AD281-AC281)*1440,0),""),"")</f>
        <v/>
      </c>
      <c r="AG281" s="25" t="str">
        <f aca="false">IF(AND(AA281="완료",ISNUMBER(AB281),ISNUMBER(AD281)),IF(AD281&gt;=AB281,ROUND((AD281-AB281)*1440,0),""),"")</f>
        <v/>
      </c>
      <c r="AH281" s="61" t="str">
        <f aca="false">IF(AND(AK281&gt;0,AJ281=0),"측정 기록 없음",IF(AND(AJ281&gt;0,AI281=0),"운동평가 기록 없음",IF(OR(COUNTIF(입력_운동!$B$5:$B$1004,$A281)&gt;1,COUNTIF(입력_측정!$B$5:$B$1004,$A281)&gt;1),"중복 입력","")))</f>
        <v/>
      </c>
      <c r="AI281" s="62" t="n">
        <f aca="false">SUMPRODUCT(MAX((입력_운동!$B$5:$B$1004=$A281)*(ROW(입력_운동!$B$5:$B$1004)-4)))</f>
        <v>0</v>
      </c>
      <c r="AJ281" s="62" t="n">
        <f aca="false">SUMPRODUCT(MAX((입력_측정!$B$5:$B$1004=$A281)*(ROW(입력_측정!$B$5:$B$1004)-4)))</f>
        <v>0</v>
      </c>
      <c r="AK281" s="62" t="n">
        <f aca="false">SUMPRODUCT(MAX((입력_상담!$B$5:$B$1004=$A281)*(ROW(입력_상담!$B$5:$B$1004)-4)))</f>
        <v>0</v>
      </c>
    </row>
    <row r="282" customFormat="false" ht="15" hidden="false" customHeight="false" outlineLevel="0" collapsed="false">
      <c r="A282" s="55" t="n">
        <v>278</v>
      </c>
      <c r="B282" s="56"/>
      <c r="C282" s="24"/>
      <c r="D282" s="24"/>
      <c r="E282" s="56"/>
      <c r="F282" s="57"/>
      <c r="G282" s="58"/>
      <c r="H282" s="56"/>
      <c r="I282" s="24"/>
      <c r="J282" s="24"/>
      <c r="K282" s="24"/>
      <c r="L282" s="24"/>
      <c r="M282" s="24"/>
      <c r="N282" s="56"/>
      <c r="O282" s="25" t="str">
        <f aca="false">IF($AI282=0,"",IF(INDEX(입력_운동!$C$5:$C$1004,$AI282)="","",INDEX(입력_운동!$C$5:$C$1004,$AI282)))</f>
        <v/>
      </c>
      <c r="P282" s="25" t="str">
        <f aca="false">IF($AI282=0,"",IF(INDEX(입력_운동!$D$5:$D$1004,$AI282)="","",INDEX(입력_운동!$D$5:$D$1004,$AI282)))</f>
        <v/>
      </c>
      <c r="Q282" s="25" t="str">
        <f aca="false">IF($AI282=0,"",IF(INDEX(입력_운동!$E$5:$E$1004,$AI282)="","",INDEX(입력_운동!$E$5:$E$1004,$AI282)))</f>
        <v/>
      </c>
      <c r="R282" s="25" t="str">
        <f aca="false">IF($AI282=0,"",IF(INDEX(입력_운동!$F$5:$F$1004,$AI282)="","",INDEX(입력_운동!$F$5:$F$1004,$AI282)))</f>
        <v/>
      </c>
      <c r="S282" s="25" t="str">
        <f aca="false">IF($AJ282=0,"",IF(INDEX(입력_측정!$C$5:$C$1004,$AJ282)="","",INDEX(입력_측정!$C$5:$C$1004,$AJ282)))</f>
        <v/>
      </c>
      <c r="T282" s="25" t="str">
        <f aca="false">IF($AJ282=0,"",IF(INDEX(입력_측정!$D$5:$D$1004,$AJ282)="","",INDEX(입력_측정!$D$5:$D$1004,$AJ282)))</f>
        <v/>
      </c>
      <c r="U282" s="25" t="str">
        <f aca="false">IF($AJ282=0,"",IF(INDEX(입력_측정!$E$5:$E$1004,$AJ282)="","",INDEX(입력_측정!$E$5:$E$1004,$AJ282)))</f>
        <v/>
      </c>
      <c r="V282" s="25" t="str">
        <f aca="false">IF($AJ282=0,"",IF(INDEX(입력_측정!$F$5:$F$1004,$AJ282)="","",INDEX(입력_측정!$F$5:$F$1004,$AJ282)))</f>
        <v/>
      </c>
      <c r="W282" s="25" t="str">
        <f aca="false">IF($AK282=0,"",IF(INDEX(입력_상담!$D$5:$D$1004,$AK282)="","",INDEX(입력_상담!$D$5:$D$1004,$AK282)))</f>
        <v/>
      </c>
      <c r="X282" s="25" t="str">
        <f aca="false">IF($AJ282=0,"",IF(INDEX(입력_측정!$I$5:$I$1004,$AJ282)="","",INDEX(입력_측정!$I$5:$I$1004,$AJ282)))</f>
        <v/>
      </c>
      <c r="Y282" s="25" t="str">
        <f aca="false">IF($AJ282=0,"",IF(INDEX(입력_측정!$J$5:$J$1004,$AJ282)="","",INDEX(입력_측정!$J$5:$J$1004,$AJ282)))</f>
        <v/>
      </c>
      <c r="Z282" s="25" t="str">
        <f aca="false">IF(OR(X282="긴급",LEFT(Y282,2)="긴급",W282="필요",W282="완료"),"대상","")</f>
        <v/>
      </c>
      <c r="AA282" s="59" t="str">
        <f aca="false">IF(M282&lt;&gt;"",M282,IF(AK282&gt;0,IF(W282="필요","추가상담 대기","완료"),IF(AJ282&gt;0,"결과상담 대기",IF(AI282&gt;0,"측정 대기","미방문"))))</f>
        <v>미방문</v>
      </c>
      <c r="AB282" s="60" t="str">
        <f aca="false">IF($AI282=0,"",IF(INDEX(입력_운동!$A$5:$A$1004,$AI282)="","",INDEX(입력_운동!$A$5:$A$1004,$AI282)))</f>
        <v/>
      </c>
      <c r="AC282" s="60" t="str">
        <f aca="false">IF($AJ282=0,"",IF(INDEX(입력_측정!$A$5:$A$1004,$AJ282)="","",INDEX(입력_측정!$A$5:$A$1004,$AJ282)))</f>
        <v/>
      </c>
      <c r="AD282" s="60" t="str">
        <f aca="false">IF($AK282=0,"",IF(INDEX(입력_상담!$A$5:$A$1004,$AK282)="","",INDEX(입력_상담!$A$5:$A$1004,$AK282)))</f>
        <v/>
      </c>
      <c r="AE282" s="25" t="str">
        <f aca="false">IF(AND(ISNUMBER(AB282),ISNUMBER(AC282)),IF(AC282&gt;=AB282,ROUND((AC282-AB282)*1440,0),""),"")</f>
        <v/>
      </c>
      <c r="AF282" s="25" t="str">
        <f aca="false">IF(AND(ISNUMBER(AC282),ISNUMBER(AD282)),IF(AD282&gt;=AC282,ROUND((AD282-AC282)*1440,0),""),"")</f>
        <v/>
      </c>
      <c r="AG282" s="25" t="str">
        <f aca="false">IF(AND(AA282="완료",ISNUMBER(AB282),ISNUMBER(AD282)),IF(AD282&gt;=AB282,ROUND((AD282-AB282)*1440,0),""),"")</f>
        <v/>
      </c>
      <c r="AH282" s="61" t="str">
        <f aca="false">IF(AND(AK282&gt;0,AJ282=0),"측정 기록 없음",IF(AND(AJ282&gt;0,AI282=0),"운동평가 기록 없음",IF(OR(COUNTIF(입력_운동!$B$5:$B$1004,$A282)&gt;1,COUNTIF(입력_측정!$B$5:$B$1004,$A282)&gt;1),"중복 입력","")))</f>
        <v/>
      </c>
      <c r="AI282" s="62" t="n">
        <f aca="false">SUMPRODUCT(MAX((입력_운동!$B$5:$B$1004=$A282)*(ROW(입력_운동!$B$5:$B$1004)-4)))</f>
        <v>0</v>
      </c>
      <c r="AJ282" s="62" t="n">
        <f aca="false">SUMPRODUCT(MAX((입력_측정!$B$5:$B$1004=$A282)*(ROW(입력_측정!$B$5:$B$1004)-4)))</f>
        <v>0</v>
      </c>
      <c r="AK282" s="62" t="n">
        <f aca="false">SUMPRODUCT(MAX((입력_상담!$B$5:$B$1004=$A282)*(ROW(입력_상담!$B$5:$B$1004)-4)))</f>
        <v>0</v>
      </c>
    </row>
    <row r="283" customFormat="false" ht="15" hidden="false" customHeight="false" outlineLevel="0" collapsed="false">
      <c r="A283" s="55" t="n">
        <v>279</v>
      </c>
      <c r="B283" s="56"/>
      <c r="C283" s="24"/>
      <c r="D283" s="24"/>
      <c r="E283" s="56"/>
      <c r="F283" s="57"/>
      <c r="G283" s="58"/>
      <c r="H283" s="56"/>
      <c r="I283" s="24"/>
      <c r="J283" s="24"/>
      <c r="K283" s="24"/>
      <c r="L283" s="24"/>
      <c r="M283" s="24"/>
      <c r="N283" s="56"/>
      <c r="O283" s="25" t="str">
        <f aca="false">IF($AI283=0,"",IF(INDEX(입력_운동!$C$5:$C$1004,$AI283)="","",INDEX(입력_운동!$C$5:$C$1004,$AI283)))</f>
        <v/>
      </c>
      <c r="P283" s="25" t="str">
        <f aca="false">IF($AI283=0,"",IF(INDEX(입력_운동!$D$5:$D$1004,$AI283)="","",INDEX(입력_운동!$D$5:$D$1004,$AI283)))</f>
        <v/>
      </c>
      <c r="Q283" s="25" t="str">
        <f aca="false">IF($AI283=0,"",IF(INDEX(입력_운동!$E$5:$E$1004,$AI283)="","",INDEX(입력_운동!$E$5:$E$1004,$AI283)))</f>
        <v/>
      </c>
      <c r="R283" s="25" t="str">
        <f aca="false">IF($AI283=0,"",IF(INDEX(입력_운동!$F$5:$F$1004,$AI283)="","",INDEX(입력_운동!$F$5:$F$1004,$AI283)))</f>
        <v/>
      </c>
      <c r="S283" s="25" t="str">
        <f aca="false">IF($AJ283=0,"",IF(INDEX(입력_측정!$C$5:$C$1004,$AJ283)="","",INDEX(입력_측정!$C$5:$C$1004,$AJ283)))</f>
        <v/>
      </c>
      <c r="T283" s="25" t="str">
        <f aca="false">IF($AJ283=0,"",IF(INDEX(입력_측정!$D$5:$D$1004,$AJ283)="","",INDEX(입력_측정!$D$5:$D$1004,$AJ283)))</f>
        <v/>
      </c>
      <c r="U283" s="25" t="str">
        <f aca="false">IF($AJ283=0,"",IF(INDEX(입력_측정!$E$5:$E$1004,$AJ283)="","",INDEX(입력_측정!$E$5:$E$1004,$AJ283)))</f>
        <v/>
      </c>
      <c r="V283" s="25" t="str">
        <f aca="false">IF($AJ283=0,"",IF(INDEX(입력_측정!$F$5:$F$1004,$AJ283)="","",INDEX(입력_측정!$F$5:$F$1004,$AJ283)))</f>
        <v/>
      </c>
      <c r="W283" s="25" t="str">
        <f aca="false">IF($AK283=0,"",IF(INDEX(입력_상담!$D$5:$D$1004,$AK283)="","",INDEX(입력_상담!$D$5:$D$1004,$AK283)))</f>
        <v/>
      </c>
      <c r="X283" s="25" t="str">
        <f aca="false">IF($AJ283=0,"",IF(INDEX(입력_측정!$I$5:$I$1004,$AJ283)="","",INDEX(입력_측정!$I$5:$I$1004,$AJ283)))</f>
        <v/>
      </c>
      <c r="Y283" s="25" t="str">
        <f aca="false">IF($AJ283=0,"",IF(INDEX(입력_측정!$J$5:$J$1004,$AJ283)="","",INDEX(입력_측정!$J$5:$J$1004,$AJ283)))</f>
        <v/>
      </c>
      <c r="Z283" s="25" t="str">
        <f aca="false">IF(OR(X283="긴급",LEFT(Y283,2)="긴급",W283="필요",W283="완료"),"대상","")</f>
        <v/>
      </c>
      <c r="AA283" s="59" t="str">
        <f aca="false">IF(M283&lt;&gt;"",M283,IF(AK283&gt;0,IF(W283="필요","추가상담 대기","완료"),IF(AJ283&gt;0,"결과상담 대기",IF(AI283&gt;0,"측정 대기","미방문"))))</f>
        <v>미방문</v>
      </c>
      <c r="AB283" s="60" t="str">
        <f aca="false">IF($AI283=0,"",IF(INDEX(입력_운동!$A$5:$A$1004,$AI283)="","",INDEX(입력_운동!$A$5:$A$1004,$AI283)))</f>
        <v/>
      </c>
      <c r="AC283" s="60" t="str">
        <f aca="false">IF($AJ283=0,"",IF(INDEX(입력_측정!$A$5:$A$1004,$AJ283)="","",INDEX(입력_측정!$A$5:$A$1004,$AJ283)))</f>
        <v/>
      </c>
      <c r="AD283" s="60" t="str">
        <f aca="false">IF($AK283=0,"",IF(INDEX(입력_상담!$A$5:$A$1004,$AK283)="","",INDEX(입력_상담!$A$5:$A$1004,$AK283)))</f>
        <v/>
      </c>
      <c r="AE283" s="25" t="str">
        <f aca="false">IF(AND(ISNUMBER(AB283),ISNUMBER(AC283)),IF(AC283&gt;=AB283,ROUND((AC283-AB283)*1440,0),""),"")</f>
        <v/>
      </c>
      <c r="AF283" s="25" t="str">
        <f aca="false">IF(AND(ISNUMBER(AC283),ISNUMBER(AD283)),IF(AD283&gt;=AC283,ROUND((AD283-AC283)*1440,0),""),"")</f>
        <v/>
      </c>
      <c r="AG283" s="25" t="str">
        <f aca="false">IF(AND(AA283="완료",ISNUMBER(AB283),ISNUMBER(AD283)),IF(AD283&gt;=AB283,ROUND((AD283-AB283)*1440,0),""),"")</f>
        <v/>
      </c>
      <c r="AH283" s="61" t="str">
        <f aca="false">IF(AND(AK283&gt;0,AJ283=0),"측정 기록 없음",IF(AND(AJ283&gt;0,AI283=0),"운동평가 기록 없음",IF(OR(COUNTIF(입력_운동!$B$5:$B$1004,$A283)&gt;1,COUNTIF(입력_측정!$B$5:$B$1004,$A283)&gt;1),"중복 입력","")))</f>
        <v/>
      </c>
      <c r="AI283" s="62" t="n">
        <f aca="false">SUMPRODUCT(MAX((입력_운동!$B$5:$B$1004=$A283)*(ROW(입력_운동!$B$5:$B$1004)-4)))</f>
        <v>0</v>
      </c>
      <c r="AJ283" s="62" t="n">
        <f aca="false">SUMPRODUCT(MAX((입력_측정!$B$5:$B$1004=$A283)*(ROW(입력_측정!$B$5:$B$1004)-4)))</f>
        <v>0</v>
      </c>
      <c r="AK283" s="62" t="n">
        <f aca="false">SUMPRODUCT(MAX((입력_상담!$B$5:$B$1004=$A283)*(ROW(입력_상담!$B$5:$B$1004)-4)))</f>
        <v>0</v>
      </c>
    </row>
    <row r="284" customFormat="false" ht="15" hidden="false" customHeight="false" outlineLevel="0" collapsed="false">
      <c r="A284" s="55" t="n">
        <v>280</v>
      </c>
      <c r="B284" s="56"/>
      <c r="C284" s="24"/>
      <c r="D284" s="24"/>
      <c r="E284" s="56"/>
      <c r="F284" s="57"/>
      <c r="G284" s="58"/>
      <c r="H284" s="56"/>
      <c r="I284" s="24"/>
      <c r="J284" s="24"/>
      <c r="K284" s="24"/>
      <c r="L284" s="24"/>
      <c r="M284" s="24"/>
      <c r="N284" s="56"/>
      <c r="O284" s="25" t="str">
        <f aca="false">IF($AI284=0,"",IF(INDEX(입력_운동!$C$5:$C$1004,$AI284)="","",INDEX(입력_운동!$C$5:$C$1004,$AI284)))</f>
        <v/>
      </c>
      <c r="P284" s="25" t="str">
        <f aca="false">IF($AI284=0,"",IF(INDEX(입력_운동!$D$5:$D$1004,$AI284)="","",INDEX(입력_운동!$D$5:$D$1004,$AI284)))</f>
        <v/>
      </c>
      <c r="Q284" s="25" t="str">
        <f aca="false">IF($AI284=0,"",IF(INDEX(입력_운동!$E$5:$E$1004,$AI284)="","",INDEX(입력_운동!$E$5:$E$1004,$AI284)))</f>
        <v/>
      </c>
      <c r="R284" s="25" t="str">
        <f aca="false">IF($AI284=0,"",IF(INDEX(입력_운동!$F$5:$F$1004,$AI284)="","",INDEX(입력_운동!$F$5:$F$1004,$AI284)))</f>
        <v/>
      </c>
      <c r="S284" s="25" t="str">
        <f aca="false">IF($AJ284=0,"",IF(INDEX(입력_측정!$C$5:$C$1004,$AJ284)="","",INDEX(입력_측정!$C$5:$C$1004,$AJ284)))</f>
        <v/>
      </c>
      <c r="T284" s="25" t="str">
        <f aca="false">IF($AJ284=0,"",IF(INDEX(입력_측정!$D$5:$D$1004,$AJ284)="","",INDEX(입력_측정!$D$5:$D$1004,$AJ284)))</f>
        <v/>
      </c>
      <c r="U284" s="25" t="str">
        <f aca="false">IF($AJ284=0,"",IF(INDEX(입력_측정!$E$5:$E$1004,$AJ284)="","",INDEX(입력_측정!$E$5:$E$1004,$AJ284)))</f>
        <v/>
      </c>
      <c r="V284" s="25" t="str">
        <f aca="false">IF($AJ284=0,"",IF(INDEX(입력_측정!$F$5:$F$1004,$AJ284)="","",INDEX(입력_측정!$F$5:$F$1004,$AJ284)))</f>
        <v/>
      </c>
      <c r="W284" s="25" t="str">
        <f aca="false">IF($AK284=0,"",IF(INDEX(입력_상담!$D$5:$D$1004,$AK284)="","",INDEX(입력_상담!$D$5:$D$1004,$AK284)))</f>
        <v/>
      </c>
      <c r="X284" s="25" t="str">
        <f aca="false">IF($AJ284=0,"",IF(INDEX(입력_측정!$I$5:$I$1004,$AJ284)="","",INDEX(입력_측정!$I$5:$I$1004,$AJ284)))</f>
        <v/>
      </c>
      <c r="Y284" s="25" t="str">
        <f aca="false">IF($AJ284=0,"",IF(INDEX(입력_측정!$J$5:$J$1004,$AJ284)="","",INDEX(입력_측정!$J$5:$J$1004,$AJ284)))</f>
        <v/>
      </c>
      <c r="Z284" s="25" t="str">
        <f aca="false">IF(OR(X284="긴급",LEFT(Y284,2)="긴급",W284="필요",W284="완료"),"대상","")</f>
        <v/>
      </c>
      <c r="AA284" s="59" t="str">
        <f aca="false">IF(M284&lt;&gt;"",M284,IF(AK284&gt;0,IF(W284="필요","추가상담 대기","완료"),IF(AJ284&gt;0,"결과상담 대기",IF(AI284&gt;0,"측정 대기","미방문"))))</f>
        <v>미방문</v>
      </c>
      <c r="AB284" s="60" t="str">
        <f aca="false">IF($AI284=0,"",IF(INDEX(입력_운동!$A$5:$A$1004,$AI284)="","",INDEX(입력_운동!$A$5:$A$1004,$AI284)))</f>
        <v/>
      </c>
      <c r="AC284" s="60" t="str">
        <f aca="false">IF($AJ284=0,"",IF(INDEX(입력_측정!$A$5:$A$1004,$AJ284)="","",INDEX(입력_측정!$A$5:$A$1004,$AJ284)))</f>
        <v/>
      </c>
      <c r="AD284" s="60" t="str">
        <f aca="false">IF($AK284=0,"",IF(INDEX(입력_상담!$A$5:$A$1004,$AK284)="","",INDEX(입력_상담!$A$5:$A$1004,$AK284)))</f>
        <v/>
      </c>
      <c r="AE284" s="25" t="str">
        <f aca="false">IF(AND(ISNUMBER(AB284),ISNUMBER(AC284)),IF(AC284&gt;=AB284,ROUND((AC284-AB284)*1440,0),""),"")</f>
        <v/>
      </c>
      <c r="AF284" s="25" t="str">
        <f aca="false">IF(AND(ISNUMBER(AC284),ISNUMBER(AD284)),IF(AD284&gt;=AC284,ROUND((AD284-AC284)*1440,0),""),"")</f>
        <v/>
      </c>
      <c r="AG284" s="25" t="str">
        <f aca="false">IF(AND(AA284="완료",ISNUMBER(AB284),ISNUMBER(AD284)),IF(AD284&gt;=AB284,ROUND((AD284-AB284)*1440,0),""),"")</f>
        <v/>
      </c>
      <c r="AH284" s="61" t="str">
        <f aca="false">IF(AND(AK284&gt;0,AJ284=0),"측정 기록 없음",IF(AND(AJ284&gt;0,AI284=0),"운동평가 기록 없음",IF(OR(COUNTIF(입력_운동!$B$5:$B$1004,$A284)&gt;1,COUNTIF(입력_측정!$B$5:$B$1004,$A284)&gt;1),"중복 입력","")))</f>
        <v/>
      </c>
      <c r="AI284" s="62" t="n">
        <f aca="false">SUMPRODUCT(MAX((입력_운동!$B$5:$B$1004=$A284)*(ROW(입력_운동!$B$5:$B$1004)-4)))</f>
        <v>0</v>
      </c>
      <c r="AJ284" s="62" t="n">
        <f aca="false">SUMPRODUCT(MAX((입력_측정!$B$5:$B$1004=$A284)*(ROW(입력_측정!$B$5:$B$1004)-4)))</f>
        <v>0</v>
      </c>
      <c r="AK284" s="62" t="n">
        <f aca="false">SUMPRODUCT(MAX((입력_상담!$B$5:$B$1004=$A284)*(ROW(입력_상담!$B$5:$B$1004)-4)))</f>
        <v>0</v>
      </c>
    </row>
    <row r="285" customFormat="false" ht="15" hidden="false" customHeight="false" outlineLevel="0" collapsed="false">
      <c r="A285" s="55" t="n">
        <v>281</v>
      </c>
      <c r="B285" s="56"/>
      <c r="C285" s="24"/>
      <c r="D285" s="24"/>
      <c r="E285" s="56"/>
      <c r="F285" s="57"/>
      <c r="G285" s="58"/>
      <c r="H285" s="56"/>
      <c r="I285" s="24"/>
      <c r="J285" s="24"/>
      <c r="K285" s="24"/>
      <c r="L285" s="24"/>
      <c r="M285" s="24"/>
      <c r="N285" s="56"/>
      <c r="O285" s="25" t="str">
        <f aca="false">IF($AI285=0,"",IF(INDEX(입력_운동!$C$5:$C$1004,$AI285)="","",INDEX(입력_운동!$C$5:$C$1004,$AI285)))</f>
        <v/>
      </c>
      <c r="P285" s="25" t="str">
        <f aca="false">IF($AI285=0,"",IF(INDEX(입력_운동!$D$5:$D$1004,$AI285)="","",INDEX(입력_운동!$D$5:$D$1004,$AI285)))</f>
        <v/>
      </c>
      <c r="Q285" s="25" t="str">
        <f aca="false">IF($AI285=0,"",IF(INDEX(입력_운동!$E$5:$E$1004,$AI285)="","",INDEX(입력_운동!$E$5:$E$1004,$AI285)))</f>
        <v/>
      </c>
      <c r="R285" s="25" t="str">
        <f aca="false">IF($AI285=0,"",IF(INDEX(입력_운동!$F$5:$F$1004,$AI285)="","",INDEX(입력_운동!$F$5:$F$1004,$AI285)))</f>
        <v/>
      </c>
      <c r="S285" s="25" t="str">
        <f aca="false">IF($AJ285=0,"",IF(INDEX(입력_측정!$C$5:$C$1004,$AJ285)="","",INDEX(입력_측정!$C$5:$C$1004,$AJ285)))</f>
        <v/>
      </c>
      <c r="T285" s="25" t="str">
        <f aca="false">IF($AJ285=0,"",IF(INDEX(입력_측정!$D$5:$D$1004,$AJ285)="","",INDEX(입력_측정!$D$5:$D$1004,$AJ285)))</f>
        <v/>
      </c>
      <c r="U285" s="25" t="str">
        <f aca="false">IF($AJ285=0,"",IF(INDEX(입력_측정!$E$5:$E$1004,$AJ285)="","",INDEX(입력_측정!$E$5:$E$1004,$AJ285)))</f>
        <v/>
      </c>
      <c r="V285" s="25" t="str">
        <f aca="false">IF($AJ285=0,"",IF(INDEX(입력_측정!$F$5:$F$1004,$AJ285)="","",INDEX(입력_측정!$F$5:$F$1004,$AJ285)))</f>
        <v/>
      </c>
      <c r="W285" s="25" t="str">
        <f aca="false">IF($AK285=0,"",IF(INDEX(입력_상담!$D$5:$D$1004,$AK285)="","",INDEX(입력_상담!$D$5:$D$1004,$AK285)))</f>
        <v/>
      </c>
      <c r="X285" s="25" t="str">
        <f aca="false">IF($AJ285=0,"",IF(INDEX(입력_측정!$I$5:$I$1004,$AJ285)="","",INDEX(입력_측정!$I$5:$I$1004,$AJ285)))</f>
        <v/>
      </c>
      <c r="Y285" s="25" t="str">
        <f aca="false">IF($AJ285=0,"",IF(INDEX(입력_측정!$J$5:$J$1004,$AJ285)="","",INDEX(입력_측정!$J$5:$J$1004,$AJ285)))</f>
        <v/>
      </c>
      <c r="Z285" s="25" t="str">
        <f aca="false">IF(OR(X285="긴급",LEFT(Y285,2)="긴급",W285="필요",W285="완료"),"대상","")</f>
        <v/>
      </c>
      <c r="AA285" s="59" t="str">
        <f aca="false">IF(M285&lt;&gt;"",M285,IF(AK285&gt;0,IF(W285="필요","추가상담 대기","완료"),IF(AJ285&gt;0,"결과상담 대기",IF(AI285&gt;0,"측정 대기","미방문"))))</f>
        <v>미방문</v>
      </c>
      <c r="AB285" s="60" t="str">
        <f aca="false">IF($AI285=0,"",IF(INDEX(입력_운동!$A$5:$A$1004,$AI285)="","",INDEX(입력_운동!$A$5:$A$1004,$AI285)))</f>
        <v/>
      </c>
      <c r="AC285" s="60" t="str">
        <f aca="false">IF($AJ285=0,"",IF(INDEX(입력_측정!$A$5:$A$1004,$AJ285)="","",INDEX(입력_측정!$A$5:$A$1004,$AJ285)))</f>
        <v/>
      </c>
      <c r="AD285" s="60" t="str">
        <f aca="false">IF($AK285=0,"",IF(INDEX(입력_상담!$A$5:$A$1004,$AK285)="","",INDEX(입력_상담!$A$5:$A$1004,$AK285)))</f>
        <v/>
      </c>
      <c r="AE285" s="25" t="str">
        <f aca="false">IF(AND(ISNUMBER(AB285),ISNUMBER(AC285)),IF(AC285&gt;=AB285,ROUND((AC285-AB285)*1440,0),""),"")</f>
        <v/>
      </c>
      <c r="AF285" s="25" t="str">
        <f aca="false">IF(AND(ISNUMBER(AC285),ISNUMBER(AD285)),IF(AD285&gt;=AC285,ROUND((AD285-AC285)*1440,0),""),"")</f>
        <v/>
      </c>
      <c r="AG285" s="25" t="str">
        <f aca="false">IF(AND(AA285="완료",ISNUMBER(AB285),ISNUMBER(AD285)),IF(AD285&gt;=AB285,ROUND((AD285-AB285)*1440,0),""),"")</f>
        <v/>
      </c>
      <c r="AH285" s="61" t="str">
        <f aca="false">IF(AND(AK285&gt;0,AJ285=0),"측정 기록 없음",IF(AND(AJ285&gt;0,AI285=0),"운동평가 기록 없음",IF(OR(COUNTIF(입력_운동!$B$5:$B$1004,$A285)&gt;1,COUNTIF(입력_측정!$B$5:$B$1004,$A285)&gt;1),"중복 입력","")))</f>
        <v/>
      </c>
      <c r="AI285" s="62" t="n">
        <f aca="false">SUMPRODUCT(MAX((입력_운동!$B$5:$B$1004=$A285)*(ROW(입력_운동!$B$5:$B$1004)-4)))</f>
        <v>0</v>
      </c>
      <c r="AJ285" s="62" t="n">
        <f aca="false">SUMPRODUCT(MAX((입력_측정!$B$5:$B$1004=$A285)*(ROW(입력_측정!$B$5:$B$1004)-4)))</f>
        <v>0</v>
      </c>
      <c r="AK285" s="62" t="n">
        <f aca="false">SUMPRODUCT(MAX((입력_상담!$B$5:$B$1004=$A285)*(ROW(입력_상담!$B$5:$B$1004)-4)))</f>
        <v>0</v>
      </c>
    </row>
    <row r="286" customFormat="false" ht="15" hidden="false" customHeight="false" outlineLevel="0" collapsed="false">
      <c r="A286" s="55" t="n">
        <v>282</v>
      </c>
      <c r="B286" s="56"/>
      <c r="C286" s="24"/>
      <c r="D286" s="24"/>
      <c r="E286" s="56"/>
      <c r="F286" s="57"/>
      <c r="G286" s="58"/>
      <c r="H286" s="56"/>
      <c r="I286" s="24"/>
      <c r="J286" s="24"/>
      <c r="K286" s="24"/>
      <c r="L286" s="24"/>
      <c r="M286" s="24"/>
      <c r="N286" s="56"/>
      <c r="O286" s="25" t="str">
        <f aca="false">IF($AI286=0,"",IF(INDEX(입력_운동!$C$5:$C$1004,$AI286)="","",INDEX(입력_운동!$C$5:$C$1004,$AI286)))</f>
        <v/>
      </c>
      <c r="P286" s="25" t="str">
        <f aca="false">IF($AI286=0,"",IF(INDEX(입력_운동!$D$5:$D$1004,$AI286)="","",INDEX(입력_운동!$D$5:$D$1004,$AI286)))</f>
        <v/>
      </c>
      <c r="Q286" s="25" t="str">
        <f aca="false">IF($AI286=0,"",IF(INDEX(입력_운동!$E$5:$E$1004,$AI286)="","",INDEX(입력_운동!$E$5:$E$1004,$AI286)))</f>
        <v/>
      </c>
      <c r="R286" s="25" t="str">
        <f aca="false">IF($AI286=0,"",IF(INDEX(입력_운동!$F$5:$F$1004,$AI286)="","",INDEX(입력_운동!$F$5:$F$1004,$AI286)))</f>
        <v/>
      </c>
      <c r="S286" s="25" t="str">
        <f aca="false">IF($AJ286=0,"",IF(INDEX(입력_측정!$C$5:$C$1004,$AJ286)="","",INDEX(입력_측정!$C$5:$C$1004,$AJ286)))</f>
        <v/>
      </c>
      <c r="T286" s="25" t="str">
        <f aca="false">IF($AJ286=0,"",IF(INDEX(입력_측정!$D$5:$D$1004,$AJ286)="","",INDEX(입력_측정!$D$5:$D$1004,$AJ286)))</f>
        <v/>
      </c>
      <c r="U286" s="25" t="str">
        <f aca="false">IF($AJ286=0,"",IF(INDEX(입력_측정!$E$5:$E$1004,$AJ286)="","",INDEX(입력_측정!$E$5:$E$1004,$AJ286)))</f>
        <v/>
      </c>
      <c r="V286" s="25" t="str">
        <f aca="false">IF($AJ286=0,"",IF(INDEX(입력_측정!$F$5:$F$1004,$AJ286)="","",INDEX(입력_측정!$F$5:$F$1004,$AJ286)))</f>
        <v/>
      </c>
      <c r="W286" s="25" t="str">
        <f aca="false">IF($AK286=0,"",IF(INDEX(입력_상담!$D$5:$D$1004,$AK286)="","",INDEX(입력_상담!$D$5:$D$1004,$AK286)))</f>
        <v/>
      </c>
      <c r="X286" s="25" t="str">
        <f aca="false">IF($AJ286=0,"",IF(INDEX(입력_측정!$I$5:$I$1004,$AJ286)="","",INDEX(입력_측정!$I$5:$I$1004,$AJ286)))</f>
        <v/>
      </c>
      <c r="Y286" s="25" t="str">
        <f aca="false">IF($AJ286=0,"",IF(INDEX(입력_측정!$J$5:$J$1004,$AJ286)="","",INDEX(입력_측정!$J$5:$J$1004,$AJ286)))</f>
        <v/>
      </c>
      <c r="Z286" s="25" t="str">
        <f aca="false">IF(OR(X286="긴급",LEFT(Y286,2)="긴급",W286="필요",W286="완료"),"대상","")</f>
        <v/>
      </c>
      <c r="AA286" s="59" t="str">
        <f aca="false">IF(M286&lt;&gt;"",M286,IF(AK286&gt;0,IF(W286="필요","추가상담 대기","완료"),IF(AJ286&gt;0,"결과상담 대기",IF(AI286&gt;0,"측정 대기","미방문"))))</f>
        <v>미방문</v>
      </c>
      <c r="AB286" s="60" t="str">
        <f aca="false">IF($AI286=0,"",IF(INDEX(입력_운동!$A$5:$A$1004,$AI286)="","",INDEX(입력_운동!$A$5:$A$1004,$AI286)))</f>
        <v/>
      </c>
      <c r="AC286" s="60" t="str">
        <f aca="false">IF($AJ286=0,"",IF(INDEX(입력_측정!$A$5:$A$1004,$AJ286)="","",INDEX(입력_측정!$A$5:$A$1004,$AJ286)))</f>
        <v/>
      </c>
      <c r="AD286" s="60" t="str">
        <f aca="false">IF($AK286=0,"",IF(INDEX(입력_상담!$A$5:$A$1004,$AK286)="","",INDEX(입력_상담!$A$5:$A$1004,$AK286)))</f>
        <v/>
      </c>
      <c r="AE286" s="25" t="str">
        <f aca="false">IF(AND(ISNUMBER(AB286),ISNUMBER(AC286)),IF(AC286&gt;=AB286,ROUND((AC286-AB286)*1440,0),""),"")</f>
        <v/>
      </c>
      <c r="AF286" s="25" t="str">
        <f aca="false">IF(AND(ISNUMBER(AC286),ISNUMBER(AD286)),IF(AD286&gt;=AC286,ROUND((AD286-AC286)*1440,0),""),"")</f>
        <v/>
      </c>
      <c r="AG286" s="25" t="str">
        <f aca="false">IF(AND(AA286="완료",ISNUMBER(AB286),ISNUMBER(AD286)),IF(AD286&gt;=AB286,ROUND((AD286-AB286)*1440,0),""),"")</f>
        <v/>
      </c>
      <c r="AH286" s="61" t="str">
        <f aca="false">IF(AND(AK286&gt;0,AJ286=0),"측정 기록 없음",IF(AND(AJ286&gt;0,AI286=0),"운동평가 기록 없음",IF(OR(COUNTIF(입력_운동!$B$5:$B$1004,$A286)&gt;1,COUNTIF(입력_측정!$B$5:$B$1004,$A286)&gt;1),"중복 입력","")))</f>
        <v/>
      </c>
      <c r="AI286" s="62" t="n">
        <f aca="false">SUMPRODUCT(MAX((입력_운동!$B$5:$B$1004=$A286)*(ROW(입력_운동!$B$5:$B$1004)-4)))</f>
        <v>0</v>
      </c>
      <c r="AJ286" s="62" t="n">
        <f aca="false">SUMPRODUCT(MAX((입력_측정!$B$5:$B$1004=$A286)*(ROW(입력_측정!$B$5:$B$1004)-4)))</f>
        <v>0</v>
      </c>
      <c r="AK286" s="62" t="n">
        <f aca="false">SUMPRODUCT(MAX((입력_상담!$B$5:$B$1004=$A286)*(ROW(입력_상담!$B$5:$B$1004)-4)))</f>
        <v>0</v>
      </c>
    </row>
    <row r="287" customFormat="false" ht="15" hidden="false" customHeight="false" outlineLevel="0" collapsed="false">
      <c r="A287" s="55" t="n">
        <v>283</v>
      </c>
      <c r="B287" s="56"/>
      <c r="C287" s="24"/>
      <c r="D287" s="24"/>
      <c r="E287" s="56"/>
      <c r="F287" s="57"/>
      <c r="G287" s="58"/>
      <c r="H287" s="56"/>
      <c r="I287" s="24"/>
      <c r="J287" s="24"/>
      <c r="K287" s="24"/>
      <c r="L287" s="24"/>
      <c r="M287" s="24"/>
      <c r="N287" s="56"/>
      <c r="O287" s="25" t="str">
        <f aca="false">IF($AI287=0,"",IF(INDEX(입력_운동!$C$5:$C$1004,$AI287)="","",INDEX(입력_운동!$C$5:$C$1004,$AI287)))</f>
        <v/>
      </c>
      <c r="P287" s="25" t="str">
        <f aca="false">IF($AI287=0,"",IF(INDEX(입력_운동!$D$5:$D$1004,$AI287)="","",INDEX(입력_운동!$D$5:$D$1004,$AI287)))</f>
        <v/>
      </c>
      <c r="Q287" s="25" t="str">
        <f aca="false">IF($AI287=0,"",IF(INDEX(입력_운동!$E$5:$E$1004,$AI287)="","",INDEX(입력_운동!$E$5:$E$1004,$AI287)))</f>
        <v/>
      </c>
      <c r="R287" s="25" t="str">
        <f aca="false">IF($AI287=0,"",IF(INDEX(입력_운동!$F$5:$F$1004,$AI287)="","",INDEX(입력_운동!$F$5:$F$1004,$AI287)))</f>
        <v/>
      </c>
      <c r="S287" s="25" t="str">
        <f aca="false">IF($AJ287=0,"",IF(INDEX(입력_측정!$C$5:$C$1004,$AJ287)="","",INDEX(입력_측정!$C$5:$C$1004,$AJ287)))</f>
        <v/>
      </c>
      <c r="T287" s="25" t="str">
        <f aca="false">IF($AJ287=0,"",IF(INDEX(입력_측정!$D$5:$D$1004,$AJ287)="","",INDEX(입력_측정!$D$5:$D$1004,$AJ287)))</f>
        <v/>
      </c>
      <c r="U287" s="25" t="str">
        <f aca="false">IF($AJ287=0,"",IF(INDEX(입력_측정!$E$5:$E$1004,$AJ287)="","",INDEX(입력_측정!$E$5:$E$1004,$AJ287)))</f>
        <v/>
      </c>
      <c r="V287" s="25" t="str">
        <f aca="false">IF($AJ287=0,"",IF(INDEX(입력_측정!$F$5:$F$1004,$AJ287)="","",INDEX(입력_측정!$F$5:$F$1004,$AJ287)))</f>
        <v/>
      </c>
      <c r="W287" s="25" t="str">
        <f aca="false">IF($AK287=0,"",IF(INDEX(입력_상담!$D$5:$D$1004,$AK287)="","",INDEX(입력_상담!$D$5:$D$1004,$AK287)))</f>
        <v/>
      </c>
      <c r="X287" s="25" t="str">
        <f aca="false">IF($AJ287=0,"",IF(INDEX(입력_측정!$I$5:$I$1004,$AJ287)="","",INDEX(입력_측정!$I$5:$I$1004,$AJ287)))</f>
        <v/>
      </c>
      <c r="Y287" s="25" t="str">
        <f aca="false">IF($AJ287=0,"",IF(INDEX(입력_측정!$J$5:$J$1004,$AJ287)="","",INDEX(입력_측정!$J$5:$J$1004,$AJ287)))</f>
        <v/>
      </c>
      <c r="Z287" s="25" t="str">
        <f aca="false">IF(OR(X287="긴급",LEFT(Y287,2)="긴급",W287="필요",W287="완료"),"대상","")</f>
        <v/>
      </c>
      <c r="AA287" s="59" t="str">
        <f aca="false">IF(M287&lt;&gt;"",M287,IF(AK287&gt;0,IF(W287="필요","추가상담 대기","완료"),IF(AJ287&gt;0,"결과상담 대기",IF(AI287&gt;0,"측정 대기","미방문"))))</f>
        <v>미방문</v>
      </c>
      <c r="AB287" s="60" t="str">
        <f aca="false">IF($AI287=0,"",IF(INDEX(입력_운동!$A$5:$A$1004,$AI287)="","",INDEX(입력_운동!$A$5:$A$1004,$AI287)))</f>
        <v/>
      </c>
      <c r="AC287" s="60" t="str">
        <f aca="false">IF($AJ287=0,"",IF(INDEX(입력_측정!$A$5:$A$1004,$AJ287)="","",INDEX(입력_측정!$A$5:$A$1004,$AJ287)))</f>
        <v/>
      </c>
      <c r="AD287" s="60" t="str">
        <f aca="false">IF($AK287=0,"",IF(INDEX(입력_상담!$A$5:$A$1004,$AK287)="","",INDEX(입력_상담!$A$5:$A$1004,$AK287)))</f>
        <v/>
      </c>
      <c r="AE287" s="25" t="str">
        <f aca="false">IF(AND(ISNUMBER(AB287),ISNUMBER(AC287)),IF(AC287&gt;=AB287,ROUND((AC287-AB287)*1440,0),""),"")</f>
        <v/>
      </c>
      <c r="AF287" s="25" t="str">
        <f aca="false">IF(AND(ISNUMBER(AC287),ISNUMBER(AD287)),IF(AD287&gt;=AC287,ROUND((AD287-AC287)*1440,0),""),"")</f>
        <v/>
      </c>
      <c r="AG287" s="25" t="str">
        <f aca="false">IF(AND(AA287="완료",ISNUMBER(AB287),ISNUMBER(AD287)),IF(AD287&gt;=AB287,ROUND((AD287-AB287)*1440,0),""),"")</f>
        <v/>
      </c>
      <c r="AH287" s="61" t="str">
        <f aca="false">IF(AND(AK287&gt;0,AJ287=0),"측정 기록 없음",IF(AND(AJ287&gt;0,AI287=0),"운동평가 기록 없음",IF(OR(COUNTIF(입력_운동!$B$5:$B$1004,$A287)&gt;1,COUNTIF(입력_측정!$B$5:$B$1004,$A287)&gt;1),"중복 입력","")))</f>
        <v/>
      </c>
      <c r="AI287" s="62" t="n">
        <f aca="false">SUMPRODUCT(MAX((입력_운동!$B$5:$B$1004=$A287)*(ROW(입력_운동!$B$5:$B$1004)-4)))</f>
        <v>0</v>
      </c>
      <c r="AJ287" s="62" t="n">
        <f aca="false">SUMPRODUCT(MAX((입력_측정!$B$5:$B$1004=$A287)*(ROW(입력_측정!$B$5:$B$1004)-4)))</f>
        <v>0</v>
      </c>
      <c r="AK287" s="62" t="n">
        <f aca="false">SUMPRODUCT(MAX((입력_상담!$B$5:$B$1004=$A287)*(ROW(입력_상담!$B$5:$B$1004)-4)))</f>
        <v>0</v>
      </c>
    </row>
    <row r="288" customFormat="false" ht="15" hidden="false" customHeight="false" outlineLevel="0" collapsed="false">
      <c r="A288" s="55" t="n">
        <v>284</v>
      </c>
      <c r="B288" s="56"/>
      <c r="C288" s="24"/>
      <c r="D288" s="24"/>
      <c r="E288" s="56"/>
      <c r="F288" s="57"/>
      <c r="G288" s="58"/>
      <c r="H288" s="56"/>
      <c r="I288" s="24"/>
      <c r="J288" s="24"/>
      <c r="K288" s="24"/>
      <c r="L288" s="24"/>
      <c r="M288" s="24"/>
      <c r="N288" s="56"/>
      <c r="O288" s="25" t="str">
        <f aca="false">IF($AI288=0,"",IF(INDEX(입력_운동!$C$5:$C$1004,$AI288)="","",INDEX(입력_운동!$C$5:$C$1004,$AI288)))</f>
        <v/>
      </c>
      <c r="P288" s="25" t="str">
        <f aca="false">IF($AI288=0,"",IF(INDEX(입력_운동!$D$5:$D$1004,$AI288)="","",INDEX(입력_운동!$D$5:$D$1004,$AI288)))</f>
        <v/>
      </c>
      <c r="Q288" s="25" t="str">
        <f aca="false">IF($AI288=0,"",IF(INDEX(입력_운동!$E$5:$E$1004,$AI288)="","",INDEX(입력_운동!$E$5:$E$1004,$AI288)))</f>
        <v/>
      </c>
      <c r="R288" s="25" t="str">
        <f aca="false">IF($AI288=0,"",IF(INDEX(입력_운동!$F$5:$F$1004,$AI288)="","",INDEX(입력_운동!$F$5:$F$1004,$AI288)))</f>
        <v/>
      </c>
      <c r="S288" s="25" t="str">
        <f aca="false">IF($AJ288=0,"",IF(INDEX(입력_측정!$C$5:$C$1004,$AJ288)="","",INDEX(입력_측정!$C$5:$C$1004,$AJ288)))</f>
        <v/>
      </c>
      <c r="T288" s="25" t="str">
        <f aca="false">IF($AJ288=0,"",IF(INDEX(입력_측정!$D$5:$D$1004,$AJ288)="","",INDEX(입력_측정!$D$5:$D$1004,$AJ288)))</f>
        <v/>
      </c>
      <c r="U288" s="25" t="str">
        <f aca="false">IF($AJ288=0,"",IF(INDEX(입력_측정!$E$5:$E$1004,$AJ288)="","",INDEX(입력_측정!$E$5:$E$1004,$AJ288)))</f>
        <v/>
      </c>
      <c r="V288" s="25" t="str">
        <f aca="false">IF($AJ288=0,"",IF(INDEX(입력_측정!$F$5:$F$1004,$AJ288)="","",INDEX(입력_측정!$F$5:$F$1004,$AJ288)))</f>
        <v/>
      </c>
      <c r="W288" s="25" t="str">
        <f aca="false">IF($AK288=0,"",IF(INDEX(입력_상담!$D$5:$D$1004,$AK288)="","",INDEX(입력_상담!$D$5:$D$1004,$AK288)))</f>
        <v/>
      </c>
      <c r="X288" s="25" t="str">
        <f aca="false">IF($AJ288=0,"",IF(INDEX(입력_측정!$I$5:$I$1004,$AJ288)="","",INDEX(입력_측정!$I$5:$I$1004,$AJ288)))</f>
        <v/>
      </c>
      <c r="Y288" s="25" t="str">
        <f aca="false">IF($AJ288=0,"",IF(INDEX(입력_측정!$J$5:$J$1004,$AJ288)="","",INDEX(입력_측정!$J$5:$J$1004,$AJ288)))</f>
        <v/>
      </c>
      <c r="Z288" s="25" t="str">
        <f aca="false">IF(OR(X288="긴급",LEFT(Y288,2)="긴급",W288="필요",W288="완료"),"대상","")</f>
        <v/>
      </c>
      <c r="AA288" s="59" t="str">
        <f aca="false">IF(M288&lt;&gt;"",M288,IF(AK288&gt;0,IF(W288="필요","추가상담 대기","완료"),IF(AJ288&gt;0,"결과상담 대기",IF(AI288&gt;0,"측정 대기","미방문"))))</f>
        <v>미방문</v>
      </c>
      <c r="AB288" s="60" t="str">
        <f aca="false">IF($AI288=0,"",IF(INDEX(입력_운동!$A$5:$A$1004,$AI288)="","",INDEX(입력_운동!$A$5:$A$1004,$AI288)))</f>
        <v/>
      </c>
      <c r="AC288" s="60" t="str">
        <f aca="false">IF($AJ288=0,"",IF(INDEX(입력_측정!$A$5:$A$1004,$AJ288)="","",INDEX(입력_측정!$A$5:$A$1004,$AJ288)))</f>
        <v/>
      </c>
      <c r="AD288" s="60" t="str">
        <f aca="false">IF($AK288=0,"",IF(INDEX(입력_상담!$A$5:$A$1004,$AK288)="","",INDEX(입력_상담!$A$5:$A$1004,$AK288)))</f>
        <v/>
      </c>
      <c r="AE288" s="25" t="str">
        <f aca="false">IF(AND(ISNUMBER(AB288),ISNUMBER(AC288)),IF(AC288&gt;=AB288,ROUND((AC288-AB288)*1440,0),""),"")</f>
        <v/>
      </c>
      <c r="AF288" s="25" t="str">
        <f aca="false">IF(AND(ISNUMBER(AC288),ISNUMBER(AD288)),IF(AD288&gt;=AC288,ROUND((AD288-AC288)*1440,0),""),"")</f>
        <v/>
      </c>
      <c r="AG288" s="25" t="str">
        <f aca="false">IF(AND(AA288="완료",ISNUMBER(AB288),ISNUMBER(AD288)),IF(AD288&gt;=AB288,ROUND((AD288-AB288)*1440,0),""),"")</f>
        <v/>
      </c>
      <c r="AH288" s="61" t="str">
        <f aca="false">IF(AND(AK288&gt;0,AJ288=0),"측정 기록 없음",IF(AND(AJ288&gt;0,AI288=0),"운동평가 기록 없음",IF(OR(COUNTIF(입력_운동!$B$5:$B$1004,$A288)&gt;1,COUNTIF(입력_측정!$B$5:$B$1004,$A288)&gt;1),"중복 입력","")))</f>
        <v/>
      </c>
      <c r="AI288" s="62" t="n">
        <f aca="false">SUMPRODUCT(MAX((입력_운동!$B$5:$B$1004=$A288)*(ROW(입력_운동!$B$5:$B$1004)-4)))</f>
        <v>0</v>
      </c>
      <c r="AJ288" s="62" t="n">
        <f aca="false">SUMPRODUCT(MAX((입력_측정!$B$5:$B$1004=$A288)*(ROW(입력_측정!$B$5:$B$1004)-4)))</f>
        <v>0</v>
      </c>
      <c r="AK288" s="62" t="n">
        <f aca="false">SUMPRODUCT(MAX((입력_상담!$B$5:$B$1004=$A288)*(ROW(입력_상담!$B$5:$B$1004)-4)))</f>
        <v>0</v>
      </c>
    </row>
    <row r="289" customFormat="false" ht="15" hidden="false" customHeight="false" outlineLevel="0" collapsed="false">
      <c r="A289" s="55" t="n">
        <v>285</v>
      </c>
      <c r="B289" s="56"/>
      <c r="C289" s="24"/>
      <c r="D289" s="24"/>
      <c r="E289" s="56"/>
      <c r="F289" s="57"/>
      <c r="G289" s="58"/>
      <c r="H289" s="56"/>
      <c r="I289" s="24"/>
      <c r="J289" s="24"/>
      <c r="K289" s="24"/>
      <c r="L289" s="24"/>
      <c r="M289" s="24"/>
      <c r="N289" s="56"/>
      <c r="O289" s="25" t="str">
        <f aca="false">IF($AI289=0,"",IF(INDEX(입력_운동!$C$5:$C$1004,$AI289)="","",INDEX(입력_운동!$C$5:$C$1004,$AI289)))</f>
        <v/>
      </c>
      <c r="P289" s="25" t="str">
        <f aca="false">IF($AI289=0,"",IF(INDEX(입력_운동!$D$5:$D$1004,$AI289)="","",INDEX(입력_운동!$D$5:$D$1004,$AI289)))</f>
        <v/>
      </c>
      <c r="Q289" s="25" t="str">
        <f aca="false">IF($AI289=0,"",IF(INDEX(입력_운동!$E$5:$E$1004,$AI289)="","",INDEX(입력_운동!$E$5:$E$1004,$AI289)))</f>
        <v/>
      </c>
      <c r="R289" s="25" t="str">
        <f aca="false">IF($AI289=0,"",IF(INDEX(입력_운동!$F$5:$F$1004,$AI289)="","",INDEX(입력_운동!$F$5:$F$1004,$AI289)))</f>
        <v/>
      </c>
      <c r="S289" s="25" t="str">
        <f aca="false">IF($AJ289=0,"",IF(INDEX(입력_측정!$C$5:$C$1004,$AJ289)="","",INDEX(입력_측정!$C$5:$C$1004,$AJ289)))</f>
        <v/>
      </c>
      <c r="T289" s="25" t="str">
        <f aca="false">IF($AJ289=0,"",IF(INDEX(입력_측정!$D$5:$D$1004,$AJ289)="","",INDEX(입력_측정!$D$5:$D$1004,$AJ289)))</f>
        <v/>
      </c>
      <c r="U289" s="25" t="str">
        <f aca="false">IF($AJ289=0,"",IF(INDEX(입력_측정!$E$5:$E$1004,$AJ289)="","",INDEX(입력_측정!$E$5:$E$1004,$AJ289)))</f>
        <v/>
      </c>
      <c r="V289" s="25" t="str">
        <f aca="false">IF($AJ289=0,"",IF(INDEX(입력_측정!$F$5:$F$1004,$AJ289)="","",INDEX(입력_측정!$F$5:$F$1004,$AJ289)))</f>
        <v/>
      </c>
      <c r="W289" s="25" t="str">
        <f aca="false">IF($AK289=0,"",IF(INDEX(입력_상담!$D$5:$D$1004,$AK289)="","",INDEX(입력_상담!$D$5:$D$1004,$AK289)))</f>
        <v/>
      </c>
      <c r="X289" s="25" t="str">
        <f aca="false">IF($AJ289=0,"",IF(INDEX(입력_측정!$I$5:$I$1004,$AJ289)="","",INDEX(입력_측정!$I$5:$I$1004,$AJ289)))</f>
        <v/>
      </c>
      <c r="Y289" s="25" t="str">
        <f aca="false">IF($AJ289=0,"",IF(INDEX(입력_측정!$J$5:$J$1004,$AJ289)="","",INDEX(입력_측정!$J$5:$J$1004,$AJ289)))</f>
        <v/>
      </c>
      <c r="Z289" s="25" t="str">
        <f aca="false">IF(OR(X289="긴급",LEFT(Y289,2)="긴급",W289="필요",W289="완료"),"대상","")</f>
        <v/>
      </c>
      <c r="AA289" s="59" t="str">
        <f aca="false">IF(M289&lt;&gt;"",M289,IF(AK289&gt;0,IF(W289="필요","추가상담 대기","완료"),IF(AJ289&gt;0,"결과상담 대기",IF(AI289&gt;0,"측정 대기","미방문"))))</f>
        <v>미방문</v>
      </c>
      <c r="AB289" s="60" t="str">
        <f aca="false">IF($AI289=0,"",IF(INDEX(입력_운동!$A$5:$A$1004,$AI289)="","",INDEX(입력_운동!$A$5:$A$1004,$AI289)))</f>
        <v/>
      </c>
      <c r="AC289" s="60" t="str">
        <f aca="false">IF($AJ289=0,"",IF(INDEX(입력_측정!$A$5:$A$1004,$AJ289)="","",INDEX(입력_측정!$A$5:$A$1004,$AJ289)))</f>
        <v/>
      </c>
      <c r="AD289" s="60" t="str">
        <f aca="false">IF($AK289=0,"",IF(INDEX(입력_상담!$A$5:$A$1004,$AK289)="","",INDEX(입력_상담!$A$5:$A$1004,$AK289)))</f>
        <v/>
      </c>
      <c r="AE289" s="25" t="str">
        <f aca="false">IF(AND(ISNUMBER(AB289),ISNUMBER(AC289)),IF(AC289&gt;=AB289,ROUND((AC289-AB289)*1440,0),""),"")</f>
        <v/>
      </c>
      <c r="AF289" s="25" t="str">
        <f aca="false">IF(AND(ISNUMBER(AC289),ISNUMBER(AD289)),IF(AD289&gt;=AC289,ROUND((AD289-AC289)*1440,0),""),"")</f>
        <v/>
      </c>
      <c r="AG289" s="25" t="str">
        <f aca="false">IF(AND(AA289="완료",ISNUMBER(AB289),ISNUMBER(AD289)),IF(AD289&gt;=AB289,ROUND((AD289-AB289)*1440,0),""),"")</f>
        <v/>
      </c>
      <c r="AH289" s="61" t="str">
        <f aca="false">IF(AND(AK289&gt;0,AJ289=0),"측정 기록 없음",IF(AND(AJ289&gt;0,AI289=0),"운동평가 기록 없음",IF(OR(COUNTIF(입력_운동!$B$5:$B$1004,$A289)&gt;1,COUNTIF(입력_측정!$B$5:$B$1004,$A289)&gt;1),"중복 입력","")))</f>
        <v/>
      </c>
      <c r="AI289" s="62" t="n">
        <f aca="false">SUMPRODUCT(MAX((입력_운동!$B$5:$B$1004=$A289)*(ROW(입력_운동!$B$5:$B$1004)-4)))</f>
        <v>0</v>
      </c>
      <c r="AJ289" s="62" t="n">
        <f aca="false">SUMPRODUCT(MAX((입력_측정!$B$5:$B$1004=$A289)*(ROW(입력_측정!$B$5:$B$1004)-4)))</f>
        <v>0</v>
      </c>
      <c r="AK289" s="62" t="n">
        <f aca="false">SUMPRODUCT(MAX((입력_상담!$B$5:$B$1004=$A289)*(ROW(입력_상담!$B$5:$B$1004)-4)))</f>
        <v>0</v>
      </c>
    </row>
    <row r="290" customFormat="false" ht="15" hidden="false" customHeight="false" outlineLevel="0" collapsed="false">
      <c r="A290" s="55" t="n">
        <v>286</v>
      </c>
      <c r="B290" s="56"/>
      <c r="C290" s="24"/>
      <c r="D290" s="24"/>
      <c r="E290" s="56"/>
      <c r="F290" s="57"/>
      <c r="G290" s="58"/>
      <c r="H290" s="56"/>
      <c r="I290" s="24"/>
      <c r="J290" s="24"/>
      <c r="K290" s="24"/>
      <c r="L290" s="24"/>
      <c r="M290" s="24"/>
      <c r="N290" s="56"/>
      <c r="O290" s="25" t="str">
        <f aca="false">IF($AI290=0,"",IF(INDEX(입력_운동!$C$5:$C$1004,$AI290)="","",INDEX(입력_운동!$C$5:$C$1004,$AI290)))</f>
        <v/>
      </c>
      <c r="P290" s="25" t="str">
        <f aca="false">IF($AI290=0,"",IF(INDEX(입력_운동!$D$5:$D$1004,$AI290)="","",INDEX(입력_운동!$D$5:$D$1004,$AI290)))</f>
        <v/>
      </c>
      <c r="Q290" s="25" t="str">
        <f aca="false">IF($AI290=0,"",IF(INDEX(입력_운동!$E$5:$E$1004,$AI290)="","",INDEX(입력_운동!$E$5:$E$1004,$AI290)))</f>
        <v/>
      </c>
      <c r="R290" s="25" t="str">
        <f aca="false">IF($AI290=0,"",IF(INDEX(입력_운동!$F$5:$F$1004,$AI290)="","",INDEX(입력_운동!$F$5:$F$1004,$AI290)))</f>
        <v/>
      </c>
      <c r="S290" s="25" t="str">
        <f aca="false">IF($AJ290=0,"",IF(INDEX(입력_측정!$C$5:$C$1004,$AJ290)="","",INDEX(입력_측정!$C$5:$C$1004,$AJ290)))</f>
        <v/>
      </c>
      <c r="T290" s="25" t="str">
        <f aca="false">IF($AJ290=0,"",IF(INDEX(입력_측정!$D$5:$D$1004,$AJ290)="","",INDEX(입력_측정!$D$5:$D$1004,$AJ290)))</f>
        <v/>
      </c>
      <c r="U290" s="25" t="str">
        <f aca="false">IF($AJ290=0,"",IF(INDEX(입력_측정!$E$5:$E$1004,$AJ290)="","",INDEX(입력_측정!$E$5:$E$1004,$AJ290)))</f>
        <v/>
      </c>
      <c r="V290" s="25" t="str">
        <f aca="false">IF($AJ290=0,"",IF(INDEX(입력_측정!$F$5:$F$1004,$AJ290)="","",INDEX(입력_측정!$F$5:$F$1004,$AJ290)))</f>
        <v/>
      </c>
      <c r="W290" s="25" t="str">
        <f aca="false">IF($AK290=0,"",IF(INDEX(입력_상담!$D$5:$D$1004,$AK290)="","",INDEX(입력_상담!$D$5:$D$1004,$AK290)))</f>
        <v/>
      </c>
      <c r="X290" s="25" t="str">
        <f aca="false">IF($AJ290=0,"",IF(INDEX(입력_측정!$I$5:$I$1004,$AJ290)="","",INDEX(입력_측정!$I$5:$I$1004,$AJ290)))</f>
        <v/>
      </c>
      <c r="Y290" s="25" t="str">
        <f aca="false">IF($AJ290=0,"",IF(INDEX(입력_측정!$J$5:$J$1004,$AJ290)="","",INDEX(입력_측정!$J$5:$J$1004,$AJ290)))</f>
        <v/>
      </c>
      <c r="Z290" s="25" t="str">
        <f aca="false">IF(OR(X290="긴급",LEFT(Y290,2)="긴급",W290="필요",W290="완료"),"대상","")</f>
        <v/>
      </c>
      <c r="AA290" s="59" t="str">
        <f aca="false">IF(M290&lt;&gt;"",M290,IF(AK290&gt;0,IF(W290="필요","추가상담 대기","완료"),IF(AJ290&gt;0,"결과상담 대기",IF(AI290&gt;0,"측정 대기","미방문"))))</f>
        <v>미방문</v>
      </c>
      <c r="AB290" s="60" t="str">
        <f aca="false">IF($AI290=0,"",IF(INDEX(입력_운동!$A$5:$A$1004,$AI290)="","",INDEX(입력_운동!$A$5:$A$1004,$AI290)))</f>
        <v/>
      </c>
      <c r="AC290" s="60" t="str">
        <f aca="false">IF($AJ290=0,"",IF(INDEX(입력_측정!$A$5:$A$1004,$AJ290)="","",INDEX(입력_측정!$A$5:$A$1004,$AJ290)))</f>
        <v/>
      </c>
      <c r="AD290" s="60" t="str">
        <f aca="false">IF($AK290=0,"",IF(INDEX(입력_상담!$A$5:$A$1004,$AK290)="","",INDEX(입력_상담!$A$5:$A$1004,$AK290)))</f>
        <v/>
      </c>
      <c r="AE290" s="25" t="str">
        <f aca="false">IF(AND(ISNUMBER(AB290),ISNUMBER(AC290)),IF(AC290&gt;=AB290,ROUND((AC290-AB290)*1440,0),""),"")</f>
        <v/>
      </c>
      <c r="AF290" s="25" t="str">
        <f aca="false">IF(AND(ISNUMBER(AC290),ISNUMBER(AD290)),IF(AD290&gt;=AC290,ROUND((AD290-AC290)*1440,0),""),"")</f>
        <v/>
      </c>
      <c r="AG290" s="25" t="str">
        <f aca="false">IF(AND(AA290="완료",ISNUMBER(AB290),ISNUMBER(AD290)),IF(AD290&gt;=AB290,ROUND((AD290-AB290)*1440,0),""),"")</f>
        <v/>
      </c>
      <c r="AH290" s="61" t="str">
        <f aca="false">IF(AND(AK290&gt;0,AJ290=0),"측정 기록 없음",IF(AND(AJ290&gt;0,AI290=0),"운동평가 기록 없음",IF(OR(COUNTIF(입력_운동!$B$5:$B$1004,$A290)&gt;1,COUNTIF(입력_측정!$B$5:$B$1004,$A290)&gt;1),"중복 입력","")))</f>
        <v/>
      </c>
      <c r="AI290" s="62" t="n">
        <f aca="false">SUMPRODUCT(MAX((입력_운동!$B$5:$B$1004=$A290)*(ROW(입력_운동!$B$5:$B$1004)-4)))</f>
        <v>0</v>
      </c>
      <c r="AJ290" s="62" t="n">
        <f aca="false">SUMPRODUCT(MAX((입력_측정!$B$5:$B$1004=$A290)*(ROW(입력_측정!$B$5:$B$1004)-4)))</f>
        <v>0</v>
      </c>
      <c r="AK290" s="62" t="n">
        <f aca="false">SUMPRODUCT(MAX((입력_상담!$B$5:$B$1004=$A290)*(ROW(입력_상담!$B$5:$B$1004)-4)))</f>
        <v>0</v>
      </c>
    </row>
    <row r="291" customFormat="false" ht="15" hidden="false" customHeight="false" outlineLevel="0" collapsed="false">
      <c r="A291" s="55" t="n">
        <v>287</v>
      </c>
      <c r="B291" s="56"/>
      <c r="C291" s="24"/>
      <c r="D291" s="24"/>
      <c r="E291" s="56"/>
      <c r="F291" s="57"/>
      <c r="G291" s="58"/>
      <c r="H291" s="56"/>
      <c r="I291" s="24"/>
      <c r="J291" s="24"/>
      <c r="K291" s="24"/>
      <c r="L291" s="24"/>
      <c r="M291" s="24"/>
      <c r="N291" s="56"/>
      <c r="O291" s="25" t="str">
        <f aca="false">IF($AI291=0,"",IF(INDEX(입력_운동!$C$5:$C$1004,$AI291)="","",INDEX(입력_운동!$C$5:$C$1004,$AI291)))</f>
        <v/>
      </c>
      <c r="P291" s="25" t="str">
        <f aca="false">IF($AI291=0,"",IF(INDEX(입력_운동!$D$5:$D$1004,$AI291)="","",INDEX(입력_운동!$D$5:$D$1004,$AI291)))</f>
        <v/>
      </c>
      <c r="Q291" s="25" t="str">
        <f aca="false">IF($AI291=0,"",IF(INDEX(입력_운동!$E$5:$E$1004,$AI291)="","",INDEX(입력_운동!$E$5:$E$1004,$AI291)))</f>
        <v/>
      </c>
      <c r="R291" s="25" t="str">
        <f aca="false">IF($AI291=0,"",IF(INDEX(입력_운동!$F$5:$F$1004,$AI291)="","",INDEX(입력_운동!$F$5:$F$1004,$AI291)))</f>
        <v/>
      </c>
      <c r="S291" s="25" t="str">
        <f aca="false">IF($AJ291=0,"",IF(INDEX(입력_측정!$C$5:$C$1004,$AJ291)="","",INDEX(입력_측정!$C$5:$C$1004,$AJ291)))</f>
        <v/>
      </c>
      <c r="T291" s="25" t="str">
        <f aca="false">IF($AJ291=0,"",IF(INDEX(입력_측정!$D$5:$D$1004,$AJ291)="","",INDEX(입력_측정!$D$5:$D$1004,$AJ291)))</f>
        <v/>
      </c>
      <c r="U291" s="25" t="str">
        <f aca="false">IF($AJ291=0,"",IF(INDEX(입력_측정!$E$5:$E$1004,$AJ291)="","",INDEX(입력_측정!$E$5:$E$1004,$AJ291)))</f>
        <v/>
      </c>
      <c r="V291" s="25" t="str">
        <f aca="false">IF($AJ291=0,"",IF(INDEX(입력_측정!$F$5:$F$1004,$AJ291)="","",INDEX(입력_측정!$F$5:$F$1004,$AJ291)))</f>
        <v/>
      </c>
      <c r="W291" s="25" t="str">
        <f aca="false">IF($AK291=0,"",IF(INDEX(입력_상담!$D$5:$D$1004,$AK291)="","",INDEX(입력_상담!$D$5:$D$1004,$AK291)))</f>
        <v/>
      </c>
      <c r="X291" s="25" t="str">
        <f aca="false">IF($AJ291=0,"",IF(INDEX(입력_측정!$I$5:$I$1004,$AJ291)="","",INDEX(입력_측정!$I$5:$I$1004,$AJ291)))</f>
        <v/>
      </c>
      <c r="Y291" s="25" t="str">
        <f aca="false">IF($AJ291=0,"",IF(INDEX(입력_측정!$J$5:$J$1004,$AJ291)="","",INDEX(입력_측정!$J$5:$J$1004,$AJ291)))</f>
        <v/>
      </c>
      <c r="Z291" s="25" t="str">
        <f aca="false">IF(OR(X291="긴급",LEFT(Y291,2)="긴급",W291="필요",W291="완료"),"대상","")</f>
        <v/>
      </c>
      <c r="AA291" s="59" t="str">
        <f aca="false">IF(M291&lt;&gt;"",M291,IF(AK291&gt;0,IF(W291="필요","추가상담 대기","완료"),IF(AJ291&gt;0,"결과상담 대기",IF(AI291&gt;0,"측정 대기","미방문"))))</f>
        <v>미방문</v>
      </c>
      <c r="AB291" s="60" t="str">
        <f aca="false">IF($AI291=0,"",IF(INDEX(입력_운동!$A$5:$A$1004,$AI291)="","",INDEX(입력_운동!$A$5:$A$1004,$AI291)))</f>
        <v/>
      </c>
      <c r="AC291" s="60" t="str">
        <f aca="false">IF($AJ291=0,"",IF(INDEX(입력_측정!$A$5:$A$1004,$AJ291)="","",INDEX(입력_측정!$A$5:$A$1004,$AJ291)))</f>
        <v/>
      </c>
      <c r="AD291" s="60" t="str">
        <f aca="false">IF($AK291=0,"",IF(INDEX(입력_상담!$A$5:$A$1004,$AK291)="","",INDEX(입력_상담!$A$5:$A$1004,$AK291)))</f>
        <v/>
      </c>
      <c r="AE291" s="25" t="str">
        <f aca="false">IF(AND(ISNUMBER(AB291),ISNUMBER(AC291)),IF(AC291&gt;=AB291,ROUND((AC291-AB291)*1440,0),""),"")</f>
        <v/>
      </c>
      <c r="AF291" s="25" t="str">
        <f aca="false">IF(AND(ISNUMBER(AC291),ISNUMBER(AD291)),IF(AD291&gt;=AC291,ROUND((AD291-AC291)*1440,0),""),"")</f>
        <v/>
      </c>
      <c r="AG291" s="25" t="str">
        <f aca="false">IF(AND(AA291="완료",ISNUMBER(AB291),ISNUMBER(AD291)),IF(AD291&gt;=AB291,ROUND((AD291-AB291)*1440,0),""),"")</f>
        <v/>
      </c>
      <c r="AH291" s="61" t="str">
        <f aca="false">IF(AND(AK291&gt;0,AJ291=0),"측정 기록 없음",IF(AND(AJ291&gt;0,AI291=0),"운동평가 기록 없음",IF(OR(COUNTIF(입력_운동!$B$5:$B$1004,$A291)&gt;1,COUNTIF(입력_측정!$B$5:$B$1004,$A291)&gt;1),"중복 입력","")))</f>
        <v/>
      </c>
      <c r="AI291" s="62" t="n">
        <f aca="false">SUMPRODUCT(MAX((입력_운동!$B$5:$B$1004=$A291)*(ROW(입력_운동!$B$5:$B$1004)-4)))</f>
        <v>0</v>
      </c>
      <c r="AJ291" s="62" t="n">
        <f aca="false">SUMPRODUCT(MAX((입력_측정!$B$5:$B$1004=$A291)*(ROW(입력_측정!$B$5:$B$1004)-4)))</f>
        <v>0</v>
      </c>
      <c r="AK291" s="62" t="n">
        <f aca="false">SUMPRODUCT(MAX((입력_상담!$B$5:$B$1004=$A291)*(ROW(입력_상담!$B$5:$B$1004)-4)))</f>
        <v>0</v>
      </c>
    </row>
    <row r="292" customFormat="false" ht="15" hidden="false" customHeight="false" outlineLevel="0" collapsed="false">
      <c r="A292" s="55" t="n">
        <v>288</v>
      </c>
      <c r="B292" s="56"/>
      <c r="C292" s="24"/>
      <c r="D292" s="24"/>
      <c r="E292" s="56"/>
      <c r="F292" s="57"/>
      <c r="G292" s="58"/>
      <c r="H292" s="56"/>
      <c r="I292" s="24"/>
      <c r="J292" s="24"/>
      <c r="K292" s="24"/>
      <c r="L292" s="24"/>
      <c r="M292" s="24"/>
      <c r="N292" s="56"/>
      <c r="O292" s="25" t="str">
        <f aca="false">IF($AI292=0,"",IF(INDEX(입력_운동!$C$5:$C$1004,$AI292)="","",INDEX(입력_운동!$C$5:$C$1004,$AI292)))</f>
        <v/>
      </c>
      <c r="P292" s="25" t="str">
        <f aca="false">IF($AI292=0,"",IF(INDEX(입력_운동!$D$5:$D$1004,$AI292)="","",INDEX(입력_운동!$D$5:$D$1004,$AI292)))</f>
        <v/>
      </c>
      <c r="Q292" s="25" t="str">
        <f aca="false">IF($AI292=0,"",IF(INDEX(입력_운동!$E$5:$E$1004,$AI292)="","",INDEX(입력_운동!$E$5:$E$1004,$AI292)))</f>
        <v/>
      </c>
      <c r="R292" s="25" t="str">
        <f aca="false">IF($AI292=0,"",IF(INDEX(입력_운동!$F$5:$F$1004,$AI292)="","",INDEX(입력_운동!$F$5:$F$1004,$AI292)))</f>
        <v/>
      </c>
      <c r="S292" s="25" t="str">
        <f aca="false">IF($AJ292=0,"",IF(INDEX(입력_측정!$C$5:$C$1004,$AJ292)="","",INDEX(입력_측정!$C$5:$C$1004,$AJ292)))</f>
        <v/>
      </c>
      <c r="T292" s="25" t="str">
        <f aca="false">IF($AJ292=0,"",IF(INDEX(입력_측정!$D$5:$D$1004,$AJ292)="","",INDEX(입력_측정!$D$5:$D$1004,$AJ292)))</f>
        <v/>
      </c>
      <c r="U292" s="25" t="str">
        <f aca="false">IF($AJ292=0,"",IF(INDEX(입력_측정!$E$5:$E$1004,$AJ292)="","",INDEX(입력_측정!$E$5:$E$1004,$AJ292)))</f>
        <v/>
      </c>
      <c r="V292" s="25" t="str">
        <f aca="false">IF($AJ292=0,"",IF(INDEX(입력_측정!$F$5:$F$1004,$AJ292)="","",INDEX(입력_측정!$F$5:$F$1004,$AJ292)))</f>
        <v/>
      </c>
      <c r="W292" s="25" t="str">
        <f aca="false">IF($AK292=0,"",IF(INDEX(입력_상담!$D$5:$D$1004,$AK292)="","",INDEX(입력_상담!$D$5:$D$1004,$AK292)))</f>
        <v/>
      </c>
      <c r="X292" s="25" t="str">
        <f aca="false">IF($AJ292=0,"",IF(INDEX(입력_측정!$I$5:$I$1004,$AJ292)="","",INDEX(입력_측정!$I$5:$I$1004,$AJ292)))</f>
        <v/>
      </c>
      <c r="Y292" s="25" t="str">
        <f aca="false">IF($AJ292=0,"",IF(INDEX(입력_측정!$J$5:$J$1004,$AJ292)="","",INDEX(입력_측정!$J$5:$J$1004,$AJ292)))</f>
        <v/>
      </c>
      <c r="Z292" s="25" t="str">
        <f aca="false">IF(OR(X292="긴급",LEFT(Y292,2)="긴급",W292="필요",W292="완료"),"대상","")</f>
        <v/>
      </c>
      <c r="AA292" s="59" t="str">
        <f aca="false">IF(M292&lt;&gt;"",M292,IF(AK292&gt;0,IF(W292="필요","추가상담 대기","완료"),IF(AJ292&gt;0,"결과상담 대기",IF(AI292&gt;0,"측정 대기","미방문"))))</f>
        <v>미방문</v>
      </c>
      <c r="AB292" s="60" t="str">
        <f aca="false">IF($AI292=0,"",IF(INDEX(입력_운동!$A$5:$A$1004,$AI292)="","",INDEX(입력_운동!$A$5:$A$1004,$AI292)))</f>
        <v/>
      </c>
      <c r="AC292" s="60" t="str">
        <f aca="false">IF($AJ292=0,"",IF(INDEX(입력_측정!$A$5:$A$1004,$AJ292)="","",INDEX(입력_측정!$A$5:$A$1004,$AJ292)))</f>
        <v/>
      </c>
      <c r="AD292" s="60" t="str">
        <f aca="false">IF($AK292=0,"",IF(INDEX(입력_상담!$A$5:$A$1004,$AK292)="","",INDEX(입력_상담!$A$5:$A$1004,$AK292)))</f>
        <v/>
      </c>
      <c r="AE292" s="25" t="str">
        <f aca="false">IF(AND(ISNUMBER(AB292),ISNUMBER(AC292)),IF(AC292&gt;=AB292,ROUND((AC292-AB292)*1440,0),""),"")</f>
        <v/>
      </c>
      <c r="AF292" s="25" t="str">
        <f aca="false">IF(AND(ISNUMBER(AC292),ISNUMBER(AD292)),IF(AD292&gt;=AC292,ROUND((AD292-AC292)*1440,0),""),"")</f>
        <v/>
      </c>
      <c r="AG292" s="25" t="str">
        <f aca="false">IF(AND(AA292="완료",ISNUMBER(AB292),ISNUMBER(AD292)),IF(AD292&gt;=AB292,ROUND((AD292-AB292)*1440,0),""),"")</f>
        <v/>
      </c>
      <c r="AH292" s="61" t="str">
        <f aca="false">IF(AND(AK292&gt;0,AJ292=0),"측정 기록 없음",IF(AND(AJ292&gt;0,AI292=0),"운동평가 기록 없음",IF(OR(COUNTIF(입력_운동!$B$5:$B$1004,$A292)&gt;1,COUNTIF(입력_측정!$B$5:$B$1004,$A292)&gt;1),"중복 입력","")))</f>
        <v/>
      </c>
      <c r="AI292" s="62" t="n">
        <f aca="false">SUMPRODUCT(MAX((입력_운동!$B$5:$B$1004=$A292)*(ROW(입력_운동!$B$5:$B$1004)-4)))</f>
        <v>0</v>
      </c>
      <c r="AJ292" s="62" t="n">
        <f aca="false">SUMPRODUCT(MAX((입력_측정!$B$5:$B$1004=$A292)*(ROW(입력_측정!$B$5:$B$1004)-4)))</f>
        <v>0</v>
      </c>
      <c r="AK292" s="62" t="n">
        <f aca="false">SUMPRODUCT(MAX((입력_상담!$B$5:$B$1004=$A292)*(ROW(입력_상담!$B$5:$B$1004)-4)))</f>
        <v>0</v>
      </c>
    </row>
    <row r="293" customFormat="false" ht="15" hidden="false" customHeight="false" outlineLevel="0" collapsed="false">
      <c r="A293" s="55" t="n">
        <v>289</v>
      </c>
      <c r="B293" s="56"/>
      <c r="C293" s="24"/>
      <c r="D293" s="24"/>
      <c r="E293" s="56"/>
      <c r="F293" s="57"/>
      <c r="G293" s="58"/>
      <c r="H293" s="56"/>
      <c r="I293" s="24"/>
      <c r="J293" s="24"/>
      <c r="K293" s="24"/>
      <c r="L293" s="24"/>
      <c r="M293" s="24"/>
      <c r="N293" s="56"/>
      <c r="O293" s="25" t="str">
        <f aca="false">IF($AI293=0,"",IF(INDEX(입력_운동!$C$5:$C$1004,$AI293)="","",INDEX(입력_운동!$C$5:$C$1004,$AI293)))</f>
        <v/>
      </c>
      <c r="P293" s="25" t="str">
        <f aca="false">IF($AI293=0,"",IF(INDEX(입력_운동!$D$5:$D$1004,$AI293)="","",INDEX(입력_운동!$D$5:$D$1004,$AI293)))</f>
        <v/>
      </c>
      <c r="Q293" s="25" t="str">
        <f aca="false">IF($AI293=0,"",IF(INDEX(입력_운동!$E$5:$E$1004,$AI293)="","",INDEX(입력_운동!$E$5:$E$1004,$AI293)))</f>
        <v/>
      </c>
      <c r="R293" s="25" t="str">
        <f aca="false">IF($AI293=0,"",IF(INDEX(입력_운동!$F$5:$F$1004,$AI293)="","",INDEX(입력_운동!$F$5:$F$1004,$AI293)))</f>
        <v/>
      </c>
      <c r="S293" s="25" t="str">
        <f aca="false">IF($AJ293=0,"",IF(INDEX(입력_측정!$C$5:$C$1004,$AJ293)="","",INDEX(입력_측정!$C$5:$C$1004,$AJ293)))</f>
        <v/>
      </c>
      <c r="T293" s="25" t="str">
        <f aca="false">IF($AJ293=0,"",IF(INDEX(입력_측정!$D$5:$D$1004,$AJ293)="","",INDEX(입력_측정!$D$5:$D$1004,$AJ293)))</f>
        <v/>
      </c>
      <c r="U293" s="25" t="str">
        <f aca="false">IF($AJ293=0,"",IF(INDEX(입력_측정!$E$5:$E$1004,$AJ293)="","",INDEX(입력_측정!$E$5:$E$1004,$AJ293)))</f>
        <v/>
      </c>
      <c r="V293" s="25" t="str">
        <f aca="false">IF($AJ293=0,"",IF(INDEX(입력_측정!$F$5:$F$1004,$AJ293)="","",INDEX(입력_측정!$F$5:$F$1004,$AJ293)))</f>
        <v/>
      </c>
      <c r="W293" s="25" t="str">
        <f aca="false">IF($AK293=0,"",IF(INDEX(입력_상담!$D$5:$D$1004,$AK293)="","",INDEX(입력_상담!$D$5:$D$1004,$AK293)))</f>
        <v/>
      </c>
      <c r="X293" s="25" t="str">
        <f aca="false">IF($AJ293=0,"",IF(INDEX(입력_측정!$I$5:$I$1004,$AJ293)="","",INDEX(입력_측정!$I$5:$I$1004,$AJ293)))</f>
        <v/>
      </c>
      <c r="Y293" s="25" t="str">
        <f aca="false">IF($AJ293=0,"",IF(INDEX(입력_측정!$J$5:$J$1004,$AJ293)="","",INDEX(입력_측정!$J$5:$J$1004,$AJ293)))</f>
        <v/>
      </c>
      <c r="Z293" s="25" t="str">
        <f aca="false">IF(OR(X293="긴급",LEFT(Y293,2)="긴급",W293="필요",W293="완료"),"대상","")</f>
        <v/>
      </c>
      <c r="AA293" s="59" t="str">
        <f aca="false">IF(M293&lt;&gt;"",M293,IF(AK293&gt;0,IF(W293="필요","추가상담 대기","완료"),IF(AJ293&gt;0,"결과상담 대기",IF(AI293&gt;0,"측정 대기","미방문"))))</f>
        <v>미방문</v>
      </c>
      <c r="AB293" s="60" t="str">
        <f aca="false">IF($AI293=0,"",IF(INDEX(입력_운동!$A$5:$A$1004,$AI293)="","",INDEX(입력_운동!$A$5:$A$1004,$AI293)))</f>
        <v/>
      </c>
      <c r="AC293" s="60" t="str">
        <f aca="false">IF($AJ293=0,"",IF(INDEX(입력_측정!$A$5:$A$1004,$AJ293)="","",INDEX(입력_측정!$A$5:$A$1004,$AJ293)))</f>
        <v/>
      </c>
      <c r="AD293" s="60" t="str">
        <f aca="false">IF($AK293=0,"",IF(INDEX(입력_상담!$A$5:$A$1004,$AK293)="","",INDEX(입력_상담!$A$5:$A$1004,$AK293)))</f>
        <v/>
      </c>
      <c r="AE293" s="25" t="str">
        <f aca="false">IF(AND(ISNUMBER(AB293),ISNUMBER(AC293)),IF(AC293&gt;=AB293,ROUND((AC293-AB293)*1440,0),""),"")</f>
        <v/>
      </c>
      <c r="AF293" s="25" t="str">
        <f aca="false">IF(AND(ISNUMBER(AC293),ISNUMBER(AD293)),IF(AD293&gt;=AC293,ROUND((AD293-AC293)*1440,0),""),"")</f>
        <v/>
      </c>
      <c r="AG293" s="25" t="str">
        <f aca="false">IF(AND(AA293="완료",ISNUMBER(AB293),ISNUMBER(AD293)),IF(AD293&gt;=AB293,ROUND((AD293-AB293)*1440,0),""),"")</f>
        <v/>
      </c>
      <c r="AH293" s="61" t="str">
        <f aca="false">IF(AND(AK293&gt;0,AJ293=0),"측정 기록 없음",IF(AND(AJ293&gt;0,AI293=0),"운동평가 기록 없음",IF(OR(COUNTIF(입력_운동!$B$5:$B$1004,$A293)&gt;1,COUNTIF(입력_측정!$B$5:$B$1004,$A293)&gt;1),"중복 입력","")))</f>
        <v/>
      </c>
      <c r="AI293" s="62" t="n">
        <f aca="false">SUMPRODUCT(MAX((입력_운동!$B$5:$B$1004=$A293)*(ROW(입력_운동!$B$5:$B$1004)-4)))</f>
        <v>0</v>
      </c>
      <c r="AJ293" s="62" t="n">
        <f aca="false">SUMPRODUCT(MAX((입력_측정!$B$5:$B$1004=$A293)*(ROW(입력_측정!$B$5:$B$1004)-4)))</f>
        <v>0</v>
      </c>
      <c r="AK293" s="62" t="n">
        <f aca="false">SUMPRODUCT(MAX((입력_상담!$B$5:$B$1004=$A293)*(ROW(입력_상담!$B$5:$B$1004)-4)))</f>
        <v>0</v>
      </c>
    </row>
    <row r="294" customFormat="false" ht="15" hidden="false" customHeight="false" outlineLevel="0" collapsed="false">
      <c r="A294" s="55" t="n">
        <v>290</v>
      </c>
      <c r="B294" s="56"/>
      <c r="C294" s="24"/>
      <c r="D294" s="24"/>
      <c r="E294" s="56"/>
      <c r="F294" s="57"/>
      <c r="G294" s="58"/>
      <c r="H294" s="56"/>
      <c r="I294" s="24"/>
      <c r="J294" s="24"/>
      <c r="K294" s="24"/>
      <c r="L294" s="24"/>
      <c r="M294" s="24"/>
      <c r="N294" s="56"/>
      <c r="O294" s="25" t="str">
        <f aca="false">IF($AI294=0,"",IF(INDEX(입력_운동!$C$5:$C$1004,$AI294)="","",INDEX(입력_운동!$C$5:$C$1004,$AI294)))</f>
        <v/>
      </c>
      <c r="P294" s="25" t="str">
        <f aca="false">IF($AI294=0,"",IF(INDEX(입력_운동!$D$5:$D$1004,$AI294)="","",INDEX(입력_운동!$D$5:$D$1004,$AI294)))</f>
        <v/>
      </c>
      <c r="Q294" s="25" t="str">
        <f aca="false">IF($AI294=0,"",IF(INDEX(입력_운동!$E$5:$E$1004,$AI294)="","",INDEX(입력_운동!$E$5:$E$1004,$AI294)))</f>
        <v/>
      </c>
      <c r="R294" s="25" t="str">
        <f aca="false">IF($AI294=0,"",IF(INDEX(입력_운동!$F$5:$F$1004,$AI294)="","",INDEX(입력_운동!$F$5:$F$1004,$AI294)))</f>
        <v/>
      </c>
      <c r="S294" s="25" t="str">
        <f aca="false">IF($AJ294=0,"",IF(INDEX(입력_측정!$C$5:$C$1004,$AJ294)="","",INDEX(입력_측정!$C$5:$C$1004,$AJ294)))</f>
        <v/>
      </c>
      <c r="T294" s="25" t="str">
        <f aca="false">IF($AJ294=0,"",IF(INDEX(입력_측정!$D$5:$D$1004,$AJ294)="","",INDEX(입력_측정!$D$5:$D$1004,$AJ294)))</f>
        <v/>
      </c>
      <c r="U294" s="25" t="str">
        <f aca="false">IF($AJ294=0,"",IF(INDEX(입력_측정!$E$5:$E$1004,$AJ294)="","",INDEX(입력_측정!$E$5:$E$1004,$AJ294)))</f>
        <v/>
      </c>
      <c r="V294" s="25" t="str">
        <f aca="false">IF($AJ294=0,"",IF(INDEX(입력_측정!$F$5:$F$1004,$AJ294)="","",INDEX(입력_측정!$F$5:$F$1004,$AJ294)))</f>
        <v/>
      </c>
      <c r="W294" s="25" t="str">
        <f aca="false">IF($AK294=0,"",IF(INDEX(입력_상담!$D$5:$D$1004,$AK294)="","",INDEX(입력_상담!$D$5:$D$1004,$AK294)))</f>
        <v/>
      </c>
      <c r="X294" s="25" t="str">
        <f aca="false">IF($AJ294=0,"",IF(INDEX(입력_측정!$I$5:$I$1004,$AJ294)="","",INDEX(입력_측정!$I$5:$I$1004,$AJ294)))</f>
        <v/>
      </c>
      <c r="Y294" s="25" t="str">
        <f aca="false">IF($AJ294=0,"",IF(INDEX(입력_측정!$J$5:$J$1004,$AJ294)="","",INDEX(입력_측정!$J$5:$J$1004,$AJ294)))</f>
        <v/>
      </c>
      <c r="Z294" s="25" t="str">
        <f aca="false">IF(OR(X294="긴급",LEFT(Y294,2)="긴급",W294="필요",W294="완료"),"대상","")</f>
        <v/>
      </c>
      <c r="AA294" s="59" t="str">
        <f aca="false">IF(M294&lt;&gt;"",M294,IF(AK294&gt;0,IF(W294="필요","추가상담 대기","완료"),IF(AJ294&gt;0,"결과상담 대기",IF(AI294&gt;0,"측정 대기","미방문"))))</f>
        <v>미방문</v>
      </c>
      <c r="AB294" s="60" t="str">
        <f aca="false">IF($AI294=0,"",IF(INDEX(입력_운동!$A$5:$A$1004,$AI294)="","",INDEX(입력_운동!$A$5:$A$1004,$AI294)))</f>
        <v/>
      </c>
      <c r="AC294" s="60" t="str">
        <f aca="false">IF($AJ294=0,"",IF(INDEX(입력_측정!$A$5:$A$1004,$AJ294)="","",INDEX(입력_측정!$A$5:$A$1004,$AJ294)))</f>
        <v/>
      </c>
      <c r="AD294" s="60" t="str">
        <f aca="false">IF($AK294=0,"",IF(INDEX(입력_상담!$A$5:$A$1004,$AK294)="","",INDEX(입력_상담!$A$5:$A$1004,$AK294)))</f>
        <v/>
      </c>
      <c r="AE294" s="25" t="str">
        <f aca="false">IF(AND(ISNUMBER(AB294),ISNUMBER(AC294)),IF(AC294&gt;=AB294,ROUND((AC294-AB294)*1440,0),""),"")</f>
        <v/>
      </c>
      <c r="AF294" s="25" t="str">
        <f aca="false">IF(AND(ISNUMBER(AC294),ISNUMBER(AD294)),IF(AD294&gt;=AC294,ROUND((AD294-AC294)*1440,0),""),"")</f>
        <v/>
      </c>
      <c r="AG294" s="25" t="str">
        <f aca="false">IF(AND(AA294="완료",ISNUMBER(AB294),ISNUMBER(AD294)),IF(AD294&gt;=AB294,ROUND((AD294-AB294)*1440,0),""),"")</f>
        <v/>
      </c>
      <c r="AH294" s="61" t="str">
        <f aca="false">IF(AND(AK294&gt;0,AJ294=0),"측정 기록 없음",IF(AND(AJ294&gt;0,AI294=0),"운동평가 기록 없음",IF(OR(COUNTIF(입력_운동!$B$5:$B$1004,$A294)&gt;1,COUNTIF(입력_측정!$B$5:$B$1004,$A294)&gt;1),"중복 입력","")))</f>
        <v/>
      </c>
      <c r="AI294" s="62" t="n">
        <f aca="false">SUMPRODUCT(MAX((입력_운동!$B$5:$B$1004=$A294)*(ROW(입력_운동!$B$5:$B$1004)-4)))</f>
        <v>0</v>
      </c>
      <c r="AJ294" s="62" t="n">
        <f aca="false">SUMPRODUCT(MAX((입력_측정!$B$5:$B$1004=$A294)*(ROW(입력_측정!$B$5:$B$1004)-4)))</f>
        <v>0</v>
      </c>
      <c r="AK294" s="62" t="n">
        <f aca="false">SUMPRODUCT(MAX((입력_상담!$B$5:$B$1004=$A294)*(ROW(입력_상담!$B$5:$B$1004)-4)))</f>
        <v>0</v>
      </c>
    </row>
    <row r="295" customFormat="false" ht="15" hidden="false" customHeight="false" outlineLevel="0" collapsed="false">
      <c r="A295" s="55" t="n">
        <v>291</v>
      </c>
      <c r="B295" s="56"/>
      <c r="C295" s="24"/>
      <c r="D295" s="24"/>
      <c r="E295" s="56"/>
      <c r="F295" s="57"/>
      <c r="G295" s="58"/>
      <c r="H295" s="56"/>
      <c r="I295" s="24"/>
      <c r="J295" s="24"/>
      <c r="K295" s="24"/>
      <c r="L295" s="24"/>
      <c r="M295" s="24"/>
      <c r="N295" s="56"/>
      <c r="O295" s="25" t="str">
        <f aca="false">IF($AI295=0,"",IF(INDEX(입력_운동!$C$5:$C$1004,$AI295)="","",INDEX(입력_운동!$C$5:$C$1004,$AI295)))</f>
        <v/>
      </c>
      <c r="P295" s="25" t="str">
        <f aca="false">IF($AI295=0,"",IF(INDEX(입력_운동!$D$5:$D$1004,$AI295)="","",INDEX(입력_운동!$D$5:$D$1004,$AI295)))</f>
        <v/>
      </c>
      <c r="Q295" s="25" t="str">
        <f aca="false">IF($AI295=0,"",IF(INDEX(입력_운동!$E$5:$E$1004,$AI295)="","",INDEX(입력_운동!$E$5:$E$1004,$AI295)))</f>
        <v/>
      </c>
      <c r="R295" s="25" t="str">
        <f aca="false">IF($AI295=0,"",IF(INDEX(입력_운동!$F$5:$F$1004,$AI295)="","",INDEX(입력_운동!$F$5:$F$1004,$AI295)))</f>
        <v/>
      </c>
      <c r="S295" s="25" t="str">
        <f aca="false">IF($AJ295=0,"",IF(INDEX(입력_측정!$C$5:$C$1004,$AJ295)="","",INDEX(입력_측정!$C$5:$C$1004,$AJ295)))</f>
        <v/>
      </c>
      <c r="T295" s="25" t="str">
        <f aca="false">IF($AJ295=0,"",IF(INDEX(입력_측정!$D$5:$D$1004,$AJ295)="","",INDEX(입력_측정!$D$5:$D$1004,$AJ295)))</f>
        <v/>
      </c>
      <c r="U295" s="25" t="str">
        <f aca="false">IF($AJ295=0,"",IF(INDEX(입력_측정!$E$5:$E$1004,$AJ295)="","",INDEX(입력_측정!$E$5:$E$1004,$AJ295)))</f>
        <v/>
      </c>
      <c r="V295" s="25" t="str">
        <f aca="false">IF($AJ295=0,"",IF(INDEX(입력_측정!$F$5:$F$1004,$AJ295)="","",INDEX(입력_측정!$F$5:$F$1004,$AJ295)))</f>
        <v/>
      </c>
      <c r="W295" s="25" t="str">
        <f aca="false">IF($AK295=0,"",IF(INDEX(입력_상담!$D$5:$D$1004,$AK295)="","",INDEX(입력_상담!$D$5:$D$1004,$AK295)))</f>
        <v/>
      </c>
      <c r="X295" s="25" t="str">
        <f aca="false">IF($AJ295=0,"",IF(INDEX(입력_측정!$I$5:$I$1004,$AJ295)="","",INDEX(입력_측정!$I$5:$I$1004,$AJ295)))</f>
        <v/>
      </c>
      <c r="Y295" s="25" t="str">
        <f aca="false">IF($AJ295=0,"",IF(INDEX(입력_측정!$J$5:$J$1004,$AJ295)="","",INDEX(입력_측정!$J$5:$J$1004,$AJ295)))</f>
        <v/>
      </c>
      <c r="Z295" s="25" t="str">
        <f aca="false">IF(OR(X295="긴급",LEFT(Y295,2)="긴급",W295="필요",W295="완료"),"대상","")</f>
        <v/>
      </c>
      <c r="AA295" s="59" t="str">
        <f aca="false">IF(M295&lt;&gt;"",M295,IF(AK295&gt;0,IF(W295="필요","추가상담 대기","완료"),IF(AJ295&gt;0,"결과상담 대기",IF(AI295&gt;0,"측정 대기","미방문"))))</f>
        <v>미방문</v>
      </c>
      <c r="AB295" s="60" t="str">
        <f aca="false">IF($AI295=0,"",IF(INDEX(입력_운동!$A$5:$A$1004,$AI295)="","",INDEX(입력_운동!$A$5:$A$1004,$AI295)))</f>
        <v/>
      </c>
      <c r="AC295" s="60" t="str">
        <f aca="false">IF($AJ295=0,"",IF(INDEX(입력_측정!$A$5:$A$1004,$AJ295)="","",INDEX(입력_측정!$A$5:$A$1004,$AJ295)))</f>
        <v/>
      </c>
      <c r="AD295" s="60" t="str">
        <f aca="false">IF($AK295=0,"",IF(INDEX(입력_상담!$A$5:$A$1004,$AK295)="","",INDEX(입력_상담!$A$5:$A$1004,$AK295)))</f>
        <v/>
      </c>
      <c r="AE295" s="25" t="str">
        <f aca="false">IF(AND(ISNUMBER(AB295),ISNUMBER(AC295)),IF(AC295&gt;=AB295,ROUND((AC295-AB295)*1440,0),""),"")</f>
        <v/>
      </c>
      <c r="AF295" s="25" t="str">
        <f aca="false">IF(AND(ISNUMBER(AC295),ISNUMBER(AD295)),IF(AD295&gt;=AC295,ROUND((AD295-AC295)*1440,0),""),"")</f>
        <v/>
      </c>
      <c r="AG295" s="25" t="str">
        <f aca="false">IF(AND(AA295="완료",ISNUMBER(AB295),ISNUMBER(AD295)),IF(AD295&gt;=AB295,ROUND((AD295-AB295)*1440,0),""),"")</f>
        <v/>
      </c>
      <c r="AH295" s="61" t="str">
        <f aca="false">IF(AND(AK295&gt;0,AJ295=0),"측정 기록 없음",IF(AND(AJ295&gt;0,AI295=0),"운동평가 기록 없음",IF(OR(COUNTIF(입력_운동!$B$5:$B$1004,$A295)&gt;1,COUNTIF(입력_측정!$B$5:$B$1004,$A295)&gt;1),"중복 입력","")))</f>
        <v/>
      </c>
      <c r="AI295" s="62" t="n">
        <f aca="false">SUMPRODUCT(MAX((입력_운동!$B$5:$B$1004=$A295)*(ROW(입력_운동!$B$5:$B$1004)-4)))</f>
        <v>0</v>
      </c>
      <c r="AJ295" s="62" t="n">
        <f aca="false">SUMPRODUCT(MAX((입력_측정!$B$5:$B$1004=$A295)*(ROW(입력_측정!$B$5:$B$1004)-4)))</f>
        <v>0</v>
      </c>
      <c r="AK295" s="62" t="n">
        <f aca="false">SUMPRODUCT(MAX((입력_상담!$B$5:$B$1004=$A295)*(ROW(입력_상담!$B$5:$B$1004)-4)))</f>
        <v>0</v>
      </c>
    </row>
    <row r="296" customFormat="false" ht="15" hidden="false" customHeight="false" outlineLevel="0" collapsed="false">
      <c r="A296" s="55" t="n">
        <v>292</v>
      </c>
      <c r="B296" s="56"/>
      <c r="C296" s="24"/>
      <c r="D296" s="24"/>
      <c r="E296" s="56"/>
      <c r="F296" s="57"/>
      <c r="G296" s="58"/>
      <c r="H296" s="56"/>
      <c r="I296" s="24"/>
      <c r="J296" s="24"/>
      <c r="K296" s="24"/>
      <c r="L296" s="24"/>
      <c r="M296" s="24"/>
      <c r="N296" s="56"/>
      <c r="O296" s="25" t="str">
        <f aca="false">IF($AI296=0,"",IF(INDEX(입력_운동!$C$5:$C$1004,$AI296)="","",INDEX(입력_운동!$C$5:$C$1004,$AI296)))</f>
        <v/>
      </c>
      <c r="P296" s="25" t="str">
        <f aca="false">IF($AI296=0,"",IF(INDEX(입력_운동!$D$5:$D$1004,$AI296)="","",INDEX(입력_운동!$D$5:$D$1004,$AI296)))</f>
        <v/>
      </c>
      <c r="Q296" s="25" t="str">
        <f aca="false">IF($AI296=0,"",IF(INDEX(입력_운동!$E$5:$E$1004,$AI296)="","",INDEX(입력_운동!$E$5:$E$1004,$AI296)))</f>
        <v/>
      </c>
      <c r="R296" s="25" t="str">
        <f aca="false">IF($AI296=0,"",IF(INDEX(입력_운동!$F$5:$F$1004,$AI296)="","",INDEX(입력_운동!$F$5:$F$1004,$AI296)))</f>
        <v/>
      </c>
      <c r="S296" s="25" t="str">
        <f aca="false">IF($AJ296=0,"",IF(INDEX(입력_측정!$C$5:$C$1004,$AJ296)="","",INDEX(입력_측정!$C$5:$C$1004,$AJ296)))</f>
        <v/>
      </c>
      <c r="T296" s="25" t="str">
        <f aca="false">IF($AJ296=0,"",IF(INDEX(입력_측정!$D$5:$D$1004,$AJ296)="","",INDEX(입력_측정!$D$5:$D$1004,$AJ296)))</f>
        <v/>
      </c>
      <c r="U296" s="25" t="str">
        <f aca="false">IF($AJ296=0,"",IF(INDEX(입력_측정!$E$5:$E$1004,$AJ296)="","",INDEX(입력_측정!$E$5:$E$1004,$AJ296)))</f>
        <v/>
      </c>
      <c r="V296" s="25" t="str">
        <f aca="false">IF($AJ296=0,"",IF(INDEX(입력_측정!$F$5:$F$1004,$AJ296)="","",INDEX(입력_측정!$F$5:$F$1004,$AJ296)))</f>
        <v/>
      </c>
      <c r="W296" s="25" t="str">
        <f aca="false">IF($AK296=0,"",IF(INDEX(입력_상담!$D$5:$D$1004,$AK296)="","",INDEX(입력_상담!$D$5:$D$1004,$AK296)))</f>
        <v/>
      </c>
      <c r="X296" s="25" t="str">
        <f aca="false">IF($AJ296=0,"",IF(INDEX(입력_측정!$I$5:$I$1004,$AJ296)="","",INDEX(입력_측정!$I$5:$I$1004,$AJ296)))</f>
        <v/>
      </c>
      <c r="Y296" s="25" t="str">
        <f aca="false">IF($AJ296=0,"",IF(INDEX(입력_측정!$J$5:$J$1004,$AJ296)="","",INDEX(입력_측정!$J$5:$J$1004,$AJ296)))</f>
        <v/>
      </c>
      <c r="Z296" s="25" t="str">
        <f aca="false">IF(OR(X296="긴급",LEFT(Y296,2)="긴급",W296="필요",W296="완료"),"대상","")</f>
        <v/>
      </c>
      <c r="AA296" s="59" t="str">
        <f aca="false">IF(M296&lt;&gt;"",M296,IF(AK296&gt;0,IF(W296="필요","추가상담 대기","완료"),IF(AJ296&gt;0,"결과상담 대기",IF(AI296&gt;0,"측정 대기","미방문"))))</f>
        <v>미방문</v>
      </c>
      <c r="AB296" s="60" t="str">
        <f aca="false">IF($AI296=0,"",IF(INDEX(입력_운동!$A$5:$A$1004,$AI296)="","",INDEX(입력_운동!$A$5:$A$1004,$AI296)))</f>
        <v/>
      </c>
      <c r="AC296" s="60" t="str">
        <f aca="false">IF($AJ296=0,"",IF(INDEX(입력_측정!$A$5:$A$1004,$AJ296)="","",INDEX(입력_측정!$A$5:$A$1004,$AJ296)))</f>
        <v/>
      </c>
      <c r="AD296" s="60" t="str">
        <f aca="false">IF($AK296=0,"",IF(INDEX(입력_상담!$A$5:$A$1004,$AK296)="","",INDEX(입력_상담!$A$5:$A$1004,$AK296)))</f>
        <v/>
      </c>
      <c r="AE296" s="25" t="str">
        <f aca="false">IF(AND(ISNUMBER(AB296),ISNUMBER(AC296)),IF(AC296&gt;=AB296,ROUND((AC296-AB296)*1440,0),""),"")</f>
        <v/>
      </c>
      <c r="AF296" s="25" t="str">
        <f aca="false">IF(AND(ISNUMBER(AC296),ISNUMBER(AD296)),IF(AD296&gt;=AC296,ROUND((AD296-AC296)*1440,0),""),"")</f>
        <v/>
      </c>
      <c r="AG296" s="25" t="str">
        <f aca="false">IF(AND(AA296="완료",ISNUMBER(AB296),ISNUMBER(AD296)),IF(AD296&gt;=AB296,ROUND((AD296-AB296)*1440,0),""),"")</f>
        <v/>
      </c>
      <c r="AH296" s="61" t="str">
        <f aca="false">IF(AND(AK296&gt;0,AJ296=0),"측정 기록 없음",IF(AND(AJ296&gt;0,AI296=0),"운동평가 기록 없음",IF(OR(COUNTIF(입력_운동!$B$5:$B$1004,$A296)&gt;1,COUNTIF(입력_측정!$B$5:$B$1004,$A296)&gt;1),"중복 입력","")))</f>
        <v/>
      </c>
      <c r="AI296" s="62" t="n">
        <f aca="false">SUMPRODUCT(MAX((입력_운동!$B$5:$B$1004=$A296)*(ROW(입력_운동!$B$5:$B$1004)-4)))</f>
        <v>0</v>
      </c>
      <c r="AJ296" s="62" t="n">
        <f aca="false">SUMPRODUCT(MAX((입력_측정!$B$5:$B$1004=$A296)*(ROW(입력_측정!$B$5:$B$1004)-4)))</f>
        <v>0</v>
      </c>
      <c r="AK296" s="62" t="n">
        <f aca="false">SUMPRODUCT(MAX((입력_상담!$B$5:$B$1004=$A296)*(ROW(입력_상담!$B$5:$B$1004)-4)))</f>
        <v>0</v>
      </c>
    </row>
    <row r="297" customFormat="false" ht="15" hidden="false" customHeight="false" outlineLevel="0" collapsed="false">
      <c r="A297" s="55" t="n">
        <v>293</v>
      </c>
      <c r="B297" s="56"/>
      <c r="C297" s="24"/>
      <c r="D297" s="24"/>
      <c r="E297" s="56"/>
      <c r="F297" s="57"/>
      <c r="G297" s="58"/>
      <c r="H297" s="56"/>
      <c r="I297" s="24"/>
      <c r="J297" s="24"/>
      <c r="K297" s="24"/>
      <c r="L297" s="24"/>
      <c r="M297" s="24"/>
      <c r="N297" s="56"/>
      <c r="O297" s="25" t="str">
        <f aca="false">IF($AI297=0,"",IF(INDEX(입력_운동!$C$5:$C$1004,$AI297)="","",INDEX(입력_운동!$C$5:$C$1004,$AI297)))</f>
        <v/>
      </c>
      <c r="P297" s="25" t="str">
        <f aca="false">IF($AI297=0,"",IF(INDEX(입력_운동!$D$5:$D$1004,$AI297)="","",INDEX(입력_운동!$D$5:$D$1004,$AI297)))</f>
        <v/>
      </c>
      <c r="Q297" s="25" t="str">
        <f aca="false">IF($AI297=0,"",IF(INDEX(입력_운동!$E$5:$E$1004,$AI297)="","",INDEX(입력_운동!$E$5:$E$1004,$AI297)))</f>
        <v/>
      </c>
      <c r="R297" s="25" t="str">
        <f aca="false">IF($AI297=0,"",IF(INDEX(입력_운동!$F$5:$F$1004,$AI297)="","",INDEX(입력_운동!$F$5:$F$1004,$AI297)))</f>
        <v/>
      </c>
      <c r="S297" s="25" t="str">
        <f aca="false">IF($AJ297=0,"",IF(INDEX(입력_측정!$C$5:$C$1004,$AJ297)="","",INDEX(입력_측정!$C$5:$C$1004,$AJ297)))</f>
        <v/>
      </c>
      <c r="T297" s="25" t="str">
        <f aca="false">IF($AJ297=0,"",IF(INDEX(입력_측정!$D$5:$D$1004,$AJ297)="","",INDEX(입력_측정!$D$5:$D$1004,$AJ297)))</f>
        <v/>
      </c>
      <c r="U297" s="25" t="str">
        <f aca="false">IF($AJ297=0,"",IF(INDEX(입력_측정!$E$5:$E$1004,$AJ297)="","",INDEX(입력_측정!$E$5:$E$1004,$AJ297)))</f>
        <v/>
      </c>
      <c r="V297" s="25" t="str">
        <f aca="false">IF($AJ297=0,"",IF(INDEX(입력_측정!$F$5:$F$1004,$AJ297)="","",INDEX(입력_측정!$F$5:$F$1004,$AJ297)))</f>
        <v/>
      </c>
      <c r="W297" s="25" t="str">
        <f aca="false">IF($AK297=0,"",IF(INDEX(입력_상담!$D$5:$D$1004,$AK297)="","",INDEX(입력_상담!$D$5:$D$1004,$AK297)))</f>
        <v/>
      </c>
      <c r="X297" s="25" t="str">
        <f aca="false">IF($AJ297=0,"",IF(INDEX(입력_측정!$I$5:$I$1004,$AJ297)="","",INDEX(입력_측정!$I$5:$I$1004,$AJ297)))</f>
        <v/>
      </c>
      <c r="Y297" s="25" t="str">
        <f aca="false">IF($AJ297=0,"",IF(INDEX(입력_측정!$J$5:$J$1004,$AJ297)="","",INDEX(입력_측정!$J$5:$J$1004,$AJ297)))</f>
        <v/>
      </c>
      <c r="Z297" s="25" t="str">
        <f aca="false">IF(OR(X297="긴급",LEFT(Y297,2)="긴급",W297="필요",W297="완료"),"대상","")</f>
        <v/>
      </c>
      <c r="AA297" s="59" t="str">
        <f aca="false">IF(M297&lt;&gt;"",M297,IF(AK297&gt;0,IF(W297="필요","추가상담 대기","완료"),IF(AJ297&gt;0,"결과상담 대기",IF(AI297&gt;0,"측정 대기","미방문"))))</f>
        <v>미방문</v>
      </c>
      <c r="AB297" s="60" t="str">
        <f aca="false">IF($AI297=0,"",IF(INDEX(입력_운동!$A$5:$A$1004,$AI297)="","",INDEX(입력_운동!$A$5:$A$1004,$AI297)))</f>
        <v/>
      </c>
      <c r="AC297" s="60" t="str">
        <f aca="false">IF($AJ297=0,"",IF(INDEX(입력_측정!$A$5:$A$1004,$AJ297)="","",INDEX(입력_측정!$A$5:$A$1004,$AJ297)))</f>
        <v/>
      </c>
      <c r="AD297" s="60" t="str">
        <f aca="false">IF($AK297=0,"",IF(INDEX(입력_상담!$A$5:$A$1004,$AK297)="","",INDEX(입력_상담!$A$5:$A$1004,$AK297)))</f>
        <v/>
      </c>
      <c r="AE297" s="25" t="str">
        <f aca="false">IF(AND(ISNUMBER(AB297),ISNUMBER(AC297)),IF(AC297&gt;=AB297,ROUND((AC297-AB297)*1440,0),""),"")</f>
        <v/>
      </c>
      <c r="AF297" s="25" t="str">
        <f aca="false">IF(AND(ISNUMBER(AC297),ISNUMBER(AD297)),IF(AD297&gt;=AC297,ROUND((AD297-AC297)*1440,0),""),"")</f>
        <v/>
      </c>
      <c r="AG297" s="25" t="str">
        <f aca="false">IF(AND(AA297="완료",ISNUMBER(AB297),ISNUMBER(AD297)),IF(AD297&gt;=AB297,ROUND((AD297-AB297)*1440,0),""),"")</f>
        <v/>
      </c>
      <c r="AH297" s="61" t="str">
        <f aca="false">IF(AND(AK297&gt;0,AJ297=0),"측정 기록 없음",IF(AND(AJ297&gt;0,AI297=0),"운동평가 기록 없음",IF(OR(COUNTIF(입력_운동!$B$5:$B$1004,$A297)&gt;1,COUNTIF(입력_측정!$B$5:$B$1004,$A297)&gt;1),"중복 입력","")))</f>
        <v/>
      </c>
      <c r="AI297" s="62" t="n">
        <f aca="false">SUMPRODUCT(MAX((입력_운동!$B$5:$B$1004=$A297)*(ROW(입력_운동!$B$5:$B$1004)-4)))</f>
        <v>0</v>
      </c>
      <c r="AJ297" s="62" t="n">
        <f aca="false">SUMPRODUCT(MAX((입력_측정!$B$5:$B$1004=$A297)*(ROW(입력_측정!$B$5:$B$1004)-4)))</f>
        <v>0</v>
      </c>
      <c r="AK297" s="62" t="n">
        <f aca="false">SUMPRODUCT(MAX((입력_상담!$B$5:$B$1004=$A297)*(ROW(입력_상담!$B$5:$B$1004)-4)))</f>
        <v>0</v>
      </c>
    </row>
    <row r="298" customFormat="false" ht="15" hidden="false" customHeight="false" outlineLevel="0" collapsed="false">
      <c r="A298" s="55" t="n">
        <v>294</v>
      </c>
      <c r="B298" s="56"/>
      <c r="C298" s="24"/>
      <c r="D298" s="24"/>
      <c r="E298" s="56"/>
      <c r="F298" s="57"/>
      <c r="G298" s="58"/>
      <c r="H298" s="56"/>
      <c r="I298" s="24"/>
      <c r="J298" s="24"/>
      <c r="K298" s="24"/>
      <c r="L298" s="24"/>
      <c r="M298" s="24"/>
      <c r="N298" s="56"/>
      <c r="O298" s="25" t="str">
        <f aca="false">IF($AI298=0,"",IF(INDEX(입력_운동!$C$5:$C$1004,$AI298)="","",INDEX(입력_운동!$C$5:$C$1004,$AI298)))</f>
        <v/>
      </c>
      <c r="P298" s="25" t="str">
        <f aca="false">IF($AI298=0,"",IF(INDEX(입력_운동!$D$5:$D$1004,$AI298)="","",INDEX(입력_운동!$D$5:$D$1004,$AI298)))</f>
        <v/>
      </c>
      <c r="Q298" s="25" t="str">
        <f aca="false">IF($AI298=0,"",IF(INDEX(입력_운동!$E$5:$E$1004,$AI298)="","",INDEX(입력_운동!$E$5:$E$1004,$AI298)))</f>
        <v/>
      </c>
      <c r="R298" s="25" t="str">
        <f aca="false">IF($AI298=0,"",IF(INDEX(입력_운동!$F$5:$F$1004,$AI298)="","",INDEX(입력_운동!$F$5:$F$1004,$AI298)))</f>
        <v/>
      </c>
      <c r="S298" s="25" t="str">
        <f aca="false">IF($AJ298=0,"",IF(INDEX(입력_측정!$C$5:$C$1004,$AJ298)="","",INDEX(입력_측정!$C$5:$C$1004,$AJ298)))</f>
        <v/>
      </c>
      <c r="T298" s="25" t="str">
        <f aca="false">IF($AJ298=0,"",IF(INDEX(입력_측정!$D$5:$D$1004,$AJ298)="","",INDEX(입력_측정!$D$5:$D$1004,$AJ298)))</f>
        <v/>
      </c>
      <c r="U298" s="25" t="str">
        <f aca="false">IF($AJ298=0,"",IF(INDEX(입력_측정!$E$5:$E$1004,$AJ298)="","",INDEX(입력_측정!$E$5:$E$1004,$AJ298)))</f>
        <v/>
      </c>
      <c r="V298" s="25" t="str">
        <f aca="false">IF($AJ298=0,"",IF(INDEX(입력_측정!$F$5:$F$1004,$AJ298)="","",INDEX(입력_측정!$F$5:$F$1004,$AJ298)))</f>
        <v/>
      </c>
      <c r="W298" s="25" t="str">
        <f aca="false">IF($AK298=0,"",IF(INDEX(입력_상담!$D$5:$D$1004,$AK298)="","",INDEX(입력_상담!$D$5:$D$1004,$AK298)))</f>
        <v/>
      </c>
      <c r="X298" s="25" t="str">
        <f aca="false">IF($AJ298=0,"",IF(INDEX(입력_측정!$I$5:$I$1004,$AJ298)="","",INDEX(입력_측정!$I$5:$I$1004,$AJ298)))</f>
        <v/>
      </c>
      <c r="Y298" s="25" t="str">
        <f aca="false">IF($AJ298=0,"",IF(INDEX(입력_측정!$J$5:$J$1004,$AJ298)="","",INDEX(입력_측정!$J$5:$J$1004,$AJ298)))</f>
        <v/>
      </c>
      <c r="Z298" s="25" t="str">
        <f aca="false">IF(OR(X298="긴급",LEFT(Y298,2)="긴급",W298="필요",W298="완료"),"대상","")</f>
        <v/>
      </c>
      <c r="AA298" s="59" t="str">
        <f aca="false">IF(M298&lt;&gt;"",M298,IF(AK298&gt;0,IF(W298="필요","추가상담 대기","완료"),IF(AJ298&gt;0,"결과상담 대기",IF(AI298&gt;0,"측정 대기","미방문"))))</f>
        <v>미방문</v>
      </c>
      <c r="AB298" s="60" t="str">
        <f aca="false">IF($AI298=0,"",IF(INDEX(입력_운동!$A$5:$A$1004,$AI298)="","",INDEX(입력_운동!$A$5:$A$1004,$AI298)))</f>
        <v/>
      </c>
      <c r="AC298" s="60" t="str">
        <f aca="false">IF($AJ298=0,"",IF(INDEX(입력_측정!$A$5:$A$1004,$AJ298)="","",INDEX(입력_측정!$A$5:$A$1004,$AJ298)))</f>
        <v/>
      </c>
      <c r="AD298" s="60" t="str">
        <f aca="false">IF($AK298=0,"",IF(INDEX(입력_상담!$A$5:$A$1004,$AK298)="","",INDEX(입력_상담!$A$5:$A$1004,$AK298)))</f>
        <v/>
      </c>
      <c r="AE298" s="25" t="str">
        <f aca="false">IF(AND(ISNUMBER(AB298),ISNUMBER(AC298)),IF(AC298&gt;=AB298,ROUND((AC298-AB298)*1440,0),""),"")</f>
        <v/>
      </c>
      <c r="AF298" s="25" t="str">
        <f aca="false">IF(AND(ISNUMBER(AC298),ISNUMBER(AD298)),IF(AD298&gt;=AC298,ROUND((AD298-AC298)*1440,0),""),"")</f>
        <v/>
      </c>
      <c r="AG298" s="25" t="str">
        <f aca="false">IF(AND(AA298="완료",ISNUMBER(AB298),ISNUMBER(AD298)),IF(AD298&gt;=AB298,ROUND((AD298-AB298)*1440,0),""),"")</f>
        <v/>
      </c>
      <c r="AH298" s="61" t="str">
        <f aca="false">IF(AND(AK298&gt;0,AJ298=0),"측정 기록 없음",IF(AND(AJ298&gt;0,AI298=0),"운동평가 기록 없음",IF(OR(COUNTIF(입력_운동!$B$5:$B$1004,$A298)&gt;1,COUNTIF(입력_측정!$B$5:$B$1004,$A298)&gt;1),"중복 입력","")))</f>
        <v/>
      </c>
      <c r="AI298" s="62" t="n">
        <f aca="false">SUMPRODUCT(MAX((입력_운동!$B$5:$B$1004=$A298)*(ROW(입력_운동!$B$5:$B$1004)-4)))</f>
        <v>0</v>
      </c>
      <c r="AJ298" s="62" t="n">
        <f aca="false">SUMPRODUCT(MAX((입력_측정!$B$5:$B$1004=$A298)*(ROW(입력_측정!$B$5:$B$1004)-4)))</f>
        <v>0</v>
      </c>
      <c r="AK298" s="62" t="n">
        <f aca="false">SUMPRODUCT(MAX((입력_상담!$B$5:$B$1004=$A298)*(ROW(입력_상담!$B$5:$B$1004)-4)))</f>
        <v>0</v>
      </c>
    </row>
    <row r="299" customFormat="false" ht="15" hidden="false" customHeight="false" outlineLevel="0" collapsed="false">
      <c r="A299" s="55" t="n">
        <v>295</v>
      </c>
      <c r="B299" s="56"/>
      <c r="C299" s="24"/>
      <c r="D299" s="24"/>
      <c r="E299" s="56"/>
      <c r="F299" s="57"/>
      <c r="G299" s="58"/>
      <c r="H299" s="56"/>
      <c r="I299" s="24"/>
      <c r="J299" s="24"/>
      <c r="K299" s="24"/>
      <c r="L299" s="24"/>
      <c r="M299" s="24"/>
      <c r="N299" s="56"/>
      <c r="O299" s="25" t="str">
        <f aca="false">IF($AI299=0,"",IF(INDEX(입력_운동!$C$5:$C$1004,$AI299)="","",INDEX(입력_운동!$C$5:$C$1004,$AI299)))</f>
        <v/>
      </c>
      <c r="P299" s="25" t="str">
        <f aca="false">IF($AI299=0,"",IF(INDEX(입력_운동!$D$5:$D$1004,$AI299)="","",INDEX(입력_운동!$D$5:$D$1004,$AI299)))</f>
        <v/>
      </c>
      <c r="Q299" s="25" t="str">
        <f aca="false">IF($AI299=0,"",IF(INDEX(입력_운동!$E$5:$E$1004,$AI299)="","",INDEX(입력_운동!$E$5:$E$1004,$AI299)))</f>
        <v/>
      </c>
      <c r="R299" s="25" t="str">
        <f aca="false">IF($AI299=0,"",IF(INDEX(입력_운동!$F$5:$F$1004,$AI299)="","",INDEX(입력_운동!$F$5:$F$1004,$AI299)))</f>
        <v/>
      </c>
      <c r="S299" s="25" t="str">
        <f aca="false">IF($AJ299=0,"",IF(INDEX(입력_측정!$C$5:$C$1004,$AJ299)="","",INDEX(입력_측정!$C$5:$C$1004,$AJ299)))</f>
        <v/>
      </c>
      <c r="T299" s="25" t="str">
        <f aca="false">IF($AJ299=0,"",IF(INDEX(입력_측정!$D$5:$D$1004,$AJ299)="","",INDEX(입력_측정!$D$5:$D$1004,$AJ299)))</f>
        <v/>
      </c>
      <c r="U299" s="25" t="str">
        <f aca="false">IF($AJ299=0,"",IF(INDEX(입력_측정!$E$5:$E$1004,$AJ299)="","",INDEX(입력_측정!$E$5:$E$1004,$AJ299)))</f>
        <v/>
      </c>
      <c r="V299" s="25" t="str">
        <f aca="false">IF($AJ299=0,"",IF(INDEX(입력_측정!$F$5:$F$1004,$AJ299)="","",INDEX(입력_측정!$F$5:$F$1004,$AJ299)))</f>
        <v/>
      </c>
      <c r="W299" s="25" t="str">
        <f aca="false">IF($AK299=0,"",IF(INDEX(입력_상담!$D$5:$D$1004,$AK299)="","",INDEX(입력_상담!$D$5:$D$1004,$AK299)))</f>
        <v/>
      </c>
      <c r="X299" s="25" t="str">
        <f aca="false">IF($AJ299=0,"",IF(INDEX(입력_측정!$I$5:$I$1004,$AJ299)="","",INDEX(입력_측정!$I$5:$I$1004,$AJ299)))</f>
        <v/>
      </c>
      <c r="Y299" s="25" t="str">
        <f aca="false">IF($AJ299=0,"",IF(INDEX(입력_측정!$J$5:$J$1004,$AJ299)="","",INDEX(입력_측정!$J$5:$J$1004,$AJ299)))</f>
        <v/>
      </c>
      <c r="Z299" s="25" t="str">
        <f aca="false">IF(OR(X299="긴급",LEFT(Y299,2)="긴급",W299="필요",W299="완료"),"대상","")</f>
        <v/>
      </c>
      <c r="AA299" s="59" t="str">
        <f aca="false">IF(M299&lt;&gt;"",M299,IF(AK299&gt;0,IF(W299="필요","추가상담 대기","완료"),IF(AJ299&gt;0,"결과상담 대기",IF(AI299&gt;0,"측정 대기","미방문"))))</f>
        <v>미방문</v>
      </c>
      <c r="AB299" s="60" t="str">
        <f aca="false">IF($AI299=0,"",IF(INDEX(입력_운동!$A$5:$A$1004,$AI299)="","",INDEX(입력_운동!$A$5:$A$1004,$AI299)))</f>
        <v/>
      </c>
      <c r="AC299" s="60" t="str">
        <f aca="false">IF($AJ299=0,"",IF(INDEX(입력_측정!$A$5:$A$1004,$AJ299)="","",INDEX(입력_측정!$A$5:$A$1004,$AJ299)))</f>
        <v/>
      </c>
      <c r="AD299" s="60" t="str">
        <f aca="false">IF($AK299=0,"",IF(INDEX(입력_상담!$A$5:$A$1004,$AK299)="","",INDEX(입력_상담!$A$5:$A$1004,$AK299)))</f>
        <v/>
      </c>
      <c r="AE299" s="25" t="str">
        <f aca="false">IF(AND(ISNUMBER(AB299),ISNUMBER(AC299)),IF(AC299&gt;=AB299,ROUND((AC299-AB299)*1440,0),""),"")</f>
        <v/>
      </c>
      <c r="AF299" s="25" t="str">
        <f aca="false">IF(AND(ISNUMBER(AC299),ISNUMBER(AD299)),IF(AD299&gt;=AC299,ROUND((AD299-AC299)*1440,0),""),"")</f>
        <v/>
      </c>
      <c r="AG299" s="25" t="str">
        <f aca="false">IF(AND(AA299="완료",ISNUMBER(AB299),ISNUMBER(AD299)),IF(AD299&gt;=AB299,ROUND((AD299-AB299)*1440,0),""),"")</f>
        <v/>
      </c>
      <c r="AH299" s="61" t="str">
        <f aca="false">IF(AND(AK299&gt;0,AJ299=0),"측정 기록 없음",IF(AND(AJ299&gt;0,AI299=0),"운동평가 기록 없음",IF(OR(COUNTIF(입력_운동!$B$5:$B$1004,$A299)&gt;1,COUNTIF(입력_측정!$B$5:$B$1004,$A299)&gt;1),"중복 입력","")))</f>
        <v/>
      </c>
      <c r="AI299" s="62" t="n">
        <f aca="false">SUMPRODUCT(MAX((입력_운동!$B$5:$B$1004=$A299)*(ROW(입력_운동!$B$5:$B$1004)-4)))</f>
        <v>0</v>
      </c>
      <c r="AJ299" s="62" t="n">
        <f aca="false">SUMPRODUCT(MAX((입력_측정!$B$5:$B$1004=$A299)*(ROW(입력_측정!$B$5:$B$1004)-4)))</f>
        <v>0</v>
      </c>
      <c r="AK299" s="62" t="n">
        <f aca="false">SUMPRODUCT(MAX((입력_상담!$B$5:$B$1004=$A299)*(ROW(입력_상담!$B$5:$B$1004)-4)))</f>
        <v>0</v>
      </c>
    </row>
    <row r="300" customFormat="false" ht="15" hidden="false" customHeight="false" outlineLevel="0" collapsed="false">
      <c r="A300" s="55" t="n">
        <v>296</v>
      </c>
      <c r="B300" s="56"/>
      <c r="C300" s="24"/>
      <c r="D300" s="24"/>
      <c r="E300" s="56"/>
      <c r="F300" s="57"/>
      <c r="G300" s="58"/>
      <c r="H300" s="56"/>
      <c r="I300" s="24"/>
      <c r="J300" s="24"/>
      <c r="K300" s="24"/>
      <c r="L300" s="24"/>
      <c r="M300" s="24"/>
      <c r="N300" s="56"/>
      <c r="O300" s="25" t="str">
        <f aca="false">IF($AI300=0,"",IF(INDEX(입력_운동!$C$5:$C$1004,$AI300)="","",INDEX(입력_운동!$C$5:$C$1004,$AI300)))</f>
        <v/>
      </c>
      <c r="P300" s="25" t="str">
        <f aca="false">IF($AI300=0,"",IF(INDEX(입력_운동!$D$5:$D$1004,$AI300)="","",INDEX(입력_운동!$D$5:$D$1004,$AI300)))</f>
        <v/>
      </c>
      <c r="Q300" s="25" t="str">
        <f aca="false">IF($AI300=0,"",IF(INDEX(입력_운동!$E$5:$E$1004,$AI300)="","",INDEX(입력_운동!$E$5:$E$1004,$AI300)))</f>
        <v/>
      </c>
      <c r="R300" s="25" t="str">
        <f aca="false">IF($AI300=0,"",IF(INDEX(입력_운동!$F$5:$F$1004,$AI300)="","",INDEX(입력_운동!$F$5:$F$1004,$AI300)))</f>
        <v/>
      </c>
      <c r="S300" s="25" t="str">
        <f aca="false">IF($AJ300=0,"",IF(INDEX(입력_측정!$C$5:$C$1004,$AJ300)="","",INDEX(입력_측정!$C$5:$C$1004,$AJ300)))</f>
        <v/>
      </c>
      <c r="T300" s="25" t="str">
        <f aca="false">IF($AJ300=0,"",IF(INDEX(입력_측정!$D$5:$D$1004,$AJ300)="","",INDEX(입력_측정!$D$5:$D$1004,$AJ300)))</f>
        <v/>
      </c>
      <c r="U300" s="25" t="str">
        <f aca="false">IF($AJ300=0,"",IF(INDEX(입력_측정!$E$5:$E$1004,$AJ300)="","",INDEX(입력_측정!$E$5:$E$1004,$AJ300)))</f>
        <v/>
      </c>
      <c r="V300" s="25" t="str">
        <f aca="false">IF($AJ300=0,"",IF(INDEX(입력_측정!$F$5:$F$1004,$AJ300)="","",INDEX(입력_측정!$F$5:$F$1004,$AJ300)))</f>
        <v/>
      </c>
      <c r="W300" s="25" t="str">
        <f aca="false">IF($AK300=0,"",IF(INDEX(입력_상담!$D$5:$D$1004,$AK300)="","",INDEX(입력_상담!$D$5:$D$1004,$AK300)))</f>
        <v/>
      </c>
      <c r="X300" s="25" t="str">
        <f aca="false">IF($AJ300=0,"",IF(INDEX(입력_측정!$I$5:$I$1004,$AJ300)="","",INDEX(입력_측정!$I$5:$I$1004,$AJ300)))</f>
        <v/>
      </c>
      <c r="Y300" s="25" t="str">
        <f aca="false">IF($AJ300=0,"",IF(INDEX(입력_측정!$J$5:$J$1004,$AJ300)="","",INDEX(입력_측정!$J$5:$J$1004,$AJ300)))</f>
        <v/>
      </c>
      <c r="Z300" s="25" t="str">
        <f aca="false">IF(OR(X300="긴급",LEFT(Y300,2)="긴급",W300="필요",W300="완료"),"대상","")</f>
        <v/>
      </c>
      <c r="AA300" s="59" t="str">
        <f aca="false">IF(M300&lt;&gt;"",M300,IF(AK300&gt;0,IF(W300="필요","추가상담 대기","완료"),IF(AJ300&gt;0,"결과상담 대기",IF(AI300&gt;0,"측정 대기","미방문"))))</f>
        <v>미방문</v>
      </c>
      <c r="AB300" s="60" t="str">
        <f aca="false">IF($AI300=0,"",IF(INDEX(입력_운동!$A$5:$A$1004,$AI300)="","",INDEX(입력_운동!$A$5:$A$1004,$AI300)))</f>
        <v/>
      </c>
      <c r="AC300" s="60" t="str">
        <f aca="false">IF($AJ300=0,"",IF(INDEX(입력_측정!$A$5:$A$1004,$AJ300)="","",INDEX(입력_측정!$A$5:$A$1004,$AJ300)))</f>
        <v/>
      </c>
      <c r="AD300" s="60" t="str">
        <f aca="false">IF($AK300=0,"",IF(INDEX(입력_상담!$A$5:$A$1004,$AK300)="","",INDEX(입력_상담!$A$5:$A$1004,$AK300)))</f>
        <v/>
      </c>
      <c r="AE300" s="25" t="str">
        <f aca="false">IF(AND(ISNUMBER(AB300),ISNUMBER(AC300)),IF(AC300&gt;=AB300,ROUND((AC300-AB300)*1440,0),""),"")</f>
        <v/>
      </c>
      <c r="AF300" s="25" t="str">
        <f aca="false">IF(AND(ISNUMBER(AC300),ISNUMBER(AD300)),IF(AD300&gt;=AC300,ROUND((AD300-AC300)*1440,0),""),"")</f>
        <v/>
      </c>
      <c r="AG300" s="25" t="str">
        <f aca="false">IF(AND(AA300="완료",ISNUMBER(AB300),ISNUMBER(AD300)),IF(AD300&gt;=AB300,ROUND((AD300-AB300)*1440,0),""),"")</f>
        <v/>
      </c>
      <c r="AH300" s="61" t="str">
        <f aca="false">IF(AND(AK300&gt;0,AJ300=0),"측정 기록 없음",IF(AND(AJ300&gt;0,AI300=0),"운동평가 기록 없음",IF(OR(COUNTIF(입력_운동!$B$5:$B$1004,$A300)&gt;1,COUNTIF(입력_측정!$B$5:$B$1004,$A300)&gt;1),"중복 입력","")))</f>
        <v/>
      </c>
      <c r="AI300" s="62" t="n">
        <f aca="false">SUMPRODUCT(MAX((입력_운동!$B$5:$B$1004=$A300)*(ROW(입력_운동!$B$5:$B$1004)-4)))</f>
        <v>0</v>
      </c>
      <c r="AJ300" s="62" t="n">
        <f aca="false">SUMPRODUCT(MAX((입력_측정!$B$5:$B$1004=$A300)*(ROW(입력_측정!$B$5:$B$1004)-4)))</f>
        <v>0</v>
      </c>
      <c r="AK300" s="62" t="n">
        <f aca="false">SUMPRODUCT(MAX((입력_상담!$B$5:$B$1004=$A300)*(ROW(입력_상담!$B$5:$B$1004)-4)))</f>
        <v>0</v>
      </c>
    </row>
    <row r="301" customFormat="false" ht="15" hidden="false" customHeight="false" outlineLevel="0" collapsed="false">
      <c r="A301" s="55" t="n">
        <v>297</v>
      </c>
      <c r="B301" s="56"/>
      <c r="C301" s="24"/>
      <c r="D301" s="24"/>
      <c r="E301" s="56"/>
      <c r="F301" s="57"/>
      <c r="G301" s="58"/>
      <c r="H301" s="56"/>
      <c r="I301" s="24"/>
      <c r="J301" s="24"/>
      <c r="K301" s="24"/>
      <c r="L301" s="24"/>
      <c r="M301" s="24"/>
      <c r="N301" s="56"/>
      <c r="O301" s="25" t="str">
        <f aca="false">IF($AI301=0,"",IF(INDEX(입력_운동!$C$5:$C$1004,$AI301)="","",INDEX(입력_운동!$C$5:$C$1004,$AI301)))</f>
        <v/>
      </c>
      <c r="P301" s="25" t="str">
        <f aca="false">IF($AI301=0,"",IF(INDEX(입력_운동!$D$5:$D$1004,$AI301)="","",INDEX(입력_운동!$D$5:$D$1004,$AI301)))</f>
        <v/>
      </c>
      <c r="Q301" s="25" t="str">
        <f aca="false">IF($AI301=0,"",IF(INDEX(입력_운동!$E$5:$E$1004,$AI301)="","",INDEX(입력_운동!$E$5:$E$1004,$AI301)))</f>
        <v/>
      </c>
      <c r="R301" s="25" t="str">
        <f aca="false">IF($AI301=0,"",IF(INDEX(입력_운동!$F$5:$F$1004,$AI301)="","",INDEX(입력_운동!$F$5:$F$1004,$AI301)))</f>
        <v/>
      </c>
      <c r="S301" s="25" t="str">
        <f aca="false">IF($AJ301=0,"",IF(INDEX(입력_측정!$C$5:$C$1004,$AJ301)="","",INDEX(입력_측정!$C$5:$C$1004,$AJ301)))</f>
        <v/>
      </c>
      <c r="T301" s="25" t="str">
        <f aca="false">IF($AJ301=0,"",IF(INDEX(입력_측정!$D$5:$D$1004,$AJ301)="","",INDEX(입력_측정!$D$5:$D$1004,$AJ301)))</f>
        <v/>
      </c>
      <c r="U301" s="25" t="str">
        <f aca="false">IF($AJ301=0,"",IF(INDEX(입력_측정!$E$5:$E$1004,$AJ301)="","",INDEX(입력_측정!$E$5:$E$1004,$AJ301)))</f>
        <v/>
      </c>
      <c r="V301" s="25" t="str">
        <f aca="false">IF($AJ301=0,"",IF(INDEX(입력_측정!$F$5:$F$1004,$AJ301)="","",INDEX(입력_측정!$F$5:$F$1004,$AJ301)))</f>
        <v/>
      </c>
      <c r="W301" s="25" t="str">
        <f aca="false">IF($AK301=0,"",IF(INDEX(입력_상담!$D$5:$D$1004,$AK301)="","",INDEX(입력_상담!$D$5:$D$1004,$AK301)))</f>
        <v/>
      </c>
      <c r="X301" s="25" t="str">
        <f aca="false">IF($AJ301=0,"",IF(INDEX(입력_측정!$I$5:$I$1004,$AJ301)="","",INDEX(입력_측정!$I$5:$I$1004,$AJ301)))</f>
        <v/>
      </c>
      <c r="Y301" s="25" t="str">
        <f aca="false">IF($AJ301=0,"",IF(INDEX(입력_측정!$J$5:$J$1004,$AJ301)="","",INDEX(입력_측정!$J$5:$J$1004,$AJ301)))</f>
        <v/>
      </c>
      <c r="Z301" s="25" t="str">
        <f aca="false">IF(OR(X301="긴급",LEFT(Y301,2)="긴급",W301="필요",W301="완료"),"대상","")</f>
        <v/>
      </c>
      <c r="AA301" s="59" t="str">
        <f aca="false">IF(M301&lt;&gt;"",M301,IF(AK301&gt;0,IF(W301="필요","추가상담 대기","완료"),IF(AJ301&gt;0,"결과상담 대기",IF(AI301&gt;0,"측정 대기","미방문"))))</f>
        <v>미방문</v>
      </c>
      <c r="AB301" s="60" t="str">
        <f aca="false">IF($AI301=0,"",IF(INDEX(입력_운동!$A$5:$A$1004,$AI301)="","",INDEX(입력_운동!$A$5:$A$1004,$AI301)))</f>
        <v/>
      </c>
      <c r="AC301" s="60" t="str">
        <f aca="false">IF($AJ301=0,"",IF(INDEX(입력_측정!$A$5:$A$1004,$AJ301)="","",INDEX(입력_측정!$A$5:$A$1004,$AJ301)))</f>
        <v/>
      </c>
      <c r="AD301" s="60" t="str">
        <f aca="false">IF($AK301=0,"",IF(INDEX(입력_상담!$A$5:$A$1004,$AK301)="","",INDEX(입력_상담!$A$5:$A$1004,$AK301)))</f>
        <v/>
      </c>
      <c r="AE301" s="25" t="str">
        <f aca="false">IF(AND(ISNUMBER(AB301),ISNUMBER(AC301)),IF(AC301&gt;=AB301,ROUND((AC301-AB301)*1440,0),""),"")</f>
        <v/>
      </c>
      <c r="AF301" s="25" t="str">
        <f aca="false">IF(AND(ISNUMBER(AC301),ISNUMBER(AD301)),IF(AD301&gt;=AC301,ROUND((AD301-AC301)*1440,0),""),"")</f>
        <v/>
      </c>
      <c r="AG301" s="25" t="str">
        <f aca="false">IF(AND(AA301="완료",ISNUMBER(AB301),ISNUMBER(AD301)),IF(AD301&gt;=AB301,ROUND((AD301-AB301)*1440,0),""),"")</f>
        <v/>
      </c>
      <c r="AH301" s="61" t="str">
        <f aca="false">IF(AND(AK301&gt;0,AJ301=0),"측정 기록 없음",IF(AND(AJ301&gt;0,AI301=0),"운동평가 기록 없음",IF(OR(COUNTIF(입력_운동!$B$5:$B$1004,$A301)&gt;1,COUNTIF(입력_측정!$B$5:$B$1004,$A301)&gt;1),"중복 입력","")))</f>
        <v/>
      </c>
      <c r="AI301" s="62" t="n">
        <f aca="false">SUMPRODUCT(MAX((입력_운동!$B$5:$B$1004=$A301)*(ROW(입력_운동!$B$5:$B$1004)-4)))</f>
        <v>0</v>
      </c>
      <c r="AJ301" s="62" t="n">
        <f aca="false">SUMPRODUCT(MAX((입력_측정!$B$5:$B$1004=$A301)*(ROW(입력_측정!$B$5:$B$1004)-4)))</f>
        <v>0</v>
      </c>
      <c r="AK301" s="62" t="n">
        <f aca="false">SUMPRODUCT(MAX((입력_상담!$B$5:$B$1004=$A301)*(ROW(입력_상담!$B$5:$B$1004)-4)))</f>
        <v>0</v>
      </c>
    </row>
    <row r="302" customFormat="false" ht="15" hidden="false" customHeight="false" outlineLevel="0" collapsed="false">
      <c r="A302" s="55" t="n">
        <v>298</v>
      </c>
      <c r="B302" s="56"/>
      <c r="C302" s="24"/>
      <c r="D302" s="24"/>
      <c r="E302" s="56"/>
      <c r="F302" s="57"/>
      <c r="G302" s="58"/>
      <c r="H302" s="56"/>
      <c r="I302" s="24"/>
      <c r="J302" s="24"/>
      <c r="K302" s="24"/>
      <c r="L302" s="24"/>
      <c r="M302" s="24"/>
      <c r="N302" s="56"/>
      <c r="O302" s="25" t="str">
        <f aca="false">IF($AI302=0,"",IF(INDEX(입력_운동!$C$5:$C$1004,$AI302)="","",INDEX(입력_운동!$C$5:$C$1004,$AI302)))</f>
        <v/>
      </c>
      <c r="P302" s="25" t="str">
        <f aca="false">IF($AI302=0,"",IF(INDEX(입력_운동!$D$5:$D$1004,$AI302)="","",INDEX(입력_운동!$D$5:$D$1004,$AI302)))</f>
        <v/>
      </c>
      <c r="Q302" s="25" t="str">
        <f aca="false">IF($AI302=0,"",IF(INDEX(입력_운동!$E$5:$E$1004,$AI302)="","",INDEX(입력_운동!$E$5:$E$1004,$AI302)))</f>
        <v/>
      </c>
      <c r="R302" s="25" t="str">
        <f aca="false">IF($AI302=0,"",IF(INDEX(입력_운동!$F$5:$F$1004,$AI302)="","",INDEX(입력_운동!$F$5:$F$1004,$AI302)))</f>
        <v/>
      </c>
      <c r="S302" s="25" t="str">
        <f aca="false">IF($AJ302=0,"",IF(INDEX(입력_측정!$C$5:$C$1004,$AJ302)="","",INDEX(입력_측정!$C$5:$C$1004,$AJ302)))</f>
        <v/>
      </c>
      <c r="T302" s="25" t="str">
        <f aca="false">IF($AJ302=0,"",IF(INDEX(입력_측정!$D$5:$D$1004,$AJ302)="","",INDEX(입력_측정!$D$5:$D$1004,$AJ302)))</f>
        <v/>
      </c>
      <c r="U302" s="25" t="str">
        <f aca="false">IF($AJ302=0,"",IF(INDEX(입력_측정!$E$5:$E$1004,$AJ302)="","",INDEX(입력_측정!$E$5:$E$1004,$AJ302)))</f>
        <v/>
      </c>
      <c r="V302" s="25" t="str">
        <f aca="false">IF($AJ302=0,"",IF(INDEX(입력_측정!$F$5:$F$1004,$AJ302)="","",INDEX(입력_측정!$F$5:$F$1004,$AJ302)))</f>
        <v/>
      </c>
      <c r="W302" s="25" t="str">
        <f aca="false">IF($AK302=0,"",IF(INDEX(입력_상담!$D$5:$D$1004,$AK302)="","",INDEX(입력_상담!$D$5:$D$1004,$AK302)))</f>
        <v/>
      </c>
      <c r="X302" s="25" t="str">
        <f aca="false">IF($AJ302=0,"",IF(INDEX(입력_측정!$I$5:$I$1004,$AJ302)="","",INDEX(입력_측정!$I$5:$I$1004,$AJ302)))</f>
        <v/>
      </c>
      <c r="Y302" s="25" t="str">
        <f aca="false">IF($AJ302=0,"",IF(INDEX(입력_측정!$J$5:$J$1004,$AJ302)="","",INDEX(입력_측정!$J$5:$J$1004,$AJ302)))</f>
        <v/>
      </c>
      <c r="Z302" s="25" t="str">
        <f aca="false">IF(OR(X302="긴급",LEFT(Y302,2)="긴급",W302="필요",W302="완료"),"대상","")</f>
        <v/>
      </c>
      <c r="AA302" s="59" t="str">
        <f aca="false">IF(M302&lt;&gt;"",M302,IF(AK302&gt;0,IF(W302="필요","추가상담 대기","완료"),IF(AJ302&gt;0,"결과상담 대기",IF(AI302&gt;0,"측정 대기","미방문"))))</f>
        <v>미방문</v>
      </c>
      <c r="AB302" s="60" t="str">
        <f aca="false">IF($AI302=0,"",IF(INDEX(입력_운동!$A$5:$A$1004,$AI302)="","",INDEX(입력_운동!$A$5:$A$1004,$AI302)))</f>
        <v/>
      </c>
      <c r="AC302" s="60" t="str">
        <f aca="false">IF($AJ302=0,"",IF(INDEX(입력_측정!$A$5:$A$1004,$AJ302)="","",INDEX(입력_측정!$A$5:$A$1004,$AJ302)))</f>
        <v/>
      </c>
      <c r="AD302" s="60" t="str">
        <f aca="false">IF($AK302=0,"",IF(INDEX(입력_상담!$A$5:$A$1004,$AK302)="","",INDEX(입력_상담!$A$5:$A$1004,$AK302)))</f>
        <v/>
      </c>
      <c r="AE302" s="25" t="str">
        <f aca="false">IF(AND(ISNUMBER(AB302),ISNUMBER(AC302)),IF(AC302&gt;=AB302,ROUND((AC302-AB302)*1440,0),""),"")</f>
        <v/>
      </c>
      <c r="AF302" s="25" t="str">
        <f aca="false">IF(AND(ISNUMBER(AC302),ISNUMBER(AD302)),IF(AD302&gt;=AC302,ROUND((AD302-AC302)*1440,0),""),"")</f>
        <v/>
      </c>
      <c r="AG302" s="25" t="str">
        <f aca="false">IF(AND(AA302="완료",ISNUMBER(AB302),ISNUMBER(AD302)),IF(AD302&gt;=AB302,ROUND((AD302-AB302)*1440,0),""),"")</f>
        <v/>
      </c>
      <c r="AH302" s="61" t="str">
        <f aca="false">IF(AND(AK302&gt;0,AJ302=0),"측정 기록 없음",IF(AND(AJ302&gt;0,AI302=0),"운동평가 기록 없음",IF(OR(COUNTIF(입력_운동!$B$5:$B$1004,$A302)&gt;1,COUNTIF(입력_측정!$B$5:$B$1004,$A302)&gt;1),"중복 입력","")))</f>
        <v/>
      </c>
      <c r="AI302" s="62" t="n">
        <f aca="false">SUMPRODUCT(MAX((입력_운동!$B$5:$B$1004=$A302)*(ROW(입력_운동!$B$5:$B$1004)-4)))</f>
        <v>0</v>
      </c>
      <c r="AJ302" s="62" t="n">
        <f aca="false">SUMPRODUCT(MAX((입력_측정!$B$5:$B$1004=$A302)*(ROW(입력_측정!$B$5:$B$1004)-4)))</f>
        <v>0</v>
      </c>
      <c r="AK302" s="62" t="n">
        <f aca="false">SUMPRODUCT(MAX((입력_상담!$B$5:$B$1004=$A302)*(ROW(입력_상담!$B$5:$B$1004)-4)))</f>
        <v>0</v>
      </c>
    </row>
    <row r="303" customFormat="false" ht="15" hidden="false" customHeight="false" outlineLevel="0" collapsed="false">
      <c r="A303" s="55" t="n">
        <v>299</v>
      </c>
      <c r="B303" s="56"/>
      <c r="C303" s="24"/>
      <c r="D303" s="24"/>
      <c r="E303" s="56"/>
      <c r="F303" s="57"/>
      <c r="G303" s="58"/>
      <c r="H303" s="56"/>
      <c r="I303" s="24"/>
      <c r="J303" s="24"/>
      <c r="K303" s="24"/>
      <c r="L303" s="24"/>
      <c r="M303" s="24"/>
      <c r="N303" s="56"/>
      <c r="O303" s="25" t="str">
        <f aca="false">IF($AI303=0,"",IF(INDEX(입력_운동!$C$5:$C$1004,$AI303)="","",INDEX(입력_운동!$C$5:$C$1004,$AI303)))</f>
        <v/>
      </c>
      <c r="P303" s="25" t="str">
        <f aca="false">IF($AI303=0,"",IF(INDEX(입력_운동!$D$5:$D$1004,$AI303)="","",INDEX(입력_운동!$D$5:$D$1004,$AI303)))</f>
        <v/>
      </c>
      <c r="Q303" s="25" t="str">
        <f aca="false">IF($AI303=0,"",IF(INDEX(입력_운동!$E$5:$E$1004,$AI303)="","",INDEX(입력_운동!$E$5:$E$1004,$AI303)))</f>
        <v/>
      </c>
      <c r="R303" s="25" t="str">
        <f aca="false">IF($AI303=0,"",IF(INDEX(입력_운동!$F$5:$F$1004,$AI303)="","",INDEX(입력_운동!$F$5:$F$1004,$AI303)))</f>
        <v/>
      </c>
      <c r="S303" s="25" t="str">
        <f aca="false">IF($AJ303=0,"",IF(INDEX(입력_측정!$C$5:$C$1004,$AJ303)="","",INDEX(입력_측정!$C$5:$C$1004,$AJ303)))</f>
        <v/>
      </c>
      <c r="T303" s="25" t="str">
        <f aca="false">IF($AJ303=0,"",IF(INDEX(입력_측정!$D$5:$D$1004,$AJ303)="","",INDEX(입력_측정!$D$5:$D$1004,$AJ303)))</f>
        <v/>
      </c>
      <c r="U303" s="25" t="str">
        <f aca="false">IF($AJ303=0,"",IF(INDEX(입력_측정!$E$5:$E$1004,$AJ303)="","",INDEX(입력_측정!$E$5:$E$1004,$AJ303)))</f>
        <v/>
      </c>
      <c r="V303" s="25" t="str">
        <f aca="false">IF($AJ303=0,"",IF(INDEX(입력_측정!$F$5:$F$1004,$AJ303)="","",INDEX(입력_측정!$F$5:$F$1004,$AJ303)))</f>
        <v/>
      </c>
      <c r="W303" s="25" t="str">
        <f aca="false">IF($AK303=0,"",IF(INDEX(입력_상담!$D$5:$D$1004,$AK303)="","",INDEX(입력_상담!$D$5:$D$1004,$AK303)))</f>
        <v/>
      </c>
      <c r="X303" s="25" t="str">
        <f aca="false">IF($AJ303=0,"",IF(INDEX(입력_측정!$I$5:$I$1004,$AJ303)="","",INDEX(입력_측정!$I$5:$I$1004,$AJ303)))</f>
        <v/>
      </c>
      <c r="Y303" s="25" t="str">
        <f aca="false">IF($AJ303=0,"",IF(INDEX(입력_측정!$J$5:$J$1004,$AJ303)="","",INDEX(입력_측정!$J$5:$J$1004,$AJ303)))</f>
        <v/>
      </c>
      <c r="Z303" s="25" t="str">
        <f aca="false">IF(OR(X303="긴급",LEFT(Y303,2)="긴급",W303="필요",W303="완료"),"대상","")</f>
        <v/>
      </c>
      <c r="AA303" s="59" t="str">
        <f aca="false">IF(M303&lt;&gt;"",M303,IF(AK303&gt;0,IF(W303="필요","추가상담 대기","완료"),IF(AJ303&gt;0,"결과상담 대기",IF(AI303&gt;0,"측정 대기","미방문"))))</f>
        <v>미방문</v>
      </c>
      <c r="AB303" s="60" t="str">
        <f aca="false">IF($AI303=0,"",IF(INDEX(입력_운동!$A$5:$A$1004,$AI303)="","",INDEX(입력_운동!$A$5:$A$1004,$AI303)))</f>
        <v/>
      </c>
      <c r="AC303" s="60" t="str">
        <f aca="false">IF($AJ303=0,"",IF(INDEX(입력_측정!$A$5:$A$1004,$AJ303)="","",INDEX(입력_측정!$A$5:$A$1004,$AJ303)))</f>
        <v/>
      </c>
      <c r="AD303" s="60" t="str">
        <f aca="false">IF($AK303=0,"",IF(INDEX(입력_상담!$A$5:$A$1004,$AK303)="","",INDEX(입력_상담!$A$5:$A$1004,$AK303)))</f>
        <v/>
      </c>
      <c r="AE303" s="25" t="str">
        <f aca="false">IF(AND(ISNUMBER(AB303),ISNUMBER(AC303)),IF(AC303&gt;=AB303,ROUND((AC303-AB303)*1440,0),""),"")</f>
        <v/>
      </c>
      <c r="AF303" s="25" t="str">
        <f aca="false">IF(AND(ISNUMBER(AC303),ISNUMBER(AD303)),IF(AD303&gt;=AC303,ROUND((AD303-AC303)*1440,0),""),"")</f>
        <v/>
      </c>
      <c r="AG303" s="25" t="str">
        <f aca="false">IF(AND(AA303="완료",ISNUMBER(AB303),ISNUMBER(AD303)),IF(AD303&gt;=AB303,ROUND((AD303-AB303)*1440,0),""),"")</f>
        <v/>
      </c>
      <c r="AH303" s="61" t="str">
        <f aca="false">IF(AND(AK303&gt;0,AJ303=0),"측정 기록 없음",IF(AND(AJ303&gt;0,AI303=0),"운동평가 기록 없음",IF(OR(COUNTIF(입력_운동!$B$5:$B$1004,$A303)&gt;1,COUNTIF(입력_측정!$B$5:$B$1004,$A303)&gt;1),"중복 입력","")))</f>
        <v/>
      </c>
      <c r="AI303" s="62" t="n">
        <f aca="false">SUMPRODUCT(MAX((입력_운동!$B$5:$B$1004=$A303)*(ROW(입력_운동!$B$5:$B$1004)-4)))</f>
        <v>0</v>
      </c>
      <c r="AJ303" s="62" t="n">
        <f aca="false">SUMPRODUCT(MAX((입력_측정!$B$5:$B$1004=$A303)*(ROW(입력_측정!$B$5:$B$1004)-4)))</f>
        <v>0</v>
      </c>
      <c r="AK303" s="62" t="n">
        <f aca="false">SUMPRODUCT(MAX((입력_상담!$B$5:$B$1004=$A303)*(ROW(입력_상담!$B$5:$B$1004)-4)))</f>
        <v>0</v>
      </c>
    </row>
    <row r="304" customFormat="false" ht="15" hidden="false" customHeight="false" outlineLevel="0" collapsed="false">
      <c r="A304" s="55" t="n">
        <v>300</v>
      </c>
      <c r="B304" s="56"/>
      <c r="C304" s="24"/>
      <c r="D304" s="24"/>
      <c r="E304" s="56"/>
      <c r="F304" s="57"/>
      <c r="G304" s="58"/>
      <c r="H304" s="56"/>
      <c r="I304" s="24"/>
      <c r="J304" s="24"/>
      <c r="K304" s="24"/>
      <c r="L304" s="24"/>
      <c r="M304" s="24"/>
      <c r="N304" s="56"/>
      <c r="O304" s="25" t="str">
        <f aca="false">IF($AI304=0,"",IF(INDEX(입력_운동!$C$5:$C$1004,$AI304)="","",INDEX(입력_운동!$C$5:$C$1004,$AI304)))</f>
        <v/>
      </c>
      <c r="P304" s="25" t="str">
        <f aca="false">IF($AI304=0,"",IF(INDEX(입력_운동!$D$5:$D$1004,$AI304)="","",INDEX(입력_운동!$D$5:$D$1004,$AI304)))</f>
        <v/>
      </c>
      <c r="Q304" s="25" t="str">
        <f aca="false">IF($AI304=0,"",IF(INDEX(입력_운동!$E$5:$E$1004,$AI304)="","",INDEX(입력_운동!$E$5:$E$1004,$AI304)))</f>
        <v/>
      </c>
      <c r="R304" s="25" t="str">
        <f aca="false">IF($AI304=0,"",IF(INDEX(입력_운동!$F$5:$F$1004,$AI304)="","",INDEX(입력_운동!$F$5:$F$1004,$AI304)))</f>
        <v/>
      </c>
      <c r="S304" s="25" t="str">
        <f aca="false">IF($AJ304=0,"",IF(INDEX(입력_측정!$C$5:$C$1004,$AJ304)="","",INDEX(입력_측정!$C$5:$C$1004,$AJ304)))</f>
        <v/>
      </c>
      <c r="T304" s="25" t="str">
        <f aca="false">IF($AJ304=0,"",IF(INDEX(입력_측정!$D$5:$D$1004,$AJ304)="","",INDEX(입력_측정!$D$5:$D$1004,$AJ304)))</f>
        <v/>
      </c>
      <c r="U304" s="25" t="str">
        <f aca="false">IF($AJ304=0,"",IF(INDEX(입력_측정!$E$5:$E$1004,$AJ304)="","",INDEX(입력_측정!$E$5:$E$1004,$AJ304)))</f>
        <v/>
      </c>
      <c r="V304" s="25" t="str">
        <f aca="false">IF($AJ304=0,"",IF(INDEX(입력_측정!$F$5:$F$1004,$AJ304)="","",INDEX(입력_측정!$F$5:$F$1004,$AJ304)))</f>
        <v/>
      </c>
      <c r="W304" s="25" t="str">
        <f aca="false">IF($AK304=0,"",IF(INDEX(입력_상담!$D$5:$D$1004,$AK304)="","",INDEX(입력_상담!$D$5:$D$1004,$AK304)))</f>
        <v/>
      </c>
      <c r="X304" s="25" t="str">
        <f aca="false">IF($AJ304=0,"",IF(INDEX(입력_측정!$I$5:$I$1004,$AJ304)="","",INDEX(입력_측정!$I$5:$I$1004,$AJ304)))</f>
        <v/>
      </c>
      <c r="Y304" s="25" t="str">
        <f aca="false">IF($AJ304=0,"",IF(INDEX(입력_측정!$J$5:$J$1004,$AJ304)="","",INDEX(입력_측정!$J$5:$J$1004,$AJ304)))</f>
        <v/>
      </c>
      <c r="Z304" s="25" t="str">
        <f aca="false">IF(OR(X304="긴급",LEFT(Y304,2)="긴급",W304="필요",W304="완료"),"대상","")</f>
        <v/>
      </c>
      <c r="AA304" s="59" t="str">
        <f aca="false">IF(M304&lt;&gt;"",M304,IF(AK304&gt;0,IF(W304="필요","추가상담 대기","완료"),IF(AJ304&gt;0,"결과상담 대기",IF(AI304&gt;0,"측정 대기","미방문"))))</f>
        <v>미방문</v>
      </c>
      <c r="AB304" s="60" t="str">
        <f aca="false">IF($AI304=0,"",IF(INDEX(입력_운동!$A$5:$A$1004,$AI304)="","",INDEX(입력_운동!$A$5:$A$1004,$AI304)))</f>
        <v/>
      </c>
      <c r="AC304" s="60" t="str">
        <f aca="false">IF($AJ304=0,"",IF(INDEX(입력_측정!$A$5:$A$1004,$AJ304)="","",INDEX(입력_측정!$A$5:$A$1004,$AJ304)))</f>
        <v/>
      </c>
      <c r="AD304" s="60" t="str">
        <f aca="false">IF($AK304=0,"",IF(INDEX(입력_상담!$A$5:$A$1004,$AK304)="","",INDEX(입력_상담!$A$5:$A$1004,$AK304)))</f>
        <v/>
      </c>
      <c r="AE304" s="25" t="str">
        <f aca="false">IF(AND(ISNUMBER(AB304),ISNUMBER(AC304)),IF(AC304&gt;=AB304,ROUND((AC304-AB304)*1440,0),""),"")</f>
        <v/>
      </c>
      <c r="AF304" s="25" t="str">
        <f aca="false">IF(AND(ISNUMBER(AC304),ISNUMBER(AD304)),IF(AD304&gt;=AC304,ROUND((AD304-AC304)*1440,0),""),"")</f>
        <v/>
      </c>
      <c r="AG304" s="25" t="str">
        <f aca="false">IF(AND(AA304="완료",ISNUMBER(AB304),ISNUMBER(AD304)),IF(AD304&gt;=AB304,ROUND((AD304-AB304)*1440,0),""),"")</f>
        <v/>
      </c>
      <c r="AH304" s="61" t="str">
        <f aca="false">IF(AND(AK304&gt;0,AJ304=0),"측정 기록 없음",IF(AND(AJ304&gt;0,AI304=0),"운동평가 기록 없음",IF(OR(COUNTIF(입력_운동!$B$5:$B$1004,$A304)&gt;1,COUNTIF(입력_측정!$B$5:$B$1004,$A304)&gt;1),"중복 입력","")))</f>
        <v/>
      </c>
      <c r="AI304" s="62" t="n">
        <f aca="false">SUMPRODUCT(MAX((입력_운동!$B$5:$B$1004=$A304)*(ROW(입력_운동!$B$5:$B$1004)-4)))</f>
        <v>0</v>
      </c>
      <c r="AJ304" s="62" t="n">
        <f aca="false">SUMPRODUCT(MAX((입력_측정!$B$5:$B$1004=$A304)*(ROW(입력_측정!$B$5:$B$1004)-4)))</f>
        <v>0</v>
      </c>
      <c r="AK304" s="62" t="n">
        <f aca="false">SUMPRODUCT(MAX((입력_상담!$B$5:$B$1004=$A304)*(ROW(입력_상담!$B$5:$B$1004)-4)))</f>
        <v>0</v>
      </c>
    </row>
    <row r="305" customFormat="false" ht="15" hidden="false" customHeight="false" outlineLevel="0" collapsed="false">
      <c r="A305" s="55" t="n">
        <v>301</v>
      </c>
      <c r="B305" s="56"/>
      <c r="C305" s="24"/>
      <c r="D305" s="24"/>
      <c r="E305" s="56"/>
      <c r="F305" s="57"/>
      <c r="G305" s="58"/>
      <c r="H305" s="56"/>
      <c r="I305" s="24"/>
      <c r="J305" s="24"/>
      <c r="K305" s="24"/>
      <c r="L305" s="24"/>
      <c r="M305" s="24"/>
      <c r="N305" s="56"/>
      <c r="O305" s="25" t="str">
        <f aca="false">IF($AI305=0,"",IF(INDEX(입력_운동!$C$5:$C$1004,$AI305)="","",INDEX(입력_운동!$C$5:$C$1004,$AI305)))</f>
        <v/>
      </c>
      <c r="P305" s="25" t="str">
        <f aca="false">IF($AI305=0,"",IF(INDEX(입력_운동!$D$5:$D$1004,$AI305)="","",INDEX(입력_운동!$D$5:$D$1004,$AI305)))</f>
        <v/>
      </c>
      <c r="Q305" s="25" t="str">
        <f aca="false">IF($AI305=0,"",IF(INDEX(입력_운동!$E$5:$E$1004,$AI305)="","",INDEX(입력_운동!$E$5:$E$1004,$AI305)))</f>
        <v/>
      </c>
      <c r="R305" s="25" t="str">
        <f aca="false">IF($AI305=0,"",IF(INDEX(입력_운동!$F$5:$F$1004,$AI305)="","",INDEX(입력_운동!$F$5:$F$1004,$AI305)))</f>
        <v/>
      </c>
      <c r="S305" s="25" t="str">
        <f aca="false">IF($AJ305=0,"",IF(INDEX(입력_측정!$C$5:$C$1004,$AJ305)="","",INDEX(입력_측정!$C$5:$C$1004,$AJ305)))</f>
        <v/>
      </c>
      <c r="T305" s="25" t="str">
        <f aca="false">IF($AJ305=0,"",IF(INDEX(입력_측정!$D$5:$D$1004,$AJ305)="","",INDEX(입력_측정!$D$5:$D$1004,$AJ305)))</f>
        <v/>
      </c>
      <c r="U305" s="25" t="str">
        <f aca="false">IF($AJ305=0,"",IF(INDEX(입력_측정!$E$5:$E$1004,$AJ305)="","",INDEX(입력_측정!$E$5:$E$1004,$AJ305)))</f>
        <v/>
      </c>
      <c r="V305" s="25" t="str">
        <f aca="false">IF($AJ305=0,"",IF(INDEX(입력_측정!$F$5:$F$1004,$AJ305)="","",INDEX(입력_측정!$F$5:$F$1004,$AJ305)))</f>
        <v/>
      </c>
      <c r="W305" s="25" t="str">
        <f aca="false">IF($AK305=0,"",IF(INDEX(입력_상담!$D$5:$D$1004,$AK305)="","",INDEX(입력_상담!$D$5:$D$1004,$AK305)))</f>
        <v/>
      </c>
      <c r="X305" s="25" t="str">
        <f aca="false">IF($AJ305=0,"",IF(INDEX(입력_측정!$I$5:$I$1004,$AJ305)="","",INDEX(입력_측정!$I$5:$I$1004,$AJ305)))</f>
        <v/>
      </c>
      <c r="Y305" s="25" t="str">
        <f aca="false">IF($AJ305=0,"",IF(INDEX(입력_측정!$J$5:$J$1004,$AJ305)="","",INDEX(입력_측정!$J$5:$J$1004,$AJ305)))</f>
        <v/>
      </c>
      <c r="Z305" s="25" t="str">
        <f aca="false">IF(OR(X305="긴급",LEFT(Y305,2)="긴급",W305="필요",W305="완료"),"대상","")</f>
        <v/>
      </c>
      <c r="AA305" s="59" t="str">
        <f aca="false">IF(M305&lt;&gt;"",M305,IF(AK305&gt;0,IF(W305="필요","추가상담 대기","완료"),IF(AJ305&gt;0,"결과상담 대기",IF(AI305&gt;0,"측정 대기","미방문"))))</f>
        <v>미방문</v>
      </c>
      <c r="AB305" s="60" t="str">
        <f aca="false">IF($AI305=0,"",IF(INDEX(입력_운동!$A$5:$A$1004,$AI305)="","",INDEX(입력_운동!$A$5:$A$1004,$AI305)))</f>
        <v/>
      </c>
      <c r="AC305" s="60" t="str">
        <f aca="false">IF($AJ305=0,"",IF(INDEX(입력_측정!$A$5:$A$1004,$AJ305)="","",INDEX(입력_측정!$A$5:$A$1004,$AJ305)))</f>
        <v/>
      </c>
      <c r="AD305" s="60" t="str">
        <f aca="false">IF($AK305=0,"",IF(INDEX(입력_상담!$A$5:$A$1004,$AK305)="","",INDEX(입력_상담!$A$5:$A$1004,$AK305)))</f>
        <v/>
      </c>
      <c r="AE305" s="25" t="str">
        <f aca="false">IF(AND(ISNUMBER(AB305),ISNUMBER(AC305)),IF(AC305&gt;=AB305,ROUND((AC305-AB305)*1440,0),""),"")</f>
        <v/>
      </c>
      <c r="AF305" s="25" t="str">
        <f aca="false">IF(AND(ISNUMBER(AC305),ISNUMBER(AD305)),IF(AD305&gt;=AC305,ROUND((AD305-AC305)*1440,0),""),"")</f>
        <v/>
      </c>
      <c r="AG305" s="25" t="str">
        <f aca="false">IF(AND(AA305="완료",ISNUMBER(AB305),ISNUMBER(AD305)),IF(AD305&gt;=AB305,ROUND((AD305-AB305)*1440,0),""),"")</f>
        <v/>
      </c>
      <c r="AH305" s="61" t="str">
        <f aca="false">IF(AND(AK305&gt;0,AJ305=0),"측정 기록 없음",IF(AND(AJ305&gt;0,AI305=0),"운동평가 기록 없음",IF(OR(COUNTIF(입력_운동!$B$5:$B$1004,$A305)&gt;1,COUNTIF(입력_측정!$B$5:$B$1004,$A305)&gt;1),"중복 입력","")))</f>
        <v/>
      </c>
      <c r="AI305" s="62" t="n">
        <f aca="false">SUMPRODUCT(MAX((입력_운동!$B$5:$B$1004=$A305)*(ROW(입력_운동!$B$5:$B$1004)-4)))</f>
        <v>0</v>
      </c>
      <c r="AJ305" s="62" t="n">
        <f aca="false">SUMPRODUCT(MAX((입력_측정!$B$5:$B$1004=$A305)*(ROW(입력_측정!$B$5:$B$1004)-4)))</f>
        <v>0</v>
      </c>
      <c r="AK305" s="62" t="n">
        <f aca="false">SUMPRODUCT(MAX((입력_상담!$B$5:$B$1004=$A305)*(ROW(입력_상담!$B$5:$B$1004)-4)))</f>
        <v>0</v>
      </c>
    </row>
    <row r="306" customFormat="false" ht="15" hidden="false" customHeight="false" outlineLevel="0" collapsed="false">
      <c r="A306" s="55" t="n">
        <v>302</v>
      </c>
      <c r="B306" s="56"/>
      <c r="C306" s="24"/>
      <c r="D306" s="24"/>
      <c r="E306" s="56"/>
      <c r="F306" s="57"/>
      <c r="G306" s="58"/>
      <c r="H306" s="56"/>
      <c r="I306" s="24"/>
      <c r="J306" s="24"/>
      <c r="K306" s="24"/>
      <c r="L306" s="24"/>
      <c r="M306" s="24"/>
      <c r="N306" s="56"/>
      <c r="O306" s="25" t="str">
        <f aca="false">IF($AI306=0,"",IF(INDEX(입력_운동!$C$5:$C$1004,$AI306)="","",INDEX(입력_운동!$C$5:$C$1004,$AI306)))</f>
        <v/>
      </c>
      <c r="P306" s="25" t="str">
        <f aca="false">IF($AI306=0,"",IF(INDEX(입력_운동!$D$5:$D$1004,$AI306)="","",INDEX(입력_운동!$D$5:$D$1004,$AI306)))</f>
        <v/>
      </c>
      <c r="Q306" s="25" t="str">
        <f aca="false">IF($AI306=0,"",IF(INDEX(입력_운동!$E$5:$E$1004,$AI306)="","",INDEX(입력_운동!$E$5:$E$1004,$AI306)))</f>
        <v/>
      </c>
      <c r="R306" s="25" t="str">
        <f aca="false">IF($AI306=0,"",IF(INDEX(입력_운동!$F$5:$F$1004,$AI306)="","",INDEX(입력_운동!$F$5:$F$1004,$AI306)))</f>
        <v/>
      </c>
      <c r="S306" s="25" t="str">
        <f aca="false">IF($AJ306=0,"",IF(INDEX(입력_측정!$C$5:$C$1004,$AJ306)="","",INDEX(입력_측정!$C$5:$C$1004,$AJ306)))</f>
        <v/>
      </c>
      <c r="T306" s="25" t="str">
        <f aca="false">IF($AJ306=0,"",IF(INDEX(입력_측정!$D$5:$D$1004,$AJ306)="","",INDEX(입력_측정!$D$5:$D$1004,$AJ306)))</f>
        <v/>
      </c>
      <c r="U306" s="25" t="str">
        <f aca="false">IF($AJ306=0,"",IF(INDEX(입력_측정!$E$5:$E$1004,$AJ306)="","",INDEX(입력_측정!$E$5:$E$1004,$AJ306)))</f>
        <v/>
      </c>
      <c r="V306" s="25" t="str">
        <f aca="false">IF($AJ306=0,"",IF(INDEX(입력_측정!$F$5:$F$1004,$AJ306)="","",INDEX(입력_측정!$F$5:$F$1004,$AJ306)))</f>
        <v/>
      </c>
      <c r="W306" s="25" t="str">
        <f aca="false">IF($AK306=0,"",IF(INDEX(입력_상담!$D$5:$D$1004,$AK306)="","",INDEX(입력_상담!$D$5:$D$1004,$AK306)))</f>
        <v/>
      </c>
      <c r="X306" s="25" t="str">
        <f aca="false">IF($AJ306=0,"",IF(INDEX(입력_측정!$I$5:$I$1004,$AJ306)="","",INDEX(입력_측정!$I$5:$I$1004,$AJ306)))</f>
        <v/>
      </c>
      <c r="Y306" s="25" t="str">
        <f aca="false">IF($AJ306=0,"",IF(INDEX(입력_측정!$J$5:$J$1004,$AJ306)="","",INDEX(입력_측정!$J$5:$J$1004,$AJ306)))</f>
        <v/>
      </c>
      <c r="Z306" s="25" t="str">
        <f aca="false">IF(OR(X306="긴급",LEFT(Y306,2)="긴급",W306="필요",W306="완료"),"대상","")</f>
        <v/>
      </c>
      <c r="AA306" s="59" t="str">
        <f aca="false">IF(M306&lt;&gt;"",M306,IF(AK306&gt;0,IF(W306="필요","추가상담 대기","완료"),IF(AJ306&gt;0,"결과상담 대기",IF(AI306&gt;0,"측정 대기","미방문"))))</f>
        <v>미방문</v>
      </c>
      <c r="AB306" s="60" t="str">
        <f aca="false">IF($AI306=0,"",IF(INDEX(입력_운동!$A$5:$A$1004,$AI306)="","",INDEX(입력_운동!$A$5:$A$1004,$AI306)))</f>
        <v/>
      </c>
      <c r="AC306" s="60" t="str">
        <f aca="false">IF($AJ306=0,"",IF(INDEX(입력_측정!$A$5:$A$1004,$AJ306)="","",INDEX(입력_측정!$A$5:$A$1004,$AJ306)))</f>
        <v/>
      </c>
      <c r="AD306" s="60" t="str">
        <f aca="false">IF($AK306=0,"",IF(INDEX(입력_상담!$A$5:$A$1004,$AK306)="","",INDEX(입력_상담!$A$5:$A$1004,$AK306)))</f>
        <v/>
      </c>
      <c r="AE306" s="25" t="str">
        <f aca="false">IF(AND(ISNUMBER(AB306),ISNUMBER(AC306)),IF(AC306&gt;=AB306,ROUND((AC306-AB306)*1440,0),""),"")</f>
        <v/>
      </c>
      <c r="AF306" s="25" t="str">
        <f aca="false">IF(AND(ISNUMBER(AC306),ISNUMBER(AD306)),IF(AD306&gt;=AC306,ROUND((AD306-AC306)*1440,0),""),"")</f>
        <v/>
      </c>
      <c r="AG306" s="25" t="str">
        <f aca="false">IF(AND(AA306="완료",ISNUMBER(AB306),ISNUMBER(AD306)),IF(AD306&gt;=AB306,ROUND((AD306-AB306)*1440,0),""),"")</f>
        <v/>
      </c>
      <c r="AH306" s="61" t="str">
        <f aca="false">IF(AND(AK306&gt;0,AJ306=0),"측정 기록 없음",IF(AND(AJ306&gt;0,AI306=0),"운동평가 기록 없음",IF(OR(COUNTIF(입력_운동!$B$5:$B$1004,$A306)&gt;1,COUNTIF(입력_측정!$B$5:$B$1004,$A306)&gt;1),"중복 입력","")))</f>
        <v/>
      </c>
      <c r="AI306" s="62" t="n">
        <f aca="false">SUMPRODUCT(MAX((입력_운동!$B$5:$B$1004=$A306)*(ROW(입력_운동!$B$5:$B$1004)-4)))</f>
        <v>0</v>
      </c>
      <c r="AJ306" s="62" t="n">
        <f aca="false">SUMPRODUCT(MAX((입력_측정!$B$5:$B$1004=$A306)*(ROW(입력_측정!$B$5:$B$1004)-4)))</f>
        <v>0</v>
      </c>
      <c r="AK306" s="62" t="n">
        <f aca="false">SUMPRODUCT(MAX((입력_상담!$B$5:$B$1004=$A306)*(ROW(입력_상담!$B$5:$B$1004)-4)))</f>
        <v>0</v>
      </c>
    </row>
    <row r="307" customFormat="false" ht="15" hidden="false" customHeight="false" outlineLevel="0" collapsed="false">
      <c r="A307" s="55" t="n">
        <v>303</v>
      </c>
      <c r="B307" s="56"/>
      <c r="C307" s="24"/>
      <c r="D307" s="24"/>
      <c r="E307" s="56"/>
      <c r="F307" s="57"/>
      <c r="G307" s="58"/>
      <c r="H307" s="56"/>
      <c r="I307" s="24"/>
      <c r="J307" s="24"/>
      <c r="K307" s="24"/>
      <c r="L307" s="24"/>
      <c r="M307" s="24"/>
      <c r="N307" s="56"/>
      <c r="O307" s="25" t="str">
        <f aca="false">IF($AI307=0,"",IF(INDEX(입력_운동!$C$5:$C$1004,$AI307)="","",INDEX(입력_운동!$C$5:$C$1004,$AI307)))</f>
        <v/>
      </c>
      <c r="P307" s="25" t="str">
        <f aca="false">IF($AI307=0,"",IF(INDEX(입력_운동!$D$5:$D$1004,$AI307)="","",INDEX(입력_운동!$D$5:$D$1004,$AI307)))</f>
        <v/>
      </c>
      <c r="Q307" s="25" t="str">
        <f aca="false">IF($AI307=0,"",IF(INDEX(입력_운동!$E$5:$E$1004,$AI307)="","",INDEX(입력_운동!$E$5:$E$1004,$AI307)))</f>
        <v/>
      </c>
      <c r="R307" s="25" t="str">
        <f aca="false">IF($AI307=0,"",IF(INDEX(입력_운동!$F$5:$F$1004,$AI307)="","",INDEX(입력_운동!$F$5:$F$1004,$AI307)))</f>
        <v/>
      </c>
      <c r="S307" s="25" t="str">
        <f aca="false">IF($AJ307=0,"",IF(INDEX(입력_측정!$C$5:$C$1004,$AJ307)="","",INDEX(입력_측정!$C$5:$C$1004,$AJ307)))</f>
        <v/>
      </c>
      <c r="T307" s="25" t="str">
        <f aca="false">IF($AJ307=0,"",IF(INDEX(입력_측정!$D$5:$D$1004,$AJ307)="","",INDEX(입력_측정!$D$5:$D$1004,$AJ307)))</f>
        <v/>
      </c>
      <c r="U307" s="25" t="str">
        <f aca="false">IF($AJ307=0,"",IF(INDEX(입력_측정!$E$5:$E$1004,$AJ307)="","",INDEX(입력_측정!$E$5:$E$1004,$AJ307)))</f>
        <v/>
      </c>
      <c r="V307" s="25" t="str">
        <f aca="false">IF($AJ307=0,"",IF(INDEX(입력_측정!$F$5:$F$1004,$AJ307)="","",INDEX(입력_측정!$F$5:$F$1004,$AJ307)))</f>
        <v/>
      </c>
      <c r="W307" s="25" t="str">
        <f aca="false">IF($AK307=0,"",IF(INDEX(입력_상담!$D$5:$D$1004,$AK307)="","",INDEX(입력_상담!$D$5:$D$1004,$AK307)))</f>
        <v/>
      </c>
      <c r="X307" s="25" t="str">
        <f aca="false">IF($AJ307=0,"",IF(INDEX(입력_측정!$I$5:$I$1004,$AJ307)="","",INDEX(입력_측정!$I$5:$I$1004,$AJ307)))</f>
        <v/>
      </c>
      <c r="Y307" s="25" t="str">
        <f aca="false">IF($AJ307=0,"",IF(INDEX(입력_측정!$J$5:$J$1004,$AJ307)="","",INDEX(입력_측정!$J$5:$J$1004,$AJ307)))</f>
        <v/>
      </c>
      <c r="Z307" s="25" t="str">
        <f aca="false">IF(OR(X307="긴급",LEFT(Y307,2)="긴급",W307="필요",W307="완료"),"대상","")</f>
        <v/>
      </c>
      <c r="AA307" s="59" t="str">
        <f aca="false">IF(M307&lt;&gt;"",M307,IF(AK307&gt;0,IF(W307="필요","추가상담 대기","완료"),IF(AJ307&gt;0,"결과상담 대기",IF(AI307&gt;0,"측정 대기","미방문"))))</f>
        <v>미방문</v>
      </c>
      <c r="AB307" s="60" t="str">
        <f aca="false">IF($AI307=0,"",IF(INDEX(입력_운동!$A$5:$A$1004,$AI307)="","",INDEX(입력_운동!$A$5:$A$1004,$AI307)))</f>
        <v/>
      </c>
      <c r="AC307" s="60" t="str">
        <f aca="false">IF($AJ307=0,"",IF(INDEX(입력_측정!$A$5:$A$1004,$AJ307)="","",INDEX(입력_측정!$A$5:$A$1004,$AJ307)))</f>
        <v/>
      </c>
      <c r="AD307" s="60" t="str">
        <f aca="false">IF($AK307=0,"",IF(INDEX(입력_상담!$A$5:$A$1004,$AK307)="","",INDEX(입력_상담!$A$5:$A$1004,$AK307)))</f>
        <v/>
      </c>
      <c r="AE307" s="25" t="str">
        <f aca="false">IF(AND(ISNUMBER(AB307),ISNUMBER(AC307)),IF(AC307&gt;=AB307,ROUND((AC307-AB307)*1440,0),""),"")</f>
        <v/>
      </c>
      <c r="AF307" s="25" t="str">
        <f aca="false">IF(AND(ISNUMBER(AC307),ISNUMBER(AD307)),IF(AD307&gt;=AC307,ROUND((AD307-AC307)*1440,0),""),"")</f>
        <v/>
      </c>
      <c r="AG307" s="25" t="str">
        <f aca="false">IF(AND(AA307="완료",ISNUMBER(AB307),ISNUMBER(AD307)),IF(AD307&gt;=AB307,ROUND((AD307-AB307)*1440,0),""),"")</f>
        <v/>
      </c>
      <c r="AH307" s="61" t="str">
        <f aca="false">IF(AND(AK307&gt;0,AJ307=0),"측정 기록 없음",IF(AND(AJ307&gt;0,AI307=0),"운동평가 기록 없음",IF(OR(COUNTIF(입력_운동!$B$5:$B$1004,$A307)&gt;1,COUNTIF(입력_측정!$B$5:$B$1004,$A307)&gt;1),"중복 입력","")))</f>
        <v/>
      </c>
      <c r="AI307" s="62" t="n">
        <f aca="false">SUMPRODUCT(MAX((입력_운동!$B$5:$B$1004=$A307)*(ROW(입력_운동!$B$5:$B$1004)-4)))</f>
        <v>0</v>
      </c>
      <c r="AJ307" s="62" t="n">
        <f aca="false">SUMPRODUCT(MAX((입력_측정!$B$5:$B$1004=$A307)*(ROW(입력_측정!$B$5:$B$1004)-4)))</f>
        <v>0</v>
      </c>
      <c r="AK307" s="62" t="n">
        <f aca="false">SUMPRODUCT(MAX((입력_상담!$B$5:$B$1004=$A307)*(ROW(입력_상담!$B$5:$B$1004)-4)))</f>
        <v>0</v>
      </c>
    </row>
    <row r="308" customFormat="false" ht="15" hidden="false" customHeight="false" outlineLevel="0" collapsed="false">
      <c r="A308" s="55" t="n">
        <v>304</v>
      </c>
      <c r="B308" s="56"/>
      <c r="C308" s="24"/>
      <c r="D308" s="24"/>
      <c r="E308" s="56"/>
      <c r="F308" s="57"/>
      <c r="G308" s="58"/>
      <c r="H308" s="56"/>
      <c r="I308" s="24"/>
      <c r="J308" s="24"/>
      <c r="K308" s="24"/>
      <c r="L308" s="24"/>
      <c r="M308" s="24"/>
      <c r="N308" s="56"/>
      <c r="O308" s="25" t="str">
        <f aca="false">IF($AI308=0,"",IF(INDEX(입력_운동!$C$5:$C$1004,$AI308)="","",INDEX(입력_운동!$C$5:$C$1004,$AI308)))</f>
        <v/>
      </c>
      <c r="P308" s="25" t="str">
        <f aca="false">IF($AI308=0,"",IF(INDEX(입력_운동!$D$5:$D$1004,$AI308)="","",INDEX(입력_운동!$D$5:$D$1004,$AI308)))</f>
        <v/>
      </c>
      <c r="Q308" s="25" t="str">
        <f aca="false">IF($AI308=0,"",IF(INDEX(입력_운동!$E$5:$E$1004,$AI308)="","",INDEX(입력_운동!$E$5:$E$1004,$AI308)))</f>
        <v/>
      </c>
      <c r="R308" s="25" t="str">
        <f aca="false">IF($AI308=0,"",IF(INDEX(입력_운동!$F$5:$F$1004,$AI308)="","",INDEX(입력_운동!$F$5:$F$1004,$AI308)))</f>
        <v/>
      </c>
      <c r="S308" s="25" t="str">
        <f aca="false">IF($AJ308=0,"",IF(INDEX(입력_측정!$C$5:$C$1004,$AJ308)="","",INDEX(입력_측정!$C$5:$C$1004,$AJ308)))</f>
        <v/>
      </c>
      <c r="T308" s="25" t="str">
        <f aca="false">IF($AJ308=0,"",IF(INDEX(입력_측정!$D$5:$D$1004,$AJ308)="","",INDEX(입력_측정!$D$5:$D$1004,$AJ308)))</f>
        <v/>
      </c>
      <c r="U308" s="25" t="str">
        <f aca="false">IF($AJ308=0,"",IF(INDEX(입력_측정!$E$5:$E$1004,$AJ308)="","",INDEX(입력_측정!$E$5:$E$1004,$AJ308)))</f>
        <v/>
      </c>
      <c r="V308" s="25" t="str">
        <f aca="false">IF($AJ308=0,"",IF(INDEX(입력_측정!$F$5:$F$1004,$AJ308)="","",INDEX(입력_측정!$F$5:$F$1004,$AJ308)))</f>
        <v/>
      </c>
      <c r="W308" s="25" t="str">
        <f aca="false">IF($AK308=0,"",IF(INDEX(입력_상담!$D$5:$D$1004,$AK308)="","",INDEX(입력_상담!$D$5:$D$1004,$AK308)))</f>
        <v/>
      </c>
      <c r="X308" s="25" t="str">
        <f aca="false">IF($AJ308=0,"",IF(INDEX(입력_측정!$I$5:$I$1004,$AJ308)="","",INDEX(입력_측정!$I$5:$I$1004,$AJ308)))</f>
        <v/>
      </c>
      <c r="Y308" s="25" t="str">
        <f aca="false">IF($AJ308=0,"",IF(INDEX(입력_측정!$J$5:$J$1004,$AJ308)="","",INDEX(입력_측정!$J$5:$J$1004,$AJ308)))</f>
        <v/>
      </c>
      <c r="Z308" s="25" t="str">
        <f aca="false">IF(OR(X308="긴급",LEFT(Y308,2)="긴급",W308="필요",W308="완료"),"대상","")</f>
        <v/>
      </c>
      <c r="AA308" s="59" t="str">
        <f aca="false">IF(M308&lt;&gt;"",M308,IF(AK308&gt;0,IF(W308="필요","추가상담 대기","완료"),IF(AJ308&gt;0,"결과상담 대기",IF(AI308&gt;0,"측정 대기","미방문"))))</f>
        <v>미방문</v>
      </c>
      <c r="AB308" s="60" t="str">
        <f aca="false">IF($AI308=0,"",IF(INDEX(입력_운동!$A$5:$A$1004,$AI308)="","",INDEX(입력_운동!$A$5:$A$1004,$AI308)))</f>
        <v/>
      </c>
      <c r="AC308" s="60" t="str">
        <f aca="false">IF($AJ308=0,"",IF(INDEX(입력_측정!$A$5:$A$1004,$AJ308)="","",INDEX(입력_측정!$A$5:$A$1004,$AJ308)))</f>
        <v/>
      </c>
      <c r="AD308" s="60" t="str">
        <f aca="false">IF($AK308=0,"",IF(INDEX(입력_상담!$A$5:$A$1004,$AK308)="","",INDEX(입력_상담!$A$5:$A$1004,$AK308)))</f>
        <v/>
      </c>
      <c r="AE308" s="25" t="str">
        <f aca="false">IF(AND(ISNUMBER(AB308),ISNUMBER(AC308)),IF(AC308&gt;=AB308,ROUND((AC308-AB308)*1440,0),""),"")</f>
        <v/>
      </c>
      <c r="AF308" s="25" t="str">
        <f aca="false">IF(AND(ISNUMBER(AC308),ISNUMBER(AD308)),IF(AD308&gt;=AC308,ROUND((AD308-AC308)*1440,0),""),"")</f>
        <v/>
      </c>
      <c r="AG308" s="25" t="str">
        <f aca="false">IF(AND(AA308="완료",ISNUMBER(AB308),ISNUMBER(AD308)),IF(AD308&gt;=AB308,ROUND((AD308-AB308)*1440,0),""),"")</f>
        <v/>
      </c>
      <c r="AH308" s="61" t="str">
        <f aca="false">IF(AND(AK308&gt;0,AJ308=0),"측정 기록 없음",IF(AND(AJ308&gt;0,AI308=0),"운동평가 기록 없음",IF(OR(COUNTIF(입력_운동!$B$5:$B$1004,$A308)&gt;1,COUNTIF(입력_측정!$B$5:$B$1004,$A308)&gt;1),"중복 입력","")))</f>
        <v/>
      </c>
      <c r="AI308" s="62" t="n">
        <f aca="false">SUMPRODUCT(MAX((입력_운동!$B$5:$B$1004=$A308)*(ROW(입력_운동!$B$5:$B$1004)-4)))</f>
        <v>0</v>
      </c>
      <c r="AJ308" s="62" t="n">
        <f aca="false">SUMPRODUCT(MAX((입력_측정!$B$5:$B$1004=$A308)*(ROW(입력_측정!$B$5:$B$1004)-4)))</f>
        <v>0</v>
      </c>
      <c r="AK308" s="62" t="n">
        <f aca="false">SUMPRODUCT(MAX((입력_상담!$B$5:$B$1004=$A308)*(ROW(입력_상담!$B$5:$B$1004)-4)))</f>
        <v>0</v>
      </c>
    </row>
    <row r="309" customFormat="false" ht="15" hidden="false" customHeight="false" outlineLevel="0" collapsed="false">
      <c r="A309" s="55" t="n">
        <v>305</v>
      </c>
      <c r="B309" s="56"/>
      <c r="C309" s="24"/>
      <c r="D309" s="24"/>
      <c r="E309" s="56"/>
      <c r="F309" s="57"/>
      <c r="G309" s="58"/>
      <c r="H309" s="56"/>
      <c r="I309" s="24"/>
      <c r="J309" s="24"/>
      <c r="K309" s="24"/>
      <c r="L309" s="24"/>
      <c r="M309" s="24"/>
      <c r="N309" s="56"/>
      <c r="O309" s="25" t="str">
        <f aca="false">IF($AI309=0,"",IF(INDEX(입력_운동!$C$5:$C$1004,$AI309)="","",INDEX(입력_운동!$C$5:$C$1004,$AI309)))</f>
        <v/>
      </c>
      <c r="P309" s="25" t="str">
        <f aca="false">IF($AI309=0,"",IF(INDEX(입력_운동!$D$5:$D$1004,$AI309)="","",INDEX(입력_운동!$D$5:$D$1004,$AI309)))</f>
        <v/>
      </c>
      <c r="Q309" s="25" t="str">
        <f aca="false">IF($AI309=0,"",IF(INDEX(입력_운동!$E$5:$E$1004,$AI309)="","",INDEX(입력_운동!$E$5:$E$1004,$AI309)))</f>
        <v/>
      </c>
      <c r="R309" s="25" t="str">
        <f aca="false">IF($AI309=0,"",IF(INDEX(입력_운동!$F$5:$F$1004,$AI309)="","",INDEX(입력_운동!$F$5:$F$1004,$AI309)))</f>
        <v/>
      </c>
      <c r="S309" s="25" t="str">
        <f aca="false">IF($AJ309=0,"",IF(INDEX(입력_측정!$C$5:$C$1004,$AJ309)="","",INDEX(입력_측정!$C$5:$C$1004,$AJ309)))</f>
        <v/>
      </c>
      <c r="T309" s="25" t="str">
        <f aca="false">IF($AJ309=0,"",IF(INDEX(입력_측정!$D$5:$D$1004,$AJ309)="","",INDEX(입력_측정!$D$5:$D$1004,$AJ309)))</f>
        <v/>
      </c>
      <c r="U309" s="25" t="str">
        <f aca="false">IF($AJ309=0,"",IF(INDEX(입력_측정!$E$5:$E$1004,$AJ309)="","",INDEX(입력_측정!$E$5:$E$1004,$AJ309)))</f>
        <v/>
      </c>
      <c r="V309" s="25" t="str">
        <f aca="false">IF($AJ309=0,"",IF(INDEX(입력_측정!$F$5:$F$1004,$AJ309)="","",INDEX(입력_측정!$F$5:$F$1004,$AJ309)))</f>
        <v/>
      </c>
      <c r="W309" s="25" t="str">
        <f aca="false">IF($AK309=0,"",IF(INDEX(입력_상담!$D$5:$D$1004,$AK309)="","",INDEX(입력_상담!$D$5:$D$1004,$AK309)))</f>
        <v/>
      </c>
      <c r="X309" s="25" t="str">
        <f aca="false">IF($AJ309=0,"",IF(INDEX(입력_측정!$I$5:$I$1004,$AJ309)="","",INDEX(입력_측정!$I$5:$I$1004,$AJ309)))</f>
        <v/>
      </c>
      <c r="Y309" s="25" t="str">
        <f aca="false">IF($AJ309=0,"",IF(INDEX(입력_측정!$J$5:$J$1004,$AJ309)="","",INDEX(입력_측정!$J$5:$J$1004,$AJ309)))</f>
        <v/>
      </c>
      <c r="Z309" s="25" t="str">
        <f aca="false">IF(OR(X309="긴급",LEFT(Y309,2)="긴급",W309="필요",W309="완료"),"대상","")</f>
        <v/>
      </c>
      <c r="AA309" s="59" t="str">
        <f aca="false">IF(M309&lt;&gt;"",M309,IF(AK309&gt;0,IF(W309="필요","추가상담 대기","완료"),IF(AJ309&gt;0,"결과상담 대기",IF(AI309&gt;0,"측정 대기","미방문"))))</f>
        <v>미방문</v>
      </c>
      <c r="AB309" s="60" t="str">
        <f aca="false">IF($AI309=0,"",IF(INDEX(입력_운동!$A$5:$A$1004,$AI309)="","",INDEX(입력_운동!$A$5:$A$1004,$AI309)))</f>
        <v/>
      </c>
      <c r="AC309" s="60" t="str">
        <f aca="false">IF($AJ309=0,"",IF(INDEX(입력_측정!$A$5:$A$1004,$AJ309)="","",INDEX(입력_측정!$A$5:$A$1004,$AJ309)))</f>
        <v/>
      </c>
      <c r="AD309" s="60" t="str">
        <f aca="false">IF($AK309=0,"",IF(INDEX(입력_상담!$A$5:$A$1004,$AK309)="","",INDEX(입력_상담!$A$5:$A$1004,$AK309)))</f>
        <v/>
      </c>
      <c r="AE309" s="25" t="str">
        <f aca="false">IF(AND(ISNUMBER(AB309),ISNUMBER(AC309)),IF(AC309&gt;=AB309,ROUND((AC309-AB309)*1440,0),""),"")</f>
        <v/>
      </c>
      <c r="AF309" s="25" t="str">
        <f aca="false">IF(AND(ISNUMBER(AC309),ISNUMBER(AD309)),IF(AD309&gt;=AC309,ROUND((AD309-AC309)*1440,0),""),"")</f>
        <v/>
      </c>
      <c r="AG309" s="25" t="str">
        <f aca="false">IF(AND(AA309="완료",ISNUMBER(AB309),ISNUMBER(AD309)),IF(AD309&gt;=AB309,ROUND((AD309-AB309)*1440,0),""),"")</f>
        <v/>
      </c>
      <c r="AH309" s="61" t="str">
        <f aca="false">IF(AND(AK309&gt;0,AJ309=0),"측정 기록 없음",IF(AND(AJ309&gt;0,AI309=0),"운동평가 기록 없음",IF(OR(COUNTIF(입력_운동!$B$5:$B$1004,$A309)&gt;1,COUNTIF(입력_측정!$B$5:$B$1004,$A309)&gt;1),"중복 입력","")))</f>
        <v/>
      </c>
      <c r="AI309" s="62" t="n">
        <f aca="false">SUMPRODUCT(MAX((입력_운동!$B$5:$B$1004=$A309)*(ROW(입력_운동!$B$5:$B$1004)-4)))</f>
        <v>0</v>
      </c>
      <c r="AJ309" s="62" t="n">
        <f aca="false">SUMPRODUCT(MAX((입력_측정!$B$5:$B$1004=$A309)*(ROW(입력_측정!$B$5:$B$1004)-4)))</f>
        <v>0</v>
      </c>
      <c r="AK309" s="62" t="n">
        <f aca="false">SUMPRODUCT(MAX((입력_상담!$B$5:$B$1004=$A309)*(ROW(입력_상담!$B$5:$B$1004)-4)))</f>
        <v>0</v>
      </c>
    </row>
    <row r="310" customFormat="false" ht="15" hidden="false" customHeight="false" outlineLevel="0" collapsed="false">
      <c r="A310" s="55" t="n">
        <v>306</v>
      </c>
      <c r="B310" s="56"/>
      <c r="C310" s="24"/>
      <c r="D310" s="24"/>
      <c r="E310" s="56"/>
      <c r="F310" s="57"/>
      <c r="G310" s="58"/>
      <c r="H310" s="56"/>
      <c r="I310" s="24"/>
      <c r="J310" s="24"/>
      <c r="K310" s="24"/>
      <c r="L310" s="24"/>
      <c r="M310" s="24"/>
      <c r="N310" s="56"/>
      <c r="O310" s="25" t="str">
        <f aca="false">IF($AI310=0,"",IF(INDEX(입력_운동!$C$5:$C$1004,$AI310)="","",INDEX(입력_운동!$C$5:$C$1004,$AI310)))</f>
        <v/>
      </c>
      <c r="P310" s="25" t="str">
        <f aca="false">IF($AI310=0,"",IF(INDEX(입력_운동!$D$5:$D$1004,$AI310)="","",INDEX(입력_운동!$D$5:$D$1004,$AI310)))</f>
        <v/>
      </c>
      <c r="Q310" s="25" t="str">
        <f aca="false">IF($AI310=0,"",IF(INDEX(입력_운동!$E$5:$E$1004,$AI310)="","",INDEX(입력_운동!$E$5:$E$1004,$AI310)))</f>
        <v/>
      </c>
      <c r="R310" s="25" t="str">
        <f aca="false">IF($AI310=0,"",IF(INDEX(입력_운동!$F$5:$F$1004,$AI310)="","",INDEX(입력_운동!$F$5:$F$1004,$AI310)))</f>
        <v/>
      </c>
      <c r="S310" s="25" t="str">
        <f aca="false">IF($AJ310=0,"",IF(INDEX(입력_측정!$C$5:$C$1004,$AJ310)="","",INDEX(입력_측정!$C$5:$C$1004,$AJ310)))</f>
        <v/>
      </c>
      <c r="T310" s="25" t="str">
        <f aca="false">IF($AJ310=0,"",IF(INDEX(입력_측정!$D$5:$D$1004,$AJ310)="","",INDEX(입력_측정!$D$5:$D$1004,$AJ310)))</f>
        <v/>
      </c>
      <c r="U310" s="25" t="str">
        <f aca="false">IF($AJ310=0,"",IF(INDEX(입력_측정!$E$5:$E$1004,$AJ310)="","",INDEX(입력_측정!$E$5:$E$1004,$AJ310)))</f>
        <v/>
      </c>
      <c r="V310" s="25" t="str">
        <f aca="false">IF($AJ310=0,"",IF(INDEX(입력_측정!$F$5:$F$1004,$AJ310)="","",INDEX(입력_측정!$F$5:$F$1004,$AJ310)))</f>
        <v/>
      </c>
      <c r="W310" s="25" t="str">
        <f aca="false">IF($AK310=0,"",IF(INDEX(입력_상담!$D$5:$D$1004,$AK310)="","",INDEX(입력_상담!$D$5:$D$1004,$AK310)))</f>
        <v/>
      </c>
      <c r="X310" s="25" t="str">
        <f aca="false">IF($AJ310=0,"",IF(INDEX(입력_측정!$I$5:$I$1004,$AJ310)="","",INDEX(입력_측정!$I$5:$I$1004,$AJ310)))</f>
        <v/>
      </c>
      <c r="Y310" s="25" t="str">
        <f aca="false">IF($AJ310=0,"",IF(INDEX(입력_측정!$J$5:$J$1004,$AJ310)="","",INDEX(입력_측정!$J$5:$J$1004,$AJ310)))</f>
        <v/>
      </c>
      <c r="Z310" s="25" t="str">
        <f aca="false">IF(OR(X310="긴급",LEFT(Y310,2)="긴급",W310="필요",W310="완료"),"대상","")</f>
        <v/>
      </c>
      <c r="AA310" s="59" t="str">
        <f aca="false">IF(M310&lt;&gt;"",M310,IF(AK310&gt;0,IF(W310="필요","추가상담 대기","완료"),IF(AJ310&gt;0,"결과상담 대기",IF(AI310&gt;0,"측정 대기","미방문"))))</f>
        <v>미방문</v>
      </c>
      <c r="AB310" s="60" t="str">
        <f aca="false">IF($AI310=0,"",IF(INDEX(입력_운동!$A$5:$A$1004,$AI310)="","",INDEX(입력_운동!$A$5:$A$1004,$AI310)))</f>
        <v/>
      </c>
      <c r="AC310" s="60" t="str">
        <f aca="false">IF($AJ310=0,"",IF(INDEX(입력_측정!$A$5:$A$1004,$AJ310)="","",INDEX(입력_측정!$A$5:$A$1004,$AJ310)))</f>
        <v/>
      </c>
      <c r="AD310" s="60" t="str">
        <f aca="false">IF($AK310=0,"",IF(INDEX(입력_상담!$A$5:$A$1004,$AK310)="","",INDEX(입력_상담!$A$5:$A$1004,$AK310)))</f>
        <v/>
      </c>
      <c r="AE310" s="25" t="str">
        <f aca="false">IF(AND(ISNUMBER(AB310),ISNUMBER(AC310)),IF(AC310&gt;=AB310,ROUND((AC310-AB310)*1440,0),""),"")</f>
        <v/>
      </c>
      <c r="AF310" s="25" t="str">
        <f aca="false">IF(AND(ISNUMBER(AC310),ISNUMBER(AD310)),IF(AD310&gt;=AC310,ROUND((AD310-AC310)*1440,0),""),"")</f>
        <v/>
      </c>
      <c r="AG310" s="25" t="str">
        <f aca="false">IF(AND(AA310="완료",ISNUMBER(AB310),ISNUMBER(AD310)),IF(AD310&gt;=AB310,ROUND((AD310-AB310)*1440,0),""),"")</f>
        <v/>
      </c>
      <c r="AH310" s="61" t="str">
        <f aca="false">IF(AND(AK310&gt;0,AJ310=0),"측정 기록 없음",IF(AND(AJ310&gt;0,AI310=0),"운동평가 기록 없음",IF(OR(COUNTIF(입력_운동!$B$5:$B$1004,$A310)&gt;1,COUNTIF(입력_측정!$B$5:$B$1004,$A310)&gt;1),"중복 입력","")))</f>
        <v/>
      </c>
      <c r="AI310" s="62" t="n">
        <f aca="false">SUMPRODUCT(MAX((입력_운동!$B$5:$B$1004=$A310)*(ROW(입력_운동!$B$5:$B$1004)-4)))</f>
        <v>0</v>
      </c>
      <c r="AJ310" s="62" t="n">
        <f aca="false">SUMPRODUCT(MAX((입력_측정!$B$5:$B$1004=$A310)*(ROW(입력_측정!$B$5:$B$1004)-4)))</f>
        <v>0</v>
      </c>
      <c r="AK310" s="62" t="n">
        <f aca="false">SUMPRODUCT(MAX((입력_상담!$B$5:$B$1004=$A310)*(ROW(입력_상담!$B$5:$B$1004)-4)))</f>
        <v>0</v>
      </c>
    </row>
    <row r="311" customFormat="false" ht="15" hidden="false" customHeight="false" outlineLevel="0" collapsed="false">
      <c r="A311" s="55" t="n">
        <v>307</v>
      </c>
      <c r="B311" s="56"/>
      <c r="C311" s="24"/>
      <c r="D311" s="24"/>
      <c r="E311" s="56"/>
      <c r="F311" s="57"/>
      <c r="G311" s="58"/>
      <c r="H311" s="56"/>
      <c r="I311" s="24"/>
      <c r="J311" s="24"/>
      <c r="K311" s="24"/>
      <c r="L311" s="24"/>
      <c r="M311" s="24"/>
      <c r="N311" s="56"/>
      <c r="O311" s="25" t="str">
        <f aca="false">IF($AI311=0,"",IF(INDEX(입력_운동!$C$5:$C$1004,$AI311)="","",INDEX(입력_운동!$C$5:$C$1004,$AI311)))</f>
        <v/>
      </c>
      <c r="P311" s="25" t="str">
        <f aca="false">IF($AI311=0,"",IF(INDEX(입력_운동!$D$5:$D$1004,$AI311)="","",INDEX(입력_운동!$D$5:$D$1004,$AI311)))</f>
        <v/>
      </c>
      <c r="Q311" s="25" t="str">
        <f aca="false">IF($AI311=0,"",IF(INDEX(입력_운동!$E$5:$E$1004,$AI311)="","",INDEX(입력_운동!$E$5:$E$1004,$AI311)))</f>
        <v/>
      </c>
      <c r="R311" s="25" t="str">
        <f aca="false">IF($AI311=0,"",IF(INDEX(입력_운동!$F$5:$F$1004,$AI311)="","",INDEX(입력_운동!$F$5:$F$1004,$AI311)))</f>
        <v/>
      </c>
      <c r="S311" s="25" t="str">
        <f aca="false">IF($AJ311=0,"",IF(INDEX(입력_측정!$C$5:$C$1004,$AJ311)="","",INDEX(입력_측정!$C$5:$C$1004,$AJ311)))</f>
        <v/>
      </c>
      <c r="T311" s="25" t="str">
        <f aca="false">IF($AJ311=0,"",IF(INDEX(입력_측정!$D$5:$D$1004,$AJ311)="","",INDEX(입력_측정!$D$5:$D$1004,$AJ311)))</f>
        <v/>
      </c>
      <c r="U311" s="25" t="str">
        <f aca="false">IF($AJ311=0,"",IF(INDEX(입력_측정!$E$5:$E$1004,$AJ311)="","",INDEX(입력_측정!$E$5:$E$1004,$AJ311)))</f>
        <v/>
      </c>
      <c r="V311" s="25" t="str">
        <f aca="false">IF($AJ311=0,"",IF(INDEX(입력_측정!$F$5:$F$1004,$AJ311)="","",INDEX(입력_측정!$F$5:$F$1004,$AJ311)))</f>
        <v/>
      </c>
      <c r="W311" s="25" t="str">
        <f aca="false">IF($AK311=0,"",IF(INDEX(입력_상담!$D$5:$D$1004,$AK311)="","",INDEX(입력_상담!$D$5:$D$1004,$AK311)))</f>
        <v/>
      </c>
      <c r="X311" s="25" t="str">
        <f aca="false">IF($AJ311=0,"",IF(INDEX(입력_측정!$I$5:$I$1004,$AJ311)="","",INDEX(입력_측정!$I$5:$I$1004,$AJ311)))</f>
        <v/>
      </c>
      <c r="Y311" s="25" t="str">
        <f aca="false">IF($AJ311=0,"",IF(INDEX(입력_측정!$J$5:$J$1004,$AJ311)="","",INDEX(입력_측정!$J$5:$J$1004,$AJ311)))</f>
        <v/>
      </c>
      <c r="Z311" s="25" t="str">
        <f aca="false">IF(OR(X311="긴급",LEFT(Y311,2)="긴급",W311="필요",W311="완료"),"대상","")</f>
        <v/>
      </c>
      <c r="AA311" s="59" t="str">
        <f aca="false">IF(M311&lt;&gt;"",M311,IF(AK311&gt;0,IF(W311="필요","추가상담 대기","완료"),IF(AJ311&gt;0,"결과상담 대기",IF(AI311&gt;0,"측정 대기","미방문"))))</f>
        <v>미방문</v>
      </c>
      <c r="AB311" s="60" t="str">
        <f aca="false">IF($AI311=0,"",IF(INDEX(입력_운동!$A$5:$A$1004,$AI311)="","",INDEX(입력_운동!$A$5:$A$1004,$AI311)))</f>
        <v/>
      </c>
      <c r="AC311" s="60" t="str">
        <f aca="false">IF($AJ311=0,"",IF(INDEX(입력_측정!$A$5:$A$1004,$AJ311)="","",INDEX(입력_측정!$A$5:$A$1004,$AJ311)))</f>
        <v/>
      </c>
      <c r="AD311" s="60" t="str">
        <f aca="false">IF($AK311=0,"",IF(INDEX(입력_상담!$A$5:$A$1004,$AK311)="","",INDEX(입력_상담!$A$5:$A$1004,$AK311)))</f>
        <v/>
      </c>
      <c r="AE311" s="25" t="str">
        <f aca="false">IF(AND(ISNUMBER(AB311),ISNUMBER(AC311)),IF(AC311&gt;=AB311,ROUND((AC311-AB311)*1440,0),""),"")</f>
        <v/>
      </c>
      <c r="AF311" s="25" t="str">
        <f aca="false">IF(AND(ISNUMBER(AC311),ISNUMBER(AD311)),IF(AD311&gt;=AC311,ROUND((AD311-AC311)*1440,0),""),"")</f>
        <v/>
      </c>
      <c r="AG311" s="25" t="str">
        <f aca="false">IF(AND(AA311="완료",ISNUMBER(AB311),ISNUMBER(AD311)),IF(AD311&gt;=AB311,ROUND((AD311-AB311)*1440,0),""),"")</f>
        <v/>
      </c>
      <c r="AH311" s="61" t="str">
        <f aca="false">IF(AND(AK311&gt;0,AJ311=0),"측정 기록 없음",IF(AND(AJ311&gt;0,AI311=0),"운동평가 기록 없음",IF(OR(COUNTIF(입력_운동!$B$5:$B$1004,$A311)&gt;1,COUNTIF(입력_측정!$B$5:$B$1004,$A311)&gt;1),"중복 입력","")))</f>
        <v/>
      </c>
      <c r="AI311" s="62" t="n">
        <f aca="false">SUMPRODUCT(MAX((입력_운동!$B$5:$B$1004=$A311)*(ROW(입력_운동!$B$5:$B$1004)-4)))</f>
        <v>0</v>
      </c>
      <c r="AJ311" s="62" t="n">
        <f aca="false">SUMPRODUCT(MAX((입력_측정!$B$5:$B$1004=$A311)*(ROW(입력_측정!$B$5:$B$1004)-4)))</f>
        <v>0</v>
      </c>
      <c r="AK311" s="62" t="n">
        <f aca="false">SUMPRODUCT(MAX((입력_상담!$B$5:$B$1004=$A311)*(ROW(입력_상담!$B$5:$B$1004)-4)))</f>
        <v>0</v>
      </c>
    </row>
    <row r="312" customFormat="false" ht="15" hidden="false" customHeight="false" outlineLevel="0" collapsed="false">
      <c r="A312" s="55" t="n">
        <v>308</v>
      </c>
      <c r="B312" s="56"/>
      <c r="C312" s="24"/>
      <c r="D312" s="24"/>
      <c r="E312" s="56"/>
      <c r="F312" s="57"/>
      <c r="G312" s="58"/>
      <c r="H312" s="56"/>
      <c r="I312" s="24"/>
      <c r="J312" s="24"/>
      <c r="K312" s="24"/>
      <c r="L312" s="24"/>
      <c r="M312" s="24"/>
      <c r="N312" s="56"/>
      <c r="O312" s="25" t="str">
        <f aca="false">IF($AI312=0,"",IF(INDEX(입력_운동!$C$5:$C$1004,$AI312)="","",INDEX(입력_운동!$C$5:$C$1004,$AI312)))</f>
        <v/>
      </c>
      <c r="P312" s="25" t="str">
        <f aca="false">IF($AI312=0,"",IF(INDEX(입력_운동!$D$5:$D$1004,$AI312)="","",INDEX(입력_운동!$D$5:$D$1004,$AI312)))</f>
        <v/>
      </c>
      <c r="Q312" s="25" t="str">
        <f aca="false">IF($AI312=0,"",IF(INDEX(입력_운동!$E$5:$E$1004,$AI312)="","",INDEX(입력_운동!$E$5:$E$1004,$AI312)))</f>
        <v/>
      </c>
      <c r="R312" s="25" t="str">
        <f aca="false">IF($AI312=0,"",IF(INDEX(입력_운동!$F$5:$F$1004,$AI312)="","",INDEX(입력_운동!$F$5:$F$1004,$AI312)))</f>
        <v/>
      </c>
      <c r="S312" s="25" t="str">
        <f aca="false">IF($AJ312=0,"",IF(INDEX(입력_측정!$C$5:$C$1004,$AJ312)="","",INDEX(입력_측정!$C$5:$C$1004,$AJ312)))</f>
        <v/>
      </c>
      <c r="T312" s="25" t="str">
        <f aca="false">IF($AJ312=0,"",IF(INDEX(입력_측정!$D$5:$D$1004,$AJ312)="","",INDEX(입력_측정!$D$5:$D$1004,$AJ312)))</f>
        <v/>
      </c>
      <c r="U312" s="25" t="str">
        <f aca="false">IF($AJ312=0,"",IF(INDEX(입력_측정!$E$5:$E$1004,$AJ312)="","",INDEX(입력_측정!$E$5:$E$1004,$AJ312)))</f>
        <v/>
      </c>
      <c r="V312" s="25" t="str">
        <f aca="false">IF($AJ312=0,"",IF(INDEX(입력_측정!$F$5:$F$1004,$AJ312)="","",INDEX(입력_측정!$F$5:$F$1004,$AJ312)))</f>
        <v/>
      </c>
      <c r="W312" s="25" t="str">
        <f aca="false">IF($AK312=0,"",IF(INDEX(입력_상담!$D$5:$D$1004,$AK312)="","",INDEX(입력_상담!$D$5:$D$1004,$AK312)))</f>
        <v/>
      </c>
      <c r="X312" s="25" t="str">
        <f aca="false">IF($AJ312=0,"",IF(INDEX(입력_측정!$I$5:$I$1004,$AJ312)="","",INDEX(입력_측정!$I$5:$I$1004,$AJ312)))</f>
        <v/>
      </c>
      <c r="Y312" s="25" t="str">
        <f aca="false">IF($AJ312=0,"",IF(INDEX(입력_측정!$J$5:$J$1004,$AJ312)="","",INDEX(입력_측정!$J$5:$J$1004,$AJ312)))</f>
        <v/>
      </c>
      <c r="Z312" s="25" t="str">
        <f aca="false">IF(OR(X312="긴급",LEFT(Y312,2)="긴급",W312="필요",W312="완료"),"대상","")</f>
        <v/>
      </c>
      <c r="AA312" s="59" t="str">
        <f aca="false">IF(M312&lt;&gt;"",M312,IF(AK312&gt;0,IF(W312="필요","추가상담 대기","완료"),IF(AJ312&gt;0,"결과상담 대기",IF(AI312&gt;0,"측정 대기","미방문"))))</f>
        <v>미방문</v>
      </c>
      <c r="AB312" s="60" t="str">
        <f aca="false">IF($AI312=0,"",IF(INDEX(입력_운동!$A$5:$A$1004,$AI312)="","",INDEX(입력_운동!$A$5:$A$1004,$AI312)))</f>
        <v/>
      </c>
      <c r="AC312" s="60" t="str">
        <f aca="false">IF($AJ312=0,"",IF(INDEX(입력_측정!$A$5:$A$1004,$AJ312)="","",INDEX(입력_측정!$A$5:$A$1004,$AJ312)))</f>
        <v/>
      </c>
      <c r="AD312" s="60" t="str">
        <f aca="false">IF($AK312=0,"",IF(INDEX(입력_상담!$A$5:$A$1004,$AK312)="","",INDEX(입력_상담!$A$5:$A$1004,$AK312)))</f>
        <v/>
      </c>
      <c r="AE312" s="25" t="str">
        <f aca="false">IF(AND(ISNUMBER(AB312),ISNUMBER(AC312)),IF(AC312&gt;=AB312,ROUND((AC312-AB312)*1440,0),""),"")</f>
        <v/>
      </c>
      <c r="AF312" s="25" t="str">
        <f aca="false">IF(AND(ISNUMBER(AC312),ISNUMBER(AD312)),IF(AD312&gt;=AC312,ROUND((AD312-AC312)*1440,0),""),"")</f>
        <v/>
      </c>
      <c r="AG312" s="25" t="str">
        <f aca="false">IF(AND(AA312="완료",ISNUMBER(AB312),ISNUMBER(AD312)),IF(AD312&gt;=AB312,ROUND((AD312-AB312)*1440,0),""),"")</f>
        <v/>
      </c>
      <c r="AH312" s="61" t="str">
        <f aca="false">IF(AND(AK312&gt;0,AJ312=0),"측정 기록 없음",IF(AND(AJ312&gt;0,AI312=0),"운동평가 기록 없음",IF(OR(COUNTIF(입력_운동!$B$5:$B$1004,$A312)&gt;1,COUNTIF(입력_측정!$B$5:$B$1004,$A312)&gt;1),"중복 입력","")))</f>
        <v/>
      </c>
      <c r="AI312" s="62" t="n">
        <f aca="false">SUMPRODUCT(MAX((입력_운동!$B$5:$B$1004=$A312)*(ROW(입력_운동!$B$5:$B$1004)-4)))</f>
        <v>0</v>
      </c>
      <c r="AJ312" s="62" t="n">
        <f aca="false">SUMPRODUCT(MAX((입력_측정!$B$5:$B$1004=$A312)*(ROW(입력_측정!$B$5:$B$1004)-4)))</f>
        <v>0</v>
      </c>
      <c r="AK312" s="62" t="n">
        <f aca="false">SUMPRODUCT(MAX((입력_상담!$B$5:$B$1004=$A312)*(ROW(입력_상담!$B$5:$B$1004)-4)))</f>
        <v>0</v>
      </c>
    </row>
    <row r="313" customFormat="false" ht="15" hidden="false" customHeight="false" outlineLevel="0" collapsed="false">
      <c r="A313" s="55" t="n">
        <v>309</v>
      </c>
      <c r="B313" s="56"/>
      <c r="C313" s="24"/>
      <c r="D313" s="24"/>
      <c r="E313" s="56"/>
      <c r="F313" s="57"/>
      <c r="G313" s="58"/>
      <c r="H313" s="56"/>
      <c r="I313" s="24"/>
      <c r="J313" s="24"/>
      <c r="K313" s="24"/>
      <c r="L313" s="24"/>
      <c r="M313" s="24"/>
      <c r="N313" s="56"/>
      <c r="O313" s="25" t="str">
        <f aca="false">IF($AI313=0,"",IF(INDEX(입력_운동!$C$5:$C$1004,$AI313)="","",INDEX(입력_운동!$C$5:$C$1004,$AI313)))</f>
        <v/>
      </c>
      <c r="P313" s="25" t="str">
        <f aca="false">IF($AI313=0,"",IF(INDEX(입력_운동!$D$5:$D$1004,$AI313)="","",INDEX(입력_운동!$D$5:$D$1004,$AI313)))</f>
        <v/>
      </c>
      <c r="Q313" s="25" t="str">
        <f aca="false">IF($AI313=0,"",IF(INDEX(입력_운동!$E$5:$E$1004,$AI313)="","",INDEX(입력_운동!$E$5:$E$1004,$AI313)))</f>
        <v/>
      </c>
      <c r="R313" s="25" t="str">
        <f aca="false">IF($AI313=0,"",IF(INDEX(입력_운동!$F$5:$F$1004,$AI313)="","",INDEX(입력_운동!$F$5:$F$1004,$AI313)))</f>
        <v/>
      </c>
      <c r="S313" s="25" t="str">
        <f aca="false">IF($AJ313=0,"",IF(INDEX(입력_측정!$C$5:$C$1004,$AJ313)="","",INDEX(입력_측정!$C$5:$C$1004,$AJ313)))</f>
        <v/>
      </c>
      <c r="T313" s="25" t="str">
        <f aca="false">IF($AJ313=0,"",IF(INDEX(입력_측정!$D$5:$D$1004,$AJ313)="","",INDEX(입력_측정!$D$5:$D$1004,$AJ313)))</f>
        <v/>
      </c>
      <c r="U313" s="25" t="str">
        <f aca="false">IF($AJ313=0,"",IF(INDEX(입력_측정!$E$5:$E$1004,$AJ313)="","",INDEX(입력_측정!$E$5:$E$1004,$AJ313)))</f>
        <v/>
      </c>
      <c r="V313" s="25" t="str">
        <f aca="false">IF($AJ313=0,"",IF(INDEX(입력_측정!$F$5:$F$1004,$AJ313)="","",INDEX(입력_측정!$F$5:$F$1004,$AJ313)))</f>
        <v/>
      </c>
      <c r="W313" s="25" t="str">
        <f aca="false">IF($AK313=0,"",IF(INDEX(입력_상담!$D$5:$D$1004,$AK313)="","",INDEX(입력_상담!$D$5:$D$1004,$AK313)))</f>
        <v/>
      </c>
      <c r="X313" s="25" t="str">
        <f aca="false">IF($AJ313=0,"",IF(INDEX(입력_측정!$I$5:$I$1004,$AJ313)="","",INDEX(입력_측정!$I$5:$I$1004,$AJ313)))</f>
        <v/>
      </c>
      <c r="Y313" s="25" t="str">
        <f aca="false">IF($AJ313=0,"",IF(INDEX(입력_측정!$J$5:$J$1004,$AJ313)="","",INDEX(입력_측정!$J$5:$J$1004,$AJ313)))</f>
        <v/>
      </c>
      <c r="Z313" s="25" t="str">
        <f aca="false">IF(OR(X313="긴급",LEFT(Y313,2)="긴급",W313="필요",W313="완료"),"대상","")</f>
        <v/>
      </c>
      <c r="AA313" s="59" t="str">
        <f aca="false">IF(M313&lt;&gt;"",M313,IF(AK313&gt;0,IF(W313="필요","추가상담 대기","완료"),IF(AJ313&gt;0,"결과상담 대기",IF(AI313&gt;0,"측정 대기","미방문"))))</f>
        <v>미방문</v>
      </c>
      <c r="AB313" s="60" t="str">
        <f aca="false">IF($AI313=0,"",IF(INDEX(입력_운동!$A$5:$A$1004,$AI313)="","",INDEX(입력_운동!$A$5:$A$1004,$AI313)))</f>
        <v/>
      </c>
      <c r="AC313" s="60" t="str">
        <f aca="false">IF($AJ313=0,"",IF(INDEX(입력_측정!$A$5:$A$1004,$AJ313)="","",INDEX(입력_측정!$A$5:$A$1004,$AJ313)))</f>
        <v/>
      </c>
      <c r="AD313" s="60" t="str">
        <f aca="false">IF($AK313=0,"",IF(INDEX(입력_상담!$A$5:$A$1004,$AK313)="","",INDEX(입력_상담!$A$5:$A$1004,$AK313)))</f>
        <v/>
      </c>
      <c r="AE313" s="25" t="str">
        <f aca="false">IF(AND(ISNUMBER(AB313),ISNUMBER(AC313)),IF(AC313&gt;=AB313,ROUND((AC313-AB313)*1440,0),""),"")</f>
        <v/>
      </c>
      <c r="AF313" s="25" t="str">
        <f aca="false">IF(AND(ISNUMBER(AC313),ISNUMBER(AD313)),IF(AD313&gt;=AC313,ROUND((AD313-AC313)*1440,0),""),"")</f>
        <v/>
      </c>
      <c r="AG313" s="25" t="str">
        <f aca="false">IF(AND(AA313="완료",ISNUMBER(AB313),ISNUMBER(AD313)),IF(AD313&gt;=AB313,ROUND((AD313-AB313)*1440,0),""),"")</f>
        <v/>
      </c>
      <c r="AH313" s="61" t="str">
        <f aca="false">IF(AND(AK313&gt;0,AJ313=0),"측정 기록 없음",IF(AND(AJ313&gt;0,AI313=0),"운동평가 기록 없음",IF(OR(COUNTIF(입력_운동!$B$5:$B$1004,$A313)&gt;1,COUNTIF(입력_측정!$B$5:$B$1004,$A313)&gt;1),"중복 입력","")))</f>
        <v/>
      </c>
      <c r="AI313" s="62" t="n">
        <f aca="false">SUMPRODUCT(MAX((입력_운동!$B$5:$B$1004=$A313)*(ROW(입력_운동!$B$5:$B$1004)-4)))</f>
        <v>0</v>
      </c>
      <c r="AJ313" s="62" t="n">
        <f aca="false">SUMPRODUCT(MAX((입력_측정!$B$5:$B$1004=$A313)*(ROW(입력_측정!$B$5:$B$1004)-4)))</f>
        <v>0</v>
      </c>
      <c r="AK313" s="62" t="n">
        <f aca="false">SUMPRODUCT(MAX((입력_상담!$B$5:$B$1004=$A313)*(ROW(입력_상담!$B$5:$B$1004)-4)))</f>
        <v>0</v>
      </c>
    </row>
    <row r="314" customFormat="false" ht="15" hidden="false" customHeight="false" outlineLevel="0" collapsed="false">
      <c r="A314" s="55" t="n">
        <v>310</v>
      </c>
      <c r="B314" s="56"/>
      <c r="C314" s="24"/>
      <c r="D314" s="24"/>
      <c r="E314" s="56"/>
      <c r="F314" s="57"/>
      <c r="G314" s="58"/>
      <c r="H314" s="56"/>
      <c r="I314" s="24"/>
      <c r="J314" s="24"/>
      <c r="K314" s="24"/>
      <c r="L314" s="24"/>
      <c r="M314" s="24"/>
      <c r="N314" s="56"/>
      <c r="O314" s="25" t="str">
        <f aca="false">IF($AI314=0,"",IF(INDEX(입력_운동!$C$5:$C$1004,$AI314)="","",INDEX(입력_운동!$C$5:$C$1004,$AI314)))</f>
        <v/>
      </c>
      <c r="P314" s="25" t="str">
        <f aca="false">IF($AI314=0,"",IF(INDEX(입력_운동!$D$5:$D$1004,$AI314)="","",INDEX(입력_운동!$D$5:$D$1004,$AI314)))</f>
        <v/>
      </c>
      <c r="Q314" s="25" t="str">
        <f aca="false">IF($AI314=0,"",IF(INDEX(입력_운동!$E$5:$E$1004,$AI314)="","",INDEX(입력_운동!$E$5:$E$1004,$AI314)))</f>
        <v/>
      </c>
      <c r="R314" s="25" t="str">
        <f aca="false">IF($AI314=0,"",IF(INDEX(입력_운동!$F$5:$F$1004,$AI314)="","",INDEX(입력_운동!$F$5:$F$1004,$AI314)))</f>
        <v/>
      </c>
      <c r="S314" s="25" t="str">
        <f aca="false">IF($AJ314=0,"",IF(INDEX(입력_측정!$C$5:$C$1004,$AJ314)="","",INDEX(입력_측정!$C$5:$C$1004,$AJ314)))</f>
        <v/>
      </c>
      <c r="T314" s="25" t="str">
        <f aca="false">IF($AJ314=0,"",IF(INDEX(입력_측정!$D$5:$D$1004,$AJ314)="","",INDEX(입력_측정!$D$5:$D$1004,$AJ314)))</f>
        <v/>
      </c>
      <c r="U314" s="25" t="str">
        <f aca="false">IF($AJ314=0,"",IF(INDEX(입력_측정!$E$5:$E$1004,$AJ314)="","",INDEX(입력_측정!$E$5:$E$1004,$AJ314)))</f>
        <v/>
      </c>
      <c r="V314" s="25" t="str">
        <f aca="false">IF($AJ314=0,"",IF(INDEX(입력_측정!$F$5:$F$1004,$AJ314)="","",INDEX(입력_측정!$F$5:$F$1004,$AJ314)))</f>
        <v/>
      </c>
      <c r="W314" s="25" t="str">
        <f aca="false">IF($AK314=0,"",IF(INDEX(입력_상담!$D$5:$D$1004,$AK314)="","",INDEX(입력_상담!$D$5:$D$1004,$AK314)))</f>
        <v/>
      </c>
      <c r="X314" s="25" t="str">
        <f aca="false">IF($AJ314=0,"",IF(INDEX(입력_측정!$I$5:$I$1004,$AJ314)="","",INDEX(입력_측정!$I$5:$I$1004,$AJ314)))</f>
        <v/>
      </c>
      <c r="Y314" s="25" t="str">
        <f aca="false">IF($AJ314=0,"",IF(INDEX(입력_측정!$J$5:$J$1004,$AJ314)="","",INDEX(입력_측정!$J$5:$J$1004,$AJ314)))</f>
        <v/>
      </c>
      <c r="Z314" s="25" t="str">
        <f aca="false">IF(OR(X314="긴급",LEFT(Y314,2)="긴급",W314="필요",W314="완료"),"대상","")</f>
        <v/>
      </c>
      <c r="AA314" s="59" t="str">
        <f aca="false">IF(M314&lt;&gt;"",M314,IF(AK314&gt;0,IF(W314="필요","추가상담 대기","완료"),IF(AJ314&gt;0,"결과상담 대기",IF(AI314&gt;0,"측정 대기","미방문"))))</f>
        <v>미방문</v>
      </c>
      <c r="AB314" s="60" t="str">
        <f aca="false">IF($AI314=0,"",IF(INDEX(입력_운동!$A$5:$A$1004,$AI314)="","",INDEX(입력_운동!$A$5:$A$1004,$AI314)))</f>
        <v/>
      </c>
      <c r="AC314" s="60" t="str">
        <f aca="false">IF($AJ314=0,"",IF(INDEX(입력_측정!$A$5:$A$1004,$AJ314)="","",INDEX(입력_측정!$A$5:$A$1004,$AJ314)))</f>
        <v/>
      </c>
      <c r="AD314" s="60" t="str">
        <f aca="false">IF($AK314=0,"",IF(INDEX(입력_상담!$A$5:$A$1004,$AK314)="","",INDEX(입력_상담!$A$5:$A$1004,$AK314)))</f>
        <v/>
      </c>
      <c r="AE314" s="25" t="str">
        <f aca="false">IF(AND(ISNUMBER(AB314),ISNUMBER(AC314)),IF(AC314&gt;=AB314,ROUND((AC314-AB314)*1440,0),""),"")</f>
        <v/>
      </c>
      <c r="AF314" s="25" t="str">
        <f aca="false">IF(AND(ISNUMBER(AC314),ISNUMBER(AD314)),IF(AD314&gt;=AC314,ROUND((AD314-AC314)*1440,0),""),"")</f>
        <v/>
      </c>
      <c r="AG314" s="25" t="str">
        <f aca="false">IF(AND(AA314="완료",ISNUMBER(AB314),ISNUMBER(AD314)),IF(AD314&gt;=AB314,ROUND((AD314-AB314)*1440,0),""),"")</f>
        <v/>
      </c>
      <c r="AH314" s="61" t="str">
        <f aca="false">IF(AND(AK314&gt;0,AJ314=0),"측정 기록 없음",IF(AND(AJ314&gt;0,AI314=0),"운동평가 기록 없음",IF(OR(COUNTIF(입력_운동!$B$5:$B$1004,$A314)&gt;1,COUNTIF(입력_측정!$B$5:$B$1004,$A314)&gt;1),"중복 입력","")))</f>
        <v/>
      </c>
      <c r="AI314" s="62" t="n">
        <f aca="false">SUMPRODUCT(MAX((입력_운동!$B$5:$B$1004=$A314)*(ROW(입력_운동!$B$5:$B$1004)-4)))</f>
        <v>0</v>
      </c>
      <c r="AJ314" s="62" t="n">
        <f aca="false">SUMPRODUCT(MAX((입력_측정!$B$5:$B$1004=$A314)*(ROW(입력_측정!$B$5:$B$1004)-4)))</f>
        <v>0</v>
      </c>
      <c r="AK314" s="62" t="n">
        <f aca="false">SUMPRODUCT(MAX((입력_상담!$B$5:$B$1004=$A314)*(ROW(입력_상담!$B$5:$B$1004)-4)))</f>
        <v>0</v>
      </c>
    </row>
    <row r="315" customFormat="false" ht="15" hidden="false" customHeight="false" outlineLevel="0" collapsed="false">
      <c r="A315" s="55" t="n">
        <v>311</v>
      </c>
      <c r="B315" s="56"/>
      <c r="C315" s="24"/>
      <c r="D315" s="24"/>
      <c r="E315" s="56"/>
      <c r="F315" s="57"/>
      <c r="G315" s="58"/>
      <c r="H315" s="56"/>
      <c r="I315" s="24"/>
      <c r="J315" s="24"/>
      <c r="K315" s="24"/>
      <c r="L315" s="24"/>
      <c r="M315" s="24"/>
      <c r="N315" s="56"/>
      <c r="O315" s="25" t="str">
        <f aca="false">IF($AI315=0,"",IF(INDEX(입력_운동!$C$5:$C$1004,$AI315)="","",INDEX(입력_운동!$C$5:$C$1004,$AI315)))</f>
        <v/>
      </c>
      <c r="P315" s="25" t="str">
        <f aca="false">IF($AI315=0,"",IF(INDEX(입력_운동!$D$5:$D$1004,$AI315)="","",INDEX(입력_운동!$D$5:$D$1004,$AI315)))</f>
        <v/>
      </c>
      <c r="Q315" s="25" t="str">
        <f aca="false">IF($AI315=0,"",IF(INDEX(입력_운동!$E$5:$E$1004,$AI315)="","",INDEX(입력_운동!$E$5:$E$1004,$AI315)))</f>
        <v/>
      </c>
      <c r="R315" s="25" t="str">
        <f aca="false">IF($AI315=0,"",IF(INDEX(입력_운동!$F$5:$F$1004,$AI315)="","",INDEX(입력_운동!$F$5:$F$1004,$AI315)))</f>
        <v/>
      </c>
      <c r="S315" s="25" t="str">
        <f aca="false">IF($AJ315=0,"",IF(INDEX(입력_측정!$C$5:$C$1004,$AJ315)="","",INDEX(입력_측정!$C$5:$C$1004,$AJ315)))</f>
        <v/>
      </c>
      <c r="T315" s="25" t="str">
        <f aca="false">IF($AJ315=0,"",IF(INDEX(입력_측정!$D$5:$D$1004,$AJ315)="","",INDEX(입력_측정!$D$5:$D$1004,$AJ315)))</f>
        <v/>
      </c>
      <c r="U315" s="25" t="str">
        <f aca="false">IF($AJ315=0,"",IF(INDEX(입력_측정!$E$5:$E$1004,$AJ315)="","",INDEX(입력_측정!$E$5:$E$1004,$AJ315)))</f>
        <v/>
      </c>
      <c r="V315" s="25" t="str">
        <f aca="false">IF($AJ315=0,"",IF(INDEX(입력_측정!$F$5:$F$1004,$AJ315)="","",INDEX(입력_측정!$F$5:$F$1004,$AJ315)))</f>
        <v/>
      </c>
      <c r="W315" s="25" t="str">
        <f aca="false">IF($AK315=0,"",IF(INDEX(입력_상담!$D$5:$D$1004,$AK315)="","",INDEX(입력_상담!$D$5:$D$1004,$AK315)))</f>
        <v/>
      </c>
      <c r="X315" s="25" t="str">
        <f aca="false">IF($AJ315=0,"",IF(INDEX(입력_측정!$I$5:$I$1004,$AJ315)="","",INDEX(입력_측정!$I$5:$I$1004,$AJ315)))</f>
        <v/>
      </c>
      <c r="Y315" s="25" t="str">
        <f aca="false">IF($AJ315=0,"",IF(INDEX(입력_측정!$J$5:$J$1004,$AJ315)="","",INDEX(입력_측정!$J$5:$J$1004,$AJ315)))</f>
        <v/>
      </c>
      <c r="Z315" s="25" t="str">
        <f aca="false">IF(OR(X315="긴급",LEFT(Y315,2)="긴급",W315="필요",W315="완료"),"대상","")</f>
        <v/>
      </c>
      <c r="AA315" s="59" t="str">
        <f aca="false">IF(M315&lt;&gt;"",M315,IF(AK315&gt;0,IF(W315="필요","추가상담 대기","완료"),IF(AJ315&gt;0,"결과상담 대기",IF(AI315&gt;0,"측정 대기","미방문"))))</f>
        <v>미방문</v>
      </c>
      <c r="AB315" s="60" t="str">
        <f aca="false">IF($AI315=0,"",IF(INDEX(입력_운동!$A$5:$A$1004,$AI315)="","",INDEX(입력_운동!$A$5:$A$1004,$AI315)))</f>
        <v/>
      </c>
      <c r="AC315" s="60" t="str">
        <f aca="false">IF($AJ315=0,"",IF(INDEX(입력_측정!$A$5:$A$1004,$AJ315)="","",INDEX(입력_측정!$A$5:$A$1004,$AJ315)))</f>
        <v/>
      </c>
      <c r="AD315" s="60" t="str">
        <f aca="false">IF($AK315=0,"",IF(INDEX(입력_상담!$A$5:$A$1004,$AK315)="","",INDEX(입력_상담!$A$5:$A$1004,$AK315)))</f>
        <v/>
      </c>
      <c r="AE315" s="25" t="str">
        <f aca="false">IF(AND(ISNUMBER(AB315),ISNUMBER(AC315)),IF(AC315&gt;=AB315,ROUND((AC315-AB315)*1440,0),""),"")</f>
        <v/>
      </c>
      <c r="AF315" s="25" t="str">
        <f aca="false">IF(AND(ISNUMBER(AC315),ISNUMBER(AD315)),IF(AD315&gt;=AC315,ROUND((AD315-AC315)*1440,0),""),"")</f>
        <v/>
      </c>
      <c r="AG315" s="25" t="str">
        <f aca="false">IF(AND(AA315="완료",ISNUMBER(AB315),ISNUMBER(AD315)),IF(AD315&gt;=AB315,ROUND((AD315-AB315)*1440,0),""),"")</f>
        <v/>
      </c>
      <c r="AH315" s="61" t="str">
        <f aca="false">IF(AND(AK315&gt;0,AJ315=0),"측정 기록 없음",IF(AND(AJ315&gt;0,AI315=0),"운동평가 기록 없음",IF(OR(COUNTIF(입력_운동!$B$5:$B$1004,$A315)&gt;1,COUNTIF(입력_측정!$B$5:$B$1004,$A315)&gt;1),"중복 입력","")))</f>
        <v/>
      </c>
      <c r="AI315" s="62" t="n">
        <f aca="false">SUMPRODUCT(MAX((입력_운동!$B$5:$B$1004=$A315)*(ROW(입력_운동!$B$5:$B$1004)-4)))</f>
        <v>0</v>
      </c>
      <c r="AJ315" s="62" t="n">
        <f aca="false">SUMPRODUCT(MAX((입력_측정!$B$5:$B$1004=$A315)*(ROW(입력_측정!$B$5:$B$1004)-4)))</f>
        <v>0</v>
      </c>
      <c r="AK315" s="62" t="n">
        <f aca="false">SUMPRODUCT(MAX((입력_상담!$B$5:$B$1004=$A315)*(ROW(입력_상담!$B$5:$B$1004)-4)))</f>
        <v>0</v>
      </c>
    </row>
    <row r="316" customFormat="false" ht="15" hidden="false" customHeight="false" outlineLevel="0" collapsed="false">
      <c r="A316" s="55" t="n">
        <v>312</v>
      </c>
      <c r="B316" s="56"/>
      <c r="C316" s="24"/>
      <c r="D316" s="24"/>
      <c r="E316" s="56"/>
      <c r="F316" s="57"/>
      <c r="G316" s="58"/>
      <c r="H316" s="56"/>
      <c r="I316" s="24"/>
      <c r="J316" s="24"/>
      <c r="K316" s="24"/>
      <c r="L316" s="24"/>
      <c r="M316" s="24"/>
      <c r="N316" s="56"/>
      <c r="O316" s="25" t="str">
        <f aca="false">IF($AI316=0,"",IF(INDEX(입력_운동!$C$5:$C$1004,$AI316)="","",INDEX(입력_운동!$C$5:$C$1004,$AI316)))</f>
        <v/>
      </c>
      <c r="P316" s="25" t="str">
        <f aca="false">IF($AI316=0,"",IF(INDEX(입력_운동!$D$5:$D$1004,$AI316)="","",INDEX(입력_운동!$D$5:$D$1004,$AI316)))</f>
        <v/>
      </c>
      <c r="Q316" s="25" t="str">
        <f aca="false">IF($AI316=0,"",IF(INDEX(입력_운동!$E$5:$E$1004,$AI316)="","",INDEX(입력_운동!$E$5:$E$1004,$AI316)))</f>
        <v/>
      </c>
      <c r="R316" s="25" t="str">
        <f aca="false">IF($AI316=0,"",IF(INDEX(입력_운동!$F$5:$F$1004,$AI316)="","",INDEX(입력_운동!$F$5:$F$1004,$AI316)))</f>
        <v/>
      </c>
      <c r="S316" s="25" t="str">
        <f aca="false">IF($AJ316=0,"",IF(INDEX(입력_측정!$C$5:$C$1004,$AJ316)="","",INDEX(입력_측정!$C$5:$C$1004,$AJ316)))</f>
        <v/>
      </c>
      <c r="T316" s="25" t="str">
        <f aca="false">IF($AJ316=0,"",IF(INDEX(입력_측정!$D$5:$D$1004,$AJ316)="","",INDEX(입력_측정!$D$5:$D$1004,$AJ316)))</f>
        <v/>
      </c>
      <c r="U316" s="25" t="str">
        <f aca="false">IF($AJ316=0,"",IF(INDEX(입력_측정!$E$5:$E$1004,$AJ316)="","",INDEX(입력_측정!$E$5:$E$1004,$AJ316)))</f>
        <v/>
      </c>
      <c r="V316" s="25" t="str">
        <f aca="false">IF($AJ316=0,"",IF(INDEX(입력_측정!$F$5:$F$1004,$AJ316)="","",INDEX(입력_측정!$F$5:$F$1004,$AJ316)))</f>
        <v/>
      </c>
      <c r="W316" s="25" t="str">
        <f aca="false">IF($AK316=0,"",IF(INDEX(입력_상담!$D$5:$D$1004,$AK316)="","",INDEX(입력_상담!$D$5:$D$1004,$AK316)))</f>
        <v/>
      </c>
      <c r="X316" s="25" t="str">
        <f aca="false">IF($AJ316=0,"",IF(INDEX(입력_측정!$I$5:$I$1004,$AJ316)="","",INDEX(입력_측정!$I$5:$I$1004,$AJ316)))</f>
        <v/>
      </c>
      <c r="Y316" s="25" t="str">
        <f aca="false">IF($AJ316=0,"",IF(INDEX(입력_측정!$J$5:$J$1004,$AJ316)="","",INDEX(입력_측정!$J$5:$J$1004,$AJ316)))</f>
        <v/>
      </c>
      <c r="Z316" s="25" t="str">
        <f aca="false">IF(OR(X316="긴급",LEFT(Y316,2)="긴급",W316="필요",W316="완료"),"대상","")</f>
        <v/>
      </c>
      <c r="AA316" s="59" t="str">
        <f aca="false">IF(M316&lt;&gt;"",M316,IF(AK316&gt;0,IF(W316="필요","추가상담 대기","완료"),IF(AJ316&gt;0,"결과상담 대기",IF(AI316&gt;0,"측정 대기","미방문"))))</f>
        <v>미방문</v>
      </c>
      <c r="AB316" s="60" t="str">
        <f aca="false">IF($AI316=0,"",IF(INDEX(입력_운동!$A$5:$A$1004,$AI316)="","",INDEX(입력_운동!$A$5:$A$1004,$AI316)))</f>
        <v/>
      </c>
      <c r="AC316" s="60" t="str">
        <f aca="false">IF($AJ316=0,"",IF(INDEX(입력_측정!$A$5:$A$1004,$AJ316)="","",INDEX(입력_측정!$A$5:$A$1004,$AJ316)))</f>
        <v/>
      </c>
      <c r="AD316" s="60" t="str">
        <f aca="false">IF($AK316=0,"",IF(INDEX(입력_상담!$A$5:$A$1004,$AK316)="","",INDEX(입력_상담!$A$5:$A$1004,$AK316)))</f>
        <v/>
      </c>
      <c r="AE316" s="25" t="str">
        <f aca="false">IF(AND(ISNUMBER(AB316),ISNUMBER(AC316)),IF(AC316&gt;=AB316,ROUND((AC316-AB316)*1440,0),""),"")</f>
        <v/>
      </c>
      <c r="AF316" s="25" t="str">
        <f aca="false">IF(AND(ISNUMBER(AC316),ISNUMBER(AD316)),IF(AD316&gt;=AC316,ROUND((AD316-AC316)*1440,0),""),"")</f>
        <v/>
      </c>
      <c r="AG316" s="25" t="str">
        <f aca="false">IF(AND(AA316="완료",ISNUMBER(AB316),ISNUMBER(AD316)),IF(AD316&gt;=AB316,ROUND((AD316-AB316)*1440,0),""),"")</f>
        <v/>
      </c>
      <c r="AH316" s="61" t="str">
        <f aca="false">IF(AND(AK316&gt;0,AJ316=0),"측정 기록 없음",IF(AND(AJ316&gt;0,AI316=0),"운동평가 기록 없음",IF(OR(COUNTIF(입력_운동!$B$5:$B$1004,$A316)&gt;1,COUNTIF(입력_측정!$B$5:$B$1004,$A316)&gt;1),"중복 입력","")))</f>
        <v/>
      </c>
      <c r="AI316" s="62" t="n">
        <f aca="false">SUMPRODUCT(MAX((입력_운동!$B$5:$B$1004=$A316)*(ROW(입력_운동!$B$5:$B$1004)-4)))</f>
        <v>0</v>
      </c>
      <c r="AJ316" s="62" t="n">
        <f aca="false">SUMPRODUCT(MAX((입력_측정!$B$5:$B$1004=$A316)*(ROW(입력_측정!$B$5:$B$1004)-4)))</f>
        <v>0</v>
      </c>
      <c r="AK316" s="62" t="n">
        <f aca="false">SUMPRODUCT(MAX((입력_상담!$B$5:$B$1004=$A316)*(ROW(입력_상담!$B$5:$B$1004)-4)))</f>
        <v>0</v>
      </c>
    </row>
    <row r="317" customFormat="false" ht="15" hidden="false" customHeight="false" outlineLevel="0" collapsed="false">
      <c r="A317" s="55" t="n">
        <v>313</v>
      </c>
      <c r="B317" s="56"/>
      <c r="C317" s="24"/>
      <c r="D317" s="24"/>
      <c r="E317" s="56"/>
      <c r="F317" s="57"/>
      <c r="G317" s="58"/>
      <c r="H317" s="56"/>
      <c r="I317" s="24"/>
      <c r="J317" s="24"/>
      <c r="K317" s="24"/>
      <c r="L317" s="24"/>
      <c r="M317" s="24"/>
      <c r="N317" s="56"/>
      <c r="O317" s="25" t="str">
        <f aca="false">IF($AI317=0,"",IF(INDEX(입력_운동!$C$5:$C$1004,$AI317)="","",INDEX(입력_운동!$C$5:$C$1004,$AI317)))</f>
        <v/>
      </c>
      <c r="P317" s="25" t="str">
        <f aca="false">IF($AI317=0,"",IF(INDEX(입력_운동!$D$5:$D$1004,$AI317)="","",INDEX(입력_운동!$D$5:$D$1004,$AI317)))</f>
        <v/>
      </c>
      <c r="Q317" s="25" t="str">
        <f aca="false">IF($AI317=0,"",IF(INDEX(입력_운동!$E$5:$E$1004,$AI317)="","",INDEX(입력_운동!$E$5:$E$1004,$AI317)))</f>
        <v/>
      </c>
      <c r="R317" s="25" t="str">
        <f aca="false">IF($AI317=0,"",IF(INDEX(입력_운동!$F$5:$F$1004,$AI317)="","",INDEX(입력_운동!$F$5:$F$1004,$AI317)))</f>
        <v/>
      </c>
      <c r="S317" s="25" t="str">
        <f aca="false">IF($AJ317=0,"",IF(INDEX(입력_측정!$C$5:$C$1004,$AJ317)="","",INDEX(입력_측정!$C$5:$C$1004,$AJ317)))</f>
        <v/>
      </c>
      <c r="T317" s="25" t="str">
        <f aca="false">IF($AJ317=0,"",IF(INDEX(입력_측정!$D$5:$D$1004,$AJ317)="","",INDEX(입력_측정!$D$5:$D$1004,$AJ317)))</f>
        <v/>
      </c>
      <c r="U317" s="25" t="str">
        <f aca="false">IF($AJ317=0,"",IF(INDEX(입력_측정!$E$5:$E$1004,$AJ317)="","",INDEX(입력_측정!$E$5:$E$1004,$AJ317)))</f>
        <v/>
      </c>
      <c r="V317" s="25" t="str">
        <f aca="false">IF($AJ317=0,"",IF(INDEX(입력_측정!$F$5:$F$1004,$AJ317)="","",INDEX(입력_측정!$F$5:$F$1004,$AJ317)))</f>
        <v/>
      </c>
      <c r="W317" s="25" t="str">
        <f aca="false">IF($AK317=0,"",IF(INDEX(입력_상담!$D$5:$D$1004,$AK317)="","",INDEX(입력_상담!$D$5:$D$1004,$AK317)))</f>
        <v/>
      </c>
      <c r="X317" s="25" t="str">
        <f aca="false">IF($AJ317=0,"",IF(INDEX(입력_측정!$I$5:$I$1004,$AJ317)="","",INDEX(입력_측정!$I$5:$I$1004,$AJ317)))</f>
        <v/>
      </c>
      <c r="Y317" s="25" t="str">
        <f aca="false">IF($AJ317=0,"",IF(INDEX(입력_측정!$J$5:$J$1004,$AJ317)="","",INDEX(입력_측정!$J$5:$J$1004,$AJ317)))</f>
        <v/>
      </c>
      <c r="Z317" s="25" t="str">
        <f aca="false">IF(OR(X317="긴급",LEFT(Y317,2)="긴급",W317="필요",W317="완료"),"대상","")</f>
        <v/>
      </c>
      <c r="AA317" s="59" t="str">
        <f aca="false">IF(M317&lt;&gt;"",M317,IF(AK317&gt;0,IF(W317="필요","추가상담 대기","완료"),IF(AJ317&gt;0,"결과상담 대기",IF(AI317&gt;0,"측정 대기","미방문"))))</f>
        <v>미방문</v>
      </c>
      <c r="AB317" s="60" t="str">
        <f aca="false">IF($AI317=0,"",IF(INDEX(입력_운동!$A$5:$A$1004,$AI317)="","",INDEX(입력_운동!$A$5:$A$1004,$AI317)))</f>
        <v/>
      </c>
      <c r="AC317" s="60" t="str">
        <f aca="false">IF($AJ317=0,"",IF(INDEX(입력_측정!$A$5:$A$1004,$AJ317)="","",INDEX(입력_측정!$A$5:$A$1004,$AJ317)))</f>
        <v/>
      </c>
      <c r="AD317" s="60" t="str">
        <f aca="false">IF($AK317=0,"",IF(INDEX(입력_상담!$A$5:$A$1004,$AK317)="","",INDEX(입력_상담!$A$5:$A$1004,$AK317)))</f>
        <v/>
      </c>
      <c r="AE317" s="25" t="str">
        <f aca="false">IF(AND(ISNUMBER(AB317),ISNUMBER(AC317)),IF(AC317&gt;=AB317,ROUND((AC317-AB317)*1440,0),""),"")</f>
        <v/>
      </c>
      <c r="AF317" s="25" t="str">
        <f aca="false">IF(AND(ISNUMBER(AC317),ISNUMBER(AD317)),IF(AD317&gt;=AC317,ROUND((AD317-AC317)*1440,0),""),"")</f>
        <v/>
      </c>
      <c r="AG317" s="25" t="str">
        <f aca="false">IF(AND(AA317="완료",ISNUMBER(AB317),ISNUMBER(AD317)),IF(AD317&gt;=AB317,ROUND((AD317-AB317)*1440,0),""),"")</f>
        <v/>
      </c>
      <c r="AH317" s="61" t="str">
        <f aca="false">IF(AND(AK317&gt;0,AJ317=0),"측정 기록 없음",IF(AND(AJ317&gt;0,AI317=0),"운동평가 기록 없음",IF(OR(COUNTIF(입력_운동!$B$5:$B$1004,$A317)&gt;1,COUNTIF(입력_측정!$B$5:$B$1004,$A317)&gt;1),"중복 입력","")))</f>
        <v/>
      </c>
      <c r="AI317" s="62" t="n">
        <f aca="false">SUMPRODUCT(MAX((입력_운동!$B$5:$B$1004=$A317)*(ROW(입력_운동!$B$5:$B$1004)-4)))</f>
        <v>0</v>
      </c>
      <c r="AJ317" s="62" t="n">
        <f aca="false">SUMPRODUCT(MAX((입력_측정!$B$5:$B$1004=$A317)*(ROW(입력_측정!$B$5:$B$1004)-4)))</f>
        <v>0</v>
      </c>
      <c r="AK317" s="62" t="n">
        <f aca="false">SUMPRODUCT(MAX((입력_상담!$B$5:$B$1004=$A317)*(ROW(입력_상담!$B$5:$B$1004)-4)))</f>
        <v>0</v>
      </c>
    </row>
    <row r="318" customFormat="false" ht="15" hidden="false" customHeight="false" outlineLevel="0" collapsed="false">
      <c r="A318" s="55" t="n">
        <v>314</v>
      </c>
      <c r="B318" s="56"/>
      <c r="C318" s="24"/>
      <c r="D318" s="24"/>
      <c r="E318" s="56"/>
      <c r="F318" s="57"/>
      <c r="G318" s="58"/>
      <c r="H318" s="56"/>
      <c r="I318" s="24"/>
      <c r="J318" s="24"/>
      <c r="K318" s="24"/>
      <c r="L318" s="24"/>
      <c r="M318" s="24"/>
      <c r="N318" s="56"/>
      <c r="O318" s="25" t="str">
        <f aca="false">IF($AI318=0,"",IF(INDEX(입력_운동!$C$5:$C$1004,$AI318)="","",INDEX(입력_운동!$C$5:$C$1004,$AI318)))</f>
        <v/>
      </c>
      <c r="P318" s="25" t="str">
        <f aca="false">IF($AI318=0,"",IF(INDEX(입력_운동!$D$5:$D$1004,$AI318)="","",INDEX(입력_운동!$D$5:$D$1004,$AI318)))</f>
        <v/>
      </c>
      <c r="Q318" s="25" t="str">
        <f aca="false">IF($AI318=0,"",IF(INDEX(입력_운동!$E$5:$E$1004,$AI318)="","",INDEX(입력_운동!$E$5:$E$1004,$AI318)))</f>
        <v/>
      </c>
      <c r="R318" s="25" t="str">
        <f aca="false">IF($AI318=0,"",IF(INDEX(입력_운동!$F$5:$F$1004,$AI318)="","",INDEX(입력_운동!$F$5:$F$1004,$AI318)))</f>
        <v/>
      </c>
      <c r="S318" s="25" t="str">
        <f aca="false">IF($AJ318=0,"",IF(INDEX(입력_측정!$C$5:$C$1004,$AJ318)="","",INDEX(입력_측정!$C$5:$C$1004,$AJ318)))</f>
        <v/>
      </c>
      <c r="T318" s="25" t="str">
        <f aca="false">IF($AJ318=0,"",IF(INDEX(입력_측정!$D$5:$D$1004,$AJ318)="","",INDEX(입력_측정!$D$5:$D$1004,$AJ318)))</f>
        <v/>
      </c>
      <c r="U318" s="25" t="str">
        <f aca="false">IF($AJ318=0,"",IF(INDEX(입력_측정!$E$5:$E$1004,$AJ318)="","",INDEX(입력_측정!$E$5:$E$1004,$AJ318)))</f>
        <v/>
      </c>
      <c r="V318" s="25" t="str">
        <f aca="false">IF($AJ318=0,"",IF(INDEX(입력_측정!$F$5:$F$1004,$AJ318)="","",INDEX(입력_측정!$F$5:$F$1004,$AJ318)))</f>
        <v/>
      </c>
      <c r="W318" s="25" t="str">
        <f aca="false">IF($AK318=0,"",IF(INDEX(입력_상담!$D$5:$D$1004,$AK318)="","",INDEX(입력_상담!$D$5:$D$1004,$AK318)))</f>
        <v/>
      </c>
      <c r="X318" s="25" t="str">
        <f aca="false">IF($AJ318=0,"",IF(INDEX(입력_측정!$I$5:$I$1004,$AJ318)="","",INDEX(입력_측정!$I$5:$I$1004,$AJ318)))</f>
        <v/>
      </c>
      <c r="Y318" s="25" t="str">
        <f aca="false">IF($AJ318=0,"",IF(INDEX(입력_측정!$J$5:$J$1004,$AJ318)="","",INDEX(입력_측정!$J$5:$J$1004,$AJ318)))</f>
        <v/>
      </c>
      <c r="Z318" s="25" t="str">
        <f aca="false">IF(OR(X318="긴급",LEFT(Y318,2)="긴급",W318="필요",W318="완료"),"대상","")</f>
        <v/>
      </c>
      <c r="AA318" s="59" t="str">
        <f aca="false">IF(M318&lt;&gt;"",M318,IF(AK318&gt;0,IF(W318="필요","추가상담 대기","완료"),IF(AJ318&gt;0,"결과상담 대기",IF(AI318&gt;0,"측정 대기","미방문"))))</f>
        <v>미방문</v>
      </c>
      <c r="AB318" s="60" t="str">
        <f aca="false">IF($AI318=0,"",IF(INDEX(입력_운동!$A$5:$A$1004,$AI318)="","",INDEX(입력_운동!$A$5:$A$1004,$AI318)))</f>
        <v/>
      </c>
      <c r="AC318" s="60" t="str">
        <f aca="false">IF($AJ318=0,"",IF(INDEX(입력_측정!$A$5:$A$1004,$AJ318)="","",INDEX(입력_측정!$A$5:$A$1004,$AJ318)))</f>
        <v/>
      </c>
      <c r="AD318" s="60" t="str">
        <f aca="false">IF($AK318=0,"",IF(INDEX(입력_상담!$A$5:$A$1004,$AK318)="","",INDEX(입력_상담!$A$5:$A$1004,$AK318)))</f>
        <v/>
      </c>
      <c r="AE318" s="25" t="str">
        <f aca="false">IF(AND(ISNUMBER(AB318),ISNUMBER(AC318)),IF(AC318&gt;=AB318,ROUND((AC318-AB318)*1440,0),""),"")</f>
        <v/>
      </c>
      <c r="AF318" s="25" t="str">
        <f aca="false">IF(AND(ISNUMBER(AC318),ISNUMBER(AD318)),IF(AD318&gt;=AC318,ROUND((AD318-AC318)*1440,0),""),"")</f>
        <v/>
      </c>
      <c r="AG318" s="25" t="str">
        <f aca="false">IF(AND(AA318="완료",ISNUMBER(AB318),ISNUMBER(AD318)),IF(AD318&gt;=AB318,ROUND((AD318-AB318)*1440,0),""),"")</f>
        <v/>
      </c>
      <c r="AH318" s="61" t="str">
        <f aca="false">IF(AND(AK318&gt;0,AJ318=0),"측정 기록 없음",IF(AND(AJ318&gt;0,AI318=0),"운동평가 기록 없음",IF(OR(COUNTIF(입력_운동!$B$5:$B$1004,$A318)&gt;1,COUNTIF(입력_측정!$B$5:$B$1004,$A318)&gt;1),"중복 입력","")))</f>
        <v/>
      </c>
      <c r="AI318" s="62" t="n">
        <f aca="false">SUMPRODUCT(MAX((입력_운동!$B$5:$B$1004=$A318)*(ROW(입력_운동!$B$5:$B$1004)-4)))</f>
        <v>0</v>
      </c>
      <c r="AJ318" s="62" t="n">
        <f aca="false">SUMPRODUCT(MAX((입력_측정!$B$5:$B$1004=$A318)*(ROW(입력_측정!$B$5:$B$1004)-4)))</f>
        <v>0</v>
      </c>
      <c r="AK318" s="62" t="n">
        <f aca="false">SUMPRODUCT(MAX((입력_상담!$B$5:$B$1004=$A318)*(ROW(입력_상담!$B$5:$B$1004)-4)))</f>
        <v>0</v>
      </c>
    </row>
    <row r="319" customFormat="false" ht="15" hidden="false" customHeight="false" outlineLevel="0" collapsed="false">
      <c r="A319" s="55" t="n">
        <v>315</v>
      </c>
      <c r="B319" s="56"/>
      <c r="C319" s="24"/>
      <c r="D319" s="24"/>
      <c r="E319" s="56"/>
      <c r="F319" s="57"/>
      <c r="G319" s="58"/>
      <c r="H319" s="56"/>
      <c r="I319" s="24"/>
      <c r="J319" s="24"/>
      <c r="K319" s="24"/>
      <c r="L319" s="24"/>
      <c r="M319" s="24"/>
      <c r="N319" s="56"/>
      <c r="O319" s="25" t="str">
        <f aca="false">IF($AI319=0,"",IF(INDEX(입력_운동!$C$5:$C$1004,$AI319)="","",INDEX(입력_운동!$C$5:$C$1004,$AI319)))</f>
        <v/>
      </c>
      <c r="P319" s="25" t="str">
        <f aca="false">IF($AI319=0,"",IF(INDEX(입력_운동!$D$5:$D$1004,$AI319)="","",INDEX(입력_운동!$D$5:$D$1004,$AI319)))</f>
        <v/>
      </c>
      <c r="Q319" s="25" t="str">
        <f aca="false">IF($AI319=0,"",IF(INDEX(입력_운동!$E$5:$E$1004,$AI319)="","",INDEX(입력_운동!$E$5:$E$1004,$AI319)))</f>
        <v/>
      </c>
      <c r="R319" s="25" t="str">
        <f aca="false">IF($AI319=0,"",IF(INDEX(입력_운동!$F$5:$F$1004,$AI319)="","",INDEX(입력_운동!$F$5:$F$1004,$AI319)))</f>
        <v/>
      </c>
      <c r="S319" s="25" t="str">
        <f aca="false">IF($AJ319=0,"",IF(INDEX(입력_측정!$C$5:$C$1004,$AJ319)="","",INDEX(입력_측정!$C$5:$C$1004,$AJ319)))</f>
        <v/>
      </c>
      <c r="T319" s="25" t="str">
        <f aca="false">IF($AJ319=0,"",IF(INDEX(입력_측정!$D$5:$D$1004,$AJ319)="","",INDEX(입력_측정!$D$5:$D$1004,$AJ319)))</f>
        <v/>
      </c>
      <c r="U319" s="25" t="str">
        <f aca="false">IF($AJ319=0,"",IF(INDEX(입력_측정!$E$5:$E$1004,$AJ319)="","",INDEX(입력_측정!$E$5:$E$1004,$AJ319)))</f>
        <v/>
      </c>
      <c r="V319" s="25" t="str">
        <f aca="false">IF($AJ319=0,"",IF(INDEX(입력_측정!$F$5:$F$1004,$AJ319)="","",INDEX(입력_측정!$F$5:$F$1004,$AJ319)))</f>
        <v/>
      </c>
      <c r="W319" s="25" t="str">
        <f aca="false">IF($AK319=0,"",IF(INDEX(입력_상담!$D$5:$D$1004,$AK319)="","",INDEX(입력_상담!$D$5:$D$1004,$AK319)))</f>
        <v/>
      </c>
      <c r="X319" s="25" t="str">
        <f aca="false">IF($AJ319=0,"",IF(INDEX(입력_측정!$I$5:$I$1004,$AJ319)="","",INDEX(입력_측정!$I$5:$I$1004,$AJ319)))</f>
        <v/>
      </c>
      <c r="Y319" s="25" t="str">
        <f aca="false">IF($AJ319=0,"",IF(INDEX(입력_측정!$J$5:$J$1004,$AJ319)="","",INDEX(입력_측정!$J$5:$J$1004,$AJ319)))</f>
        <v/>
      </c>
      <c r="Z319" s="25" t="str">
        <f aca="false">IF(OR(X319="긴급",LEFT(Y319,2)="긴급",W319="필요",W319="완료"),"대상","")</f>
        <v/>
      </c>
      <c r="AA319" s="59" t="str">
        <f aca="false">IF(M319&lt;&gt;"",M319,IF(AK319&gt;0,IF(W319="필요","추가상담 대기","완료"),IF(AJ319&gt;0,"결과상담 대기",IF(AI319&gt;0,"측정 대기","미방문"))))</f>
        <v>미방문</v>
      </c>
      <c r="AB319" s="60" t="str">
        <f aca="false">IF($AI319=0,"",IF(INDEX(입력_운동!$A$5:$A$1004,$AI319)="","",INDEX(입력_운동!$A$5:$A$1004,$AI319)))</f>
        <v/>
      </c>
      <c r="AC319" s="60" t="str">
        <f aca="false">IF($AJ319=0,"",IF(INDEX(입력_측정!$A$5:$A$1004,$AJ319)="","",INDEX(입력_측정!$A$5:$A$1004,$AJ319)))</f>
        <v/>
      </c>
      <c r="AD319" s="60" t="str">
        <f aca="false">IF($AK319=0,"",IF(INDEX(입력_상담!$A$5:$A$1004,$AK319)="","",INDEX(입력_상담!$A$5:$A$1004,$AK319)))</f>
        <v/>
      </c>
      <c r="AE319" s="25" t="str">
        <f aca="false">IF(AND(ISNUMBER(AB319),ISNUMBER(AC319)),IF(AC319&gt;=AB319,ROUND((AC319-AB319)*1440,0),""),"")</f>
        <v/>
      </c>
      <c r="AF319" s="25" t="str">
        <f aca="false">IF(AND(ISNUMBER(AC319),ISNUMBER(AD319)),IF(AD319&gt;=AC319,ROUND((AD319-AC319)*1440,0),""),"")</f>
        <v/>
      </c>
      <c r="AG319" s="25" t="str">
        <f aca="false">IF(AND(AA319="완료",ISNUMBER(AB319),ISNUMBER(AD319)),IF(AD319&gt;=AB319,ROUND((AD319-AB319)*1440,0),""),"")</f>
        <v/>
      </c>
      <c r="AH319" s="61" t="str">
        <f aca="false">IF(AND(AK319&gt;0,AJ319=0),"측정 기록 없음",IF(AND(AJ319&gt;0,AI319=0),"운동평가 기록 없음",IF(OR(COUNTIF(입력_운동!$B$5:$B$1004,$A319)&gt;1,COUNTIF(입력_측정!$B$5:$B$1004,$A319)&gt;1),"중복 입력","")))</f>
        <v/>
      </c>
      <c r="AI319" s="62" t="n">
        <f aca="false">SUMPRODUCT(MAX((입력_운동!$B$5:$B$1004=$A319)*(ROW(입력_운동!$B$5:$B$1004)-4)))</f>
        <v>0</v>
      </c>
      <c r="AJ319" s="62" t="n">
        <f aca="false">SUMPRODUCT(MAX((입력_측정!$B$5:$B$1004=$A319)*(ROW(입력_측정!$B$5:$B$1004)-4)))</f>
        <v>0</v>
      </c>
      <c r="AK319" s="62" t="n">
        <f aca="false">SUMPRODUCT(MAX((입력_상담!$B$5:$B$1004=$A319)*(ROW(입력_상담!$B$5:$B$1004)-4)))</f>
        <v>0</v>
      </c>
    </row>
    <row r="320" customFormat="false" ht="15" hidden="false" customHeight="false" outlineLevel="0" collapsed="false">
      <c r="A320" s="55" t="n">
        <v>316</v>
      </c>
      <c r="B320" s="56"/>
      <c r="C320" s="24"/>
      <c r="D320" s="24"/>
      <c r="E320" s="56"/>
      <c r="F320" s="57"/>
      <c r="G320" s="58"/>
      <c r="H320" s="56"/>
      <c r="I320" s="24"/>
      <c r="J320" s="24"/>
      <c r="K320" s="24"/>
      <c r="L320" s="24"/>
      <c r="M320" s="24"/>
      <c r="N320" s="56"/>
      <c r="O320" s="25" t="str">
        <f aca="false">IF($AI320=0,"",IF(INDEX(입력_운동!$C$5:$C$1004,$AI320)="","",INDEX(입력_운동!$C$5:$C$1004,$AI320)))</f>
        <v/>
      </c>
      <c r="P320" s="25" t="str">
        <f aca="false">IF($AI320=0,"",IF(INDEX(입력_운동!$D$5:$D$1004,$AI320)="","",INDEX(입력_운동!$D$5:$D$1004,$AI320)))</f>
        <v/>
      </c>
      <c r="Q320" s="25" t="str">
        <f aca="false">IF($AI320=0,"",IF(INDEX(입력_운동!$E$5:$E$1004,$AI320)="","",INDEX(입력_운동!$E$5:$E$1004,$AI320)))</f>
        <v/>
      </c>
      <c r="R320" s="25" t="str">
        <f aca="false">IF($AI320=0,"",IF(INDEX(입력_운동!$F$5:$F$1004,$AI320)="","",INDEX(입력_운동!$F$5:$F$1004,$AI320)))</f>
        <v/>
      </c>
      <c r="S320" s="25" t="str">
        <f aca="false">IF($AJ320=0,"",IF(INDEX(입력_측정!$C$5:$C$1004,$AJ320)="","",INDEX(입력_측정!$C$5:$C$1004,$AJ320)))</f>
        <v/>
      </c>
      <c r="T320" s="25" t="str">
        <f aca="false">IF($AJ320=0,"",IF(INDEX(입력_측정!$D$5:$D$1004,$AJ320)="","",INDEX(입력_측정!$D$5:$D$1004,$AJ320)))</f>
        <v/>
      </c>
      <c r="U320" s="25" t="str">
        <f aca="false">IF($AJ320=0,"",IF(INDEX(입력_측정!$E$5:$E$1004,$AJ320)="","",INDEX(입력_측정!$E$5:$E$1004,$AJ320)))</f>
        <v/>
      </c>
      <c r="V320" s="25" t="str">
        <f aca="false">IF($AJ320=0,"",IF(INDEX(입력_측정!$F$5:$F$1004,$AJ320)="","",INDEX(입력_측정!$F$5:$F$1004,$AJ320)))</f>
        <v/>
      </c>
      <c r="W320" s="25" t="str">
        <f aca="false">IF($AK320=0,"",IF(INDEX(입력_상담!$D$5:$D$1004,$AK320)="","",INDEX(입력_상담!$D$5:$D$1004,$AK320)))</f>
        <v/>
      </c>
      <c r="X320" s="25" t="str">
        <f aca="false">IF($AJ320=0,"",IF(INDEX(입력_측정!$I$5:$I$1004,$AJ320)="","",INDEX(입력_측정!$I$5:$I$1004,$AJ320)))</f>
        <v/>
      </c>
      <c r="Y320" s="25" t="str">
        <f aca="false">IF($AJ320=0,"",IF(INDEX(입력_측정!$J$5:$J$1004,$AJ320)="","",INDEX(입력_측정!$J$5:$J$1004,$AJ320)))</f>
        <v/>
      </c>
      <c r="Z320" s="25" t="str">
        <f aca="false">IF(OR(X320="긴급",LEFT(Y320,2)="긴급",W320="필요",W320="완료"),"대상","")</f>
        <v/>
      </c>
      <c r="AA320" s="59" t="str">
        <f aca="false">IF(M320&lt;&gt;"",M320,IF(AK320&gt;0,IF(W320="필요","추가상담 대기","완료"),IF(AJ320&gt;0,"결과상담 대기",IF(AI320&gt;0,"측정 대기","미방문"))))</f>
        <v>미방문</v>
      </c>
      <c r="AB320" s="60" t="str">
        <f aca="false">IF($AI320=0,"",IF(INDEX(입력_운동!$A$5:$A$1004,$AI320)="","",INDEX(입력_운동!$A$5:$A$1004,$AI320)))</f>
        <v/>
      </c>
      <c r="AC320" s="60" t="str">
        <f aca="false">IF($AJ320=0,"",IF(INDEX(입력_측정!$A$5:$A$1004,$AJ320)="","",INDEX(입력_측정!$A$5:$A$1004,$AJ320)))</f>
        <v/>
      </c>
      <c r="AD320" s="60" t="str">
        <f aca="false">IF($AK320=0,"",IF(INDEX(입력_상담!$A$5:$A$1004,$AK320)="","",INDEX(입력_상담!$A$5:$A$1004,$AK320)))</f>
        <v/>
      </c>
      <c r="AE320" s="25" t="str">
        <f aca="false">IF(AND(ISNUMBER(AB320),ISNUMBER(AC320)),IF(AC320&gt;=AB320,ROUND((AC320-AB320)*1440,0),""),"")</f>
        <v/>
      </c>
      <c r="AF320" s="25" t="str">
        <f aca="false">IF(AND(ISNUMBER(AC320),ISNUMBER(AD320)),IF(AD320&gt;=AC320,ROUND((AD320-AC320)*1440,0),""),"")</f>
        <v/>
      </c>
      <c r="AG320" s="25" t="str">
        <f aca="false">IF(AND(AA320="완료",ISNUMBER(AB320),ISNUMBER(AD320)),IF(AD320&gt;=AB320,ROUND((AD320-AB320)*1440,0),""),"")</f>
        <v/>
      </c>
      <c r="AH320" s="61" t="str">
        <f aca="false">IF(AND(AK320&gt;0,AJ320=0),"측정 기록 없음",IF(AND(AJ320&gt;0,AI320=0),"운동평가 기록 없음",IF(OR(COUNTIF(입력_운동!$B$5:$B$1004,$A320)&gt;1,COUNTIF(입력_측정!$B$5:$B$1004,$A320)&gt;1),"중복 입력","")))</f>
        <v/>
      </c>
      <c r="AI320" s="62" t="n">
        <f aca="false">SUMPRODUCT(MAX((입력_운동!$B$5:$B$1004=$A320)*(ROW(입력_운동!$B$5:$B$1004)-4)))</f>
        <v>0</v>
      </c>
      <c r="AJ320" s="62" t="n">
        <f aca="false">SUMPRODUCT(MAX((입력_측정!$B$5:$B$1004=$A320)*(ROW(입력_측정!$B$5:$B$1004)-4)))</f>
        <v>0</v>
      </c>
      <c r="AK320" s="62" t="n">
        <f aca="false">SUMPRODUCT(MAX((입력_상담!$B$5:$B$1004=$A320)*(ROW(입력_상담!$B$5:$B$1004)-4)))</f>
        <v>0</v>
      </c>
    </row>
    <row r="321" customFormat="false" ht="15" hidden="false" customHeight="false" outlineLevel="0" collapsed="false">
      <c r="A321" s="55" t="n">
        <v>317</v>
      </c>
      <c r="B321" s="56"/>
      <c r="C321" s="24"/>
      <c r="D321" s="24"/>
      <c r="E321" s="56"/>
      <c r="F321" s="57"/>
      <c r="G321" s="58"/>
      <c r="H321" s="56"/>
      <c r="I321" s="24"/>
      <c r="J321" s="24"/>
      <c r="K321" s="24"/>
      <c r="L321" s="24"/>
      <c r="M321" s="24"/>
      <c r="N321" s="56"/>
      <c r="O321" s="25" t="str">
        <f aca="false">IF($AI321=0,"",IF(INDEX(입력_운동!$C$5:$C$1004,$AI321)="","",INDEX(입력_운동!$C$5:$C$1004,$AI321)))</f>
        <v/>
      </c>
      <c r="P321" s="25" t="str">
        <f aca="false">IF($AI321=0,"",IF(INDEX(입력_운동!$D$5:$D$1004,$AI321)="","",INDEX(입력_운동!$D$5:$D$1004,$AI321)))</f>
        <v/>
      </c>
      <c r="Q321" s="25" t="str">
        <f aca="false">IF($AI321=0,"",IF(INDEX(입력_운동!$E$5:$E$1004,$AI321)="","",INDEX(입력_운동!$E$5:$E$1004,$AI321)))</f>
        <v/>
      </c>
      <c r="R321" s="25" t="str">
        <f aca="false">IF($AI321=0,"",IF(INDEX(입력_운동!$F$5:$F$1004,$AI321)="","",INDEX(입력_운동!$F$5:$F$1004,$AI321)))</f>
        <v/>
      </c>
      <c r="S321" s="25" t="str">
        <f aca="false">IF($AJ321=0,"",IF(INDEX(입력_측정!$C$5:$C$1004,$AJ321)="","",INDEX(입력_측정!$C$5:$C$1004,$AJ321)))</f>
        <v/>
      </c>
      <c r="T321" s="25" t="str">
        <f aca="false">IF($AJ321=0,"",IF(INDEX(입력_측정!$D$5:$D$1004,$AJ321)="","",INDEX(입력_측정!$D$5:$D$1004,$AJ321)))</f>
        <v/>
      </c>
      <c r="U321" s="25" t="str">
        <f aca="false">IF($AJ321=0,"",IF(INDEX(입력_측정!$E$5:$E$1004,$AJ321)="","",INDEX(입력_측정!$E$5:$E$1004,$AJ321)))</f>
        <v/>
      </c>
      <c r="V321" s="25" t="str">
        <f aca="false">IF($AJ321=0,"",IF(INDEX(입력_측정!$F$5:$F$1004,$AJ321)="","",INDEX(입력_측정!$F$5:$F$1004,$AJ321)))</f>
        <v/>
      </c>
      <c r="W321" s="25" t="str">
        <f aca="false">IF($AK321=0,"",IF(INDEX(입력_상담!$D$5:$D$1004,$AK321)="","",INDEX(입력_상담!$D$5:$D$1004,$AK321)))</f>
        <v/>
      </c>
      <c r="X321" s="25" t="str">
        <f aca="false">IF($AJ321=0,"",IF(INDEX(입력_측정!$I$5:$I$1004,$AJ321)="","",INDEX(입력_측정!$I$5:$I$1004,$AJ321)))</f>
        <v/>
      </c>
      <c r="Y321" s="25" t="str">
        <f aca="false">IF($AJ321=0,"",IF(INDEX(입력_측정!$J$5:$J$1004,$AJ321)="","",INDEX(입력_측정!$J$5:$J$1004,$AJ321)))</f>
        <v/>
      </c>
      <c r="Z321" s="25" t="str">
        <f aca="false">IF(OR(X321="긴급",LEFT(Y321,2)="긴급",W321="필요",W321="완료"),"대상","")</f>
        <v/>
      </c>
      <c r="AA321" s="59" t="str">
        <f aca="false">IF(M321&lt;&gt;"",M321,IF(AK321&gt;0,IF(W321="필요","추가상담 대기","완료"),IF(AJ321&gt;0,"결과상담 대기",IF(AI321&gt;0,"측정 대기","미방문"))))</f>
        <v>미방문</v>
      </c>
      <c r="AB321" s="60" t="str">
        <f aca="false">IF($AI321=0,"",IF(INDEX(입력_운동!$A$5:$A$1004,$AI321)="","",INDEX(입력_운동!$A$5:$A$1004,$AI321)))</f>
        <v/>
      </c>
      <c r="AC321" s="60" t="str">
        <f aca="false">IF($AJ321=0,"",IF(INDEX(입력_측정!$A$5:$A$1004,$AJ321)="","",INDEX(입력_측정!$A$5:$A$1004,$AJ321)))</f>
        <v/>
      </c>
      <c r="AD321" s="60" t="str">
        <f aca="false">IF($AK321=0,"",IF(INDEX(입력_상담!$A$5:$A$1004,$AK321)="","",INDEX(입력_상담!$A$5:$A$1004,$AK321)))</f>
        <v/>
      </c>
      <c r="AE321" s="25" t="str">
        <f aca="false">IF(AND(ISNUMBER(AB321),ISNUMBER(AC321)),IF(AC321&gt;=AB321,ROUND((AC321-AB321)*1440,0),""),"")</f>
        <v/>
      </c>
      <c r="AF321" s="25" t="str">
        <f aca="false">IF(AND(ISNUMBER(AC321),ISNUMBER(AD321)),IF(AD321&gt;=AC321,ROUND((AD321-AC321)*1440,0),""),"")</f>
        <v/>
      </c>
      <c r="AG321" s="25" t="str">
        <f aca="false">IF(AND(AA321="완료",ISNUMBER(AB321),ISNUMBER(AD321)),IF(AD321&gt;=AB321,ROUND((AD321-AB321)*1440,0),""),"")</f>
        <v/>
      </c>
      <c r="AH321" s="61" t="str">
        <f aca="false">IF(AND(AK321&gt;0,AJ321=0),"측정 기록 없음",IF(AND(AJ321&gt;0,AI321=0),"운동평가 기록 없음",IF(OR(COUNTIF(입력_운동!$B$5:$B$1004,$A321)&gt;1,COUNTIF(입력_측정!$B$5:$B$1004,$A321)&gt;1),"중복 입력","")))</f>
        <v/>
      </c>
      <c r="AI321" s="62" t="n">
        <f aca="false">SUMPRODUCT(MAX((입력_운동!$B$5:$B$1004=$A321)*(ROW(입력_운동!$B$5:$B$1004)-4)))</f>
        <v>0</v>
      </c>
      <c r="AJ321" s="62" t="n">
        <f aca="false">SUMPRODUCT(MAX((입력_측정!$B$5:$B$1004=$A321)*(ROW(입력_측정!$B$5:$B$1004)-4)))</f>
        <v>0</v>
      </c>
      <c r="AK321" s="62" t="n">
        <f aca="false">SUMPRODUCT(MAX((입력_상담!$B$5:$B$1004=$A321)*(ROW(입력_상담!$B$5:$B$1004)-4)))</f>
        <v>0</v>
      </c>
    </row>
    <row r="322" customFormat="false" ht="15" hidden="false" customHeight="false" outlineLevel="0" collapsed="false">
      <c r="A322" s="55" t="n">
        <v>318</v>
      </c>
      <c r="B322" s="56"/>
      <c r="C322" s="24"/>
      <c r="D322" s="24"/>
      <c r="E322" s="56"/>
      <c r="F322" s="57"/>
      <c r="G322" s="58"/>
      <c r="H322" s="56"/>
      <c r="I322" s="24"/>
      <c r="J322" s="24"/>
      <c r="K322" s="24"/>
      <c r="L322" s="24"/>
      <c r="M322" s="24"/>
      <c r="N322" s="56"/>
      <c r="O322" s="25" t="str">
        <f aca="false">IF($AI322=0,"",IF(INDEX(입력_운동!$C$5:$C$1004,$AI322)="","",INDEX(입력_운동!$C$5:$C$1004,$AI322)))</f>
        <v/>
      </c>
      <c r="P322" s="25" t="str">
        <f aca="false">IF($AI322=0,"",IF(INDEX(입력_운동!$D$5:$D$1004,$AI322)="","",INDEX(입력_운동!$D$5:$D$1004,$AI322)))</f>
        <v/>
      </c>
      <c r="Q322" s="25" t="str">
        <f aca="false">IF($AI322=0,"",IF(INDEX(입력_운동!$E$5:$E$1004,$AI322)="","",INDEX(입력_운동!$E$5:$E$1004,$AI322)))</f>
        <v/>
      </c>
      <c r="R322" s="25" t="str">
        <f aca="false">IF($AI322=0,"",IF(INDEX(입력_운동!$F$5:$F$1004,$AI322)="","",INDEX(입력_운동!$F$5:$F$1004,$AI322)))</f>
        <v/>
      </c>
      <c r="S322" s="25" t="str">
        <f aca="false">IF($AJ322=0,"",IF(INDEX(입력_측정!$C$5:$C$1004,$AJ322)="","",INDEX(입력_측정!$C$5:$C$1004,$AJ322)))</f>
        <v/>
      </c>
      <c r="T322" s="25" t="str">
        <f aca="false">IF($AJ322=0,"",IF(INDEX(입력_측정!$D$5:$D$1004,$AJ322)="","",INDEX(입력_측정!$D$5:$D$1004,$AJ322)))</f>
        <v/>
      </c>
      <c r="U322" s="25" t="str">
        <f aca="false">IF($AJ322=0,"",IF(INDEX(입력_측정!$E$5:$E$1004,$AJ322)="","",INDEX(입력_측정!$E$5:$E$1004,$AJ322)))</f>
        <v/>
      </c>
      <c r="V322" s="25" t="str">
        <f aca="false">IF($AJ322=0,"",IF(INDEX(입력_측정!$F$5:$F$1004,$AJ322)="","",INDEX(입력_측정!$F$5:$F$1004,$AJ322)))</f>
        <v/>
      </c>
      <c r="W322" s="25" t="str">
        <f aca="false">IF($AK322=0,"",IF(INDEX(입력_상담!$D$5:$D$1004,$AK322)="","",INDEX(입력_상담!$D$5:$D$1004,$AK322)))</f>
        <v/>
      </c>
      <c r="X322" s="25" t="str">
        <f aca="false">IF($AJ322=0,"",IF(INDEX(입력_측정!$I$5:$I$1004,$AJ322)="","",INDEX(입력_측정!$I$5:$I$1004,$AJ322)))</f>
        <v/>
      </c>
      <c r="Y322" s="25" t="str">
        <f aca="false">IF($AJ322=0,"",IF(INDEX(입력_측정!$J$5:$J$1004,$AJ322)="","",INDEX(입력_측정!$J$5:$J$1004,$AJ322)))</f>
        <v/>
      </c>
      <c r="Z322" s="25" t="str">
        <f aca="false">IF(OR(X322="긴급",LEFT(Y322,2)="긴급",W322="필요",W322="완료"),"대상","")</f>
        <v/>
      </c>
      <c r="AA322" s="59" t="str">
        <f aca="false">IF(M322&lt;&gt;"",M322,IF(AK322&gt;0,IF(W322="필요","추가상담 대기","완료"),IF(AJ322&gt;0,"결과상담 대기",IF(AI322&gt;0,"측정 대기","미방문"))))</f>
        <v>미방문</v>
      </c>
      <c r="AB322" s="60" t="str">
        <f aca="false">IF($AI322=0,"",IF(INDEX(입력_운동!$A$5:$A$1004,$AI322)="","",INDEX(입력_운동!$A$5:$A$1004,$AI322)))</f>
        <v/>
      </c>
      <c r="AC322" s="60" t="str">
        <f aca="false">IF($AJ322=0,"",IF(INDEX(입력_측정!$A$5:$A$1004,$AJ322)="","",INDEX(입력_측정!$A$5:$A$1004,$AJ322)))</f>
        <v/>
      </c>
      <c r="AD322" s="60" t="str">
        <f aca="false">IF($AK322=0,"",IF(INDEX(입력_상담!$A$5:$A$1004,$AK322)="","",INDEX(입력_상담!$A$5:$A$1004,$AK322)))</f>
        <v/>
      </c>
      <c r="AE322" s="25" t="str">
        <f aca="false">IF(AND(ISNUMBER(AB322),ISNUMBER(AC322)),IF(AC322&gt;=AB322,ROUND((AC322-AB322)*1440,0),""),"")</f>
        <v/>
      </c>
      <c r="AF322" s="25" t="str">
        <f aca="false">IF(AND(ISNUMBER(AC322),ISNUMBER(AD322)),IF(AD322&gt;=AC322,ROUND((AD322-AC322)*1440,0),""),"")</f>
        <v/>
      </c>
      <c r="AG322" s="25" t="str">
        <f aca="false">IF(AND(AA322="완료",ISNUMBER(AB322),ISNUMBER(AD322)),IF(AD322&gt;=AB322,ROUND((AD322-AB322)*1440,0),""),"")</f>
        <v/>
      </c>
      <c r="AH322" s="61" t="str">
        <f aca="false">IF(AND(AK322&gt;0,AJ322=0),"측정 기록 없음",IF(AND(AJ322&gt;0,AI322=0),"운동평가 기록 없음",IF(OR(COUNTIF(입력_운동!$B$5:$B$1004,$A322)&gt;1,COUNTIF(입력_측정!$B$5:$B$1004,$A322)&gt;1),"중복 입력","")))</f>
        <v/>
      </c>
      <c r="AI322" s="62" t="n">
        <f aca="false">SUMPRODUCT(MAX((입력_운동!$B$5:$B$1004=$A322)*(ROW(입력_운동!$B$5:$B$1004)-4)))</f>
        <v>0</v>
      </c>
      <c r="AJ322" s="62" t="n">
        <f aca="false">SUMPRODUCT(MAX((입력_측정!$B$5:$B$1004=$A322)*(ROW(입력_측정!$B$5:$B$1004)-4)))</f>
        <v>0</v>
      </c>
      <c r="AK322" s="62" t="n">
        <f aca="false">SUMPRODUCT(MAX((입력_상담!$B$5:$B$1004=$A322)*(ROW(입력_상담!$B$5:$B$1004)-4)))</f>
        <v>0</v>
      </c>
    </row>
    <row r="323" customFormat="false" ht="15" hidden="false" customHeight="false" outlineLevel="0" collapsed="false">
      <c r="A323" s="55" t="n">
        <v>319</v>
      </c>
      <c r="B323" s="56"/>
      <c r="C323" s="24"/>
      <c r="D323" s="24"/>
      <c r="E323" s="56"/>
      <c r="F323" s="57"/>
      <c r="G323" s="58"/>
      <c r="H323" s="56"/>
      <c r="I323" s="24"/>
      <c r="J323" s="24"/>
      <c r="K323" s="24"/>
      <c r="L323" s="24"/>
      <c r="M323" s="24"/>
      <c r="N323" s="56"/>
      <c r="O323" s="25" t="str">
        <f aca="false">IF($AI323=0,"",IF(INDEX(입력_운동!$C$5:$C$1004,$AI323)="","",INDEX(입력_운동!$C$5:$C$1004,$AI323)))</f>
        <v/>
      </c>
      <c r="P323" s="25" t="str">
        <f aca="false">IF($AI323=0,"",IF(INDEX(입력_운동!$D$5:$D$1004,$AI323)="","",INDEX(입력_운동!$D$5:$D$1004,$AI323)))</f>
        <v/>
      </c>
      <c r="Q323" s="25" t="str">
        <f aca="false">IF($AI323=0,"",IF(INDEX(입력_운동!$E$5:$E$1004,$AI323)="","",INDEX(입력_운동!$E$5:$E$1004,$AI323)))</f>
        <v/>
      </c>
      <c r="R323" s="25" t="str">
        <f aca="false">IF($AI323=0,"",IF(INDEX(입력_운동!$F$5:$F$1004,$AI323)="","",INDEX(입력_운동!$F$5:$F$1004,$AI323)))</f>
        <v/>
      </c>
      <c r="S323" s="25" t="str">
        <f aca="false">IF($AJ323=0,"",IF(INDEX(입력_측정!$C$5:$C$1004,$AJ323)="","",INDEX(입력_측정!$C$5:$C$1004,$AJ323)))</f>
        <v/>
      </c>
      <c r="T323" s="25" t="str">
        <f aca="false">IF($AJ323=0,"",IF(INDEX(입력_측정!$D$5:$D$1004,$AJ323)="","",INDEX(입력_측정!$D$5:$D$1004,$AJ323)))</f>
        <v/>
      </c>
      <c r="U323" s="25" t="str">
        <f aca="false">IF($AJ323=0,"",IF(INDEX(입력_측정!$E$5:$E$1004,$AJ323)="","",INDEX(입력_측정!$E$5:$E$1004,$AJ323)))</f>
        <v/>
      </c>
      <c r="V323" s="25" t="str">
        <f aca="false">IF($AJ323=0,"",IF(INDEX(입력_측정!$F$5:$F$1004,$AJ323)="","",INDEX(입력_측정!$F$5:$F$1004,$AJ323)))</f>
        <v/>
      </c>
      <c r="W323" s="25" t="str">
        <f aca="false">IF($AK323=0,"",IF(INDEX(입력_상담!$D$5:$D$1004,$AK323)="","",INDEX(입력_상담!$D$5:$D$1004,$AK323)))</f>
        <v/>
      </c>
      <c r="X323" s="25" t="str">
        <f aca="false">IF($AJ323=0,"",IF(INDEX(입력_측정!$I$5:$I$1004,$AJ323)="","",INDEX(입력_측정!$I$5:$I$1004,$AJ323)))</f>
        <v/>
      </c>
      <c r="Y323" s="25" t="str">
        <f aca="false">IF($AJ323=0,"",IF(INDEX(입력_측정!$J$5:$J$1004,$AJ323)="","",INDEX(입력_측정!$J$5:$J$1004,$AJ323)))</f>
        <v/>
      </c>
      <c r="Z323" s="25" t="str">
        <f aca="false">IF(OR(X323="긴급",LEFT(Y323,2)="긴급",W323="필요",W323="완료"),"대상","")</f>
        <v/>
      </c>
      <c r="AA323" s="59" t="str">
        <f aca="false">IF(M323&lt;&gt;"",M323,IF(AK323&gt;0,IF(W323="필요","추가상담 대기","완료"),IF(AJ323&gt;0,"결과상담 대기",IF(AI323&gt;0,"측정 대기","미방문"))))</f>
        <v>미방문</v>
      </c>
      <c r="AB323" s="60" t="str">
        <f aca="false">IF($AI323=0,"",IF(INDEX(입력_운동!$A$5:$A$1004,$AI323)="","",INDEX(입력_운동!$A$5:$A$1004,$AI323)))</f>
        <v/>
      </c>
      <c r="AC323" s="60" t="str">
        <f aca="false">IF($AJ323=0,"",IF(INDEX(입력_측정!$A$5:$A$1004,$AJ323)="","",INDEX(입력_측정!$A$5:$A$1004,$AJ323)))</f>
        <v/>
      </c>
      <c r="AD323" s="60" t="str">
        <f aca="false">IF($AK323=0,"",IF(INDEX(입력_상담!$A$5:$A$1004,$AK323)="","",INDEX(입력_상담!$A$5:$A$1004,$AK323)))</f>
        <v/>
      </c>
      <c r="AE323" s="25" t="str">
        <f aca="false">IF(AND(ISNUMBER(AB323),ISNUMBER(AC323)),IF(AC323&gt;=AB323,ROUND((AC323-AB323)*1440,0),""),"")</f>
        <v/>
      </c>
      <c r="AF323" s="25" t="str">
        <f aca="false">IF(AND(ISNUMBER(AC323),ISNUMBER(AD323)),IF(AD323&gt;=AC323,ROUND((AD323-AC323)*1440,0),""),"")</f>
        <v/>
      </c>
      <c r="AG323" s="25" t="str">
        <f aca="false">IF(AND(AA323="완료",ISNUMBER(AB323),ISNUMBER(AD323)),IF(AD323&gt;=AB323,ROUND((AD323-AB323)*1440,0),""),"")</f>
        <v/>
      </c>
      <c r="AH323" s="61" t="str">
        <f aca="false">IF(AND(AK323&gt;0,AJ323=0),"측정 기록 없음",IF(AND(AJ323&gt;0,AI323=0),"운동평가 기록 없음",IF(OR(COUNTIF(입력_운동!$B$5:$B$1004,$A323)&gt;1,COUNTIF(입력_측정!$B$5:$B$1004,$A323)&gt;1),"중복 입력","")))</f>
        <v/>
      </c>
      <c r="AI323" s="62" t="n">
        <f aca="false">SUMPRODUCT(MAX((입력_운동!$B$5:$B$1004=$A323)*(ROW(입력_운동!$B$5:$B$1004)-4)))</f>
        <v>0</v>
      </c>
      <c r="AJ323" s="62" t="n">
        <f aca="false">SUMPRODUCT(MAX((입력_측정!$B$5:$B$1004=$A323)*(ROW(입력_측정!$B$5:$B$1004)-4)))</f>
        <v>0</v>
      </c>
      <c r="AK323" s="62" t="n">
        <f aca="false">SUMPRODUCT(MAX((입력_상담!$B$5:$B$1004=$A323)*(ROW(입력_상담!$B$5:$B$1004)-4)))</f>
        <v>0</v>
      </c>
    </row>
    <row r="324" customFormat="false" ht="15" hidden="false" customHeight="false" outlineLevel="0" collapsed="false">
      <c r="A324" s="55" t="n">
        <v>320</v>
      </c>
      <c r="B324" s="56"/>
      <c r="C324" s="24"/>
      <c r="D324" s="24"/>
      <c r="E324" s="56"/>
      <c r="F324" s="57"/>
      <c r="G324" s="58"/>
      <c r="H324" s="56"/>
      <c r="I324" s="24"/>
      <c r="J324" s="24"/>
      <c r="K324" s="24"/>
      <c r="L324" s="24"/>
      <c r="M324" s="24"/>
      <c r="N324" s="56"/>
      <c r="O324" s="25" t="str">
        <f aca="false">IF($AI324=0,"",IF(INDEX(입력_운동!$C$5:$C$1004,$AI324)="","",INDEX(입력_운동!$C$5:$C$1004,$AI324)))</f>
        <v/>
      </c>
      <c r="P324" s="25" t="str">
        <f aca="false">IF($AI324=0,"",IF(INDEX(입력_운동!$D$5:$D$1004,$AI324)="","",INDEX(입력_운동!$D$5:$D$1004,$AI324)))</f>
        <v/>
      </c>
      <c r="Q324" s="25" t="str">
        <f aca="false">IF($AI324=0,"",IF(INDEX(입력_운동!$E$5:$E$1004,$AI324)="","",INDEX(입력_운동!$E$5:$E$1004,$AI324)))</f>
        <v/>
      </c>
      <c r="R324" s="25" t="str">
        <f aca="false">IF($AI324=0,"",IF(INDEX(입력_운동!$F$5:$F$1004,$AI324)="","",INDEX(입력_운동!$F$5:$F$1004,$AI324)))</f>
        <v/>
      </c>
      <c r="S324" s="25" t="str">
        <f aca="false">IF($AJ324=0,"",IF(INDEX(입력_측정!$C$5:$C$1004,$AJ324)="","",INDEX(입력_측정!$C$5:$C$1004,$AJ324)))</f>
        <v/>
      </c>
      <c r="T324" s="25" t="str">
        <f aca="false">IF($AJ324=0,"",IF(INDEX(입력_측정!$D$5:$D$1004,$AJ324)="","",INDEX(입력_측정!$D$5:$D$1004,$AJ324)))</f>
        <v/>
      </c>
      <c r="U324" s="25" t="str">
        <f aca="false">IF($AJ324=0,"",IF(INDEX(입력_측정!$E$5:$E$1004,$AJ324)="","",INDEX(입력_측정!$E$5:$E$1004,$AJ324)))</f>
        <v/>
      </c>
      <c r="V324" s="25" t="str">
        <f aca="false">IF($AJ324=0,"",IF(INDEX(입력_측정!$F$5:$F$1004,$AJ324)="","",INDEX(입력_측정!$F$5:$F$1004,$AJ324)))</f>
        <v/>
      </c>
      <c r="W324" s="25" t="str">
        <f aca="false">IF($AK324=0,"",IF(INDEX(입력_상담!$D$5:$D$1004,$AK324)="","",INDEX(입력_상담!$D$5:$D$1004,$AK324)))</f>
        <v/>
      </c>
      <c r="X324" s="25" t="str">
        <f aca="false">IF($AJ324=0,"",IF(INDEX(입력_측정!$I$5:$I$1004,$AJ324)="","",INDEX(입력_측정!$I$5:$I$1004,$AJ324)))</f>
        <v/>
      </c>
      <c r="Y324" s="25" t="str">
        <f aca="false">IF($AJ324=0,"",IF(INDEX(입력_측정!$J$5:$J$1004,$AJ324)="","",INDEX(입력_측정!$J$5:$J$1004,$AJ324)))</f>
        <v/>
      </c>
      <c r="Z324" s="25" t="str">
        <f aca="false">IF(OR(X324="긴급",LEFT(Y324,2)="긴급",W324="필요",W324="완료"),"대상","")</f>
        <v/>
      </c>
      <c r="AA324" s="59" t="str">
        <f aca="false">IF(M324&lt;&gt;"",M324,IF(AK324&gt;0,IF(W324="필요","추가상담 대기","완료"),IF(AJ324&gt;0,"결과상담 대기",IF(AI324&gt;0,"측정 대기","미방문"))))</f>
        <v>미방문</v>
      </c>
      <c r="AB324" s="60" t="str">
        <f aca="false">IF($AI324=0,"",IF(INDEX(입력_운동!$A$5:$A$1004,$AI324)="","",INDEX(입력_운동!$A$5:$A$1004,$AI324)))</f>
        <v/>
      </c>
      <c r="AC324" s="60" t="str">
        <f aca="false">IF($AJ324=0,"",IF(INDEX(입력_측정!$A$5:$A$1004,$AJ324)="","",INDEX(입력_측정!$A$5:$A$1004,$AJ324)))</f>
        <v/>
      </c>
      <c r="AD324" s="60" t="str">
        <f aca="false">IF($AK324=0,"",IF(INDEX(입력_상담!$A$5:$A$1004,$AK324)="","",INDEX(입력_상담!$A$5:$A$1004,$AK324)))</f>
        <v/>
      </c>
      <c r="AE324" s="25" t="str">
        <f aca="false">IF(AND(ISNUMBER(AB324),ISNUMBER(AC324)),IF(AC324&gt;=AB324,ROUND((AC324-AB324)*1440,0),""),"")</f>
        <v/>
      </c>
      <c r="AF324" s="25" t="str">
        <f aca="false">IF(AND(ISNUMBER(AC324),ISNUMBER(AD324)),IF(AD324&gt;=AC324,ROUND((AD324-AC324)*1440,0),""),"")</f>
        <v/>
      </c>
      <c r="AG324" s="25" t="str">
        <f aca="false">IF(AND(AA324="완료",ISNUMBER(AB324),ISNUMBER(AD324)),IF(AD324&gt;=AB324,ROUND((AD324-AB324)*1440,0),""),"")</f>
        <v/>
      </c>
      <c r="AH324" s="61" t="str">
        <f aca="false">IF(AND(AK324&gt;0,AJ324=0),"측정 기록 없음",IF(AND(AJ324&gt;0,AI324=0),"운동평가 기록 없음",IF(OR(COUNTIF(입력_운동!$B$5:$B$1004,$A324)&gt;1,COUNTIF(입력_측정!$B$5:$B$1004,$A324)&gt;1),"중복 입력","")))</f>
        <v/>
      </c>
      <c r="AI324" s="62" t="n">
        <f aca="false">SUMPRODUCT(MAX((입력_운동!$B$5:$B$1004=$A324)*(ROW(입력_운동!$B$5:$B$1004)-4)))</f>
        <v>0</v>
      </c>
      <c r="AJ324" s="62" t="n">
        <f aca="false">SUMPRODUCT(MAX((입력_측정!$B$5:$B$1004=$A324)*(ROW(입력_측정!$B$5:$B$1004)-4)))</f>
        <v>0</v>
      </c>
      <c r="AK324" s="62" t="n">
        <f aca="false">SUMPRODUCT(MAX((입력_상담!$B$5:$B$1004=$A324)*(ROW(입력_상담!$B$5:$B$1004)-4)))</f>
        <v>0</v>
      </c>
    </row>
    <row r="325" customFormat="false" ht="15" hidden="false" customHeight="false" outlineLevel="0" collapsed="false">
      <c r="A325" s="55" t="n">
        <v>321</v>
      </c>
      <c r="B325" s="56"/>
      <c r="C325" s="24"/>
      <c r="D325" s="24"/>
      <c r="E325" s="56"/>
      <c r="F325" s="57"/>
      <c r="G325" s="58"/>
      <c r="H325" s="56"/>
      <c r="I325" s="24"/>
      <c r="J325" s="24"/>
      <c r="K325" s="24"/>
      <c r="L325" s="24"/>
      <c r="M325" s="24"/>
      <c r="N325" s="56"/>
      <c r="O325" s="25" t="str">
        <f aca="false">IF($AI325=0,"",IF(INDEX(입력_운동!$C$5:$C$1004,$AI325)="","",INDEX(입력_운동!$C$5:$C$1004,$AI325)))</f>
        <v/>
      </c>
      <c r="P325" s="25" t="str">
        <f aca="false">IF($AI325=0,"",IF(INDEX(입력_운동!$D$5:$D$1004,$AI325)="","",INDEX(입력_운동!$D$5:$D$1004,$AI325)))</f>
        <v/>
      </c>
      <c r="Q325" s="25" t="str">
        <f aca="false">IF($AI325=0,"",IF(INDEX(입력_운동!$E$5:$E$1004,$AI325)="","",INDEX(입력_운동!$E$5:$E$1004,$AI325)))</f>
        <v/>
      </c>
      <c r="R325" s="25" t="str">
        <f aca="false">IF($AI325=0,"",IF(INDEX(입력_운동!$F$5:$F$1004,$AI325)="","",INDEX(입력_운동!$F$5:$F$1004,$AI325)))</f>
        <v/>
      </c>
      <c r="S325" s="25" t="str">
        <f aca="false">IF($AJ325=0,"",IF(INDEX(입력_측정!$C$5:$C$1004,$AJ325)="","",INDEX(입력_측정!$C$5:$C$1004,$AJ325)))</f>
        <v/>
      </c>
      <c r="T325" s="25" t="str">
        <f aca="false">IF($AJ325=0,"",IF(INDEX(입력_측정!$D$5:$D$1004,$AJ325)="","",INDEX(입력_측정!$D$5:$D$1004,$AJ325)))</f>
        <v/>
      </c>
      <c r="U325" s="25" t="str">
        <f aca="false">IF($AJ325=0,"",IF(INDEX(입력_측정!$E$5:$E$1004,$AJ325)="","",INDEX(입력_측정!$E$5:$E$1004,$AJ325)))</f>
        <v/>
      </c>
      <c r="V325" s="25" t="str">
        <f aca="false">IF($AJ325=0,"",IF(INDEX(입력_측정!$F$5:$F$1004,$AJ325)="","",INDEX(입력_측정!$F$5:$F$1004,$AJ325)))</f>
        <v/>
      </c>
      <c r="W325" s="25" t="str">
        <f aca="false">IF($AK325=0,"",IF(INDEX(입력_상담!$D$5:$D$1004,$AK325)="","",INDEX(입력_상담!$D$5:$D$1004,$AK325)))</f>
        <v/>
      </c>
      <c r="X325" s="25" t="str">
        <f aca="false">IF($AJ325=0,"",IF(INDEX(입력_측정!$I$5:$I$1004,$AJ325)="","",INDEX(입력_측정!$I$5:$I$1004,$AJ325)))</f>
        <v/>
      </c>
      <c r="Y325" s="25" t="str">
        <f aca="false">IF($AJ325=0,"",IF(INDEX(입력_측정!$J$5:$J$1004,$AJ325)="","",INDEX(입력_측정!$J$5:$J$1004,$AJ325)))</f>
        <v/>
      </c>
      <c r="Z325" s="25" t="str">
        <f aca="false">IF(OR(X325="긴급",LEFT(Y325,2)="긴급",W325="필요",W325="완료"),"대상","")</f>
        <v/>
      </c>
      <c r="AA325" s="59" t="str">
        <f aca="false">IF(M325&lt;&gt;"",M325,IF(AK325&gt;0,IF(W325="필요","추가상담 대기","완료"),IF(AJ325&gt;0,"결과상담 대기",IF(AI325&gt;0,"측정 대기","미방문"))))</f>
        <v>미방문</v>
      </c>
      <c r="AB325" s="60" t="str">
        <f aca="false">IF($AI325=0,"",IF(INDEX(입력_운동!$A$5:$A$1004,$AI325)="","",INDEX(입력_운동!$A$5:$A$1004,$AI325)))</f>
        <v/>
      </c>
      <c r="AC325" s="60" t="str">
        <f aca="false">IF($AJ325=0,"",IF(INDEX(입력_측정!$A$5:$A$1004,$AJ325)="","",INDEX(입력_측정!$A$5:$A$1004,$AJ325)))</f>
        <v/>
      </c>
      <c r="AD325" s="60" t="str">
        <f aca="false">IF($AK325=0,"",IF(INDEX(입력_상담!$A$5:$A$1004,$AK325)="","",INDEX(입력_상담!$A$5:$A$1004,$AK325)))</f>
        <v/>
      </c>
      <c r="AE325" s="25" t="str">
        <f aca="false">IF(AND(ISNUMBER(AB325),ISNUMBER(AC325)),IF(AC325&gt;=AB325,ROUND((AC325-AB325)*1440,0),""),"")</f>
        <v/>
      </c>
      <c r="AF325" s="25" t="str">
        <f aca="false">IF(AND(ISNUMBER(AC325),ISNUMBER(AD325)),IF(AD325&gt;=AC325,ROUND((AD325-AC325)*1440,0),""),"")</f>
        <v/>
      </c>
      <c r="AG325" s="25" t="str">
        <f aca="false">IF(AND(AA325="완료",ISNUMBER(AB325),ISNUMBER(AD325)),IF(AD325&gt;=AB325,ROUND((AD325-AB325)*1440,0),""),"")</f>
        <v/>
      </c>
      <c r="AH325" s="61" t="str">
        <f aca="false">IF(AND(AK325&gt;0,AJ325=0),"측정 기록 없음",IF(AND(AJ325&gt;0,AI325=0),"운동평가 기록 없음",IF(OR(COUNTIF(입력_운동!$B$5:$B$1004,$A325)&gt;1,COUNTIF(입력_측정!$B$5:$B$1004,$A325)&gt;1),"중복 입력","")))</f>
        <v/>
      </c>
      <c r="AI325" s="62" t="n">
        <f aca="false">SUMPRODUCT(MAX((입력_운동!$B$5:$B$1004=$A325)*(ROW(입력_운동!$B$5:$B$1004)-4)))</f>
        <v>0</v>
      </c>
      <c r="AJ325" s="62" t="n">
        <f aca="false">SUMPRODUCT(MAX((입력_측정!$B$5:$B$1004=$A325)*(ROW(입력_측정!$B$5:$B$1004)-4)))</f>
        <v>0</v>
      </c>
      <c r="AK325" s="62" t="n">
        <f aca="false">SUMPRODUCT(MAX((입력_상담!$B$5:$B$1004=$A325)*(ROW(입력_상담!$B$5:$B$1004)-4)))</f>
        <v>0</v>
      </c>
    </row>
    <row r="326" customFormat="false" ht="15" hidden="false" customHeight="false" outlineLevel="0" collapsed="false">
      <c r="A326" s="55" t="n">
        <v>322</v>
      </c>
      <c r="B326" s="56"/>
      <c r="C326" s="24"/>
      <c r="D326" s="24"/>
      <c r="E326" s="56"/>
      <c r="F326" s="57"/>
      <c r="G326" s="58"/>
      <c r="H326" s="56"/>
      <c r="I326" s="24"/>
      <c r="J326" s="24"/>
      <c r="K326" s="24"/>
      <c r="L326" s="24"/>
      <c r="M326" s="24"/>
      <c r="N326" s="56"/>
      <c r="O326" s="25" t="str">
        <f aca="false">IF($AI326=0,"",IF(INDEX(입력_운동!$C$5:$C$1004,$AI326)="","",INDEX(입력_운동!$C$5:$C$1004,$AI326)))</f>
        <v/>
      </c>
      <c r="P326" s="25" t="str">
        <f aca="false">IF($AI326=0,"",IF(INDEX(입력_운동!$D$5:$D$1004,$AI326)="","",INDEX(입력_운동!$D$5:$D$1004,$AI326)))</f>
        <v/>
      </c>
      <c r="Q326" s="25" t="str">
        <f aca="false">IF($AI326=0,"",IF(INDEX(입력_운동!$E$5:$E$1004,$AI326)="","",INDEX(입력_운동!$E$5:$E$1004,$AI326)))</f>
        <v/>
      </c>
      <c r="R326" s="25" t="str">
        <f aca="false">IF($AI326=0,"",IF(INDEX(입력_운동!$F$5:$F$1004,$AI326)="","",INDEX(입력_운동!$F$5:$F$1004,$AI326)))</f>
        <v/>
      </c>
      <c r="S326" s="25" t="str">
        <f aca="false">IF($AJ326=0,"",IF(INDEX(입력_측정!$C$5:$C$1004,$AJ326)="","",INDEX(입력_측정!$C$5:$C$1004,$AJ326)))</f>
        <v/>
      </c>
      <c r="T326" s="25" t="str">
        <f aca="false">IF($AJ326=0,"",IF(INDEX(입력_측정!$D$5:$D$1004,$AJ326)="","",INDEX(입력_측정!$D$5:$D$1004,$AJ326)))</f>
        <v/>
      </c>
      <c r="U326" s="25" t="str">
        <f aca="false">IF($AJ326=0,"",IF(INDEX(입력_측정!$E$5:$E$1004,$AJ326)="","",INDEX(입력_측정!$E$5:$E$1004,$AJ326)))</f>
        <v/>
      </c>
      <c r="V326" s="25" t="str">
        <f aca="false">IF($AJ326=0,"",IF(INDEX(입력_측정!$F$5:$F$1004,$AJ326)="","",INDEX(입력_측정!$F$5:$F$1004,$AJ326)))</f>
        <v/>
      </c>
      <c r="W326" s="25" t="str">
        <f aca="false">IF($AK326=0,"",IF(INDEX(입력_상담!$D$5:$D$1004,$AK326)="","",INDEX(입력_상담!$D$5:$D$1004,$AK326)))</f>
        <v/>
      </c>
      <c r="X326" s="25" t="str">
        <f aca="false">IF($AJ326=0,"",IF(INDEX(입력_측정!$I$5:$I$1004,$AJ326)="","",INDEX(입력_측정!$I$5:$I$1004,$AJ326)))</f>
        <v/>
      </c>
      <c r="Y326" s="25" t="str">
        <f aca="false">IF($AJ326=0,"",IF(INDEX(입력_측정!$J$5:$J$1004,$AJ326)="","",INDEX(입력_측정!$J$5:$J$1004,$AJ326)))</f>
        <v/>
      </c>
      <c r="Z326" s="25" t="str">
        <f aca="false">IF(OR(X326="긴급",LEFT(Y326,2)="긴급",W326="필요",W326="완료"),"대상","")</f>
        <v/>
      </c>
      <c r="AA326" s="59" t="str">
        <f aca="false">IF(M326&lt;&gt;"",M326,IF(AK326&gt;0,IF(W326="필요","추가상담 대기","완료"),IF(AJ326&gt;0,"결과상담 대기",IF(AI326&gt;0,"측정 대기","미방문"))))</f>
        <v>미방문</v>
      </c>
      <c r="AB326" s="60" t="str">
        <f aca="false">IF($AI326=0,"",IF(INDEX(입력_운동!$A$5:$A$1004,$AI326)="","",INDEX(입력_운동!$A$5:$A$1004,$AI326)))</f>
        <v/>
      </c>
      <c r="AC326" s="60" t="str">
        <f aca="false">IF($AJ326=0,"",IF(INDEX(입력_측정!$A$5:$A$1004,$AJ326)="","",INDEX(입력_측정!$A$5:$A$1004,$AJ326)))</f>
        <v/>
      </c>
      <c r="AD326" s="60" t="str">
        <f aca="false">IF($AK326=0,"",IF(INDEX(입력_상담!$A$5:$A$1004,$AK326)="","",INDEX(입력_상담!$A$5:$A$1004,$AK326)))</f>
        <v/>
      </c>
      <c r="AE326" s="25" t="str">
        <f aca="false">IF(AND(ISNUMBER(AB326),ISNUMBER(AC326)),IF(AC326&gt;=AB326,ROUND((AC326-AB326)*1440,0),""),"")</f>
        <v/>
      </c>
      <c r="AF326" s="25" t="str">
        <f aca="false">IF(AND(ISNUMBER(AC326),ISNUMBER(AD326)),IF(AD326&gt;=AC326,ROUND((AD326-AC326)*1440,0),""),"")</f>
        <v/>
      </c>
      <c r="AG326" s="25" t="str">
        <f aca="false">IF(AND(AA326="완료",ISNUMBER(AB326),ISNUMBER(AD326)),IF(AD326&gt;=AB326,ROUND((AD326-AB326)*1440,0),""),"")</f>
        <v/>
      </c>
      <c r="AH326" s="61" t="str">
        <f aca="false">IF(AND(AK326&gt;0,AJ326=0),"측정 기록 없음",IF(AND(AJ326&gt;0,AI326=0),"운동평가 기록 없음",IF(OR(COUNTIF(입력_운동!$B$5:$B$1004,$A326)&gt;1,COUNTIF(입력_측정!$B$5:$B$1004,$A326)&gt;1),"중복 입력","")))</f>
        <v/>
      </c>
      <c r="AI326" s="62" t="n">
        <f aca="false">SUMPRODUCT(MAX((입력_운동!$B$5:$B$1004=$A326)*(ROW(입력_운동!$B$5:$B$1004)-4)))</f>
        <v>0</v>
      </c>
      <c r="AJ326" s="62" t="n">
        <f aca="false">SUMPRODUCT(MAX((입력_측정!$B$5:$B$1004=$A326)*(ROW(입력_측정!$B$5:$B$1004)-4)))</f>
        <v>0</v>
      </c>
      <c r="AK326" s="62" t="n">
        <f aca="false">SUMPRODUCT(MAX((입력_상담!$B$5:$B$1004=$A326)*(ROW(입력_상담!$B$5:$B$1004)-4)))</f>
        <v>0</v>
      </c>
    </row>
    <row r="327" customFormat="false" ht="15" hidden="false" customHeight="false" outlineLevel="0" collapsed="false">
      <c r="A327" s="55" t="n">
        <v>323</v>
      </c>
      <c r="B327" s="56"/>
      <c r="C327" s="24"/>
      <c r="D327" s="24"/>
      <c r="E327" s="56"/>
      <c r="F327" s="57"/>
      <c r="G327" s="58"/>
      <c r="H327" s="56"/>
      <c r="I327" s="24"/>
      <c r="J327" s="24"/>
      <c r="K327" s="24"/>
      <c r="L327" s="24"/>
      <c r="M327" s="24"/>
      <c r="N327" s="56"/>
      <c r="O327" s="25" t="str">
        <f aca="false">IF($AI327=0,"",IF(INDEX(입력_운동!$C$5:$C$1004,$AI327)="","",INDEX(입력_운동!$C$5:$C$1004,$AI327)))</f>
        <v/>
      </c>
      <c r="P327" s="25" t="str">
        <f aca="false">IF($AI327=0,"",IF(INDEX(입력_운동!$D$5:$D$1004,$AI327)="","",INDEX(입력_운동!$D$5:$D$1004,$AI327)))</f>
        <v/>
      </c>
      <c r="Q327" s="25" t="str">
        <f aca="false">IF($AI327=0,"",IF(INDEX(입력_운동!$E$5:$E$1004,$AI327)="","",INDEX(입력_운동!$E$5:$E$1004,$AI327)))</f>
        <v/>
      </c>
      <c r="R327" s="25" t="str">
        <f aca="false">IF($AI327=0,"",IF(INDEX(입력_운동!$F$5:$F$1004,$AI327)="","",INDEX(입력_운동!$F$5:$F$1004,$AI327)))</f>
        <v/>
      </c>
      <c r="S327" s="25" t="str">
        <f aca="false">IF($AJ327=0,"",IF(INDEX(입력_측정!$C$5:$C$1004,$AJ327)="","",INDEX(입력_측정!$C$5:$C$1004,$AJ327)))</f>
        <v/>
      </c>
      <c r="T327" s="25" t="str">
        <f aca="false">IF($AJ327=0,"",IF(INDEX(입력_측정!$D$5:$D$1004,$AJ327)="","",INDEX(입력_측정!$D$5:$D$1004,$AJ327)))</f>
        <v/>
      </c>
      <c r="U327" s="25" t="str">
        <f aca="false">IF($AJ327=0,"",IF(INDEX(입력_측정!$E$5:$E$1004,$AJ327)="","",INDEX(입력_측정!$E$5:$E$1004,$AJ327)))</f>
        <v/>
      </c>
      <c r="V327" s="25" t="str">
        <f aca="false">IF($AJ327=0,"",IF(INDEX(입력_측정!$F$5:$F$1004,$AJ327)="","",INDEX(입력_측정!$F$5:$F$1004,$AJ327)))</f>
        <v/>
      </c>
      <c r="W327" s="25" t="str">
        <f aca="false">IF($AK327=0,"",IF(INDEX(입력_상담!$D$5:$D$1004,$AK327)="","",INDEX(입력_상담!$D$5:$D$1004,$AK327)))</f>
        <v/>
      </c>
      <c r="X327" s="25" t="str">
        <f aca="false">IF($AJ327=0,"",IF(INDEX(입력_측정!$I$5:$I$1004,$AJ327)="","",INDEX(입력_측정!$I$5:$I$1004,$AJ327)))</f>
        <v/>
      </c>
      <c r="Y327" s="25" t="str">
        <f aca="false">IF($AJ327=0,"",IF(INDEX(입력_측정!$J$5:$J$1004,$AJ327)="","",INDEX(입력_측정!$J$5:$J$1004,$AJ327)))</f>
        <v/>
      </c>
      <c r="Z327" s="25" t="str">
        <f aca="false">IF(OR(X327="긴급",LEFT(Y327,2)="긴급",W327="필요",W327="완료"),"대상","")</f>
        <v/>
      </c>
      <c r="AA327" s="59" t="str">
        <f aca="false">IF(M327&lt;&gt;"",M327,IF(AK327&gt;0,IF(W327="필요","추가상담 대기","완료"),IF(AJ327&gt;0,"결과상담 대기",IF(AI327&gt;0,"측정 대기","미방문"))))</f>
        <v>미방문</v>
      </c>
      <c r="AB327" s="60" t="str">
        <f aca="false">IF($AI327=0,"",IF(INDEX(입력_운동!$A$5:$A$1004,$AI327)="","",INDEX(입력_운동!$A$5:$A$1004,$AI327)))</f>
        <v/>
      </c>
      <c r="AC327" s="60" t="str">
        <f aca="false">IF($AJ327=0,"",IF(INDEX(입력_측정!$A$5:$A$1004,$AJ327)="","",INDEX(입력_측정!$A$5:$A$1004,$AJ327)))</f>
        <v/>
      </c>
      <c r="AD327" s="60" t="str">
        <f aca="false">IF($AK327=0,"",IF(INDEX(입력_상담!$A$5:$A$1004,$AK327)="","",INDEX(입력_상담!$A$5:$A$1004,$AK327)))</f>
        <v/>
      </c>
      <c r="AE327" s="25" t="str">
        <f aca="false">IF(AND(ISNUMBER(AB327),ISNUMBER(AC327)),IF(AC327&gt;=AB327,ROUND((AC327-AB327)*1440,0),""),"")</f>
        <v/>
      </c>
      <c r="AF327" s="25" t="str">
        <f aca="false">IF(AND(ISNUMBER(AC327),ISNUMBER(AD327)),IF(AD327&gt;=AC327,ROUND((AD327-AC327)*1440,0),""),"")</f>
        <v/>
      </c>
      <c r="AG327" s="25" t="str">
        <f aca="false">IF(AND(AA327="완료",ISNUMBER(AB327),ISNUMBER(AD327)),IF(AD327&gt;=AB327,ROUND((AD327-AB327)*1440,0),""),"")</f>
        <v/>
      </c>
      <c r="AH327" s="61" t="str">
        <f aca="false">IF(AND(AK327&gt;0,AJ327=0),"측정 기록 없음",IF(AND(AJ327&gt;0,AI327=0),"운동평가 기록 없음",IF(OR(COUNTIF(입력_운동!$B$5:$B$1004,$A327)&gt;1,COUNTIF(입력_측정!$B$5:$B$1004,$A327)&gt;1),"중복 입력","")))</f>
        <v/>
      </c>
      <c r="AI327" s="62" t="n">
        <f aca="false">SUMPRODUCT(MAX((입력_운동!$B$5:$B$1004=$A327)*(ROW(입력_운동!$B$5:$B$1004)-4)))</f>
        <v>0</v>
      </c>
      <c r="AJ327" s="62" t="n">
        <f aca="false">SUMPRODUCT(MAX((입력_측정!$B$5:$B$1004=$A327)*(ROW(입력_측정!$B$5:$B$1004)-4)))</f>
        <v>0</v>
      </c>
      <c r="AK327" s="62" t="n">
        <f aca="false">SUMPRODUCT(MAX((입력_상담!$B$5:$B$1004=$A327)*(ROW(입력_상담!$B$5:$B$1004)-4)))</f>
        <v>0</v>
      </c>
    </row>
    <row r="328" customFormat="false" ht="15" hidden="false" customHeight="false" outlineLevel="0" collapsed="false">
      <c r="A328" s="55" t="n">
        <v>324</v>
      </c>
      <c r="B328" s="56"/>
      <c r="C328" s="24"/>
      <c r="D328" s="24"/>
      <c r="E328" s="56"/>
      <c r="F328" s="57"/>
      <c r="G328" s="58"/>
      <c r="H328" s="56"/>
      <c r="I328" s="24"/>
      <c r="J328" s="24"/>
      <c r="K328" s="24"/>
      <c r="L328" s="24"/>
      <c r="M328" s="24"/>
      <c r="N328" s="56"/>
      <c r="O328" s="25" t="str">
        <f aca="false">IF($AI328=0,"",IF(INDEX(입력_운동!$C$5:$C$1004,$AI328)="","",INDEX(입력_운동!$C$5:$C$1004,$AI328)))</f>
        <v/>
      </c>
      <c r="P328" s="25" t="str">
        <f aca="false">IF($AI328=0,"",IF(INDEX(입력_운동!$D$5:$D$1004,$AI328)="","",INDEX(입력_운동!$D$5:$D$1004,$AI328)))</f>
        <v/>
      </c>
      <c r="Q328" s="25" t="str">
        <f aca="false">IF($AI328=0,"",IF(INDEX(입력_운동!$E$5:$E$1004,$AI328)="","",INDEX(입력_운동!$E$5:$E$1004,$AI328)))</f>
        <v/>
      </c>
      <c r="R328" s="25" t="str">
        <f aca="false">IF($AI328=0,"",IF(INDEX(입력_운동!$F$5:$F$1004,$AI328)="","",INDEX(입력_운동!$F$5:$F$1004,$AI328)))</f>
        <v/>
      </c>
      <c r="S328" s="25" t="str">
        <f aca="false">IF($AJ328=0,"",IF(INDEX(입력_측정!$C$5:$C$1004,$AJ328)="","",INDEX(입력_측정!$C$5:$C$1004,$AJ328)))</f>
        <v/>
      </c>
      <c r="T328" s="25" t="str">
        <f aca="false">IF($AJ328=0,"",IF(INDEX(입력_측정!$D$5:$D$1004,$AJ328)="","",INDEX(입력_측정!$D$5:$D$1004,$AJ328)))</f>
        <v/>
      </c>
      <c r="U328" s="25" t="str">
        <f aca="false">IF($AJ328=0,"",IF(INDEX(입력_측정!$E$5:$E$1004,$AJ328)="","",INDEX(입력_측정!$E$5:$E$1004,$AJ328)))</f>
        <v/>
      </c>
      <c r="V328" s="25" t="str">
        <f aca="false">IF($AJ328=0,"",IF(INDEX(입력_측정!$F$5:$F$1004,$AJ328)="","",INDEX(입력_측정!$F$5:$F$1004,$AJ328)))</f>
        <v/>
      </c>
      <c r="W328" s="25" t="str">
        <f aca="false">IF($AK328=0,"",IF(INDEX(입력_상담!$D$5:$D$1004,$AK328)="","",INDEX(입력_상담!$D$5:$D$1004,$AK328)))</f>
        <v/>
      </c>
      <c r="X328" s="25" t="str">
        <f aca="false">IF($AJ328=0,"",IF(INDEX(입력_측정!$I$5:$I$1004,$AJ328)="","",INDEX(입력_측정!$I$5:$I$1004,$AJ328)))</f>
        <v/>
      </c>
      <c r="Y328" s="25" t="str">
        <f aca="false">IF($AJ328=0,"",IF(INDEX(입력_측정!$J$5:$J$1004,$AJ328)="","",INDEX(입력_측정!$J$5:$J$1004,$AJ328)))</f>
        <v/>
      </c>
      <c r="Z328" s="25" t="str">
        <f aca="false">IF(OR(X328="긴급",LEFT(Y328,2)="긴급",W328="필요",W328="완료"),"대상","")</f>
        <v/>
      </c>
      <c r="AA328" s="59" t="str">
        <f aca="false">IF(M328&lt;&gt;"",M328,IF(AK328&gt;0,IF(W328="필요","추가상담 대기","완료"),IF(AJ328&gt;0,"결과상담 대기",IF(AI328&gt;0,"측정 대기","미방문"))))</f>
        <v>미방문</v>
      </c>
      <c r="AB328" s="60" t="str">
        <f aca="false">IF($AI328=0,"",IF(INDEX(입력_운동!$A$5:$A$1004,$AI328)="","",INDEX(입력_운동!$A$5:$A$1004,$AI328)))</f>
        <v/>
      </c>
      <c r="AC328" s="60" t="str">
        <f aca="false">IF($AJ328=0,"",IF(INDEX(입력_측정!$A$5:$A$1004,$AJ328)="","",INDEX(입력_측정!$A$5:$A$1004,$AJ328)))</f>
        <v/>
      </c>
      <c r="AD328" s="60" t="str">
        <f aca="false">IF($AK328=0,"",IF(INDEX(입력_상담!$A$5:$A$1004,$AK328)="","",INDEX(입력_상담!$A$5:$A$1004,$AK328)))</f>
        <v/>
      </c>
      <c r="AE328" s="25" t="str">
        <f aca="false">IF(AND(ISNUMBER(AB328),ISNUMBER(AC328)),IF(AC328&gt;=AB328,ROUND((AC328-AB328)*1440,0),""),"")</f>
        <v/>
      </c>
      <c r="AF328" s="25" t="str">
        <f aca="false">IF(AND(ISNUMBER(AC328),ISNUMBER(AD328)),IF(AD328&gt;=AC328,ROUND((AD328-AC328)*1440,0),""),"")</f>
        <v/>
      </c>
      <c r="AG328" s="25" t="str">
        <f aca="false">IF(AND(AA328="완료",ISNUMBER(AB328),ISNUMBER(AD328)),IF(AD328&gt;=AB328,ROUND((AD328-AB328)*1440,0),""),"")</f>
        <v/>
      </c>
      <c r="AH328" s="61" t="str">
        <f aca="false">IF(AND(AK328&gt;0,AJ328=0),"측정 기록 없음",IF(AND(AJ328&gt;0,AI328=0),"운동평가 기록 없음",IF(OR(COUNTIF(입력_운동!$B$5:$B$1004,$A328)&gt;1,COUNTIF(입력_측정!$B$5:$B$1004,$A328)&gt;1),"중복 입력","")))</f>
        <v/>
      </c>
      <c r="AI328" s="62" t="n">
        <f aca="false">SUMPRODUCT(MAX((입력_운동!$B$5:$B$1004=$A328)*(ROW(입력_운동!$B$5:$B$1004)-4)))</f>
        <v>0</v>
      </c>
      <c r="AJ328" s="62" t="n">
        <f aca="false">SUMPRODUCT(MAX((입력_측정!$B$5:$B$1004=$A328)*(ROW(입력_측정!$B$5:$B$1004)-4)))</f>
        <v>0</v>
      </c>
      <c r="AK328" s="62" t="n">
        <f aca="false">SUMPRODUCT(MAX((입력_상담!$B$5:$B$1004=$A328)*(ROW(입력_상담!$B$5:$B$1004)-4)))</f>
        <v>0</v>
      </c>
    </row>
    <row r="329" customFormat="false" ht="15" hidden="false" customHeight="false" outlineLevel="0" collapsed="false">
      <c r="A329" s="55" t="n">
        <v>325</v>
      </c>
      <c r="B329" s="56"/>
      <c r="C329" s="24"/>
      <c r="D329" s="24"/>
      <c r="E329" s="56"/>
      <c r="F329" s="57"/>
      <c r="G329" s="58"/>
      <c r="H329" s="56"/>
      <c r="I329" s="24"/>
      <c r="J329" s="24"/>
      <c r="K329" s="24"/>
      <c r="L329" s="24"/>
      <c r="M329" s="24"/>
      <c r="N329" s="56"/>
      <c r="O329" s="25" t="str">
        <f aca="false">IF($AI329=0,"",IF(INDEX(입력_운동!$C$5:$C$1004,$AI329)="","",INDEX(입력_운동!$C$5:$C$1004,$AI329)))</f>
        <v/>
      </c>
      <c r="P329" s="25" t="str">
        <f aca="false">IF($AI329=0,"",IF(INDEX(입력_운동!$D$5:$D$1004,$AI329)="","",INDEX(입력_운동!$D$5:$D$1004,$AI329)))</f>
        <v/>
      </c>
      <c r="Q329" s="25" t="str">
        <f aca="false">IF($AI329=0,"",IF(INDEX(입력_운동!$E$5:$E$1004,$AI329)="","",INDEX(입력_운동!$E$5:$E$1004,$AI329)))</f>
        <v/>
      </c>
      <c r="R329" s="25" t="str">
        <f aca="false">IF($AI329=0,"",IF(INDEX(입력_운동!$F$5:$F$1004,$AI329)="","",INDEX(입력_운동!$F$5:$F$1004,$AI329)))</f>
        <v/>
      </c>
      <c r="S329" s="25" t="str">
        <f aca="false">IF($AJ329=0,"",IF(INDEX(입력_측정!$C$5:$C$1004,$AJ329)="","",INDEX(입력_측정!$C$5:$C$1004,$AJ329)))</f>
        <v/>
      </c>
      <c r="T329" s="25" t="str">
        <f aca="false">IF($AJ329=0,"",IF(INDEX(입력_측정!$D$5:$D$1004,$AJ329)="","",INDEX(입력_측정!$D$5:$D$1004,$AJ329)))</f>
        <v/>
      </c>
      <c r="U329" s="25" t="str">
        <f aca="false">IF($AJ329=0,"",IF(INDEX(입력_측정!$E$5:$E$1004,$AJ329)="","",INDEX(입력_측정!$E$5:$E$1004,$AJ329)))</f>
        <v/>
      </c>
      <c r="V329" s="25" t="str">
        <f aca="false">IF($AJ329=0,"",IF(INDEX(입력_측정!$F$5:$F$1004,$AJ329)="","",INDEX(입력_측정!$F$5:$F$1004,$AJ329)))</f>
        <v/>
      </c>
      <c r="W329" s="25" t="str">
        <f aca="false">IF($AK329=0,"",IF(INDEX(입력_상담!$D$5:$D$1004,$AK329)="","",INDEX(입력_상담!$D$5:$D$1004,$AK329)))</f>
        <v/>
      </c>
      <c r="X329" s="25" t="str">
        <f aca="false">IF($AJ329=0,"",IF(INDEX(입력_측정!$I$5:$I$1004,$AJ329)="","",INDEX(입력_측정!$I$5:$I$1004,$AJ329)))</f>
        <v/>
      </c>
      <c r="Y329" s="25" t="str">
        <f aca="false">IF($AJ329=0,"",IF(INDEX(입력_측정!$J$5:$J$1004,$AJ329)="","",INDEX(입력_측정!$J$5:$J$1004,$AJ329)))</f>
        <v/>
      </c>
      <c r="Z329" s="25" t="str">
        <f aca="false">IF(OR(X329="긴급",LEFT(Y329,2)="긴급",W329="필요",W329="완료"),"대상","")</f>
        <v/>
      </c>
      <c r="AA329" s="59" t="str">
        <f aca="false">IF(M329&lt;&gt;"",M329,IF(AK329&gt;0,IF(W329="필요","추가상담 대기","완료"),IF(AJ329&gt;0,"결과상담 대기",IF(AI329&gt;0,"측정 대기","미방문"))))</f>
        <v>미방문</v>
      </c>
      <c r="AB329" s="60" t="str">
        <f aca="false">IF($AI329=0,"",IF(INDEX(입력_운동!$A$5:$A$1004,$AI329)="","",INDEX(입력_운동!$A$5:$A$1004,$AI329)))</f>
        <v/>
      </c>
      <c r="AC329" s="60" t="str">
        <f aca="false">IF($AJ329=0,"",IF(INDEX(입력_측정!$A$5:$A$1004,$AJ329)="","",INDEX(입력_측정!$A$5:$A$1004,$AJ329)))</f>
        <v/>
      </c>
      <c r="AD329" s="60" t="str">
        <f aca="false">IF($AK329=0,"",IF(INDEX(입력_상담!$A$5:$A$1004,$AK329)="","",INDEX(입력_상담!$A$5:$A$1004,$AK329)))</f>
        <v/>
      </c>
      <c r="AE329" s="25" t="str">
        <f aca="false">IF(AND(ISNUMBER(AB329),ISNUMBER(AC329)),IF(AC329&gt;=AB329,ROUND((AC329-AB329)*1440,0),""),"")</f>
        <v/>
      </c>
      <c r="AF329" s="25" t="str">
        <f aca="false">IF(AND(ISNUMBER(AC329),ISNUMBER(AD329)),IF(AD329&gt;=AC329,ROUND((AD329-AC329)*1440,0),""),"")</f>
        <v/>
      </c>
      <c r="AG329" s="25" t="str">
        <f aca="false">IF(AND(AA329="완료",ISNUMBER(AB329),ISNUMBER(AD329)),IF(AD329&gt;=AB329,ROUND((AD329-AB329)*1440,0),""),"")</f>
        <v/>
      </c>
      <c r="AH329" s="61" t="str">
        <f aca="false">IF(AND(AK329&gt;0,AJ329=0),"측정 기록 없음",IF(AND(AJ329&gt;0,AI329=0),"운동평가 기록 없음",IF(OR(COUNTIF(입력_운동!$B$5:$B$1004,$A329)&gt;1,COUNTIF(입력_측정!$B$5:$B$1004,$A329)&gt;1),"중복 입력","")))</f>
        <v/>
      </c>
      <c r="AI329" s="62" t="n">
        <f aca="false">SUMPRODUCT(MAX((입력_운동!$B$5:$B$1004=$A329)*(ROW(입력_운동!$B$5:$B$1004)-4)))</f>
        <v>0</v>
      </c>
      <c r="AJ329" s="62" t="n">
        <f aca="false">SUMPRODUCT(MAX((입력_측정!$B$5:$B$1004=$A329)*(ROW(입력_측정!$B$5:$B$1004)-4)))</f>
        <v>0</v>
      </c>
      <c r="AK329" s="62" t="n">
        <f aca="false">SUMPRODUCT(MAX((입력_상담!$B$5:$B$1004=$A329)*(ROW(입력_상담!$B$5:$B$1004)-4)))</f>
        <v>0</v>
      </c>
    </row>
    <row r="330" customFormat="false" ht="15" hidden="false" customHeight="false" outlineLevel="0" collapsed="false">
      <c r="A330" s="55" t="n">
        <v>326</v>
      </c>
      <c r="B330" s="56"/>
      <c r="C330" s="24"/>
      <c r="D330" s="24"/>
      <c r="E330" s="56"/>
      <c r="F330" s="57"/>
      <c r="G330" s="58"/>
      <c r="H330" s="56"/>
      <c r="I330" s="24"/>
      <c r="J330" s="24"/>
      <c r="K330" s="24"/>
      <c r="L330" s="24"/>
      <c r="M330" s="24"/>
      <c r="N330" s="56"/>
      <c r="O330" s="25" t="str">
        <f aca="false">IF($AI330=0,"",IF(INDEX(입력_운동!$C$5:$C$1004,$AI330)="","",INDEX(입력_운동!$C$5:$C$1004,$AI330)))</f>
        <v/>
      </c>
      <c r="P330" s="25" t="str">
        <f aca="false">IF($AI330=0,"",IF(INDEX(입력_운동!$D$5:$D$1004,$AI330)="","",INDEX(입력_운동!$D$5:$D$1004,$AI330)))</f>
        <v/>
      </c>
      <c r="Q330" s="25" t="str">
        <f aca="false">IF($AI330=0,"",IF(INDEX(입력_운동!$E$5:$E$1004,$AI330)="","",INDEX(입력_운동!$E$5:$E$1004,$AI330)))</f>
        <v/>
      </c>
      <c r="R330" s="25" t="str">
        <f aca="false">IF($AI330=0,"",IF(INDEX(입력_운동!$F$5:$F$1004,$AI330)="","",INDEX(입력_운동!$F$5:$F$1004,$AI330)))</f>
        <v/>
      </c>
      <c r="S330" s="25" t="str">
        <f aca="false">IF($AJ330=0,"",IF(INDEX(입력_측정!$C$5:$C$1004,$AJ330)="","",INDEX(입력_측정!$C$5:$C$1004,$AJ330)))</f>
        <v/>
      </c>
      <c r="T330" s="25" t="str">
        <f aca="false">IF($AJ330=0,"",IF(INDEX(입력_측정!$D$5:$D$1004,$AJ330)="","",INDEX(입력_측정!$D$5:$D$1004,$AJ330)))</f>
        <v/>
      </c>
      <c r="U330" s="25" t="str">
        <f aca="false">IF($AJ330=0,"",IF(INDEX(입력_측정!$E$5:$E$1004,$AJ330)="","",INDEX(입력_측정!$E$5:$E$1004,$AJ330)))</f>
        <v/>
      </c>
      <c r="V330" s="25" t="str">
        <f aca="false">IF($AJ330=0,"",IF(INDEX(입력_측정!$F$5:$F$1004,$AJ330)="","",INDEX(입력_측정!$F$5:$F$1004,$AJ330)))</f>
        <v/>
      </c>
      <c r="W330" s="25" t="str">
        <f aca="false">IF($AK330=0,"",IF(INDEX(입력_상담!$D$5:$D$1004,$AK330)="","",INDEX(입력_상담!$D$5:$D$1004,$AK330)))</f>
        <v/>
      </c>
      <c r="X330" s="25" t="str">
        <f aca="false">IF($AJ330=0,"",IF(INDEX(입력_측정!$I$5:$I$1004,$AJ330)="","",INDEX(입력_측정!$I$5:$I$1004,$AJ330)))</f>
        <v/>
      </c>
      <c r="Y330" s="25" t="str">
        <f aca="false">IF($AJ330=0,"",IF(INDEX(입력_측정!$J$5:$J$1004,$AJ330)="","",INDEX(입력_측정!$J$5:$J$1004,$AJ330)))</f>
        <v/>
      </c>
      <c r="Z330" s="25" t="str">
        <f aca="false">IF(OR(X330="긴급",LEFT(Y330,2)="긴급",W330="필요",W330="완료"),"대상","")</f>
        <v/>
      </c>
      <c r="AA330" s="59" t="str">
        <f aca="false">IF(M330&lt;&gt;"",M330,IF(AK330&gt;0,IF(W330="필요","추가상담 대기","완료"),IF(AJ330&gt;0,"결과상담 대기",IF(AI330&gt;0,"측정 대기","미방문"))))</f>
        <v>미방문</v>
      </c>
      <c r="AB330" s="60" t="str">
        <f aca="false">IF($AI330=0,"",IF(INDEX(입력_운동!$A$5:$A$1004,$AI330)="","",INDEX(입력_운동!$A$5:$A$1004,$AI330)))</f>
        <v/>
      </c>
      <c r="AC330" s="60" t="str">
        <f aca="false">IF($AJ330=0,"",IF(INDEX(입력_측정!$A$5:$A$1004,$AJ330)="","",INDEX(입력_측정!$A$5:$A$1004,$AJ330)))</f>
        <v/>
      </c>
      <c r="AD330" s="60" t="str">
        <f aca="false">IF($AK330=0,"",IF(INDEX(입력_상담!$A$5:$A$1004,$AK330)="","",INDEX(입력_상담!$A$5:$A$1004,$AK330)))</f>
        <v/>
      </c>
      <c r="AE330" s="25" t="str">
        <f aca="false">IF(AND(ISNUMBER(AB330),ISNUMBER(AC330)),IF(AC330&gt;=AB330,ROUND((AC330-AB330)*1440,0),""),"")</f>
        <v/>
      </c>
      <c r="AF330" s="25" t="str">
        <f aca="false">IF(AND(ISNUMBER(AC330),ISNUMBER(AD330)),IF(AD330&gt;=AC330,ROUND((AD330-AC330)*1440,0),""),"")</f>
        <v/>
      </c>
      <c r="AG330" s="25" t="str">
        <f aca="false">IF(AND(AA330="완료",ISNUMBER(AB330),ISNUMBER(AD330)),IF(AD330&gt;=AB330,ROUND((AD330-AB330)*1440,0),""),"")</f>
        <v/>
      </c>
      <c r="AH330" s="61" t="str">
        <f aca="false">IF(AND(AK330&gt;0,AJ330=0),"측정 기록 없음",IF(AND(AJ330&gt;0,AI330=0),"운동평가 기록 없음",IF(OR(COUNTIF(입력_운동!$B$5:$B$1004,$A330)&gt;1,COUNTIF(입력_측정!$B$5:$B$1004,$A330)&gt;1),"중복 입력","")))</f>
        <v/>
      </c>
      <c r="AI330" s="62" t="n">
        <f aca="false">SUMPRODUCT(MAX((입력_운동!$B$5:$B$1004=$A330)*(ROW(입력_운동!$B$5:$B$1004)-4)))</f>
        <v>0</v>
      </c>
      <c r="AJ330" s="62" t="n">
        <f aca="false">SUMPRODUCT(MAX((입력_측정!$B$5:$B$1004=$A330)*(ROW(입력_측정!$B$5:$B$1004)-4)))</f>
        <v>0</v>
      </c>
      <c r="AK330" s="62" t="n">
        <f aca="false">SUMPRODUCT(MAX((입력_상담!$B$5:$B$1004=$A330)*(ROW(입력_상담!$B$5:$B$1004)-4)))</f>
        <v>0</v>
      </c>
    </row>
    <row r="331" customFormat="false" ht="15" hidden="false" customHeight="false" outlineLevel="0" collapsed="false">
      <c r="A331" s="55" t="n">
        <v>327</v>
      </c>
      <c r="B331" s="56"/>
      <c r="C331" s="24"/>
      <c r="D331" s="24"/>
      <c r="E331" s="56"/>
      <c r="F331" s="57"/>
      <c r="G331" s="58"/>
      <c r="H331" s="56"/>
      <c r="I331" s="24"/>
      <c r="J331" s="24"/>
      <c r="K331" s="24"/>
      <c r="L331" s="24"/>
      <c r="M331" s="24"/>
      <c r="N331" s="56"/>
      <c r="O331" s="25" t="str">
        <f aca="false">IF($AI331=0,"",IF(INDEX(입력_운동!$C$5:$C$1004,$AI331)="","",INDEX(입력_운동!$C$5:$C$1004,$AI331)))</f>
        <v/>
      </c>
      <c r="P331" s="25" t="str">
        <f aca="false">IF($AI331=0,"",IF(INDEX(입력_운동!$D$5:$D$1004,$AI331)="","",INDEX(입력_운동!$D$5:$D$1004,$AI331)))</f>
        <v/>
      </c>
      <c r="Q331" s="25" t="str">
        <f aca="false">IF($AI331=0,"",IF(INDEX(입력_운동!$E$5:$E$1004,$AI331)="","",INDEX(입력_운동!$E$5:$E$1004,$AI331)))</f>
        <v/>
      </c>
      <c r="R331" s="25" t="str">
        <f aca="false">IF($AI331=0,"",IF(INDEX(입력_운동!$F$5:$F$1004,$AI331)="","",INDEX(입력_운동!$F$5:$F$1004,$AI331)))</f>
        <v/>
      </c>
      <c r="S331" s="25" t="str">
        <f aca="false">IF($AJ331=0,"",IF(INDEX(입력_측정!$C$5:$C$1004,$AJ331)="","",INDEX(입력_측정!$C$5:$C$1004,$AJ331)))</f>
        <v/>
      </c>
      <c r="T331" s="25" t="str">
        <f aca="false">IF($AJ331=0,"",IF(INDEX(입력_측정!$D$5:$D$1004,$AJ331)="","",INDEX(입력_측정!$D$5:$D$1004,$AJ331)))</f>
        <v/>
      </c>
      <c r="U331" s="25" t="str">
        <f aca="false">IF($AJ331=0,"",IF(INDEX(입력_측정!$E$5:$E$1004,$AJ331)="","",INDEX(입력_측정!$E$5:$E$1004,$AJ331)))</f>
        <v/>
      </c>
      <c r="V331" s="25" t="str">
        <f aca="false">IF($AJ331=0,"",IF(INDEX(입력_측정!$F$5:$F$1004,$AJ331)="","",INDEX(입력_측정!$F$5:$F$1004,$AJ331)))</f>
        <v/>
      </c>
      <c r="W331" s="25" t="str">
        <f aca="false">IF($AK331=0,"",IF(INDEX(입력_상담!$D$5:$D$1004,$AK331)="","",INDEX(입력_상담!$D$5:$D$1004,$AK331)))</f>
        <v/>
      </c>
      <c r="X331" s="25" t="str">
        <f aca="false">IF($AJ331=0,"",IF(INDEX(입력_측정!$I$5:$I$1004,$AJ331)="","",INDEX(입력_측정!$I$5:$I$1004,$AJ331)))</f>
        <v/>
      </c>
      <c r="Y331" s="25" t="str">
        <f aca="false">IF($AJ331=0,"",IF(INDEX(입력_측정!$J$5:$J$1004,$AJ331)="","",INDEX(입력_측정!$J$5:$J$1004,$AJ331)))</f>
        <v/>
      </c>
      <c r="Z331" s="25" t="str">
        <f aca="false">IF(OR(X331="긴급",LEFT(Y331,2)="긴급",W331="필요",W331="완료"),"대상","")</f>
        <v/>
      </c>
      <c r="AA331" s="59" t="str">
        <f aca="false">IF(M331&lt;&gt;"",M331,IF(AK331&gt;0,IF(W331="필요","추가상담 대기","완료"),IF(AJ331&gt;0,"결과상담 대기",IF(AI331&gt;0,"측정 대기","미방문"))))</f>
        <v>미방문</v>
      </c>
      <c r="AB331" s="60" t="str">
        <f aca="false">IF($AI331=0,"",IF(INDEX(입력_운동!$A$5:$A$1004,$AI331)="","",INDEX(입력_운동!$A$5:$A$1004,$AI331)))</f>
        <v/>
      </c>
      <c r="AC331" s="60" t="str">
        <f aca="false">IF($AJ331=0,"",IF(INDEX(입력_측정!$A$5:$A$1004,$AJ331)="","",INDEX(입력_측정!$A$5:$A$1004,$AJ331)))</f>
        <v/>
      </c>
      <c r="AD331" s="60" t="str">
        <f aca="false">IF($AK331=0,"",IF(INDEX(입력_상담!$A$5:$A$1004,$AK331)="","",INDEX(입력_상담!$A$5:$A$1004,$AK331)))</f>
        <v/>
      </c>
      <c r="AE331" s="25" t="str">
        <f aca="false">IF(AND(ISNUMBER(AB331),ISNUMBER(AC331)),IF(AC331&gt;=AB331,ROUND((AC331-AB331)*1440,0),""),"")</f>
        <v/>
      </c>
      <c r="AF331" s="25" t="str">
        <f aca="false">IF(AND(ISNUMBER(AC331),ISNUMBER(AD331)),IF(AD331&gt;=AC331,ROUND((AD331-AC331)*1440,0),""),"")</f>
        <v/>
      </c>
      <c r="AG331" s="25" t="str">
        <f aca="false">IF(AND(AA331="완료",ISNUMBER(AB331),ISNUMBER(AD331)),IF(AD331&gt;=AB331,ROUND((AD331-AB331)*1440,0),""),"")</f>
        <v/>
      </c>
      <c r="AH331" s="61" t="str">
        <f aca="false">IF(AND(AK331&gt;0,AJ331=0),"측정 기록 없음",IF(AND(AJ331&gt;0,AI331=0),"운동평가 기록 없음",IF(OR(COUNTIF(입력_운동!$B$5:$B$1004,$A331)&gt;1,COUNTIF(입력_측정!$B$5:$B$1004,$A331)&gt;1),"중복 입력","")))</f>
        <v/>
      </c>
      <c r="AI331" s="62" t="n">
        <f aca="false">SUMPRODUCT(MAX((입력_운동!$B$5:$B$1004=$A331)*(ROW(입력_운동!$B$5:$B$1004)-4)))</f>
        <v>0</v>
      </c>
      <c r="AJ331" s="62" t="n">
        <f aca="false">SUMPRODUCT(MAX((입력_측정!$B$5:$B$1004=$A331)*(ROW(입력_측정!$B$5:$B$1004)-4)))</f>
        <v>0</v>
      </c>
      <c r="AK331" s="62" t="n">
        <f aca="false">SUMPRODUCT(MAX((입력_상담!$B$5:$B$1004=$A331)*(ROW(입력_상담!$B$5:$B$1004)-4)))</f>
        <v>0</v>
      </c>
    </row>
    <row r="332" customFormat="false" ht="15" hidden="false" customHeight="false" outlineLevel="0" collapsed="false">
      <c r="A332" s="55" t="n">
        <v>328</v>
      </c>
      <c r="B332" s="56"/>
      <c r="C332" s="24"/>
      <c r="D332" s="24"/>
      <c r="E332" s="56"/>
      <c r="F332" s="57"/>
      <c r="G332" s="58"/>
      <c r="H332" s="56"/>
      <c r="I332" s="24"/>
      <c r="J332" s="24"/>
      <c r="K332" s="24"/>
      <c r="L332" s="24"/>
      <c r="M332" s="24"/>
      <c r="N332" s="56"/>
      <c r="O332" s="25" t="str">
        <f aca="false">IF($AI332=0,"",IF(INDEX(입력_운동!$C$5:$C$1004,$AI332)="","",INDEX(입력_운동!$C$5:$C$1004,$AI332)))</f>
        <v/>
      </c>
      <c r="P332" s="25" t="str">
        <f aca="false">IF($AI332=0,"",IF(INDEX(입력_운동!$D$5:$D$1004,$AI332)="","",INDEX(입력_운동!$D$5:$D$1004,$AI332)))</f>
        <v/>
      </c>
      <c r="Q332" s="25" t="str">
        <f aca="false">IF($AI332=0,"",IF(INDEX(입력_운동!$E$5:$E$1004,$AI332)="","",INDEX(입력_운동!$E$5:$E$1004,$AI332)))</f>
        <v/>
      </c>
      <c r="R332" s="25" t="str">
        <f aca="false">IF($AI332=0,"",IF(INDEX(입력_운동!$F$5:$F$1004,$AI332)="","",INDEX(입력_운동!$F$5:$F$1004,$AI332)))</f>
        <v/>
      </c>
      <c r="S332" s="25" t="str">
        <f aca="false">IF($AJ332=0,"",IF(INDEX(입력_측정!$C$5:$C$1004,$AJ332)="","",INDEX(입력_측정!$C$5:$C$1004,$AJ332)))</f>
        <v/>
      </c>
      <c r="T332" s="25" t="str">
        <f aca="false">IF($AJ332=0,"",IF(INDEX(입력_측정!$D$5:$D$1004,$AJ332)="","",INDEX(입력_측정!$D$5:$D$1004,$AJ332)))</f>
        <v/>
      </c>
      <c r="U332" s="25" t="str">
        <f aca="false">IF($AJ332=0,"",IF(INDEX(입력_측정!$E$5:$E$1004,$AJ332)="","",INDEX(입력_측정!$E$5:$E$1004,$AJ332)))</f>
        <v/>
      </c>
      <c r="V332" s="25" t="str">
        <f aca="false">IF($AJ332=0,"",IF(INDEX(입력_측정!$F$5:$F$1004,$AJ332)="","",INDEX(입력_측정!$F$5:$F$1004,$AJ332)))</f>
        <v/>
      </c>
      <c r="W332" s="25" t="str">
        <f aca="false">IF($AK332=0,"",IF(INDEX(입력_상담!$D$5:$D$1004,$AK332)="","",INDEX(입력_상담!$D$5:$D$1004,$AK332)))</f>
        <v/>
      </c>
      <c r="X332" s="25" t="str">
        <f aca="false">IF($AJ332=0,"",IF(INDEX(입력_측정!$I$5:$I$1004,$AJ332)="","",INDEX(입력_측정!$I$5:$I$1004,$AJ332)))</f>
        <v/>
      </c>
      <c r="Y332" s="25" t="str">
        <f aca="false">IF($AJ332=0,"",IF(INDEX(입력_측정!$J$5:$J$1004,$AJ332)="","",INDEX(입력_측정!$J$5:$J$1004,$AJ332)))</f>
        <v/>
      </c>
      <c r="Z332" s="25" t="str">
        <f aca="false">IF(OR(X332="긴급",LEFT(Y332,2)="긴급",W332="필요",W332="완료"),"대상","")</f>
        <v/>
      </c>
      <c r="AA332" s="59" t="str">
        <f aca="false">IF(M332&lt;&gt;"",M332,IF(AK332&gt;0,IF(W332="필요","추가상담 대기","완료"),IF(AJ332&gt;0,"결과상담 대기",IF(AI332&gt;0,"측정 대기","미방문"))))</f>
        <v>미방문</v>
      </c>
      <c r="AB332" s="60" t="str">
        <f aca="false">IF($AI332=0,"",IF(INDEX(입력_운동!$A$5:$A$1004,$AI332)="","",INDEX(입력_운동!$A$5:$A$1004,$AI332)))</f>
        <v/>
      </c>
      <c r="AC332" s="60" t="str">
        <f aca="false">IF($AJ332=0,"",IF(INDEX(입력_측정!$A$5:$A$1004,$AJ332)="","",INDEX(입력_측정!$A$5:$A$1004,$AJ332)))</f>
        <v/>
      </c>
      <c r="AD332" s="60" t="str">
        <f aca="false">IF($AK332=0,"",IF(INDEX(입력_상담!$A$5:$A$1004,$AK332)="","",INDEX(입력_상담!$A$5:$A$1004,$AK332)))</f>
        <v/>
      </c>
      <c r="AE332" s="25" t="str">
        <f aca="false">IF(AND(ISNUMBER(AB332),ISNUMBER(AC332)),IF(AC332&gt;=AB332,ROUND((AC332-AB332)*1440,0),""),"")</f>
        <v/>
      </c>
      <c r="AF332" s="25" t="str">
        <f aca="false">IF(AND(ISNUMBER(AC332),ISNUMBER(AD332)),IF(AD332&gt;=AC332,ROUND((AD332-AC332)*1440,0),""),"")</f>
        <v/>
      </c>
      <c r="AG332" s="25" t="str">
        <f aca="false">IF(AND(AA332="완료",ISNUMBER(AB332),ISNUMBER(AD332)),IF(AD332&gt;=AB332,ROUND((AD332-AB332)*1440,0),""),"")</f>
        <v/>
      </c>
      <c r="AH332" s="61" t="str">
        <f aca="false">IF(AND(AK332&gt;0,AJ332=0),"측정 기록 없음",IF(AND(AJ332&gt;0,AI332=0),"운동평가 기록 없음",IF(OR(COUNTIF(입력_운동!$B$5:$B$1004,$A332)&gt;1,COUNTIF(입력_측정!$B$5:$B$1004,$A332)&gt;1),"중복 입력","")))</f>
        <v/>
      </c>
      <c r="AI332" s="62" t="n">
        <f aca="false">SUMPRODUCT(MAX((입력_운동!$B$5:$B$1004=$A332)*(ROW(입력_운동!$B$5:$B$1004)-4)))</f>
        <v>0</v>
      </c>
      <c r="AJ332" s="62" t="n">
        <f aca="false">SUMPRODUCT(MAX((입력_측정!$B$5:$B$1004=$A332)*(ROW(입력_측정!$B$5:$B$1004)-4)))</f>
        <v>0</v>
      </c>
      <c r="AK332" s="62" t="n">
        <f aca="false">SUMPRODUCT(MAX((입력_상담!$B$5:$B$1004=$A332)*(ROW(입력_상담!$B$5:$B$1004)-4)))</f>
        <v>0</v>
      </c>
    </row>
    <row r="333" customFormat="false" ht="15" hidden="false" customHeight="false" outlineLevel="0" collapsed="false">
      <c r="A333" s="55" t="n">
        <v>329</v>
      </c>
      <c r="B333" s="56"/>
      <c r="C333" s="24"/>
      <c r="D333" s="24"/>
      <c r="E333" s="56"/>
      <c r="F333" s="57"/>
      <c r="G333" s="58"/>
      <c r="H333" s="56"/>
      <c r="I333" s="24"/>
      <c r="J333" s="24"/>
      <c r="K333" s="24"/>
      <c r="L333" s="24"/>
      <c r="M333" s="24"/>
      <c r="N333" s="56"/>
      <c r="O333" s="25" t="str">
        <f aca="false">IF($AI333=0,"",IF(INDEX(입력_운동!$C$5:$C$1004,$AI333)="","",INDEX(입력_운동!$C$5:$C$1004,$AI333)))</f>
        <v/>
      </c>
      <c r="P333" s="25" t="str">
        <f aca="false">IF($AI333=0,"",IF(INDEX(입력_운동!$D$5:$D$1004,$AI333)="","",INDEX(입력_운동!$D$5:$D$1004,$AI333)))</f>
        <v/>
      </c>
      <c r="Q333" s="25" t="str">
        <f aca="false">IF($AI333=0,"",IF(INDEX(입력_운동!$E$5:$E$1004,$AI333)="","",INDEX(입력_운동!$E$5:$E$1004,$AI333)))</f>
        <v/>
      </c>
      <c r="R333" s="25" t="str">
        <f aca="false">IF($AI333=0,"",IF(INDEX(입력_운동!$F$5:$F$1004,$AI333)="","",INDEX(입력_운동!$F$5:$F$1004,$AI333)))</f>
        <v/>
      </c>
      <c r="S333" s="25" t="str">
        <f aca="false">IF($AJ333=0,"",IF(INDEX(입력_측정!$C$5:$C$1004,$AJ333)="","",INDEX(입력_측정!$C$5:$C$1004,$AJ333)))</f>
        <v/>
      </c>
      <c r="T333" s="25" t="str">
        <f aca="false">IF($AJ333=0,"",IF(INDEX(입력_측정!$D$5:$D$1004,$AJ333)="","",INDEX(입력_측정!$D$5:$D$1004,$AJ333)))</f>
        <v/>
      </c>
      <c r="U333" s="25" t="str">
        <f aca="false">IF($AJ333=0,"",IF(INDEX(입력_측정!$E$5:$E$1004,$AJ333)="","",INDEX(입력_측정!$E$5:$E$1004,$AJ333)))</f>
        <v/>
      </c>
      <c r="V333" s="25" t="str">
        <f aca="false">IF($AJ333=0,"",IF(INDEX(입력_측정!$F$5:$F$1004,$AJ333)="","",INDEX(입력_측정!$F$5:$F$1004,$AJ333)))</f>
        <v/>
      </c>
      <c r="W333" s="25" t="str">
        <f aca="false">IF($AK333=0,"",IF(INDEX(입력_상담!$D$5:$D$1004,$AK333)="","",INDEX(입력_상담!$D$5:$D$1004,$AK333)))</f>
        <v/>
      </c>
      <c r="X333" s="25" t="str">
        <f aca="false">IF($AJ333=0,"",IF(INDEX(입력_측정!$I$5:$I$1004,$AJ333)="","",INDEX(입력_측정!$I$5:$I$1004,$AJ333)))</f>
        <v/>
      </c>
      <c r="Y333" s="25" t="str">
        <f aca="false">IF($AJ333=0,"",IF(INDEX(입력_측정!$J$5:$J$1004,$AJ333)="","",INDEX(입력_측정!$J$5:$J$1004,$AJ333)))</f>
        <v/>
      </c>
      <c r="Z333" s="25" t="str">
        <f aca="false">IF(OR(X333="긴급",LEFT(Y333,2)="긴급",W333="필요",W333="완료"),"대상","")</f>
        <v/>
      </c>
      <c r="AA333" s="59" t="str">
        <f aca="false">IF(M333&lt;&gt;"",M333,IF(AK333&gt;0,IF(W333="필요","추가상담 대기","완료"),IF(AJ333&gt;0,"결과상담 대기",IF(AI333&gt;0,"측정 대기","미방문"))))</f>
        <v>미방문</v>
      </c>
      <c r="AB333" s="60" t="str">
        <f aca="false">IF($AI333=0,"",IF(INDEX(입력_운동!$A$5:$A$1004,$AI333)="","",INDEX(입력_운동!$A$5:$A$1004,$AI333)))</f>
        <v/>
      </c>
      <c r="AC333" s="60" t="str">
        <f aca="false">IF($AJ333=0,"",IF(INDEX(입력_측정!$A$5:$A$1004,$AJ333)="","",INDEX(입력_측정!$A$5:$A$1004,$AJ333)))</f>
        <v/>
      </c>
      <c r="AD333" s="60" t="str">
        <f aca="false">IF($AK333=0,"",IF(INDEX(입력_상담!$A$5:$A$1004,$AK333)="","",INDEX(입력_상담!$A$5:$A$1004,$AK333)))</f>
        <v/>
      </c>
      <c r="AE333" s="25" t="str">
        <f aca="false">IF(AND(ISNUMBER(AB333),ISNUMBER(AC333)),IF(AC333&gt;=AB333,ROUND((AC333-AB333)*1440,0),""),"")</f>
        <v/>
      </c>
      <c r="AF333" s="25" t="str">
        <f aca="false">IF(AND(ISNUMBER(AC333),ISNUMBER(AD333)),IF(AD333&gt;=AC333,ROUND((AD333-AC333)*1440,0),""),"")</f>
        <v/>
      </c>
      <c r="AG333" s="25" t="str">
        <f aca="false">IF(AND(AA333="완료",ISNUMBER(AB333),ISNUMBER(AD333)),IF(AD333&gt;=AB333,ROUND((AD333-AB333)*1440,0),""),"")</f>
        <v/>
      </c>
      <c r="AH333" s="61" t="str">
        <f aca="false">IF(AND(AK333&gt;0,AJ333=0),"측정 기록 없음",IF(AND(AJ333&gt;0,AI333=0),"운동평가 기록 없음",IF(OR(COUNTIF(입력_운동!$B$5:$B$1004,$A333)&gt;1,COUNTIF(입력_측정!$B$5:$B$1004,$A333)&gt;1),"중복 입력","")))</f>
        <v/>
      </c>
      <c r="AI333" s="62" t="n">
        <f aca="false">SUMPRODUCT(MAX((입력_운동!$B$5:$B$1004=$A333)*(ROW(입력_운동!$B$5:$B$1004)-4)))</f>
        <v>0</v>
      </c>
      <c r="AJ333" s="62" t="n">
        <f aca="false">SUMPRODUCT(MAX((입력_측정!$B$5:$B$1004=$A333)*(ROW(입력_측정!$B$5:$B$1004)-4)))</f>
        <v>0</v>
      </c>
      <c r="AK333" s="62" t="n">
        <f aca="false">SUMPRODUCT(MAX((입력_상담!$B$5:$B$1004=$A333)*(ROW(입력_상담!$B$5:$B$1004)-4)))</f>
        <v>0</v>
      </c>
    </row>
    <row r="334" customFormat="false" ht="15" hidden="false" customHeight="false" outlineLevel="0" collapsed="false">
      <c r="A334" s="55" t="n">
        <v>330</v>
      </c>
      <c r="B334" s="56"/>
      <c r="C334" s="24"/>
      <c r="D334" s="24"/>
      <c r="E334" s="56"/>
      <c r="F334" s="57"/>
      <c r="G334" s="58"/>
      <c r="H334" s="56"/>
      <c r="I334" s="24"/>
      <c r="J334" s="24"/>
      <c r="K334" s="24"/>
      <c r="L334" s="24"/>
      <c r="M334" s="24"/>
      <c r="N334" s="56"/>
      <c r="O334" s="25" t="str">
        <f aca="false">IF($AI334=0,"",IF(INDEX(입력_운동!$C$5:$C$1004,$AI334)="","",INDEX(입력_운동!$C$5:$C$1004,$AI334)))</f>
        <v/>
      </c>
      <c r="P334" s="25" t="str">
        <f aca="false">IF($AI334=0,"",IF(INDEX(입력_운동!$D$5:$D$1004,$AI334)="","",INDEX(입력_운동!$D$5:$D$1004,$AI334)))</f>
        <v/>
      </c>
      <c r="Q334" s="25" t="str">
        <f aca="false">IF($AI334=0,"",IF(INDEX(입력_운동!$E$5:$E$1004,$AI334)="","",INDEX(입력_운동!$E$5:$E$1004,$AI334)))</f>
        <v/>
      </c>
      <c r="R334" s="25" t="str">
        <f aca="false">IF($AI334=0,"",IF(INDEX(입력_운동!$F$5:$F$1004,$AI334)="","",INDEX(입력_운동!$F$5:$F$1004,$AI334)))</f>
        <v/>
      </c>
      <c r="S334" s="25" t="str">
        <f aca="false">IF($AJ334=0,"",IF(INDEX(입력_측정!$C$5:$C$1004,$AJ334)="","",INDEX(입력_측정!$C$5:$C$1004,$AJ334)))</f>
        <v/>
      </c>
      <c r="T334" s="25" t="str">
        <f aca="false">IF($AJ334=0,"",IF(INDEX(입력_측정!$D$5:$D$1004,$AJ334)="","",INDEX(입력_측정!$D$5:$D$1004,$AJ334)))</f>
        <v/>
      </c>
      <c r="U334" s="25" t="str">
        <f aca="false">IF($AJ334=0,"",IF(INDEX(입력_측정!$E$5:$E$1004,$AJ334)="","",INDEX(입력_측정!$E$5:$E$1004,$AJ334)))</f>
        <v/>
      </c>
      <c r="V334" s="25" t="str">
        <f aca="false">IF($AJ334=0,"",IF(INDEX(입력_측정!$F$5:$F$1004,$AJ334)="","",INDEX(입력_측정!$F$5:$F$1004,$AJ334)))</f>
        <v/>
      </c>
      <c r="W334" s="25" t="str">
        <f aca="false">IF($AK334=0,"",IF(INDEX(입력_상담!$D$5:$D$1004,$AK334)="","",INDEX(입력_상담!$D$5:$D$1004,$AK334)))</f>
        <v/>
      </c>
      <c r="X334" s="25" t="str">
        <f aca="false">IF($AJ334=0,"",IF(INDEX(입력_측정!$I$5:$I$1004,$AJ334)="","",INDEX(입력_측정!$I$5:$I$1004,$AJ334)))</f>
        <v/>
      </c>
      <c r="Y334" s="25" t="str">
        <f aca="false">IF($AJ334=0,"",IF(INDEX(입력_측정!$J$5:$J$1004,$AJ334)="","",INDEX(입력_측정!$J$5:$J$1004,$AJ334)))</f>
        <v/>
      </c>
      <c r="Z334" s="25" t="str">
        <f aca="false">IF(OR(X334="긴급",LEFT(Y334,2)="긴급",W334="필요",W334="완료"),"대상","")</f>
        <v/>
      </c>
      <c r="AA334" s="59" t="str">
        <f aca="false">IF(M334&lt;&gt;"",M334,IF(AK334&gt;0,IF(W334="필요","추가상담 대기","완료"),IF(AJ334&gt;0,"결과상담 대기",IF(AI334&gt;0,"측정 대기","미방문"))))</f>
        <v>미방문</v>
      </c>
      <c r="AB334" s="60" t="str">
        <f aca="false">IF($AI334=0,"",IF(INDEX(입력_운동!$A$5:$A$1004,$AI334)="","",INDEX(입력_운동!$A$5:$A$1004,$AI334)))</f>
        <v/>
      </c>
      <c r="AC334" s="60" t="str">
        <f aca="false">IF($AJ334=0,"",IF(INDEX(입력_측정!$A$5:$A$1004,$AJ334)="","",INDEX(입력_측정!$A$5:$A$1004,$AJ334)))</f>
        <v/>
      </c>
      <c r="AD334" s="60" t="str">
        <f aca="false">IF($AK334=0,"",IF(INDEX(입력_상담!$A$5:$A$1004,$AK334)="","",INDEX(입력_상담!$A$5:$A$1004,$AK334)))</f>
        <v/>
      </c>
      <c r="AE334" s="25" t="str">
        <f aca="false">IF(AND(ISNUMBER(AB334),ISNUMBER(AC334)),IF(AC334&gt;=AB334,ROUND((AC334-AB334)*1440,0),""),"")</f>
        <v/>
      </c>
      <c r="AF334" s="25" t="str">
        <f aca="false">IF(AND(ISNUMBER(AC334),ISNUMBER(AD334)),IF(AD334&gt;=AC334,ROUND((AD334-AC334)*1440,0),""),"")</f>
        <v/>
      </c>
      <c r="AG334" s="25" t="str">
        <f aca="false">IF(AND(AA334="완료",ISNUMBER(AB334),ISNUMBER(AD334)),IF(AD334&gt;=AB334,ROUND((AD334-AB334)*1440,0),""),"")</f>
        <v/>
      </c>
      <c r="AH334" s="61" t="str">
        <f aca="false">IF(AND(AK334&gt;0,AJ334=0),"측정 기록 없음",IF(AND(AJ334&gt;0,AI334=0),"운동평가 기록 없음",IF(OR(COUNTIF(입력_운동!$B$5:$B$1004,$A334)&gt;1,COUNTIF(입력_측정!$B$5:$B$1004,$A334)&gt;1),"중복 입력","")))</f>
        <v/>
      </c>
      <c r="AI334" s="62" t="n">
        <f aca="false">SUMPRODUCT(MAX((입력_운동!$B$5:$B$1004=$A334)*(ROW(입력_운동!$B$5:$B$1004)-4)))</f>
        <v>0</v>
      </c>
      <c r="AJ334" s="62" t="n">
        <f aca="false">SUMPRODUCT(MAX((입력_측정!$B$5:$B$1004=$A334)*(ROW(입력_측정!$B$5:$B$1004)-4)))</f>
        <v>0</v>
      </c>
      <c r="AK334" s="62" t="n">
        <f aca="false">SUMPRODUCT(MAX((입력_상담!$B$5:$B$1004=$A334)*(ROW(입력_상담!$B$5:$B$1004)-4)))</f>
        <v>0</v>
      </c>
    </row>
    <row r="335" customFormat="false" ht="15" hidden="false" customHeight="false" outlineLevel="0" collapsed="false">
      <c r="A335" s="55" t="n">
        <v>331</v>
      </c>
      <c r="B335" s="56"/>
      <c r="C335" s="24"/>
      <c r="D335" s="24"/>
      <c r="E335" s="56"/>
      <c r="F335" s="57"/>
      <c r="G335" s="58"/>
      <c r="H335" s="56"/>
      <c r="I335" s="24"/>
      <c r="J335" s="24"/>
      <c r="K335" s="24"/>
      <c r="L335" s="24"/>
      <c r="M335" s="24"/>
      <c r="N335" s="56"/>
      <c r="O335" s="25" t="str">
        <f aca="false">IF($AI335=0,"",IF(INDEX(입력_운동!$C$5:$C$1004,$AI335)="","",INDEX(입력_운동!$C$5:$C$1004,$AI335)))</f>
        <v/>
      </c>
      <c r="P335" s="25" t="str">
        <f aca="false">IF($AI335=0,"",IF(INDEX(입력_운동!$D$5:$D$1004,$AI335)="","",INDEX(입력_운동!$D$5:$D$1004,$AI335)))</f>
        <v/>
      </c>
      <c r="Q335" s="25" t="str">
        <f aca="false">IF($AI335=0,"",IF(INDEX(입력_운동!$E$5:$E$1004,$AI335)="","",INDEX(입력_운동!$E$5:$E$1004,$AI335)))</f>
        <v/>
      </c>
      <c r="R335" s="25" t="str">
        <f aca="false">IF($AI335=0,"",IF(INDEX(입력_운동!$F$5:$F$1004,$AI335)="","",INDEX(입력_운동!$F$5:$F$1004,$AI335)))</f>
        <v/>
      </c>
      <c r="S335" s="25" t="str">
        <f aca="false">IF($AJ335=0,"",IF(INDEX(입력_측정!$C$5:$C$1004,$AJ335)="","",INDEX(입력_측정!$C$5:$C$1004,$AJ335)))</f>
        <v/>
      </c>
      <c r="T335" s="25" t="str">
        <f aca="false">IF($AJ335=0,"",IF(INDEX(입력_측정!$D$5:$D$1004,$AJ335)="","",INDEX(입력_측정!$D$5:$D$1004,$AJ335)))</f>
        <v/>
      </c>
      <c r="U335" s="25" t="str">
        <f aca="false">IF($AJ335=0,"",IF(INDEX(입력_측정!$E$5:$E$1004,$AJ335)="","",INDEX(입력_측정!$E$5:$E$1004,$AJ335)))</f>
        <v/>
      </c>
      <c r="V335" s="25" t="str">
        <f aca="false">IF($AJ335=0,"",IF(INDEX(입력_측정!$F$5:$F$1004,$AJ335)="","",INDEX(입력_측정!$F$5:$F$1004,$AJ335)))</f>
        <v/>
      </c>
      <c r="W335" s="25" t="str">
        <f aca="false">IF($AK335=0,"",IF(INDEX(입력_상담!$D$5:$D$1004,$AK335)="","",INDEX(입력_상담!$D$5:$D$1004,$AK335)))</f>
        <v/>
      </c>
      <c r="X335" s="25" t="str">
        <f aca="false">IF($AJ335=0,"",IF(INDEX(입력_측정!$I$5:$I$1004,$AJ335)="","",INDEX(입력_측정!$I$5:$I$1004,$AJ335)))</f>
        <v/>
      </c>
      <c r="Y335" s="25" t="str">
        <f aca="false">IF($AJ335=0,"",IF(INDEX(입력_측정!$J$5:$J$1004,$AJ335)="","",INDEX(입력_측정!$J$5:$J$1004,$AJ335)))</f>
        <v/>
      </c>
      <c r="Z335" s="25" t="str">
        <f aca="false">IF(OR(X335="긴급",LEFT(Y335,2)="긴급",W335="필요",W335="완료"),"대상","")</f>
        <v/>
      </c>
      <c r="AA335" s="59" t="str">
        <f aca="false">IF(M335&lt;&gt;"",M335,IF(AK335&gt;0,IF(W335="필요","추가상담 대기","완료"),IF(AJ335&gt;0,"결과상담 대기",IF(AI335&gt;0,"측정 대기","미방문"))))</f>
        <v>미방문</v>
      </c>
      <c r="AB335" s="60" t="str">
        <f aca="false">IF($AI335=0,"",IF(INDEX(입력_운동!$A$5:$A$1004,$AI335)="","",INDEX(입력_운동!$A$5:$A$1004,$AI335)))</f>
        <v/>
      </c>
      <c r="AC335" s="60" t="str">
        <f aca="false">IF($AJ335=0,"",IF(INDEX(입력_측정!$A$5:$A$1004,$AJ335)="","",INDEX(입력_측정!$A$5:$A$1004,$AJ335)))</f>
        <v/>
      </c>
      <c r="AD335" s="60" t="str">
        <f aca="false">IF($AK335=0,"",IF(INDEX(입력_상담!$A$5:$A$1004,$AK335)="","",INDEX(입력_상담!$A$5:$A$1004,$AK335)))</f>
        <v/>
      </c>
      <c r="AE335" s="25" t="str">
        <f aca="false">IF(AND(ISNUMBER(AB335),ISNUMBER(AC335)),IF(AC335&gt;=AB335,ROUND((AC335-AB335)*1440,0),""),"")</f>
        <v/>
      </c>
      <c r="AF335" s="25" t="str">
        <f aca="false">IF(AND(ISNUMBER(AC335),ISNUMBER(AD335)),IF(AD335&gt;=AC335,ROUND((AD335-AC335)*1440,0),""),"")</f>
        <v/>
      </c>
      <c r="AG335" s="25" t="str">
        <f aca="false">IF(AND(AA335="완료",ISNUMBER(AB335),ISNUMBER(AD335)),IF(AD335&gt;=AB335,ROUND((AD335-AB335)*1440,0),""),"")</f>
        <v/>
      </c>
      <c r="AH335" s="61" t="str">
        <f aca="false">IF(AND(AK335&gt;0,AJ335=0),"측정 기록 없음",IF(AND(AJ335&gt;0,AI335=0),"운동평가 기록 없음",IF(OR(COUNTIF(입력_운동!$B$5:$B$1004,$A335)&gt;1,COUNTIF(입력_측정!$B$5:$B$1004,$A335)&gt;1),"중복 입력","")))</f>
        <v/>
      </c>
      <c r="AI335" s="62" t="n">
        <f aca="false">SUMPRODUCT(MAX((입력_운동!$B$5:$B$1004=$A335)*(ROW(입력_운동!$B$5:$B$1004)-4)))</f>
        <v>0</v>
      </c>
      <c r="AJ335" s="62" t="n">
        <f aca="false">SUMPRODUCT(MAX((입력_측정!$B$5:$B$1004=$A335)*(ROW(입력_측정!$B$5:$B$1004)-4)))</f>
        <v>0</v>
      </c>
      <c r="AK335" s="62" t="n">
        <f aca="false">SUMPRODUCT(MAX((입력_상담!$B$5:$B$1004=$A335)*(ROW(입력_상담!$B$5:$B$1004)-4)))</f>
        <v>0</v>
      </c>
    </row>
    <row r="336" customFormat="false" ht="15" hidden="false" customHeight="false" outlineLevel="0" collapsed="false">
      <c r="A336" s="55" t="n">
        <v>332</v>
      </c>
      <c r="B336" s="56"/>
      <c r="C336" s="24"/>
      <c r="D336" s="24"/>
      <c r="E336" s="56"/>
      <c r="F336" s="57"/>
      <c r="G336" s="58"/>
      <c r="H336" s="56"/>
      <c r="I336" s="24"/>
      <c r="J336" s="24"/>
      <c r="K336" s="24"/>
      <c r="L336" s="24"/>
      <c r="M336" s="24"/>
      <c r="N336" s="56"/>
      <c r="O336" s="25" t="str">
        <f aca="false">IF($AI336=0,"",IF(INDEX(입력_운동!$C$5:$C$1004,$AI336)="","",INDEX(입력_운동!$C$5:$C$1004,$AI336)))</f>
        <v/>
      </c>
      <c r="P336" s="25" t="str">
        <f aca="false">IF($AI336=0,"",IF(INDEX(입력_운동!$D$5:$D$1004,$AI336)="","",INDEX(입력_운동!$D$5:$D$1004,$AI336)))</f>
        <v/>
      </c>
      <c r="Q336" s="25" t="str">
        <f aca="false">IF($AI336=0,"",IF(INDEX(입력_운동!$E$5:$E$1004,$AI336)="","",INDEX(입력_운동!$E$5:$E$1004,$AI336)))</f>
        <v/>
      </c>
      <c r="R336" s="25" t="str">
        <f aca="false">IF($AI336=0,"",IF(INDEX(입력_운동!$F$5:$F$1004,$AI336)="","",INDEX(입력_운동!$F$5:$F$1004,$AI336)))</f>
        <v/>
      </c>
      <c r="S336" s="25" t="str">
        <f aca="false">IF($AJ336=0,"",IF(INDEX(입력_측정!$C$5:$C$1004,$AJ336)="","",INDEX(입력_측정!$C$5:$C$1004,$AJ336)))</f>
        <v/>
      </c>
      <c r="T336" s="25" t="str">
        <f aca="false">IF($AJ336=0,"",IF(INDEX(입력_측정!$D$5:$D$1004,$AJ336)="","",INDEX(입력_측정!$D$5:$D$1004,$AJ336)))</f>
        <v/>
      </c>
      <c r="U336" s="25" t="str">
        <f aca="false">IF($AJ336=0,"",IF(INDEX(입력_측정!$E$5:$E$1004,$AJ336)="","",INDEX(입력_측정!$E$5:$E$1004,$AJ336)))</f>
        <v/>
      </c>
      <c r="V336" s="25" t="str">
        <f aca="false">IF($AJ336=0,"",IF(INDEX(입력_측정!$F$5:$F$1004,$AJ336)="","",INDEX(입력_측정!$F$5:$F$1004,$AJ336)))</f>
        <v/>
      </c>
      <c r="W336" s="25" t="str">
        <f aca="false">IF($AK336=0,"",IF(INDEX(입력_상담!$D$5:$D$1004,$AK336)="","",INDEX(입력_상담!$D$5:$D$1004,$AK336)))</f>
        <v/>
      </c>
      <c r="X336" s="25" t="str">
        <f aca="false">IF($AJ336=0,"",IF(INDEX(입력_측정!$I$5:$I$1004,$AJ336)="","",INDEX(입력_측정!$I$5:$I$1004,$AJ336)))</f>
        <v/>
      </c>
      <c r="Y336" s="25" t="str">
        <f aca="false">IF($AJ336=0,"",IF(INDEX(입력_측정!$J$5:$J$1004,$AJ336)="","",INDEX(입력_측정!$J$5:$J$1004,$AJ336)))</f>
        <v/>
      </c>
      <c r="Z336" s="25" t="str">
        <f aca="false">IF(OR(X336="긴급",LEFT(Y336,2)="긴급",W336="필요",W336="완료"),"대상","")</f>
        <v/>
      </c>
      <c r="AA336" s="59" t="str">
        <f aca="false">IF(M336&lt;&gt;"",M336,IF(AK336&gt;0,IF(W336="필요","추가상담 대기","완료"),IF(AJ336&gt;0,"결과상담 대기",IF(AI336&gt;0,"측정 대기","미방문"))))</f>
        <v>미방문</v>
      </c>
      <c r="AB336" s="60" t="str">
        <f aca="false">IF($AI336=0,"",IF(INDEX(입력_운동!$A$5:$A$1004,$AI336)="","",INDEX(입력_운동!$A$5:$A$1004,$AI336)))</f>
        <v/>
      </c>
      <c r="AC336" s="60" t="str">
        <f aca="false">IF($AJ336=0,"",IF(INDEX(입력_측정!$A$5:$A$1004,$AJ336)="","",INDEX(입력_측정!$A$5:$A$1004,$AJ336)))</f>
        <v/>
      </c>
      <c r="AD336" s="60" t="str">
        <f aca="false">IF($AK336=0,"",IF(INDEX(입력_상담!$A$5:$A$1004,$AK336)="","",INDEX(입력_상담!$A$5:$A$1004,$AK336)))</f>
        <v/>
      </c>
      <c r="AE336" s="25" t="str">
        <f aca="false">IF(AND(ISNUMBER(AB336),ISNUMBER(AC336)),IF(AC336&gt;=AB336,ROUND((AC336-AB336)*1440,0),""),"")</f>
        <v/>
      </c>
      <c r="AF336" s="25" t="str">
        <f aca="false">IF(AND(ISNUMBER(AC336),ISNUMBER(AD336)),IF(AD336&gt;=AC336,ROUND((AD336-AC336)*1440,0),""),"")</f>
        <v/>
      </c>
      <c r="AG336" s="25" t="str">
        <f aca="false">IF(AND(AA336="완료",ISNUMBER(AB336),ISNUMBER(AD336)),IF(AD336&gt;=AB336,ROUND((AD336-AB336)*1440,0),""),"")</f>
        <v/>
      </c>
      <c r="AH336" s="61" t="str">
        <f aca="false">IF(AND(AK336&gt;0,AJ336=0),"측정 기록 없음",IF(AND(AJ336&gt;0,AI336=0),"운동평가 기록 없음",IF(OR(COUNTIF(입력_운동!$B$5:$B$1004,$A336)&gt;1,COUNTIF(입력_측정!$B$5:$B$1004,$A336)&gt;1),"중복 입력","")))</f>
        <v/>
      </c>
      <c r="AI336" s="62" t="n">
        <f aca="false">SUMPRODUCT(MAX((입력_운동!$B$5:$B$1004=$A336)*(ROW(입력_운동!$B$5:$B$1004)-4)))</f>
        <v>0</v>
      </c>
      <c r="AJ336" s="62" t="n">
        <f aca="false">SUMPRODUCT(MAX((입력_측정!$B$5:$B$1004=$A336)*(ROW(입력_측정!$B$5:$B$1004)-4)))</f>
        <v>0</v>
      </c>
      <c r="AK336" s="62" t="n">
        <f aca="false">SUMPRODUCT(MAX((입력_상담!$B$5:$B$1004=$A336)*(ROW(입력_상담!$B$5:$B$1004)-4)))</f>
        <v>0</v>
      </c>
    </row>
    <row r="337" customFormat="false" ht="15" hidden="false" customHeight="false" outlineLevel="0" collapsed="false">
      <c r="A337" s="55" t="n">
        <v>333</v>
      </c>
      <c r="B337" s="56"/>
      <c r="C337" s="24"/>
      <c r="D337" s="24"/>
      <c r="E337" s="56"/>
      <c r="F337" s="57"/>
      <c r="G337" s="58"/>
      <c r="H337" s="56"/>
      <c r="I337" s="24"/>
      <c r="J337" s="24"/>
      <c r="K337" s="24"/>
      <c r="L337" s="24"/>
      <c r="M337" s="24"/>
      <c r="N337" s="56"/>
      <c r="O337" s="25" t="str">
        <f aca="false">IF($AI337=0,"",IF(INDEX(입력_운동!$C$5:$C$1004,$AI337)="","",INDEX(입력_운동!$C$5:$C$1004,$AI337)))</f>
        <v/>
      </c>
      <c r="P337" s="25" t="str">
        <f aca="false">IF($AI337=0,"",IF(INDEX(입력_운동!$D$5:$D$1004,$AI337)="","",INDEX(입력_운동!$D$5:$D$1004,$AI337)))</f>
        <v/>
      </c>
      <c r="Q337" s="25" t="str">
        <f aca="false">IF($AI337=0,"",IF(INDEX(입력_운동!$E$5:$E$1004,$AI337)="","",INDEX(입력_운동!$E$5:$E$1004,$AI337)))</f>
        <v/>
      </c>
      <c r="R337" s="25" t="str">
        <f aca="false">IF($AI337=0,"",IF(INDEX(입력_운동!$F$5:$F$1004,$AI337)="","",INDEX(입력_운동!$F$5:$F$1004,$AI337)))</f>
        <v/>
      </c>
      <c r="S337" s="25" t="str">
        <f aca="false">IF($AJ337=0,"",IF(INDEX(입력_측정!$C$5:$C$1004,$AJ337)="","",INDEX(입력_측정!$C$5:$C$1004,$AJ337)))</f>
        <v/>
      </c>
      <c r="T337" s="25" t="str">
        <f aca="false">IF($AJ337=0,"",IF(INDEX(입력_측정!$D$5:$D$1004,$AJ337)="","",INDEX(입력_측정!$D$5:$D$1004,$AJ337)))</f>
        <v/>
      </c>
      <c r="U337" s="25" t="str">
        <f aca="false">IF($AJ337=0,"",IF(INDEX(입력_측정!$E$5:$E$1004,$AJ337)="","",INDEX(입력_측정!$E$5:$E$1004,$AJ337)))</f>
        <v/>
      </c>
      <c r="V337" s="25" t="str">
        <f aca="false">IF($AJ337=0,"",IF(INDEX(입력_측정!$F$5:$F$1004,$AJ337)="","",INDEX(입력_측정!$F$5:$F$1004,$AJ337)))</f>
        <v/>
      </c>
      <c r="W337" s="25" t="str">
        <f aca="false">IF($AK337=0,"",IF(INDEX(입력_상담!$D$5:$D$1004,$AK337)="","",INDEX(입력_상담!$D$5:$D$1004,$AK337)))</f>
        <v/>
      </c>
      <c r="X337" s="25" t="str">
        <f aca="false">IF($AJ337=0,"",IF(INDEX(입력_측정!$I$5:$I$1004,$AJ337)="","",INDEX(입력_측정!$I$5:$I$1004,$AJ337)))</f>
        <v/>
      </c>
      <c r="Y337" s="25" t="str">
        <f aca="false">IF($AJ337=0,"",IF(INDEX(입력_측정!$J$5:$J$1004,$AJ337)="","",INDEX(입력_측정!$J$5:$J$1004,$AJ337)))</f>
        <v/>
      </c>
      <c r="Z337" s="25" t="str">
        <f aca="false">IF(OR(X337="긴급",LEFT(Y337,2)="긴급",W337="필요",W337="완료"),"대상","")</f>
        <v/>
      </c>
      <c r="AA337" s="59" t="str">
        <f aca="false">IF(M337&lt;&gt;"",M337,IF(AK337&gt;0,IF(W337="필요","추가상담 대기","완료"),IF(AJ337&gt;0,"결과상담 대기",IF(AI337&gt;0,"측정 대기","미방문"))))</f>
        <v>미방문</v>
      </c>
      <c r="AB337" s="60" t="str">
        <f aca="false">IF($AI337=0,"",IF(INDEX(입력_운동!$A$5:$A$1004,$AI337)="","",INDEX(입력_운동!$A$5:$A$1004,$AI337)))</f>
        <v/>
      </c>
      <c r="AC337" s="60" t="str">
        <f aca="false">IF($AJ337=0,"",IF(INDEX(입력_측정!$A$5:$A$1004,$AJ337)="","",INDEX(입력_측정!$A$5:$A$1004,$AJ337)))</f>
        <v/>
      </c>
      <c r="AD337" s="60" t="str">
        <f aca="false">IF($AK337=0,"",IF(INDEX(입력_상담!$A$5:$A$1004,$AK337)="","",INDEX(입력_상담!$A$5:$A$1004,$AK337)))</f>
        <v/>
      </c>
      <c r="AE337" s="25" t="str">
        <f aca="false">IF(AND(ISNUMBER(AB337),ISNUMBER(AC337)),IF(AC337&gt;=AB337,ROUND((AC337-AB337)*1440,0),""),"")</f>
        <v/>
      </c>
      <c r="AF337" s="25" t="str">
        <f aca="false">IF(AND(ISNUMBER(AC337),ISNUMBER(AD337)),IF(AD337&gt;=AC337,ROUND((AD337-AC337)*1440,0),""),"")</f>
        <v/>
      </c>
      <c r="AG337" s="25" t="str">
        <f aca="false">IF(AND(AA337="완료",ISNUMBER(AB337),ISNUMBER(AD337)),IF(AD337&gt;=AB337,ROUND((AD337-AB337)*1440,0),""),"")</f>
        <v/>
      </c>
      <c r="AH337" s="61" t="str">
        <f aca="false">IF(AND(AK337&gt;0,AJ337=0),"측정 기록 없음",IF(AND(AJ337&gt;0,AI337=0),"운동평가 기록 없음",IF(OR(COUNTIF(입력_운동!$B$5:$B$1004,$A337)&gt;1,COUNTIF(입력_측정!$B$5:$B$1004,$A337)&gt;1),"중복 입력","")))</f>
        <v/>
      </c>
      <c r="AI337" s="62" t="n">
        <f aca="false">SUMPRODUCT(MAX((입력_운동!$B$5:$B$1004=$A337)*(ROW(입력_운동!$B$5:$B$1004)-4)))</f>
        <v>0</v>
      </c>
      <c r="AJ337" s="62" t="n">
        <f aca="false">SUMPRODUCT(MAX((입력_측정!$B$5:$B$1004=$A337)*(ROW(입력_측정!$B$5:$B$1004)-4)))</f>
        <v>0</v>
      </c>
      <c r="AK337" s="62" t="n">
        <f aca="false">SUMPRODUCT(MAX((입력_상담!$B$5:$B$1004=$A337)*(ROW(입력_상담!$B$5:$B$1004)-4)))</f>
        <v>0</v>
      </c>
    </row>
    <row r="338" customFormat="false" ht="15" hidden="false" customHeight="false" outlineLevel="0" collapsed="false">
      <c r="A338" s="55" t="n">
        <v>334</v>
      </c>
      <c r="B338" s="56"/>
      <c r="C338" s="24"/>
      <c r="D338" s="24"/>
      <c r="E338" s="56"/>
      <c r="F338" s="57"/>
      <c r="G338" s="58"/>
      <c r="H338" s="56"/>
      <c r="I338" s="24"/>
      <c r="J338" s="24"/>
      <c r="K338" s="24"/>
      <c r="L338" s="24"/>
      <c r="M338" s="24"/>
      <c r="N338" s="56"/>
      <c r="O338" s="25" t="str">
        <f aca="false">IF($AI338=0,"",IF(INDEX(입력_운동!$C$5:$C$1004,$AI338)="","",INDEX(입력_운동!$C$5:$C$1004,$AI338)))</f>
        <v/>
      </c>
      <c r="P338" s="25" t="str">
        <f aca="false">IF($AI338=0,"",IF(INDEX(입력_운동!$D$5:$D$1004,$AI338)="","",INDEX(입력_운동!$D$5:$D$1004,$AI338)))</f>
        <v/>
      </c>
      <c r="Q338" s="25" t="str">
        <f aca="false">IF($AI338=0,"",IF(INDEX(입력_운동!$E$5:$E$1004,$AI338)="","",INDEX(입력_운동!$E$5:$E$1004,$AI338)))</f>
        <v/>
      </c>
      <c r="R338" s="25" t="str">
        <f aca="false">IF($AI338=0,"",IF(INDEX(입력_운동!$F$5:$F$1004,$AI338)="","",INDEX(입력_운동!$F$5:$F$1004,$AI338)))</f>
        <v/>
      </c>
      <c r="S338" s="25" t="str">
        <f aca="false">IF($AJ338=0,"",IF(INDEX(입력_측정!$C$5:$C$1004,$AJ338)="","",INDEX(입력_측정!$C$5:$C$1004,$AJ338)))</f>
        <v/>
      </c>
      <c r="T338" s="25" t="str">
        <f aca="false">IF($AJ338=0,"",IF(INDEX(입력_측정!$D$5:$D$1004,$AJ338)="","",INDEX(입력_측정!$D$5:$D$1004,$AJ338)))</f>
        <v/>
      </c>
      <c r="U338" s="25" t="str">
        <f aca="false">IF($AJ338=0,"",IF(INDEX(입력_측정!$E$5:$E$1004,$AJ338)="","",INDEX(입력_측정!$E$5:$E$1004,$AJ338)))</f>
        <v/>
      </c>
      <c r="V338" s="25" t="str">
        <f aca="false">IF($AJ338=0,"",IF(INDEX(입력_측정!$F$5:$F$1004,$AJ338)="","",INDEX(입력_측정!$F$5:$F$1004,$AJ338)))</f>
        <v/>
      </c>
      <c r="W338" s="25" t="str">
        <f aca="false">IF($AK338=0,"",IF(INDEX(입력_상담!$D$5:$D$1004,$AK338)="","",INDEX(입력_상담!$D$5:$D$1004,$AK338)))</f>
        <v/>
      </c>
      <c r="X338" s="25" t="str">
        <f aca="false">IF($AJ338=0,"",IF(INDEX(입력_측정!$I$5:$I$1004,$AJ338)="","",INDEX(입력_측정!$I$5:$I$1004,$AJ338)))</f>
        <v/>
      </c>
      <c r="Y338" s="25" t="str">
        <f aca="false">IF($AJ338=0,"",IF(INDEX(입력_측정!$J$5:$J$1004,$AJ338)="","",INDEX(입력_측정!$J$5:$J$1004,$AJ338)))</f>
        <v/>
      </c>
      <c r="Z338" s="25" t="str">
        <f aca="false">IF(OR(X338="긴급",LEFT(Y338,2)="긴급",W338="필요",W338="완료"),"대상","")</f>
        <v/>
      </c>
      <c r="AA338" s="59" t="str">
        <f aca="false">IF(M338&lt;&gt;"",M338,IF(AK338&gt;0,IF(W338="필요","추가상담 대기","완료"),IF(AJ338&gt;0,"결과상담 대기",IF(AI338&gt;0,"측정 대기","미방문"))))</f>
        <v>미방문</v>
      </c>
      <c r="AB338" s="60" t="str">
        <f aca="false">IF($AI338=0,"",IF(INDEX(입력_운동!$A$5:$A$1004,$AI338)="","",INDEX(입력_운동!$A$5:$A$1004,$AI338)))</f>
        <v/>
      </c>
      <c r="AC338" s="60" t="str">
        <f aca="false">IF($AJ338=0,"",IF(INDEX(입력_측정!$A$5:$A$1004,$AJ338)="","",INDEX(입력_측정!$A$5:$A$1004,$AJ338)))</f>
        <v/>
      </c>
      <c r="AD338" s="60" t="str">
        <f aca="false">IF($AK338=0,"",IF(INDEX(입력_상담!$A$5:$A$1004,$AK338)="","",INDEX(입력_상담!$A$5:$A$1004,$AK338)))</f>
        <v/>
      </c>
      <c r="AE338" s="25" t="str">
        <f aca="false">IF(AND(ISNUMBER(AB338),ISNUMBER(AC338)),IF(AC338&gt;=AB338,ROUND((AC338-AB338)*1440,0),""),"")</f>
        <v/>
      </c>
      <c r="AF338" s="25" t="str">
        <f aca="false">IF(AND(ISNUMBER(AC338),ISNUMBER(AD338)),IF(AD338&gt;=AC338,ROUND((AD338-AC338)*1440,0),""),"")</f>
        <v/>
      </c>
      <c r="AG338" s="25" t="str">
        <f aca="false">IF(AND(AA338="완료",ISNUMBER(AB338),ISNUMBER(AD338)),IF(AD338&gt;=AB338,ROUND((AD338-AB338)*1440,0),""),"")</f>
        <v/>
      </c>
      <c r="AH338" s="61" t="str">
        <f aca="false">IF(AND(AK338&gt;0,AJ338=0),"측정 기록 없음",IF(AND(AJ338&gt;0,AI338=0),"운동평가 기록 없음",IF(OR(COUNTIF(입력_운동!$B$5:$B$1004,$A338)&gt;1,COUNTIF(입력_측정!$B$5:$B$1004,$A338)&gt;1),"중복 입력","")))</f>
        <v/>
      </c>
      <c r="AI338" s="62" t="n">
        <f aca="false">SUMPRODUCT(MAX((입력_운동!$B$5:$B$1004=$A338)*(ROW(입력_운동!$B$5:$B$1004)-4)))</f>
        <v>0</v>
      </c>
      <c r="AJ338" s="62" t="n">
        <f aca="false">SUMPRODUCT(MAX((입력_측정!$B$5:$B$1004=$A338)*(ROW(입력_측정!$B$5:$B$1004)-4)))</f>
        <v>0</v>
      </c>
      <c r="AK338" s="62" t="n">
        <f aca="false">SUMPRODUCT(MAX((입력_상담!$B$5:$B$1004=$A338)*(ROW(입력_상담!$B$5:$B$1004)-4)))</f>
        <v>0</v>
      </c>
    </row>
    <row r="339" customFormat="false" ht="15" hidden="false" customHeight="false" outlineLevel="0" collapsed="false">
      <c r="A339" s="55" t="n">
        <v>335</v>
      </c>
      <c r="B339" s="56"/>
      <c r="C339" s="24"/>
      <c r="D339" s="24"/>
      <c r="E339" s="56"/>
      <c r="F339" s="57"/>
      <c r="G339" s="58"/>
      <c r="H339" s="56"/>
      <c r="I339" s="24"/>
      <c r="J339" s="24"/>
      <c r="K339" s="24"/>
      <c r="L339" s="24"/>
      <c r="M339" s="24"/>
      <c r="N339" s="56"/>
      <c r="O339" s="25" t="str">
        <f aca="false">IF($AI339=0,"",IF(INDEX(입력_운동!$C$5:$C$1004,$AI339)="","",INDEX(입력_운동!$C$5:$C$1004,$AI339)))</f>
        <v/>
      </c>
      <c r="P339" s="25" t="str">
        <f aca="false">IF($AI339=0,"",IF(INDEX(입력_운동!$D$5:$D$1004,$AI339)="","",INDEX(입력_운동!$D$5:$D$1004,$AI339)))</f>
        <v/>
      </c>
      <c r="Q339" s="25" t="str">
        <f aca="false">IF($AI339=0,"",IF(INDEX(입력_운동!$E$5:$E$1004,$AI339)="","",INDEX(입력_운동!$E$5:$E$1004,$AI339)))</f>
        <v/>
      </c>
      <c r="R339" s="25" t="str">
        <f aca="false">IF($AI339=0,"",IF(INDEX(입력_운동!$F$5:$F$1004,$AI339)="","",INDEX(입력_운동!$F$5:$F$1004,$AI339)))</f>
        <v/>
      </c>
      <c r="S339" s="25" t="str">
        <f aca="false">IF($AJ339=0,"",IF(INDEX(입력_측정!$C$5:$C$1004,$AJ339)="","",INDEX(입력_측정!$C$5:$C$1004,$AJ339)))</f>
        <v/>
      </c>
      <c r="T339" s="25" t="str">
        <f aca="false">IF($AJ339=0,"",IF(INDEX(입력_측정!$D$5:$D$1004,$AJ339)="","",INDEX(입력_측정!$D$5:$D$1004,$AJ339)))</f>
        <v/>
      </c>
      <c r="U339" s="25" t="str">
        <f aca="false">IF($AJ339=0,"",IF(INDEX(입력_측정!$E$5:$E$1004,$AJ339)="","",INDEX(입력_측정!$E$5:$E$1004,$AJ339)))</f>
        <v/>
      </c>
      <c r="V339" s="25" t="str">
        <f aca="false">IF($AJ339=0,"",IF(INDEX(입력_측정!$F$5:$F$1004,$AJ339)="","",INDEX(입력_측정!$F$5:$F$1004,$AJ339)))</f>
        <v/>
      </c>
      <c r="W339" s="25" t="str">
        <f aca="false">IF($AK339=0,"",IF(INDEX(입력_상담!$D$5:$D$1004,$AK339)="","",INDEX(입력_상담!$D$5:$D$1004,$AK339)))</f>
        <v/>
      </c>
      <c r="X339" s="25" t="str">
        <f aca="false">IF($AJ339=0,"",IF(INDEX(입력_측정!$I$5:$I$1004,$AJ339)="","",INDEX(입력_측정!$I$5:$I$1004,$AJ339)))</f>
        <v/>
      </c>
      <c r="Y339" s="25" t="str">
        <f aca="false">IF($AJ339=0,"",IF(INDEX(입력_측정!$J$5:$J$1004,$AJ339)="","",INDEX(입력_측정!$J$5:$J$1004,$AJ339)))</f>
        <v/>
      </c>
      <c r="Z339" s="25" t="str">
        <f aca="false">IF(OR(X339="긴급",LEFT(Y339,2)="긴급",W339="필요",W339="완료"),"대상","")</f>
        <v/>
      </c>
      <c r="AA339" s="59" t="str">
        <f aca="false">IF(M339&lt;&gt;"",M339,IF(AK339&gt;0,IF(W339="필요","추가상담 대기","완료"),IF(AJ339&gt;0,"결과상담 대기",IF(AI339&gt;0,"측정 대기","미방문"))))</f>
        <v>미방문</v>
      </c>
      <c r="AB339" s="60" t="str">
        <f aca="false">IF($AI339=0,"",IF(INDEX(입력_운동!$A$5:$A$1004,$AI339)="","",INDEX(입력_운동!$A$5:$A$1004,$AI339)))</f>
        <v/>
      </c>
      <c r="AC339" s="60" t="str">
        <f aca="false">IF($AJ339=0,"",IF(INDEX(입력_측정!$A$5:$A$1004,$AJ339)="","",INDEX(입력_측정!$A$5:$A$1004,$AJ339)))</f>
        <v/>
      </c>
      <c r="AD339" s="60" t="str">
        <f aca="false">IF($AK339=0,"",IF(INDEX(입력_상담!$A$5:$A$1004,$AK339)="","",INDEX(입력_상담!$A$5:$A$1004,$AK339)))</f>
        <v/>
      </c>
      <c r="AE339" s="25" t="str">
        <f aca="false">IF(AND(ISNUMBER(AB339),ISNUMBER(AC339)),IF(AC339&gt;=AB339,ROUND((AC339-AB339)*1440,0),""),"")</f>
        <v/>
      </c>
      <c r="AF339" s="25" t="str">
        <f aca="false">IF(AND(ISNUMBER(AC339),ISNUMBER(AD339)),IF(AD339&gt;=AC339,ROUND((AD339-AC339)*1440,0),""),"")</f>
        <v/>
      </c>
      <c r="AG339" s="25" t="str">
        <f aca="false">IF(AND(AA339="완료",ISNUMBER(AB339),ISNUMBER(AD339)),IF(AD339&gt;=AB339,ROUND((AD339-AB339)*1440,0),""),"")</f>
        <v/>
      </c>
      <c r="AH339" s="61" t="str">
        <f aca="false">IF(AND(AK339&gt;0,AJ339=0),"측정 기록 없음",IF(AND(AJ339&gt;0,AI339=0),"운동평가 기록 없음",IF(OR(COUNTIF(입력_운동!$B$5:$B$1004,$A339)&gt;1,COUNTIF(입력_측정!$B$5:$B$1004,$A339)&gt;1),"중복 입력","")))</f>
        <v/>
      </c>
      <c r="AI339" s="62" t="n">
        <f aca="false">SUMPRODUCT(MAX((입력_운동!$B$5:$B$1004=$A339)*(ROW(입력_운동!$B$5:$B$1004)-4)))</f>
        <v>0</v>
      </c>
      <c r="AJ339" s="62" t="n">
        <f aca="false">SUMPRODUCT(MAX((입력_측정!$B$5:$B$1004=$A339)*(ROW(입력_측정!$B$5:$B$1004)-4)))</f>
        <v>0</v>
      </c>
      <c r="AK339" s="62" t="n">
        <f aca="false">SUMPRODUCT(MAX((입력_상담!$B$5:$B$1004=$A339)*(ROW(입력_상담!$B$5:$B$1004)-4)))</f>
        <v>0</v>
      </c>
    </row>
    <row r="340" customFormat="false" ht="15" hidden="false" customHeight="false" outlineLevel="0" collapsed="false">
      <c r="A340" s="55" t="n">
        <v>336</v>
      </c>
      <c r="B340" s="56"/>
      <c r="C340" s="24"/>
      <c r="D340" s="24"/>
      <c r="E340" s="56"/>
      <c r="F340" s="57"/>
      <c r="G340" s="58"/>
      <c r="H340" s="56"/>
      <c r="I340" s="24"/>
      <c r="J340" s="24"/>
      <c r="K340" s="24"/>
      <c r="L340" s="24"/>
      <c r="M340" s="24"/>
      <c r="N340" s="56"/>
      <c r="O340" s="25" t="str">
        <f aca="false">IF($AI340=0,"",IF(INDEX(입력_운동!$C$5:$C$1004,$AI340)="","",INDEX(입력_운동!$C$5:$C$1004,$AI340)))</f>
        <v/>
      </c>
      <c r="P340" s="25" t="str">
        <f aca="false">IF($AI340=0,"",IF(INDEX(입력_운동!$D$5:$D$1004,$AI340)="","",INDEX(입력_운동!$D$5:$D$1004,$AI340)))</f>
        <v/>
      </c>
      <c r="Q340" s="25" t="str">
        <f aca="false">IF($AI340=0,"",IF(INDEX(입력_운동!$E$5:$E$1004,$AI340)="","",INDEX(입력_운동!$E$5:$E$1004,$AI340)))</f>
        <v/>
      </c>
      <c r="R340" s="25" t="str">
        <f aca="false">IF($AI340=0,"",IF(INDEX(입력_운동!$F$5:$F$1004,$AI340)="","",INDEX(입력_운동!$F$5:$F$1004,$AI340)))</f>
        <v/>
      </c>
      <c r="S340" s="25" t="str">
        <f aca="false">IF($AJ340=0,"",IF(INDEX(입력_측정!$C$5:$C$1004,$AJ340)="","",INDEX(입력_측정!$C$5:$C$1004,$AJ340)))</f>
        <v/>
      </c>
      <c r="T340" s="25" t="str">
        <f aca="false">IF($AJ340=0,"",IF(INDEX(입력_측정!$D$5:$D$1004,$AJ340)="","",INDEX(입력_측정!$D$5:$D$1004,$AJ340)))</f>
        <v/>
      </c>
      <c r="U340" s="25" t="str">
        <f aca="false">IF($AJ340=0,"",IF(INDEX(입력_측정!$E$5:$E$1004,$AJ340)="","",INDEX(입력_측정!$E$5:$E$1004,$AJ340)))</f>
        <v/>
      </c>
      <c r="V340" s="25" t="str">
        <f aca="false">IF($AJ340=0,"",IF(INDEX(입력_측정!$F$5:$F$1004,$AJ340)="","",INDEX(입력_측정!$F$5:$F$1004,$AJ340)))</f>
        <v/>
      </c>
      <c r="W340" s="25" t="str">
        <f aca="false">IF($AK340=0,"",IF(INDEX(입력_상담!$D$5:$D$1004,$AK340)="","",INDEX(입력_상담!$D$5:$D$1004,$AK340)))</f>
        <v/>
      </c>
      <c r="X340" s="25" t="str">
        <f aca="false">IF($AJ340=0,"",IF(INDEX(입력_측정!$I$5:$I$1004,$AJ340)="","",INDEX(입력_측정!$I$5:$I$1004,$AJ340)))</f>
        <v/>
      </c>
      <c r="Y340" s="25" t="str">
        <f aca="false">IF($AJ340=0,"",IF(INDEX(입력_측정!$J$5:$J$1004,$AJ340)="","",INDEX(입력_측정!$J$5:$J$1004,$AJ340)))</f>
        <v/>
      </c>
      <c r="Z340" s="25" t="str">
        <f aca="false">IF(OR(X340="긴급",LEFT(Y340,2)="긴급",W340="필요",W340="완료"),"대상","")</f>
        <v/>
      </c>
      <c r="AA340" s="59" t="str">
        <f aca="false">IF(M340&lt;&gt;"",M340,IF(AK340&gt;0,IF(W340="필요","추가상담 대기","완료"),IF(AJ340&gt;0,"결과상담 대기",IF(AI340&gt;0,"측정 대기","미방문"))))</f>
        <v>미방문</v>
      </c>
      <c r="AB340" s="60" t="str">
        <f aca="false">IF($AI340=0,"",IF(INDEX(입력_운동!$A$5:$A$1004,$AI340)="","",INDEX(입력_운동!$A$5:$A$1004,$AI340)))</f>
        <v/>
      </c>
      <c r="AC340" s="60" t="str">
        <f aca="false">IF($AJ340=0,"",IF(INDEX(입력_측정!$A$5:$A$1004,$AJ340)="","",INDEX(입력_측정!$A$5:$A$1004,$AJ340)))</f>
        <v/>
      </c>
      <c r="AD340" s="60" t="str">
        <f aca="false">IF($AK340=0,"",IF(INDEX(입력_상담!$A$5:$A$1004,$AK340)="","",INDEX(입력_상담!$A$5:$A$1004,$AK340)))</f>
        <v/>
      </c>
      <c r="AE340" s="25" t="str">
        <f aca="false">IF(AND(ISNUMBER(AB340),ISNUMBER(AC340)),IF(AC340&gt;=AB340,ROUND((AC340-AB340)*1440,0),""),"")</f>
        <v/>
      </c>
      <c r="AF340" s="25" t="str">
        <f aca="false">IF(AND(ISNUMBER(AC340),ISNUMBER(AD340)),IF(AD340&gt;=AC340,ROUND((AD340-AC340)*1440,0),""),"")</f>
        <v/>
      </c>
      <c r="AG340" s="25" t="str">
        <f aca="false">IF(AND(AA340="완료",ISNUMBER(AB340),ISNUMBER(AD340)),IF(AD340&gt;=AB340,ROUND((AD340-AB340)*1440,0),""),"")</f>
        <v/>
      </c>
      <c r="AH340" s="61" t="str">
        <f aca="false">IF(AND(AK340&gt;0,AJ340=0),"측정 기록 없음",IF(AND(AJ340&gt;0,AI340=0),"운동평가 기록 없음",IF(OR(COUNTIF(입력_운동!$B$5:$B$1004,$A340)&gt;1,COUNTIF(입력_측정!$B$5:$B$1004,$A340)&gt;1),"중복 입력","")))</f>
        <v/>
      </c>
      <c r="AI340" s="62" t="n">
        <f aca="false">SUMPRODUCT(MAX((입력_운동!$B$5:$B$1004=$A340)*(ROW(입력_운동!$B$5:$B$1004)-4)))</f>
        <v>0</v>
      </c>
      <c r="AJ340" s="62" t="n">
        <f aca="false">SUMPRODUCT(MAX((입력_측정!$B$5:$B$1004=$A340)*(ROW(입력_측정!$B$5:$B$1004)-4)))</f>
        <v>0</v>
      </c>
      <c r="AK340" s="62" t="n">
        <f aca="false">SUMPRODUCT(MAX((입력_상담!$B$5:$B$1004=$A340)*(ROW(입력_상담!$B$5:$B$1004)-4)))</f>
        <v>0</v>
      </c>
    </row>
    <row r="341" customFormat="false" ht="15" hidden="false" customHeight="false" outlineLevel="0" collapsed="false">
      <c r="A341" s="55" t="n">
        <v>337</v>
      </c>
      <c r="B341" s="56"/>
      <c r="C341" s="24"/>
      <c r="D341" s="24"/>
      <c r="E341" s="56"/>
      <c r="F341" s="57"/>
      <c r="G341" s="58"/>
      <c r="H341" s="56"/>
      <c r="I341" s="24"/>
      <c r="J341" s="24"/>
      <c r="K341" s="24"/>
      <c r="L341" s="24"/>
      <c r="M341" s="24"/>
      <c r="N341" s="56"/>
      <c r="O341" s="25" t="str">
        <f aca="false">IF($AI341=0,"",IF(INDEX(입력_운동!$C$5:$C$1004,$AI341)="","",INDEX(입력_운동!$C$5:$C$1004,$AI341)))</f>
        <v/>
      </c>
      <c r="P341" s="25" t="str">
        <f aca="false">IF($AI341=0,"",IF(INDEX(입력_운동!$D$5:$D$1004,$AI341)="","",INDEX(입력_운동!$D$5:$D$1004,$AI341)))</f>
        <v/>
      </c>
      <c r="Q341" s="25" t="str">
        <f aca="false">IF($AI341=0,"",IF(INDEX(입력_운동!$E$5:$E$1004,$AI341)="","",INDEX(입력_운동!$E$5:$E$1004,$AI341)))</f>
        <v/>
      </c>
      <c r="R341" s="25" t="str">
        <f aca="false">IF($AI341=0,"",IF(INDEX(입력_운동!$F$5:$F$1004,$AI341)="","",INDEX(입력_운동!$F$5:$F$1004,$AI341)))</f>
        <v/>
      </c>
      <c r="S341" s="25" t="str">
        <f aca="false">IF($AJ341=0,"",IF(INDEX(입력_측정!$C$5:$C$1004,$AJ341)="","",INDEX(입력_측정!$C$5:$C$1004,$AJ341)))</f>
        <v/>
      </c>
      <c r="T341" s="25" t="str">
        <f aca="false">IF($AJ341=0,"",IF(INDEX(입력_측정!$D$5:$D$1004,$AJ341)="","",INDEX(입력_측정!$D$5:$D$1004,$AJ341)))</f>
        <v/>
      </c>
      <c r="U341" s="25" t="str">
        <f aca="false">IF($AJ341=0,"",IF(INDEX(입력_측정!$E$5:$E$1004,$AJ341)="","",INDEX(입력_측정!$E$5:$E$1004,$AJ341)))</f>
        <v/>
      </c>
      <c r="V341" s="25" t="str">
        <f aca="false">IF($AJ341=0,"",IF(INDEX(입력_측정!$F$5:$F$1004,$AJ341)="","",INDEX(입력_측정!$F$5:$F$1004,$AJ341)))</f>
        <v/>
      </c>
      <c r="W341" s="25" t="str">
        <f aca="false">IF($AK341=0,"",IF(INDEX(입력_상담!$D$5:$D$1004,$AK341)="","",INDEX(입력_상담!$D$5:$D$1004,$AK341)))</f>
        <v/>
      </c>
      <c r="X341" s="25" t="str">
        <f aca="false">IF($AJ341=0,"",IF(INDEX(입력_측정!$I$5:$I$1004,$AJ341)="","",INDEX(입력_측정!$I$5:$I$1004,$AJ341)))</f>
        <v/>
      </c>
      <c r="Y341" s="25" t="str">
        <f aca="false">IF($AJ341=0,"",IF(INDEX(입력_측정!$J$5:$J$1004,$AJ341)="","",INDEX(입력_측정!$J$5:$J$1004,$AJ341)))</f>
        <v/>
      </c>
      <c r="Z341" s="25" t="str">
        <f aca="false">IF(OR(X341="긴급",LEFT(Y341,2)="긴급",W341="필요",W341="완료"),"대상","")</f>
        <v/>
      </c>
      <c r="AA341" s="59" t="str">
        <f aca="false">IF(M341&lt;&gt;"",M341,IF(AK341&gt;0,IF(W341="필요","추가상담 대기","완료"),IF(AJ341&gt;0,"결과상담 대기",IF(AI341&gt;0,"측정 대기","미방문"))))</f>
        <v>미방문</v>
      </c>
      <c r="AB341" s="60" t="str">
        <f aca="false">IF($AI341=0,"",IF(INDEX(입력_운동!$A$5:$A$1004,$AI341)="","",INDEX(입력_운동!$A$5:$A$1004,$AI341)))</f>
        <v/>
      </c>
      <c r="AC341" s="60" t="str">
        <f aca="false">IF($AJ341=0,"",IF(INDEX(입력_측정!$A$5:$A$1004,$AJ341)="","",INDEX(입력_측정!$A$5:$A$1004,$AJ341)))</f>
        <v/>
      </c>
      <c r="AD341" s="60" t="str">
        <f aca="false">IF($AK341=0,"",IF(INDEX(입력_상담!$A$5:$A$1004,$AK341)="","",INDEX(입력_상담!$A$5:$A$1004,$AK341)))</f>
        <v/>
      </c>
      <c r="AE341" s="25" t="str">
        <f aca="false">IF(AND(ISNUMBER(AB341),ISNUMBER(AC341)),IF(AC341&gt;=AB341,ROUND((AC341-AB341)*1440,0),""),"")</f>
        <v/>
      </c>
      <c r="AF341" s="25" t="str">
        <f aca="false">IF(AND(ISNUMBER(AC341),ISNUMBER(AD341)),IF(AD341&gt;=AC341,ROUND((AD341-AC341)*1440,0),""),"")</f>
        <v/>
      </c>
      <c r="AG341" s="25" t="str">
        <f aca="false">IF(AND(AA341="완료",ISNUMBER(AB341),ISNUMBER(AD341)),IF(AD341&gt;=AB341,ROUND((AD341-AB341)*1440,0),""),"")</f>
        <v/>
      </c>
      <c r="AH341" s="61" t="str">
        <f aca="false">IF(AND(AK341&gt;0,AJ341=0),"측정 기록 없음",IF(AND(AJ341&gt;0,AI341=0),"운동평가 기록 없음",IF(OR(COUNTIF(입력_운동!$B$5:$B$1004,$A341)&gt;1,COUNTIF(입력_측정!$B$5:$B$1004,$A341)&gt;1),"중복 입력","")))</f>
        <v/>
      </c>
      <c r="AI341" s="62" t="n">
        <f aca="false">SUMPRODUCT(MAX((입력_운동!$B$5:$B$1004=$A341)*(ROW(입력_운동!$B$5:$B$1004)-4)))</f>
        <v>0</v>
      </c>
      <c r="AJ341" s="62" t="n">
        <f aca="false">SUMPRODUCT(MAX((입력_측정!$B$5:$B$1004=$A341)*(ROW(입력_측정!$B$5:$B$1004)-4)))</f>
        <v>0</v>
      </c>
      <c r="AK341" s="62" t="n">
        <f aca="false">SUMPRODUCT(MAX((입력_상담!$B$5:$B$1004=$A341)*(ROW(입력_상담!$B$5:$B$1004)-4)))</f>
        <v>0</v>
      </c>
    </row>
    <row r="342" customFormat="false" ht="15" hidden="false" customHeight="false" outlineLevel="0" collapsed="false">
      <c r="A342" s="55" t="n">
        <v>338</v>
      </c>
      <c r="B342" s="56"/>
      <c r="C342" s="24"/>
      <c r="D342" s="24"/>
      <c r="E342" s="56"/>
      <c r="F342" s="57"/>
      <c r="G342" s="58"/>
      <c r="H342" s="56"/>
      <c r="I342" s="24"/>
      <c r="J342" s="24"/>
      <c r="K342" s="24"/>
      <c r="L342" s="24"/>
      <c r="M342" s="24"/>
      <c r="N342" s="56"/>
      <c r="O342" s="25" t="str">
        <f aca="false">IF($AI342=0,"",IF(INDEX(입력_운동!$C$5:$C$1004,$AI342)="","",INDEX(입력_운동!$C$5:$C$1004,$AI342)))</f>
        <v/>
      </c>
      <c r="P342" s="25" t="str">
        <f aca="false">IF($AI342=0,"",IF(INDEX(입력_운동!$D$5:$D$1004,$AI342)="","",INDEX(입력_운동!$D$5:$D$1004,$AI342)))</f>
        <v/>
      </c>
      <c r="Q342" s="25" t="str">
        <f aca="false">IF($AI342=0,"",IF(INDEX(입력_운동!$E$5:$E$1004,$AI342)="","",INDEX(입력_운동!$E$5:$E$1004,$AI342)))</f>
        <v/>
      </c>
      <c r="R342" s="25" t="str">
        <f aca="false">IF($AI342=0,"",IF(INDEX(입력_운동!$F$5:$F$1004,$AI342)="","",INDEX(입력_운동!$F$5:$F$1004,$AI342)))</f>
        <v/>
      </c>
      <c r="S342" s="25" t="str">
        <f aca="false">IF($AJ342=0,"",IF(INDEX(입력_측정!$C$5:$C$1004,$AJ342)="","",INDEX(입력_측정!$C$5:$C$1004,$AJ342)))</f>
        <v/>
      </c>
      <c r="T342" s="25" t="str">
        <f aca="false">IF($AJ342=0,"",IF(INDEX(입력_측정!$D$5:$D$1004,$AJ342)="","",INDEX(입력_측정!$D$5:$D$1004,$AJ342)))</f>
        <v/>
      </c>
      <c r="U342" s="25" t="str">
        <f aca="false">IF($AJ342=0,"",IF(INDEX(입력_측정!$E$5:$E$1004,$AJ342)="","",INDEX(입력_측정!$E$5:$E$1004,$AJ342)))</f>
        <v/>
      </c>
      <c r="V342" s="25" t="str">
        <f aca="false">IF($AJ342=0,"",IF(INDEX(입력_측정!$F$5:$F$1004,$AJ342)="","",INDEX(입력_측정!$F$5:$F$1004,$AJ342)))</f>
        <v/>
      </c>
      <c r="W342" s="25" t="str">
        <f aca="false">IF($AK342=0,"",IF(INDEX(입력_상담!$D$5:$D$1004,$AK342)="","",INDEX(입력_상담!$D$5:$D$1004,$AK342)))</f>
        <v/>
      </c>
      <c r="X342" s="25" t="str">
        <f aca="false">IF($AJ342=0,"",IF(INDEX(입력_측정!$I$5:$I$1004,$AJ342)="","",INDEX(입력_측정!$I$5:$I$1004,$AJ342)))</f>
        <v/>
      </c>
      <c r="Y342" s="25" t="str">
        <f aca="false">IF($AJ342=0,"",IF(INDEX(입력_측정!$J$5:$J$1004,$AJ342)="","",INDEX(입력_측정!$J$5:$J$1004,$AJ342)))</f>
        <v/>
      </c>
      <c r="Z342" s="25" t="str">
        <f aca="false">IF(OR(X342="긴급",LEFT(Y342,2)="긴급",W342="필요",W342="완료"),"대상","")</f>
        <v/>
      </c>
      <c r="AA342" s="59" t="str">
        <f aca="false">IF(M342&lt;&gt;"",M342,IF(AK342&gt;0,IF(W342="필요","추가상담 대기","완료"),IF(AJ342&gt;0,"결과상담 대기",IF(AI342&gt;0,"측정 대기","미방문"))))</f>
        <v>미방문</v>
      </c>
      <c r="AB342" s="60" t="str">
        <f aca="false">IF($AI342=0,"",IF(INDEX(입력_운동!$A$5:$A$1004,$AI342)="","",INDEX(입력_운동!$A$5:$A$1004,$AI342)))</f>
        <v/>
      </c>
      <c r="AC342" s="60" t="str">
        <f aca="false">IF($AJ342=0,"",IF(INDEX(입력_측정!$A$5:$A$1004,$AJ342)="","",INDEX(입력_측정!$A$5:$A$1004,$AJ342)))</f>
        <v/>
      </c>
      <c r="AD342" s="60" t="str">
        <f aca="false">IF($AK342=0,"",IF(INDEX(입력_상담!$A$5:$A$1004,$AK342)="","",INDEX(입력_상담!$A$5:$A$1004,$AK342)))</f>
        <v/>
      </c>
      <c r="AE342" s="25" t="str">
        <f aca="false">IF(AND(ISNUMBER(AB342),ISNUMBER(AC342)),IF(AC342&gt;=AB342,ROUND((AC342-AB342)*1440,0),""),"")</f>
        <v/>
      </c>
      <c r="AF342" s="25" t="str">
        <f aca="false">IF(AND(ISNUMBER(AC342),ISNUMBER(AD342)),IF(AD342&gt;=AC342,ROUND((AD342-AC342)*1440,0),""),"")</f>
        <v/>
      </c>
      <c r="AG342" s="25" t="str">
        <f aca="false">IF(AND(AA342="완료",ISNUMBER(AB342),ISNUMBER(AD342)),IF(AD342&gt;=AB342,ROUND((AD342-AB342)*1440,0),""),"")</f>
        <v/>
      </c>
      <c r="AH342" s="61" t="str">
        <f aca="false">IF(AND(AK342&gt;0,AJ342=0),"측정 기록 없음",IF(AND(AJ342&gt;0,AI342=0),"운동평가 기록 없음",IF(OR(COUNTIF(입력_운동!$B$5:$B$1004,$A342)&gt;1,COUNTIF(입력_측정!$B$5:$B$1004,$A342)&gt;1),"중복 입력","")))</f>
        <v/>
      </c>
      <c r="AI342" s="62" t="n">
        <f aca="false">SUMPRODUCT(MAX((입력_운동!$B$5:$B$1004=$A342)*(ROW(입력_운동!$B$5:$B$1004)-4)))</f>
        <v>0</v>
      </c>
      <c r="AJ342" s="62" t="n">
        <f aca="false">SUMPRODUCT(MAX((입력_측정!$B$5:$B$1004=$A342)*(ROW(입력_측정!$B$5:$B$1004)-4)))</f>
        <v>0</v>
      </c>
      <c r="AK342" s="62" t="n">
        <f aca="false">SUMPRODUCT(MAX((입력_상담!$B$5:$B$1004=$A342)*(ROW(입력_상담!$B$5:$B$1004)-4)))</f>
        <v>0</v>
      </c>
    </row>
    <row r="343" customFormat="false" ht="15" hidden="false" customHeight="false" outlineLevel="0" collapsed="false">
      <c r="A343" s="55" t="n">
        <v>339</v>
      </c>
      <c r="B343" s="56"/>
      <c r="C343" s="24"/>
      <c r="D343" s="24"/>
      <c r="E343" s="56"/>
      <c r="F343" s="57"/>
      <c r="G343" s="58"/>
      <c r="H343" s="56"/>
      <c r="I343" s="24"/>
      <c r="J343" s="24"/>
      <c r="K343" s="24"/>
      <c r="L343" s="24"/>
      <c r="M343" s="24"/>
      <c r="N343" s="56"/>
      <c r="O343" s="25" t="str">
        <f aca="false">IF($AI343=0,"",IF(INDEX(입력_운동!$C$5:$C$1004,$AI343)="","",INDEX(입력_운동!$C$5:$C$1004,$AI343)))</f>
        <v/>
      </c>
      <c r="P343" s="25" t="str">
        <f aca="false">IF($AI343=0,"",IF(INDEX(입력_운동!$D$5:$D$1004,$AI343)="","",INDEX(입력_운동!$D$5:$D$1004,$AI343)))</f>
        <v/>
      </c>
      <c r="Q343" s="25" t="str">
        <f aca="false">IF($AI343=0,"",IF(INDEX(입력_운동!$E$5:$E$1004,$AI343)="","",INDEX(입력_운동!$E$5:$E$1004,$AI343)))</f>
        <v/>
      </c>
      <c r="R343" s="25" t="str">
        <f aca="false">IF($AI343=0,"",IF(INDEX(입력_운동!$F$5:$F$1004,$AI343)="","",INDEX(입력_운동!$F$5:$F$1004,$AI343)))</f>
        <v/>
      </c>
      <c r="S343" s="25" t="str">
        <f aca="false">IF($AJ343=0,"",IF(INDEX(입력_측정!$C$5:$C$1004,$AJ343)="","",INDEX(입력_측정!$C$5:$C$1004,$AJ343)))</f>
        <v/>
      </c>
      <c r="T343" s="25" t="str">
        <f aca="false">IF($AJ343=0,"",IF(INDEX(입력_측정!$D$5:$D$1004,$AJ343)="","",INDEX(입력_측정!$D$5:$D$1004,$AJ343)))</f>
        <v/>
      </c>
      <c r="U343" s="25" t="str">
        <f aca="false">IF($AJ343=0,"",IF(INDEX(입력_측정!$E$5:$E$1004,$AJ343)="","",INDEX(입력_측정!$E$5:$E$1004,$AJ343)))</f>
        <v/>
      </c>
      <c r="V343" s="25" t="str">
        <f aca="false">IF($AJ343=0,"",IF(INDEX(입력_측정!$F$5:$F$1004,$AJ343)="","",INDEX(입력_측정!$F$5:$F$1004,$AJ343)))</f>
        <v/>
      </c>
      <c r="W343" s="25" t="str">
        <f aca="false">IF($AK343=0,"",IF(INDEX(입력_상담!$D$5:$D$1004,$AK343)="","",INDEX(입력_상담!$D$5:$D$1004,$AK343)))</f>
        <v/>
      </c>
      <c r="X343" s="25" t="str">
        <f aca="false">IF($AJ343=0,"",IF(INDEX(입력_측정!$I$5:$I$1004,$AJ343)="","",INDEX(입력_측정!$I$5:$I$1004,$AJ343)))</f>
        <v/>
      </c>
      <c r="Y343" s="25" t="str">
        <f aca="false">IF($AJ343=0,"",IF(INDEX(입력_측정!$J$5:$J$1004,$AJ343)="","",INDEX(입력_측정!$J$5:$J$1004,$AJ343)))</f>
        <v/>
      </c>
      <c r="Z343" s="25" t="str">
        <f aca="false">IF(OR(X343="긴급",LEFT(Y343,2)="긴급",W343="필요",W343="완료"),"대상","")</f>
        <v/>
      </c>
      <c r="AA343" s="59" t="str">
        <f aca="false">IF(M343&lt;&gt;"",M343,IF(AK343&gt;0,IF(W343="필요","추가상담 대기","완료"),IF(AJ343&gt;0,"결과상담 대기",IF(AI343&gt;0,"측정 대기","미방문"))))</f>
        <v>미방문</v>
      </c>
      <c r="AB343" s="60" t="str">
        <f aca="false">IF($AI343=0,"",IF(INDEX(입력_운동!$A$5:$A$1004,$AI343)="","",INDEX(입력_운동!$A$5:$A$1004,$AI343)))</f>
        <v/>
      </c>
      <c r="AC343" s="60" t="str">
        <f aca="false">IF($AJ343=0,"",IF(INDEX(입력_측정!$A$5:$A$1004,$AJ343)="","",INDEX(입력_측정!$A$5:$A$1004,$AJ343)))</f>
        <v/>
      </c>
      <c r="AD343" s="60" t="str">
        <f aca="false">IF($AK343=0,"",IF(INDEX(입력_상담!$A$5:$A$1004,$AK343)="","",INDEX(입력_상담!$A$5:$A$1004,$AK343)))</f>
        <v/>
      </c>
      <c r="AE343" s="25" t="str">
        <f aca="false">IF(AND(ISNUMBER(AB343),ISNUMBER(AC343)),IF(AC343&gt;=AB343,ROUND((AC343-AB343)*1440,0),""),"")</f>
        <v/>
      </c>
      <c r="AF343" s="25" t="str">
        <f aca="false">IF(AND(ISNUMBER(AC343),ISNUMBER(AD343)),IF(AD343&gt;=AC343,ROUND((AD343-AC343)*1440,0),""),"")</f>
        <v/>
      </c>
      <c r="AG343" s="25" t="str">
        <f aca="false">IF(AND(AA343="완료",ISNUMBER(AB343),ISNUMBER(AD343)),IF(AD343&gt;=AB343,ROUND((AD343-AB343)*1440,0),""),"")</f>
        <v/>
      </c>
      <c r="AH343" s="61" t="str">
        <f aca="false">IF(AND(AK343&gt;0,AJ343=0),"측정 기록 없음",IF(AND(AJ343&gt;0,AI343=0),"운동평가 기록 없음",IF(OR(COUNTIF(입력_운동!$B$5:$B$1004,$A343)&gt;1,COUNTIF(입력_측정!$B$5:$B$1004,$A343)&gt;1),"중복 입력","")))</f>
        <v/>
      </c>
      <c r="AI343" s="62" t="n">
        <f aca="false">SUMPRODUCT(MAX((입력_운동!$B$5:$B$1004=$A343)*(ROW(입력_운동!$B$5:$B$1004)-4)))</f>
        <v>0</v>
      </c>
      <c r="AJ343" s="62" t="n">
        <f aca="false">SUMPRODUCT(MAX((입력_측정!$B$5:$B$1004=$A343)*(ROW(입력_측정!$B$5:$B$1004)-4)))</f>
        <v>0</v>
      </c>
      <c r="AK343" s="62" t="n">
        <f aca="false">SUMPRODUCT(MAX((입력_상담!$B$5:$B$1004=$A343)*(ROW(입력_상담!$B$5:$B$1004)-4)))</f>
        <v>0</v>
      </c>
    </row>
    <row r="344" customFormat="false" ht="15" hidden="false" customHeight="false" outlineLevel="0" collapsed="false">
      <c r="A344" s="55" t="n">
        <v>340</v>
      </c>
      <c r="B344" s="56"/>
      <c r="C344" s="24"/>
      <c r="D344" s="24"/>
      <c r="E344" s="56"/>
      <c r="F344" s="57"/>
      <c r="G344" s="58"/>
      <c r="H344" s="56"/>
      <c r="I344" s="24"/>
      <c r="J344" s="24"/>
      <c r="K344" s="24"/>
      <c r="L344" s="24"/>
      <c r="M344" s="24"/>
      <c r="N344" s="56"/>
      <c r="O344" s="25" t="str">
        <f aca="false">IF($AI344=0,"",IF(INDEX(입력_운동!$C$5:$C$1004,$AI344)="","",INDEX(입력_운동!$C$5:$C$1004,$AI344)))</f>
        <v/>
      </c>
      <c r="P344" s="25" t="str">
        <f aca="false">IF($AI344=0,"",IF(INDEX(입력_운동!$D$5:$D$1004,$AI344)="","",INDEX(입력_운동!$D$5:$D$1004,$AI344)))</f>
        <v/>
      </c>
      <c r="Q344" s="25" t="str">
        <f aca="false">IF($AI344=0,"",IF(INDEX(입력_운동!$E$5:$E$1004,$AI344)="","",INDEX(입력_운동!$E$5:$E$1004,$AI344)))</f>
        <v/>
      </c>
      <c r="R344" s="25" t="str">
        <f aca="false">IF($AI344=0,"",IF(INDEX(입력_운동!$F$5:$F$1004,$AI344)="","",INDEX(입력_운동!$F$5:$F$1004,$AI344)))</f>
        <v/>
      </c>
      <c r="S344" s="25" t="str">
        <f aca="false">IF($AJ344=0,"",IF(INDEX(입력_측정!$C$5:$C$1004,$AJ344)="","",INDEX(입력_측정!$C$5:$C$1004,$AJ344)))</f>
        <v/>
      </c>
      <c r="T344" s="25" t="str">
        <f aca="false">IF($AJ344=0,"",IF(INDEX(입력_측정!$D$5:$D$1004,$AJ344)="","",INDEX(입력_측정!$D$5:$D$1004,$AJ344)))</f>
        <v/>
      </c>
      <c r="U344" s="25" t="str">
        <f aca="false">IF($AJ344=0,"",IF(INDEX(입력_측정!$E$5:$E$1004,$AJ344)="","",INDEX(입력_측정!$E$5:$E$1004,$AJ344)))</f>
        <v/>
      </c>
      <c r="V344" s="25" t="str">
        <f aca="false">IF($AJ344=0,"",IF(INDEX(입력_측정!$F$5:$F$1004,$AJ344)="","",INDEX(입력_측정!$F$5:$F$1004,$AJ344)))</f>
        <v/>
      </c>
      <c r="W344" s="25" t="str">
        <f aca="false">IF($AK344=0,"",IF(INDEX(입력_상담!$D$5:$D$1004,$AK344)="","",INDEX(입력_상담!$D$5:$D$1004,$AK344)))</f>
        <v/>
      </c>
      <c r="X344" s="25" t="str">
        <f aca="false">IF($AJ344=0,"",IF(INDEX(입력_측정!$I$5:$I$1004,$AJ344)="","",INDEX(입력_측정!$I$5:$I$1004,$AJ344)))</f>
        <v/>
      </c>
      <c r="Y344" s="25" t="str">
        <f aca="false">IF($AJ344=0,"",IF(INDEX(입력_측정!$J$5:$J$1004,$AJ344)="","",INDEX(입력_측정!$J$5:$J$1004,$AJ344)))</f>
        <v/>
      </c>
      <c r="Z344" s="25" t="str">
        <f aca="false">IF(OR(X344="긴급",LEFT(Y344,2)="긴급",W344="필요",W344="완료"),"대상","")</f>
        <v/>
      </c>
      <c r="AA344" s="59" t="str">
        <f aca="false">IF(M344&lt;&gt;"",M344,IF(AK344&gt;0,IF(W344="필요","추가상담 대기","완료"),IF(AJ344&gt;0,"결과상담 대기",IF(AI344&gt;0,"측정 대기","미방문"))))</f>
        <v>미방문</v>
      </c>
      <c r="AB344" s="60" t="str">
        <f aca="false">IF($AI344=0,"",IF(INDEX(입력_운동!$A$5:$A$1004,$AI344)="","",INDEX(입력_운동!$A$5:$A$1004,$AI344)))</f>
        <v/>
      </c>
      <c r="AC344" s="60" t="str">
        <f aca="false">IF($AJ344=0,"",IF(INDEX(입력_측정!$A$5:$A$1004,$AJ344)="","",INDEX(입력_측정!$A$5:$A$1004,$AJ344)))</f>
        <v/>
      </c>
      <c r="AD344" s="60" t="str">
        <f aca="false">IF($AK344=0,"",IF(INDEX(입력_상담!$A$5:$A$1004,$AK344)="","",INDEX(입력_상담!$A$5:$A$1004,$AK344)))</f>
        <v/>
      </c>
      <c r="AE344" s="25" t="str">
        <f aca="false">IF(AND(ISNUMBER(AB344),ISNUMBER(AC344)),IF(AC344&gt;=AB344,ROUND((AC344-AB344)*1440,0),""),"")</f>
        <v/>
      </c>
      <c r="AF344" s="25" t="str">
        <f aca="false">IF(AND(ISNUMBER(AC344),ISNUMBER(AD344)),IF(AD344&gt;=AC344,ROUND((AD344-AC344)*1440,0),""),"")</f>
        <v/>
      </c>
      <c r="AG344" s="25" t="str">
        <f aca="false">IF(AND(AA344="완료",ISNUMBER(AB344),ISNUMBER(AD344)),IF(AD344&gt;=AB344,ROUND((AD344-AB344)*1440,0),""),"")</f>
        <v/>
      </c>
      <c r="AH344" s="61" t="str">
        <f aca="false">IF(AND(AK344&gt;0,AJ344=0),"측정 기록 없음",IF(AND(AJ344&gt;0,AI344=0),"운동평가 기록 없음",IF(OR(COUNTIF(입력_운동!$B$5:$B$1004,$A344)&gt;1,COUNTIF(입력_측정!$B$5:$B$1004,$A344)&gt;1),"중복 입력","")))</f>
        <v/>
      </c>
      <c r="AI344" s="62" t="n">
        <f aca="false">SUMPRODUCT(MAX((입력_운동!$B$5:$B$1004=$A344)*(ROW(입력_운동!$B$5:$B$1004)-4)))</f>
        <v>0</v>
      </c>
      <c r="AJ344" s="62" t="n">
        <f aca="false">SUMPRODUCT(MAX((입력_측정!$B$5:$B$1004=$A344)*(ROW(입력_측정!$B$5:$B$1004)-4)))</f>
        <v>0</v>
      </c>
      <c r="AK344" s="62" t="n">
        <f aca="false">SUMPRODUCT(MAX((입력_상담!$B$5:$B$1004=$A344)*(ROW(입력_상담!$B$5:$B$1004)-4)))</f>
        <v>0</v>
      </c>
    </row>
    <row r="345" customFormat="false" ht="15" hidden="false" customHeight="false" outlineLevel="0" collapsed="false">
      <c r="A345" s="55" t="n">
        <v>341</v>
      </c>
      <c r="B345" s="56"/>
      <c r="C345" s="24"/>
      <c r="D345" s="24"/>
      <c r="E345" s="56"/>
      <c r="F345" s="57"/>
      <c r="G345" s="58"/>
      <c r="H345" s="56"/>
      <c r="I345" s="24"/>
      <c r="J345" s="24"/>
      <c r="K345" s="24"/>
      <c r="L345" s="24"/>
      <c r="M345" s="24"/>
      <c r="N345" s="56"/>
      <c r="O345" s="25" t="str">
        <f aca="false">IF($AI345=0,"",IF(INDEX(입력_운동!$C$5:$C$1004,$AI345)="","",INDEX(입력_운동!$C$5:$C$1004,$AI345)))</f>
        <v/>
      </c>
      <c r="P345" s="25" t="str">
        <f aca="false">IF($AI345=0,"",IF(INDEX(입력_운동!$D$5:$D$1004,$AI345)="","",INDEX(입력_운동!$D$5:$D$1004,$AI345)))</f>
        <v/>
      </c>
      <c r="Q345" s="25" t="str">
        <f aca="false">IF($AI345=0,"",IF(INDEX(입력_운동!$E$5:$E$1004,$AI345)="","",INDEX(입력_운동!$E$5:$E$1004,$AI345)))</f>
        <v/>
      </c>
      <c r="R345" s="25" t="str">
        <f aca="false">IF($AI345=0,"",IF(INDEX(입력_운동!$F$5:$F$1004,$AI345)="","",INDEX(입력_운동!$F$5:$F$1004,$AI345)))</f>
        <v/>
      </c>
      <c r="S345" s="25" t="str">
        <f aca="false">IF($AJ345=0,"",IF(INDEX(입력_측정!$C$5:$C$1004,$AJ345)="","",INDEX(입력_측정!$C$5:$C$1004,$AJ345)))</f>
        <v/>
      </c>
      <c r="T345" s="25" t="str">
        <f aca="false">IF($AJ345=0,"",IF(INDEX(입력_측정!$D$5:$D$1004,$AJ345)="","",INDEX(입력_측정!$D$5:$D$1004,$AJ345)))</f>
        <v/>
      </c>
      <c r="U345" s="25" t="str">
        <f aca="false">IF($AJ345=0,"",IF(INDEX(입력_측정!$E$5:$E$1004,$AJ345)="","",INDEX(입력_측정!$E$5:$E$1004,$AJ345)))</f>
        <v/>
      </c>
      <c r="V345" s="25" t="str">
        <f aca="false">IF($AJ345=0,"",IF(INDEX(입력_측정!$F$5:$F$1004,$AJ345)="","",INDEX(입력_측정!$F$5:$F$1004,$AJ345)))</f>
        <v/>
      </c>
      <c r="W345" s="25" t="str">
        <f aca="false">IF($AK345=0,"",IF(INDEX(입력_상담!$D$5:$D$1004,$AK345)="","",INDEX(입력_상담!$D$5:$D$1004,$AK345)))</f>
        <v/>
      </c>
      <c r="X345" s="25" t="str">
        <f aca="false">IF($AJ345=0,"",IF(INDEX(입력_측정!$I$5:$I$1004,$AJ345)="","",INDEX(입력_측정!$I$5:$I$1004,$AJ345)))</f>
        <v/>
      </c>
      <c r="Y345" s="25" t="str">
        <f aca="false">IF($AJ345=0,"",IF(INDEX(입력_측정!$J$5:$J$1004,$AJ345)="","",INDEX(입력_측정!$J$5:$J$1004,$AJ345)))</f>
        <v/>
      </c>
      <c r="Z345" s="25" t="str">
        <f aca="false">IF(OR(X345="긴급",LEFT(Y345,2)="긴급",W345="필요",W345="완료"),"대상","")</f>
        <v/>
      </c>
      <c r="AA345" s="59" t="str">
        <f aca="false">IF(M345&lt;&gt;"",M345,IF(AK345&gt;0,IF(W345="필요","추가상담 대기","완료"),IF(AJ345&gt;0,"결과상담 대기",IF(AI345&gt;0,"측정 대기","미방문"))))</f>
        <v>미방문</v>
      </c>
      <c r="AB345" s="60" t="str">
        <f aca="false">IF($AI345=0,"",IF(INDEX(입력_운동!$A$5:$A$1004,$AI345)="","",INDEX(입력_운동!$A$5:$A$1004,$AI345)))</f>
        <v/>
      </c>
      <c r="AC345" s="60" t="str">
        <f aca="false">IF($AJ345=0,"",IF(INDEX(입력_측정!$A$5:$A$1004,$AJ345)="","",INDEX(입력_측정!$A$5:$A$1004,$AJ345)))</f>
        <v/>
      </c>
      <c r="AD345" s="60" t="str">
        <f aca="false">IF($AK345=0,"",IF(INDEX(입력_상담!$A$5:$A$1004,$AK345)="","",INDEX(입력_상담!$A$5:$A$1004,$AK345)))</f>
        <v/>
      </c>
      <c r="AE345" s="25" t="str">
        <f aca="false">IF(AND(ISNUMBER(AB345),ISNUMBER(AC345)),IF(AC345&gt;=AB345,ROUND((AC345-AB345)*1440,0),""),"")</f>
        <v/>
      </c>
      <c r="AF345" s="25" t="str">
        <f aca="false">IF(AND(ISNUMBER(AC345),ISNUMBER(AD345)),IF(AD345&gt;=AC345,ROUND((AD345-AC345)*1440,0),""),"")</f>
        <v/>
      </c>
      <c r="AG345" s="25" t="str">
        <f aca="false">IF(AND(AA345="완료",ISNUMBER(AB345),ISNUMBER(AD345)),IF(AD345&gt;=AB345,ROUND((AD345-AB345)*1440,0),""),"")</f>
        <v/>
      </c>
      <c r="AH345" s="61" t="str">
        <f aca="false">IF(AND(AK345&gt;0,AJ345=0),"측정 기록 없음",IF(AND(AJ345&gt;0,AI345=0),"운동평가 기록 없음",IF(OR(COUNTIF(입력_운동!$B$5:$B$1004,$A345)&gt;1,COUNTIF(입력_측정!$B$5:$B$1004,$A345)&gt;1),"중복 입력","")))</f>
        <v/>
      </c>
      <c r="AI345" s="62" t="n">
        <f aca="false">SUMPRODUCT(MAX((입력_운동!$B$5:$B$1004=$A345)*(ROW(입력_운동!$B$5:$B$1004)-4)))</f>
        <v>0</v>
      </c>
      <c r="AJ345" s="62" t="n">
        <f aca="false">SUMPRODUCT(MAX((입력_측정!$B$5:$B$1004=$A345)*(ROW(입력_측정!$B$5:$B$1004)-4)))</f>
        <v>0</v>
      </c>
      <c r="AK345" s="62" t="n">
        <f aca="false">SUMPRODUCT(MAX((입력_상담!$B$5:$B$1004=$A345)*(ROW(입력_상담!$B$5:$B$1004)-4)))</f>
        <v>0</v>
      </c>
    </row>
    <row r="346" customFormat="false" ht="15" hidden="false" customHeight="false" outlineLevel="0" collapsed="false">
      <c r="A346" s="55" t="n">
        <v>342</v>
      </c>
      <c r="B346" s="56"/>
      <c r="C346" s="24"/>
      <c r="D346" s="24"/>
      <c r="E346" s="56"/>
      <c r="F346" s="57"/>
      <c r="G346" s="58"/>
      <c r="H346" s="56"/>
      <c r="I346" s="24"/>
      <c r="J346" s="24"/>
      <c r="K346" s="24"/>
      <c r="L346" s="24"/>
      <c r="M346" s="24"/>
      <c r="N346" s="56"/>
      <c r="O346" s="25" t="str">
        <f aca="false">IF($AI346=0,"",IF(INDEX(입력_운동!$C$5:$C$1004,$AI346)="","",INDEX(입력_운동!$C$5:$C$1004,$AI346)))</f>
        <v/>
      </c>
      <c r="P346" s="25" t="str">
        <f aca="false">IF($AI346=0,"",IF(INDEX(입력_운동!$D$5:$D$1004,$AI346)="","",INDEX(입력_운동!$D$5:$D$1004,$AI346)))</f>
        <v/>
      </c>
      <c r="Q346" s="25" t="str">
        <f aca="false">IF($AI346=0,"",IF(INDEX(입력_운동!$E$5:$E$1004,$AI346)="","",INDEX(입력_운동!$E$5:$E$1004,$AI346)))</f>
        <v/>
      </c>
      <c r="R346" s="25" t="str">
        <f aca="false">IF($AI346=0,"",IF(INDEX(입력_운동!$F$5:$F$1004,$AI346)="","",INDEX(입력_운동!$F$5:$F$1004,$AI346)))</f>
        <v/>
      </c>
      <c r="S346" s="25" t="str">
        <f aca="false">IF($AJ346=0,"",IF(INDEX(입력_측정!$C$5:$C$1004,$AJ346)="","",INDEX(입력_측정!$C$5:$C$1004,$AJ346)))</f>
        <v/>
      </c>
      <c r="T346" s="25" t="str">
        <f aca="false">IF($AJ346=0,"",IF(INDEX(입력_측정!$D$5:$D$1004,$AJ346)="","",INDEX(입력_측정!$D$5:$D$1004,$AJ346)))</f>
        <v/>
      </c>
      <c r="U346" s="25" t="str">
        <f aca="false">IF($AJ346=0,"",IF(INDEX(입력_측정!$E$5:$E$1004,$AJ346)="","",INDEX(입력_측정!$E$5:$E$1004,$AJ346)))</f>
        <v/>
      </c>
      <c r="V346" s="25" t="str">
        <f aca="false">IF($AJ346=0,"",IF(INDEX(입력_측정!$F$5:$F$1004,$AJ346)="","",INDEX(입력_측정!$F$5:$F$1004,$AJ346)))</f>
        <v/>
      </c>
      <c r="W346" s="25" t="str">
        <f aca="false">IF($AK346=0,"",IF(INDEX(입력_상담!$D$5:$D$1004,$AK346)="","",INDEX(입력_상담!$D$5:$D$1004,$AK346)))</f>
        <v/>
      </c>
      <c r="X346" s="25" t="str">
        <f aca="false">IF($AJ346=0,"",IF(INDEX(입력_측정!$I$5:$I$1004,$AJ346)="","",INDEX(입력_측정!$I$5:$I$1004,$AJ346)))</f>
        <v/>
      </c>
      <c r="Y346" s="25" t="str">
        <f aca="false">IF($AJ346=0,"",IF(INDEX(입력_측정!$J$5:$J$1004,$AJ346)="","",INDEX(입력_측정!$J$5:$J$1004,$AJ346)))</f>
        <v/>
      </c>
      <c r="Z346" s="25" t="str">
        <f aca="false">IF(OR(X346="긴급",LEFT(Y346,2)="긴급",W346="필요",W346="완료"),"대상","")</f>
        <v/>
      </c>
      <c r="AA346" s="59" t="str">
        <f aca="false">IF(M346&lt;&gt;"",M346,IF(AK346&gt;0,IF(W346="필요","추가상담 대기","완료"),IF(AJ346&gt;0,"결과상담 대기",IF(AI346&gt;0,"측정 대기","미방문"))))</f>
        <v>미방문</v>
      </c>
      <c r="AB346" s="60" t="str">
        <f aca="false">IF($AI346=0,"",IF(INDEX(입력_운동!$A$5:$A$1004,$AI346)="","",INDEX(입력_운동!$A$5:$A$1004,$AI346)))</f>
        <v/>
      </c>
      <c r="AC346" s="60" t="str">
        <f aca="false">IF($AJ346=0,"",IF(INDEX(입력_측정!$A$5:$A$1004,$AJ346)="","",INDEX(입력_측정!$A$5:$A$1004,$AJ346)))</f>
        <v/>
      </c>
      <c r="AD346" s="60" t="str">
        <f aca="false">IF($AK346=0,"",IF(INDEX(입력_상담!$A$5:$A$1004,$AK346)="","",INDEX(입력_상담!$A$5:$A$1004,$AK346)))</f>
        <v/>
      </c>
      <c r="AE346" s="25" t="str">
        <f aca="false">IF(AND(ISNUMBER(AB346),ISNUMBER(AC346)),IF(AC346&gt;=AB346,ROUND((AC346-AB346)*1440,0),""),"")</f>
        <v/>
      </c>
      <c r="AF346" s="25" t="str">
        <f aca="false">IF(AND(ISNUMBER(AC346),ISNUMBER(AD346)),IF(AD346&gt;=AC346,ROUND((AD346-AC346)*1440,0),""),"")</f>
        <v/>
      </c>
      <c r="AG346" s="25" t="str">
        <f aca="false">IF(AND(AA346="완료",ISNUMBER(AB346),ISNUMBER(AD346)),IF(AD346&gt;=AB346,ROUND((AD346-AB346)*1440,0),""),"")</f>
        <v/>
      </c>
      <c r="AH346" s="61" t="str">
        <f aca="false">IF(AND(AK346&gt;0,AJ346=0),"측정 기록 없음",IF(AND(AJ346&gt;0,AI346=0),"운동평가 기록 없음",IF(OR(COUNTIF(입력_운동!$B$5:$B$1004,$A346)&gt;1,COUNTIF(입력_측정!$B$5:$B$1004,$A346)&gt;1),"중복 입력","")))</f>
        <v/>
      </c>
      <c r="AI346" s="62" t="n">
        <f aca="false">SUMPRODUCT(MAX((입력_운동!$B$5:$B$1004=$A346)*(ROW(입력_운동!$B$5:$B$1004)-4)))</f>
        <v>0</v>
      </c>
      <c r="AJ346" s="62" t="n">
        <f aca="false">SUMPRODUCT(MAX((입력_측정!$B$5:$B$1004=$A346)*(ROW(입력_측정!$B$5:$B$1004)-4)))</f>
        <v>0</v>
      </c>
      <c r="AK346" s="62" t="n">
        <f aca="false">SUMPRODUCT(MAX((입력_상담!$B$5:$B$1004=$A346)*(ROW(입력_상담!$B$5:$B$1004)-4)))</f>
        <v>0</v>
      </c>
    </row>
    <row r="347" customFormat="false" ht="15" hidden="false" customHeight="false" outlineLevel="0" collapsed="false">
      <c r="A347" s="55" t="n">
        <v>343</v>
      </c>
      <c r="B347" s="56"/>
      <c r="C347" s="24"/>
      <c r="D347" s="24"/>
      <c r="E347" s="56"/>
      <c r="F347" s="57"/>
      <c r="G347" s="58"/>
      <c r="H347" s="56"/>
      <c r="I347" s="24"/>
      <c r="J347" s="24"/>
      <c r="K347" s="24"/>
      <c r="L347" s="24"/>
      <c r="M347" s="24"/>
      <c r="N347" s="56"/>
      <c r="O347" s="25" t="str">
        <f aca="false">IF($AI347=0,"",IF(INDEX(입력_운동!$C$5:$C$1004,$AI347)="","",INDEX(입력_운동!$C$5:$C$1004,$AI347)))</f>
        <v/>
      </c>
      <c r="P347" s="25" t="str">
        <f aca="false">IF($AI347=0,"",IF(INDEX(입력_운동!$D$5:$D$1004,$AI347)="","",INDEX(입력_운동!$D$5:$D$1004,$AI347)))</f>
        <v/>
      </c>
      <c r="Q347" s="25" t="str">
        <f aca="false">IF($AI347=0,"",IF(INDEX(입력_운동!$E$5:$E$1004,$AI347)="","",INDEX(입력_운동!$E$5:$E$1004,$AI347)))</f>
        <v/>
      </c>
      <c r="R347" s="25" t="str">
        <f aca="false">IF($AI347=0,"",IF(INDEX(입력_운동!$F$5:$F$1004,$AI347)="","",INDEX(입력_운동!$F$5:$F$1004,$AI347)))</f>
        <v/>
      </c>
      <c r="S347" s="25" t="str">
        <f aca="false">IF($AJ347=0,"",IF(INDEX(입력_측정!$C$5:$C$1004,$AJ347)="","",INDEX(입력_측정!$C$5:$C$1004,$AJ347)))</f>
        <v/>
      </c>
      <c r="T347" s="25" t="str">
        <f aca="false">IF($AJ347=0,"",IF(INDEX(입력_측정!$D$5:$D$1004,$AJ347)="","",INDEX(입력_측정!$D$5:$D$1004,$AJ347)))</f>
        <v/>
      </c>
      <c r="U347" s="25" t="str">
        <f aca="false">IF($AJ347=0,"",IF(INDEX(입력_측정!$E$5:$E$1004,$AJ347)="","",INDEX(입력_측정!$E$5:$E$1004,$AJ347)))</f>
        <v/>
      </c>
      <c r="V347" s="25" t="str">
        <f aca="false">IF($AJ347=0,"",IF(INDEX(입력_측정!$F$5:$F$1004,$AJ347)="","",INDEX(입력_측정!$F$5:$F$1004,$AJ347)))</f>
        <v/>
      </c>
      <c r="W347" s="25" t="str">
        <f aca="false">IF($AK347=0,"",IF(INDEX(입력_상담!$D$5:$D$1004,$AK347)="","",INDEX(입력_상담!$D$5:$D$1004,$AK347)))</f>
        <v/>
      </c>
      <c r="X347" s="25" t="str">
        <f aca="false">IF($AJ347=0,"",IF(INDEX(입력_측정!$I$5:$I$1004,$AJ347)="","",INDEX(입력_측정!$I$5:$I$1004,$AJ347)))</f>
        <v/>
      </c>
      <c r="Y347" s="25" t="str">
        <f aca="false">IF($AJ347=0,"",IF(INDEX(입력_측정!$J$5:$J$1004,$AJ347)="","",INDEX(입력_측정!$J$5:$J$1004,$AJ347)))</f>
        <v/>
      </c>
      <c r="Z347" s="25" t="str">
        <f aca="false">IF(OR(X347="긴급",LEFT(Y347,2)="긴급",W347="필요",W347="완료"),"대상","")</f>
        <v/>
      </c>
      <c r="AA347" s="59" t="str">
        <f aca="false">IF(M347&lt;&gt;"",M347,IF(AK347&gt;0,IF(W347="필요","추가상담 대기","완료"),IF(AJ347&gt;0,"결과상담 대기",IF(AI347&gt;0,"측정 대기","미방문"))))</f>
        <v>미방문</v>
      </c>
      <c r="AB347" s="60" t="str">
        <f aca="false">IF($AI347=0,"",IF(INDEX(입력_운동!$A$5:$A$1004,$AI347)="","",INDEX(입력_운동!$A$5:$A$1004,$AI347)))</f>
        <v/>
      </c>
      <c r="AC347" s="60" t="str">
        <f aca="false">IF($AJ347=0,"",IF(INDEX(입력_측정!$A$5:$A$1004,$AJ347)="","",INDEX(입력_측정!$A$5:$A$1004,$AJ347)))</f>
        <v/>
      </c>
      <c r="AD347" s="60" t="str">
        <f aca="false">IF($AK347=0,"",IF(INDEX(입력_상담!$A$5:$A$1004,$AK347)="","",INDEX(입력_상담!$A$5:$A$1004,$AK347)))</f>
        <v/>
      </c>
      <c r="AE347" s="25" t="str">
        <f aca="false">IF(AND(ISNUMBER(AB347),ISNUMBER(AC347)),IF(AC347&gt;=AB347,ROUND((AC347-AB347)*1440,0),""),"")</f>
        <v/>
      </c>
      <c r="AF347" s="25" t="str">
        <f aca="false">IF(AND(ISNUMBER(AC347),ISNUMBER(AD347)),IF(AD347&gt;=AC347,ROUND((AD347-AC347)*1440,0),""),"")</f>
        <v/>
      </c>
      <c r="AG347" s="25" t="str">
        <f aca="false">IF(AND(AA347="완료",ISNUMBER(AB347),ISNUMBER(AD347)),IF(AD347&gt;=AB347,ROUND((AD347-AB347)*1440,0),""),"")</f>
        <v/>
      </c>
      <c r="AH347" s="61" t="str">
        <f aca="false">IF(AND(AK347&gt;0,AJ347=0),"측정 기록 없음",IF(AND(AJ347&gt;0,AI347=0),"운동평가 기록 없음",IF(OR(COUNTIF(입력_운동!$B$5:$B$1004,$A347)&gt;1,COUNTIF(입력_측정!$B$5:$B$1004,$A347)&gt;1),"중복 입력","")))</f>
        <v/>
      </c>
      <c r="AI347" s="62" t="n">
        <f aca="false">SUMPRODUCT(MAX((입력_운동!$B$5:$B$1004=$A347)*(ROW(입력_운동!$B$5:$B$1004)-4)))</f>
        <v>0</v>
      </c>
      <c r="AJ347" s="62" t="n">
        <f aca="false">SUMPRODUCT(MAX((입력_측정!$B$5:$B$1004=$A347)*(ROW(입력_측정!$B$5:$B$1004)-4)))</f>
        <v>0</v>
      </c>
      <c r="AK347" s="62" t="n">
        <f aca="false">SUMPRODUCT(MAX((입력_상담!$B$5:$B$1004=$A347)*(ROW(입력_상담!$B$5:$B$1004)-4)))</f>
        <v>0</v>
      </c>
    </row>
    <row r="348" customFormat="false" ht="15" hidden="false" customHeight="false" outlineLevel="0" collapsed="false">
      <c r="A348" s="55" t="n">
        <v>344</v>
      </c>
      <c r="B348" s="56"/>
      <c r="C348" s="24"/>
      <c r="D348" s="24"/>
      <c r="E348" s="56"/>
      <c r="F348" s="57"/>
      <c r="G348" s="58"/>
      <c r="H348" s="56"/>
      <c r="I348" s="24"/>
      <c r="J348" s="24"/>
      <c r="K348" s="24"/>
      <c r="L348" s="24"/>
      <c r="M348" s="24"/>
      <c r="N348" s="56"/>
      <c r="O348" s="25" t="str">
        <f aca="false">IF($AI348=0,"",IF(INDEX(입력_운동!$C$5:$C$1004,$AI348)="","",INDEX(입력_운동!$C$5:$C$1004,$AI348)))</f>
        <v/>
      </c>
      <c r="P348" s="25" t="str">
        <f aca="false">IF($AI348=0,"",IF(INDEX(입력_운동!$D$5:$D$1004,$AI348)="","",INDEX(입력_운동!$D$5:$D$1004,$AI348)))</f>
        <v/>
      </c>
      <c r="Q348" s="25" t="str">
        <f aca="false">IF($AI348=0,"",IF(INDEX(입력_운동!$E$5:$E$1004,$AI348)="","",INDEX(입력_운동!$E$5:$E$1004,$AI348)))</f>
        <v/>
      </c>
      <c r="R348" s="25" t="str">
        <f aca="false">IF($AI348=0,"",IF(INDEX(입력_운동!$F$5:$F$1004,$AI348)="","",INDEX(입력_운동!$F$5:$F$1004,$AI348)))</f>
        <v/>
      </c>
      <c r="S348" s="25" t="str">
        <f aca="false">IF($AJ348=0,"",IF(INDEX(입력_측정!$C$5:$C$1004,$AJ348)="","",INDEX(입력_측정!$C$5:$C$1004,$AJ348)))</f>
        <v/>
      </c>
      <c r="T348" s="25" t="str">
        <f aca="false">IF($AJ348=0,"",IF(INDEX(입력_측정!$D$5:$D$1004,$AJ348)="","",INDEX(입력_측정!$D$5:$D$1004,$AJ348)))</f>
        <v/>
      </c>
      <c r="U348" s="25" t="str">
        <f aca="false">IF($AJ348=0,"",IF(INDEX(입력_측정!$E$5:$E$1004,$AJ348)="","",INDEX(입력_측정!$E$5:$E$1004,$AJ348)))</f>
        <v/>
      </c>
      <c r="V348" s="25" t="str">
        <f aca="false">IF($AJ348=0,"",IF(INDEX(입력_측정!$F$5:$F$1004,$AJ348)="","",INDEX(입력_측정!$F$5:$F$1004,$AJ348)))</f>
        <v/>
      </c>
      <c r="W348" s="25" t="str">
        <f aca="false">IF($AK348=0,"",IF(INDEX(입력_상담!$D$5:$D$1004,$AK348)="","",INDEX(입력_상담!$D$5:$D$1004,$AK348)))</f>
        <v/>
      </c>
      <c r="X348" s="25" t="str">
        <f aca="false">IF($AJ348=0,"",IF(INDEX(입력_측정!$I$5:$I$1004,$AJ348)="","",INDEX(입력_측정!$I$5:$I$1004,$AJ348)))</f>
        <v/>
      </c>
      <c r="Y348" s="25" t="str">
        <f aca="false">IF($AJ348=0,"",IF(INDEX(입력_측정!$J$5:$J$1004,$AJ348)="","",INDEX(입력_측정!$J$5:$J$1004,$AJ348)))</f>
        <v/>
      </c>
      <c r="Z348" s="25" t="str">
        <f aca="false">IF(OR(X348="긴급",LEFT(Y348,2)="긴급",W348="필요",W348="완료"),"대상","")</f>
        <v/>
      </c>
      <c r="AA348" s="59" t="str">
        <f aca="false">IF(M348&lt;&gt;"",M348,IF(AK348&gt;0,IF(W348="필요","추가상담 대기","완료"),IF(AJ348&gt;0,"결과상담 대기",IF(AI348&gt;0,"측정 대기","미방문"))))</f>
        <v>미방문</v>
      </c>
      <c r="AB348" s="60" t="str">
        <f aca="false">IF($AI348=0,"",IF(INDEX(입력_운동!$A$5:$A$1004,$AI348)="","",INDEX(입력_운동!$A$5:$A$1004,$AI348)))</f>
        <v/>
      </c>
      <c r="AC348" s="60" t="str">
        <f aca="false">IF($AJ348=0,"",IF(INDEX(입력_측정!$A$5:$A$1004,$AJ348)="","",INDEX(입력_측정!$A$5:$A$1004,$AJ348)))</f>
        <v/>
      </c>
      <c r="AD348" s="60" t="str">
        <f aca="false">IF($AK348=0,"",IF(INDEX(입력_상담!$A$5:$A$1004,$AK348)="","",INDEX(입력_상담!$A$5:$A$1004,$AK348)))</f>
        <v/>
      </c>
      <c r="AE348" s="25" t="str">
        <f aca="false">IF(AND(ISNUMBER(AB348),ISNUMBER(AC348)),IF(AC348&gt;=AB348,ROUND((AC348-AB348)*1440,0),""),"")</f>
        <v/>
      </c>
      <c r="AF348" s="25" t="str">
        <f aca="false">IF(AND(ISNUMBER(AC348),ISNUMBER(AD348)),IF(AD348&gt;=AC348,ROUND((AD348-AC348)*1440,0),""),"")</f>
        <v/>
      </c>
      <c r="AG348" s="25" t="str">
        <f aca="false">IF(AND(AA348="완료",ISNUMBER(AB348),ISNUMBER(AD348)),IF(AD348&gt;=AB348,ROUND((AD348-AB348)*1440,0),""),"")</f>
        <v/>
      </c>
      <c r="AH348" s="61" t="str">
        <f aca="false">IF(AND(AK348&gt;0,AJ348=0),"측정 기록 없음",IF(AND(AJ348&gt;0,AI348=0),"운동평가 기록 없음",IF(OR(COUNTIF(입력_운동!$B$5:$B$1004,$A348)&gt;1,COUNTIF(입력_측정!$B$5:$B$1004,$A348)&gt;1),"중복 입력","")))</f>
        <v/>
      </c>
      <c r="AI348" s="62" t="n">
        <f aca="false">SUMPRODUCT(MAX((입력_운동!$B$5:$B$1004=$A348)*(ROW(입력_운동!$B$5:$B$1004)-4)))</f>
        <v>0</v>
      </c>
      <c r="AJ348" s="62" t="n">
        <f aca="false">SUMPRODUCT(MAX((입력_측정!$B$5:$B$1004=$A348)*(ROW(입력_측정!$B$5:$B$1004)-4)))</f>
        <v>0</v>
      </c>
      <c r="AK348" s="62" t="n">
        <f aca="false">SUMPRODUCT(MAX((입력_상담!$B$5:$B$1004=$A348)*(ROW(입력_상담!$B$5:$B$1004)-4)))</f>
        <v>0</v>
      </c>
    </row>
    <row r="349" customFormat="false" ht="15" hidden="false" customHeight="false" outlineLevel="0" collapsed="false">
      <c r="A349" s="55" t="n">
        <v>345</v>
      </c>
      <c r="B349" s="56"/>
      <c r="C349" s="24"/>
      <c r="D349" s="24"/>
      <c r="E349" s="56"/>
      <c r="F349" s="57"/>
      <c r="G349" s="58"/>
      <c r="H349" s="56"/>
      <c r="I349" s="24"/>
      <c r="J349" s="24"/>
      <c r="K349" s="24"/>
      <c r="L349" s="24"/>
      <c r="M349" s="24"/>
      <c r="N349" s="56"/>
      <c r="O349" s="25" t="str">
        <f aca="false">IF($AI349=0,"",IF(INDEX(입력_운동!$C$5:$C$1004,$AI349)="","",INDEX(입력_운동!$C$5:$C$1004,$AI349)))</f>
        <v/>
      </c>
      <c r="P349" s="25" t="str">
        <f aca="false">IF($AI349=0,"",IF(INDEX(입력_운동!$D$5:$D$1004,$AI349)="","",INDEX(입력_운동!$D$5:$D$1004,$AI349)))</f>
        <v/>
      </c>
      <c r="Q349" s="25" t="str">
        <f aca="false">IF($AI349=0,"",IF(INDEX(입력_운동!$E$5:$E$1004,$AI349)="","",INDEX(입력_운동!$E$5:$E$1004,$AI349)))</f>
        <v/>
      </c>
      <c r="R349" s="25" t="str">
        <f aca="false">IF($AI349=0,"",IF(INDEX(입력_운동!$F$5:$F$1004,$AI349)="","",INDEX(입력_운동!$F$5:$F$1004,$AI349)))</f>
        <v/>
      </c>
      <c r="S349" s="25" t="str">
        <f aca="false">IF($AJ349=0,"",IF(INDEX(입력_측정!$C$5:$C$1004,$AJ349)="","",INDEX(입력_측정!$C$5:$C$1004,$AJ349)))</f>
        <v/>
      </c>
      <c r="T349" s="25" t="str">
        <f aca="false">IF($AJ349=0,"",IF(INDEX(입력_측정!$D$5:$D$1004,$AJ349)="","",INDEX(입력_측정!$D$5:$D$1004,$AJ349)))</f>
        <v/>
      </c>
      <c r="U349" s="25" t="str">
        <f aca="false">IF($AJ349=0,"",IF(INDEX(입력_측정!$E$5:$E$1004,$AJ349)="","",INDEX(입력_측정!$E$5:$E$1004,$AJ349)))</f>
        <v/>
      </c>
      <c r="V349" s="25" t="str">
        <f aca="false">IF($AJ349=0,"",IF(INDEX(입력_측정!$F$5:$F$1004,$AJ349)="","",INDEX(입력_측정!$F$5:$F$1004,$AJ349)))</f>
        <v/>
      </c>
      <c r="W349" s="25" t="str">
        <f aca="false">IF($AK349=0,"",IF(INDEX(입력_상담!$D$5:$D$1004,$AK349)="","",INDEX(입력_상담!$D$5:$D$1004,$AK349)))</f>
        <v/>
      </c>
      <c r="X349" s="25" t="str">
        <f aca="false">IF($AJ349=0,"",IF(INDEX(입력_측정!$I$5:$I$1004,$AJ349)="","",INDEX(입력_측정!$I$5:$I$1004,$AJ349)))</f>
        <v/>
      </c>
      <c r="Y349" s="25" t="str">
        <f aca="false">IF($AJ349=0,"",IF(INDEX(입력_측정!$J$5:$J$1004,$AJ349)="","",INDEX(입력_측정!$J$5:$J$1004,$AJ349)))</f>
        <v/>
      </c>
      <c r="Z349" s="25" t="str">
        <f aca="false">IF(OR(X349="긴급",LEFT(Y349,2)="긴급",W349="필요",W349="완료"),"대상","")</f>
        <v/>
      </c>
      <c r="AA349" s="59" t="str">
        <f aca="false">IF(M349&lt;&gt;"",M349,IF(AK349&gt;0,IF(W349="필요","추가상담 대기","완료"),IF(AJ349&gt;0,"결과상담 대기",IF(AI349&gt;0,"측정 대기","미방문"))))</f>
        <v>미방문</v>
      </c>
      <c r="AB349" s="60" t="str">
        <f aca="false">IF($AI349=0,"",IF(INDEX(입력_운동!$A$5:$A$1004,$AI349)="","",INDEX(입력_운동!$A$5:$A$1004,$AI349)))</f>
        <v/>
      </c>
      <c r="AC349" s="60" t="str">
        <f aca="false">IF($AJ349=0,"",IF(INDEX(입력_측정!$A$5:$A$1004,$AJ349)="","",INDEX(입력_측정!$A$5:$A$1004,$AJ349)))</f>
        <v/>
      </c>
      <c r="AD349" s="60" t="str">
        <f aca="false">IF($AK349=0,"",IF(INDEX(입력_상담!$A$5:$A$1004,$AK349)="","",INDEX(입력_상담!$A$5:$A$1004,$AK349)))</f>
        <v/>
      </c>
      <c r="AE349" s="25" t="str">
        <f aca="false">IF(AND(ISNUMBER(AB349),ISNUMBER(AC349)),IF(AC349&gt;=AB349,ROUND((AC349-AB349)*1440,0),""),"")</f>
        <v/>
      </c>
      <c r="AF349" s="25" t="str">
        <f aca="false">IF(AND(ISNUMBER(AC349),ISNUMBER(AD349)),IF(AD349&gt;=AC349,ROUND((AD349-AC349)*1440,0),""),"")</f>
        <v/>
      </c>
      <c r="AG349" s="25" t="str">
        <f aca="false">IF(AND(AA349="완료",ISNUMBER(AB349),ISNUMBER(AD349)),IF(AD349&gt;=AB349,ROUND((AD349-AB349)*1440,0),""),"")</f>
        <v/>
      </c>
      <c r="AH349" s="61" t="str">
        <f aca="false">IF(AND(AK349&gt;0,AJ349=0),"측정 기록 없음",IF(AND(AJ349&gt;0,AI349=0),"운동평가 기록 없음",IF(OR(COUNTIF(입력_운동!$B$5:$B$1004,$A349)&gt;1,COUNTIF(입력_측정!$B$5:$B$1004,$A349)&gt;1),"중복 입력","")))</f>
        <v/>
      </c>
      <c r="AI349" s="62" t="n">
        <f aca="false">SUMPRODUCT(MAX((입력_운동!$B$5:$B$1004=$A349)*(ROW(입력_운동!$B$5:$B$1004)-4)))</f>
        <v>0</v>
      </c>
      <c r="AJ349" s="62" t="n">
        <f aca="false">SUMPRODUCT(MAX((입력_측정!$B$5:$B$1004=$A349)*(ROW(입력_측정!$B$5:$B$1004)-4)))</f>
        <v>0</v>
      </c>
      <c r="AK349" s="62" t="n">
        <f aca="false">SUMPRODUCT(MAX((입력_상담!$B$5:$B$1004=$A349)*(ROW(입력_상담!$B$5:$B$1004)-4)))</f>
        <v>0</v>
      </c>
    </row>
    <row r="350" customFormat="false" ht="15" hidden="false" customHeight="false" outlineLevel="0" collapsed="false">
      <c r="A350" s="55" t="n">
        <v>346</v>
      </c>
      <c r="B350" s="56"/>
      <c r="C350" s="24"/>
      <c r="D350" s="24"/>
      <c r="E350" s="56"/>
      <c r="F350" s="57"/>
      <c r="G350" s="58"/>
      <c r="H350" s="56"/>
      <c r="I350" s="24"/>
      <c r="J350" s="24"/>
      <c r="K350" s="24"/>
      <c r="L350" s="24"/>
      <c r="M350" s="24"/>
      <c r="N350" s="56"/>
      <c r="O350" s="25" t="str">
        <f aca="false">IF($AI350=0,"",IF(INDEX(입력_운동!$C$5:$C$1004,$AI350)="","",INDEX(입력_운동!$C$5:$C$1004,$AI350)))</f>
        <v/>
      </c>
      <c r="P350" s="25" t="str">
        <f aca="false">IF($AI350=0,"",IF(INDEX(입력_운동!$D$5:$D$1004,$AI350)="","",INDEX(입력_운동!$D$5:$D$1004,$AI350)))</f>
        <v/>
      </c>
      <c r="Q350" s="25" t="str">
        <f aca="false">IF($AI350=0,"",IF(INDEX(입력_운동!$E$5:$E$1004,$AI350)="","",INDEX(입력_운동!$E$5:$E$1004,$AI350)))</f>
        <v/>
      </c>
      <c r="R350" s="25" t="str">
        <f aca="false">IF($AI350=0,"",IF(INDEX(입력_운동!$F$5:$F$1004,$AI350)="","",INDEX(입력_운동!$F$5:$F$1004,$AI350)))</f>
        <v/>
      </c>
      <c r="S350" s="25" t="str">
        <f aca="false">IF($AJ350=0,"",IF(INDEX(입력_측정!$C$5:$C$1004,$AJ350)="","",INDEX(입력_측정!$C$5:$C$1004,$AJ350)))</f>
        <v/>
      </c>
      <c r="T350" s="25" t="str">
        <f aca="false">IF($AJ350=0,"",IF(INDEX(입력_측정!$D$5:$D$1004,$AJ350)="","",INDEX(입력_측정!$D$5:$D$1004,$AJ350)))</f>
        <v/>
      </c>
      <c r="U350" s="25" t="str">
        <f aca="false">IF($AJ350=0,"",IF(INDEX(입력_측정!$E$5:$E$1004,$AJ350)="","",INDEX(입력_측정!$E$5:$E$1004,$AJ350)))</f>
        <v/>
      </c>
      <c r="V350" s="25" t="str">
        <f aca="false">IF($AJ350=0,"",IF(INDEX(입력_측정!$F$5:$F$1004,$AJ350)="","",INDEX(입력_측정!$F$5:$F$1004,$AJ350)))</f>
        <v/>
      </c>
      <c r="W350" s="25" t="str">
        <f aca="false">IF($AK350=0,"",IF(INDEX(입력_상담!$D$5:$D$1004,$AK350)="","",INDEX(입력_상담!$D$5:$D$1004,$AK350)))</f>
        <v/>
      </c>
      <c r="X350" s="25" t="str">
        <f aca="false">IF($AJ350=0,"",IF(INDEX(입력_측정!$I$5:$I$1004,$AJ350)="","",INDEX(입력_측정!$I$5:$I$1004,$AJ350)))</f>
        <v/>
      </c>
      <c r="Y350" s="25" t="str">
        <f aca="false">IF($AJ350=0,"",IF(INDEX(입력_측정!$J$5:$J$1004,$AJ350)="","",INDEX(입력_측정!$J$5:$J$1004,$AJ350)))</f>
        <v/>
      </c>
      <c r="Z350" s="25" t="str">
        <f aca="false">IF(OR(X350="긴급",LEFT(Y350,2)="긴급",W350="필요",W350="완료"),"대상","")</f>
        <v/>
      </c>
      <c r="AA350" s="59" t="str">
        <f aca="false">IF(M350&lt;&gt;"",M350,IF(AK350&gt;0,IF(W350="필요","추가상담 대기","완료"),IF(AJ350&gt;0,"결과상담 대기",IF(AI350&gt;0,"측정 대기","미방문"))))</f>
        <v>미방문</v>
      </c>
      <c r="AB350" s="60" t="str">
        <f aca="false">IF($AI350=0,"",IF(INDEX(입력_운동!$A$5:$A$1004,$AI350)="","",INDEX(입력_운동!$A$5:$A$1004,$AI350)))</f>
        <v/>
      </c>
      <c r="AC350" s="60" t="str">
        <f aca="false">IF($AJ350=0,"",IF(INDEX(입력_측정!$A$5:$A$1004,$AJ350)="","",INDEX(입력_측정!$A$5:$A$1004,$AJ350)))</f>
        <v/>
      </c>
      <c r="AD350" s="60" t="str">
        <f aca="false">IF($AK350=0,"",IF(INDEX(입력_상담!$A$5:$A$1004,$AK350)="","",INDEX(입력_상담!$A$5:$A$1004,$AK350)))</f>
        <v/>
      </c>
      <c r="AE350" s="25" t="str">
        <f aca="false">IF(AND(ISNUMBER(AB350),ISNUMBER(AC350)),IF(AC350&gt;=AB350,ROUND((AC350-AB350)*1440,0),""),"")</f>
        <v/>
      </c>
      <c r="AF350" s="25" t="str">
        <f aca="false">IF(AND(ISNUMBER(AC350),ISNUMBER(AD350)),IF(AD350&gt;=AC350,ROUND((AD350-AC350)*1440,0),""),"")</f>
        <v/>
      </c>
      <c r="AG350" s="25" t="str">
        <f aca="false">IF(AND(AA350="완료",ISNUMBER(AB350),ISNUMBER(AD350)),IF(AD350&gt;=AB350,ROUND((AD350-AB350)*1440,0),""),"")</f>
        <v/>
      </c>
      <c r="AH350" s="61" t="str">
        <f aca="false">IF(AND(AK350&gt;0,AJ350=0),"측정 기록 없음",IF(AND(AJ350&gt;0,AI350=0),"운동평가 기록 없음",IF(OR(COUNTIF(입력_운동!$B$5:$B$1004,$A350)&gt;1,COUNTIF(입력_측정!$B$5:$B$1004,$A350)&gt;1),"중복 입력","")))</f>
        <v/>
      </c>
      <c r="AI350" s="62" t="n">
        <f aca="false">SUMPRODUCT(MAX((입력_운동!$B$5:$B$1004=$A350)*(ROW(입력_운동!$B$5:$B$1004)-4)))</f>
        <v>0</v>
      </c>
      <c r="AJ350" s="62" t="n">
        <f aca="false">SUMPRODUCT(MAX((입력_측정!$B$5:$B$1004=$A350)*(ROW(입력_측정!$B$5:$B$1004)-4)))</f>
        <v>0</v>
      </c>
      <c r="AK350" s="62" t="n">
        <f aca="false">SUMPRODUCT(MAX((입력_상담!$B$5:$B$1004=$A350)*(ROW(입력_상담!$B$5:$B$1004)-4)))</f>
        <v>0</v>
      </c>
    </row>
    <row r="351" customFormat="false" ht="15" hidden="false" customHeight="false" outlineLevel="0" collapsed="false">
      <c r="A351" s="55" t="n">
        <v>347</v>
      </c>
      <c r="B351" s="56"/>
      <c r="C351" s="24"/>
      <c r="D351" s="24"/>
      <c r="E351" s="56"/>
      <c r="F351" s="57"/>
      <c r="G351" s="58"/>
      <c r="H351" s="56"/>
      <c r="I351" s="24"/>
      <c r="J351" s="24"/>
      <c r="K351" s="24"/>
      <c r="L351" s="24"/>
      <c r="M351" s="24"/>
      <c r="N351" s="56"/>
      <c r="O351" s="25" t="str">
        <f aca="false">IF($AI351=0,"",IF(INDEX(입력_운동!$C$5:$C$1004,$AI351)="","",INDEX(입력_운동!$C$5:$C$1004,$AI351)))</f>
        <v/>
      </c>
      <c r="P351" s="25" t="str">
        <f aca="false">IF($AI351=0,"",IF(INDEX(입력_운동!$D$5:$D$1004,$AI351)="","",INDEX(입력_운동!$D$5:$D$1004,$AI351)))</f>
        <v/>
      </c>
      <c r="Q351" s="25" t="str">
        <f aca="false">IF($AI351=0,"",IF(INDEX(입력_운동!$E$5:$E$1004,$AI351)="","",INDEX(입력_운동!$E$5:$E$1004,$AI351)))</f>
        <v/>
      </c>
      <c r="R351" s="25" t="str">
        <f aca="false">IF($AI351=0,"",IF(INDEX(입력_운동!$F$5:$F$1004,$AI351)="","",INDEX(입력_운동!$F$5:$F$1004,$AI351)))</f>
        <v/>
      </c>
      <c r="S351" s="25" t="str">
        <f aca="false">IF($AJ351=0,"",IF(INDEX(입력_측정!$C$5:$C$1004,$AJ351)="","",INDEX(입력_측정!$C$5:$C$1004,$AJ351)))</f>
        <v/>
      </c>
      <c r="T351" s="25" t="str">
        <f aca="false">IF($AJ351=0,"",IF(INDEX(입력_측정!$D$5:$D$1004,$AJ351)="","",INDEX(입력_측정!$D$5:$D$1004,$AJ351)))</f>
        <v/>
      </c>
      <c r="U351" s="25" t="str">
        <f aca="false">IF($AJ351=0,"",IF(INDEX(입력_측정!$E$5:$E$1004,$AJ351)="","",INDEX(입력_측정!$E$5:$E$1004,$AJ351)))</f>
        <v/>
      </c>
      <c r="V351" s="25" t="str">
        <f aca="false">IF($AJ351=0,"",IF(INDEX(입력_측정!$F$5:$F$1004,$AJ351)="","",INDEX(입력_측정!$F$5:$F$1004,$AJ351)))</f>
        <v/>
      </c>
      <c r="W351" s="25" t="str">
        <f aca="false">IF($AK351=0,"",IF(INDEX(입력_상담!$D$5:$D$1004,$AK351)="","",INDEX(입력_상담!$D$5:$D$1004,$AK351)))</f>
        <v/>
      </c>
      <c r="X351" s="25" t="str">
        <f aca="false">IF($AJ351=0,"",IF(INDEX(입력_측정!$I$5:$I$1004,$AJ351)="","",INDEX(입력_측정!$I$5:$I$1004,$AJ351)))</f>
        <v/>
      </c>
      <c r="Y351" s="25" t="str">
        <f aca="false">IF($AJ351=0,"",IF(INDEX(입력_측정!$J$5:$J$1004,$AJ351)="","",INDEX(입력_측정!$J$5:$J$1004,$AJ351)))</f>
        <v/>
      </c>
      <c r="Z351" s="25" t="str">
        <f aca="false">IF(OR(X351="긴급",LEFT(Y351,2)="긴급",W351="필요",W351="완료"),"대상","")</f>
        <v/>
      </c>
      <c r="AA351" s="59" t="str">
        <f aca="false">IF(M351&lt;&gt;"",M351,IF(AK351&gt;0,IF(W351="필요","추가상담 대기","완료"),IF(AJ351&gt;0,"결과상담 대기",IF(AI351&gt;0,"측정 대기","미방문"))))</f>
        <v>미방문</v>
      </c>
      <c r="AB351" s="60" t="str">
        <f aca="false">IF($AI351=0,"",IF(INDEX(입력_운동!$A$5:$A$1004,$AI351)="","",INDEX(입력_운동!$A$5:$A$1004,$AI351)))</f>
        <v/>
      </c>
      <c r="AC351" s="60" t="str">
        <f aca="false">IF($AJ351=0,"",IF(INDEX(입력_측정!$A$5:$A$1004,$AJ351)="","",INDEX(입력_측정!$A$5:$A$1004,$AJ351)))</f>
        <v/>
      </c>
      <c r="AD351" s="60" t="str">
        <f aca="false">IF($AK351=0,"",IF(INDEX(입력_상담!$A$5:$A$1004,$AK351)="","",INDEX(입력_상담!$A$5:$A$1004,$AK351)))</f>
        <v/>
      </c>
      <c r="AE351" s="25" t="str">
        <f aca="false">IF(AND(ISNUMBER(AB351),ISNUMBER(AC351)),IF(AC351&gt;=AB351,ROUND((AC351-AB351)*1440,0),""),"")</f>
        <v/>
      </c>
      <c r="AF351" s="25" t="str">
        <f aca="false">IF(AND(ISNUMBER(AC351),ISNUMBER(AD351)),IF(AD351&gt;=AC351,ROUND((AD351-AC351)*1440,0),""),"")</f>
        <v/>
      </c>
      <c r="AG351" s="25" t="str">
        <f aca="false">IF(AND(AA351="완료",ISNUMBER(AB351),ISNUMBER(AD351)),IF(AD351&gt;=AB351,ROUND((AD351-AB351)*1440,0),""),"")</f>
        <v/>
      </c>
      <c r="AH351" s="61" t="str">
        <f aca="false">IF(AND(AK351&gt;0,AJ351=0),"측정 기록 없음",IF(AND(AJ351&gt;0,AI351=0),"운동평가 기록 없음",IF(OR(COUNTIF(입력_운동!$B$5:$B$1004,$A351)&gt;1,COUNTIF(입력_측정!$B$5:$B$1004,$A351)&gt;1),"중복 입력","")))</f>
        <v/>
      </c>
      <c r="AI351" s="62" t="n">
        <f aca="false">SUMPRODUCT(MAX((입력_운동!$B$5:$B$1004=$A351)*(ROW(입력_운동!$B$5:$B$1004)-4)))</f>
        <v>0</v>
      </c>
      <c r="AJ351" s="62" t="n">
        <f aca="false">SUMPRODUCT(MAX((입력_측정!$B$5:$B$1004=$A351)*(ROW(입력_측정!$B$5:$B$1004)-4)))</f>
        <v>0</v>
      </c>
      <c r="AK351" s="62" t="n">
        <f aca="false">SUMPRODUCT(MAX((입력_상담!$B$5:$B$1004=$A351)*(ROW(입력_상담!$B$5:$B$1004)-4)))</f>
        <v>0</v>
      </c>
    </row>
    <row r="352" customFormat="false" ht="15" hidden="false" customHeight="false" outlineLevel="0" collapsed="false">
      <c r="A352" s="55" t="n">
        <v>348</v>
      </c>
      <c r="B352" s="56"/>
      <c r="C352" s="24"/>
      <c r="D352" s="24"/>
      <c r="E352" s="56"/>
      <c r="F352" s="57"/>
      <c r="G352" s="58"/>
      <c r="H352" s="56"/>
      <c r="I352" s="24"/>
      <c r="J352" s="24"/>
      <c r="K352" s="24"/>
      <c r="L352" s="24"/>
      <c r="M352" s="24"/>
      <c r="N352" s="56"/>
      <c r="O352" s="25" t="str">
        <f aca="false">IF($AI352=0,"",IF(INDEX(입력_운동!$C$5:$C$1004,$AI352)="","",INDEX(입력_운동!$C$5:$C$1004,$AI352)))</f>
        <v/>
      </c>
      <c r="P352" s="25" t="str">
        <f aca="false">IF($AI352=0,"",IF(INDEX(입력_운동!$D$5:$D$1004,$AI352)="","",INDEX(입력_운동!$D$5:$D$1004,$AI352)))</f>
        <v/>
      </c>
      <c r="Q352" s="25" t="str">
        <f aca="false">IF($AI352=0,"",IF(INDEX(입력_운동!$E$5:$E$1004,$AI352)="","",INDEX(입력_운동!$E$5:$E$1004,$AI352)))</f>
        <v/>
      </c>
      <c r="R352" s="25" t="str">
        <f aca="false">IF($AI352=0,"",IF(INDEX(입력_운동!$F$5:$F$1004,$AI352)="","",INDEX(입력_운동!$F$5:$F$1004,$AI352)))</f>
        <v/>
      </c>
      <c r="S352" s="25" t="str">
        <f aca="false">IF($AJ352=0,"",IF(INDEX(입력_측정!$C$5:$C$1004,$AJ352)="","",INDEX(입력_측정!$C$5:$C$1004,$AJ352)))</f>
        <v/>
      </c>
      <c r="T352" s="25" t="str">
        <f aca="false">IF($AJ352=0,"",IF(INDEX(입력_측정!$D$5:$D$1004,$AJ352)="","",INDEX(입력_측정!$D$5:$D$1004,$AJ352)))</f>
        <v/>
      </c>
      <c r="U352" s="25" t="str">
        <f aca="false">IF($AJ352=0,"",IF(INDEX(입력_측정!$E$5:$E$1004,$AJ352)="","",INDEX(입력_측정!$E$5:$E$1004,$AJ352)))</f>
        <v/>
      </c>
      <c r="V352" s="25" t="str">
        <f aca="false">IF($AJ352=0,"",IF(INDEX(입력_측정!$F$5:$F$1004,$AJ352)="","",INDEX(입력_측정!$F$5:$F$1004,$AJ352)))</f>
        <v/>
      </c>
      <c r="W352" s="25" t="str">
        <f aca="false">IF($AK352=0,"",IF(INDEX(입력_상담!$D$5:$D$1004,$AK352)="","",INDEX(입력_상담!$D$5:$D$1004,$AK352)))</f>
        <v/>
      </c>
      <c r="X352" s="25" t="str">
        <f aca="false">IF($AJ352=0,"",IF(INDEX(입력_측정!$I$5:$I$1004,$AJ352)="","",INDEX(입력_측정!$I$5:$I$1004,$AJ352)))</f>
        <v/>
      </c>
      <c r="Y352" s="25" t="str">
        <f aca="false">IF($AJ352=0,"",IF(INDEX(입력_측정!$J$5:$J$1004,$AJ352)="","",INDEX(입력_측정!$J$5:$J$1004,$AJ352)))</f>
        <v/>
      </c>
      <c r="Z352" s="25" t="str">
        <f aca="false">IF(OR(X352="긴급",LEFT(Y352,2)="긴급",W352="필요",W352="완료"),"대상","")</f>
        <v/>
      </c>
      <c r="AA352" s="59" t="str">
        <f aca="false">IF(M352&lt;&gt;"",M352,IF(AK352&gt;0,IF(W352="필요","추가상담 대기","완료"),IF(AJ352&gt;0,"결과상담 대기",IF(AI352&gt;0,"측정 대기","미방문"))))</f>
        <v>미방문</v>
      </c>
      <c r="AB352" s="60" t="str">
        <f aca="false">IF($AI352=0,"",IF(INDEX(입력_운동!$A$5:$A$1004,$AI352)="","",INDEX(입력_운동!$A$5:$A$1004,$AI352)))</f>
        <v/>
      </c>
      <c r="AC352" s="60" t="str">
        <f aca="false">IF($AJ352=0,"",IF(INDEX(입력_측정!$A$5:$A$1004,$AJ352)="","",INDEX(입력_측정!$A$5:$A$1004,$AJ352)))</f>
        <v/>
      </c>
      <c r="AD352" s="60" t="str">
        <f aca="false">IF($AK352=0,"",IF(INDEX(입력_상담!$A$5:$A$1004,$AK352)="","",INDEX(입력_상담!$A$5:$A$1004,$AK352)))</f>
        <v/>
      </c>
      <c r="AE352" s="25" t="str">
        <f aca="false">IF(AND(ISNUMBER(AB352),ISNUMBER(AC352)),IF(AC352&gt;=AB352,ROUND((AC352-AB352)*1440,0),""),"")</f>
        <v/>
      </c>
      <c r="AF352" s="25" t="str">
        <f aca="false">IF(AND(ISNUMBER(AC352),ISNUMBER(AD352)),IF(AD352&gt;=AC352,ROUND((AD352-AC352)*1440,0),""),"")</f>
        <v/>
      </c>
      <c r="AG352" s="25" t="str">
        <f aca="false">IF(AND(AA352="완료",ISNUMBER(AB352),ISNUMBER(AD352)),IF(AD352&gt;=AB352,ROUND((AD352-AB352)*1440,0),""),"")</f>
        <v/>
      </c>
      <c r="AH352" s="61" t="str">
        <f aca="false">IF(AND(AK352&gt;0,AJ352=0),"측정 기록 없음",IF(AND(AJ352&gt;0,AI352=0),"운동평가 기록 없음",IF(OR(COUNTIF(입력_운동!$B$5:$B$1004,$A352)&gt;1,COUNTIF(입력_측정!$B$5:$B$1004,$A352)&gt;1),"중복 입력","")))</f>
        <v/>
      </c>
      <c r="AI352" s="62" t="n">
        <f aca="false">SUMPRODUCT(MAX((입력_운동!$B$5:$B$1004=$A352)*(ROW(입력_운동!$B$5:$B$1004)-4)))</f>
        <v>0</v>
      </c>
      <c r="AJ352" s="62" t="n">
        <f aca="false">SUMPRODUCT(MAX((입력_측정!$B$5:$B$1004=$A352)*(ROW(입력_측정!$B$5:$B$1004)-4)))</f>
        <v>0</v>
      </c>
      <c r="AK352" s="62" t="n">
        <f aca="false">SUMPRODUCT(MAX((입력_상담!$B$5:$B$1004=$A352)*(ROW(입력_상담!$B$5:$B$1004)-4)))</f>
        <v>0</v>
      </c>
    </row>
    <row r="353" customFormat="false" ht="15" hidden="false" customHeight="false" outlineLevel="0" collapsed="false">
      <c r="A353" s="55" t="n">
        <v>349</v>
      </c>
      <c r="B353" s="56"/>
      <c r="C353" s="24"/>
      <c r="D353" s="24"/>
      <c r="E353" s="56"/>
      <c r="F353" s="57"/>
      <c r="G353" s="58"/>
      <c r="H353" s="56"/>
      <c r="I353" s="24"/>
      <c r="J353" s="24"/>
      <c r="K353" s="24"/>
      <c r="L353" s="24"/>
      <c r="M353" s="24"/>
      <c r="N353" s="56"/>
      <c r="O353" s="25" t="str">
        <f aca="false">IF($AI353=0,"",IF(INDEX(입력_운동!$C$5:$C$1004,$AI353)="","",INDEX(입력_운동!$C$5:$C$1004,$AI353)))</f>
        <v/>
      </c>
      <c r="P353" s="25" t="str">
        <f aca="false">IF($AI353=0,"",IF(INDEX(입력_운동!$D$5:$D$1004,$AI353)="","",INDEX(입력_운동!$D$5:$D$1004,$AI353)))</f>
        <v/>
      </c>
      <c r="Q353" s="25" t="str">
        <f aca="false">IF($AI353=0,"",IF(INDEX(입력_운동!$E$5:$E$1004,$AI353)="","",INDEX(입력_운동!$E$5:$E$1004,$AI353)))</f>
        <v/>
      </c>
      <c r="R353" s="25" t="str">
        <f aca="false">IF($AI353=0,"",IF(INDEX(입력_운동!$F$5:$F$1004,$AI353)="","",INDEX(입력_운동!$F$5:$F$1004,$AI353)))</f>
        <v/>
      </c>
      <c r="S353" s="25" t="str">
        <f aca="false">IF($AJ353=0,"",IF(INDEX(입력_측정!$C$5:$C$1004,$AJ353)="","",INDEX(입력_측정!$C$5:$C$1004,$AJ353)))</f>
        <v/>
      </c>
      <c r="T353" s="25" t="str">
        <f aca="false">IF($AJ353=0,"",IF(INDEX(입력_측정!$D$5:$D$1004,$AJ353)="","",INDEX(입력_측정!$D$5:$D$1004,$AJ353)))</f>
        <v/>
      </c>
      <c r="U353" s="25" t="str">
        <f aca="false">IF($AJ353=0,"",IF(INDEX(입력_측정!$E$5:$E$1004,$AJ353)="","",INDEX(입력_측정!$E$5:$E$1004,$AJ353)))</f>
        <v/>
      </c>
      <c r="V353" s="25" t="str">
        <f aca="false">IF($AJ353=0,"",IF(INDEX(입력_측정!$F$5:$F$1004,$AJ353)="","",INDEX(입력_측정!$F$5:$F$1004,$AJ353)))</f>
        <v/>
      </c>
      <c r="W353" s="25" t="str">
        <f aca="false">IF($AK353=0,"",IF(INDEX(입력_상담!$D$5:$D$1004,$AK353)="","",INDEX(입력_상담!$D$5:$D$1004,$AK353)))</f>
        <v/>
      </c>
      <c r="X353" s="25" t="str">
        <f aca="false">IF($AJ353=0,"",IF(INDEX(입력_측정!$I$5:$I$1004,$AJ353)="","",INDEX(입력_측정!$I$5:$I$1004,$AJ353)))</f>
        <v/>
      </c>
      <c r="Y353" s="25" t="str">
        <f aca="false">IF($AJ353=0,"",IF(INDEX(입력_측정!$J$5:$J$1004,$AJ353)="","",INDEX(입력_측정!$J$5:$J$1004,$AJ353)))</f>
        <v/>
      </c>
      <c r="Z353" s="25" t="str">
        <f aca="false">IF(OR(X353="긴급",LEFT(Y353,2)="긴급",W353="필요",W353="완료"),"대상","")</f>
        <v/>
      </c>
      <c r="AA353" s="59" t="str">
        <f aca="false">IF(M353&lt;&gt;"",M353,IF(AK353&gt;0,IF(W353="필요","추가상담 대기","완료"),IF(AJ353&gt;0,"결과상담 대기",IF(AI353&gt;0,"측정 대기","미방문"))))</f>
        <v>미방문</v>
      </c>
      <c r="AB353" s="60" t="str">
        <f aca="false">IF($AI353=0,"",IF(INDEX(입력_운동!$A$5:$A$1004,$AI353)="","",INDEX(입력_운동!$A$5:$A$1004,$AI353)))</f>
        <v/>
      </c>
      <c r="AC353" s="60" t="str">
        <f aca="false">IF($AJ353=0,"",IF(INDEX(입력_측정!$A$5:$A$1004,$AJ353)="","",INDEX(입력_측정!$A$5:$A$1004,$AJ353)))</f>
        <v/>
      </c>
      <c r="AD353" s="60" t="str">
        <f aca="false">IF($AK353=0,"",IF(INDEX(입력_상담!$A$5:$A$1004,$AK353)="","",INDEX(입력_상담!$A$5:$A$1004,$AK353)))</f>
        <v/>
      </c>
      <c r="AE353" s="25" t="str">
        <f aca="false">IF(AND(ISNUMBER(AB353),ISNUMBER(AC353)),IF(AC353&gt;=AB353,ROUND((AC353-AB353)*1440,0),""),"")</f>
        <v/>
      </c>
      <c r="AF353" s="25" t="str">
        <f aca="false">IF(AND(ISNUMBER(AC353),ISNUMBER(AD353)),IF(AD353&gt;=AC353,ROUND((AD353-AC353)*1440,0),""),"")</f>
        <v/>
      </c>
      <c r="AG353" s="25" t="str">
        <f aca="false">IF(AND(AA353="완료",ISNUMBER(AB353),ISNUMBER(AD353)),IF(AD353&gt;=AB353,ROUND((AD353-AB353)*1440,0),""),"")</f>
        <v/>
      </c>
      <c r="AH353" s="61" t="str">
        <f aca="false">IF(AND(AK353&gt;0,AJ353=0),"측정 기록 없음",IF(AND(AJ353&gt;0,AI353=0),"운동평가 기록 없음",IF(OR(COUNTIF(입력_운동!$B$5:$B$1004,$A353)&gt;1,COUNTIF(입력_측정!$B$5:$B$1004,$A353)&gt;1),"중복 입력","")))</f>
        <v/>
      </c>
      <c r="AI353" s="62" t="n">
        <f aca="false">SUMPRODUCT(MAX((입력_운동!$B$5:$B$1004=$A353)*(ROW(입력_운동!$B$5:$B$1004)-4)))</f>
        <v>0</v>
      </c>
      <c r="AJ353" s="62" t="n">
        <f aca="false">SUMPRODUCT(MAX((입력_측정!$B$5:$B$1004=$A353)*(ROW(입력_측정!$B$5:$B$1004)-4)))</f>
        <v>0</v>
      </c>
      <c r="AK353" s="62" t="n">
        <f aca="false">SUMPRODUCT(MAX((입력_상담!$B$5:$B$1004=$A353)*(ROW(입력_상담!$B$5:$B$1004)-4)))</f>
        <v>0</v>
      </c>
    </row>
    <row r="354" customFormat="false" ht="15" hidden="false" customHeight="false" outlineLevel="0" collapsed="false">
      <c r="A354" s="55" t="n">
        <v>350</v>
      </c>
      <c r="B354" s="56"/>
      <c r="C354" s="24"/>
      <c r="D354" s="24"/>
      <c r="E354" s="56"/>
      <c r="F354" s="57"/>
      <c r="G354" s="58"/>
      <c r="H354" s="56"/>
      <c r="I354" s="24"/>
      <c r="J354" s="24"/>
      <c r="K354" s="24"/>
      <c r="L354" s="24"/>
      <c r="M354" s="24"/>
      <c r="N354" s="56"/>
      <c r="O354" s="25" t="str">
        <f aca="false">IF($AI354=0,"",IF(INDEX(입력_운동!$C$5:$C$1004,$AI354)="","",INDEX(입력_운동!$C$5:$C$1004,$AI354)))</f>
        <v/>
      </c>
      <c r="P354" s="25" t="str">
        <f aca="false">IF($AI354=0,"",IF(INDEX(입력_운동!$D$5:$D$1004,$AI354)="","",INDEX(입력_운동!$D$5:$D$1004,$AI354)))</f>
        <v/>
      </c>
      <c r="Q354" s="25" t="str">
        <f aca="false">IF($AI354=0,"",IF(INDEX(입력_운동!$E$5:$E$1004,$AI354)="","",INDEX(입력_운동!$E$5:$E$1004,$AI354)))</f>
        <v/>
      </c>
      <c r="R354" s="25" t="str">
        <f aca="false">IF($AI354=0,"",IF(INDEX(입력_운동!$F$5:$F$1004,$AI354)="","",INDEX(입력_운동!$F$5:$F$1004,$AI354)))</f>
        <v/>
      </c>
      <c r="S354" s="25" t="str">
        <f aca="false">IF($AJ354=0,"",IF(INDEX(입력_측정!$C$5:$C$1004,$AJ354)="","",INDEX(입력_측정!$C$5:$C$1004,$AJ354)))</f>
        <v/>
      </c>
      <c r="T354" s="25" t="str">
        <f aca="false">IF($AJ354=0,"",IF(INDEX(입력_측정!$D$5:$D$1004,$AJ354)="","",INDEX(입력_측정!$D$5:$D$1004,$AJ354)))</f>
        <v/>
      </c>
      <c r="U354" s="25" t="str">
        <f aca="false">IF($AJ354=0,"",IF(INDEX(입력_측정!$E$5:$E$1004,$AJ354)="","",INDEX(입력_측정!$E$5:$E$1004,$AJ354)))</f>
        <v/>
      </c>
      <c r="V354" s="25" t="str">
        <f aca="false">IF($AJ354=0,"",IF(INDEX(입력_측정!$F$5:$F$1004,$AJ354)="","",INDEX(입력_측정!$F$5:$F$1004,$AJ354)))</f>
        <v/>
      </c>
      <c r="W354" s="25" t="str">
        <f aca="false">IF($AK354=0,"",IF(INDEX(입력_상담!$D$5:$D$1004,$AK354)="","",INDEX(입력_상담!$D$5:$D$1004,$AK354)))</f>
        <v/>
      </c>
      <c r="X354" s="25" t="str">
        <f aca="false">IF($AJ354=0,"",IF(INDEX(입력_측정!$I$5:$I$1004,$AJ354)="","",INDEX(입력_측정!$I$5:$I$1004,$AJ354)))</f>
        <v/>
      </c>
      <c r="Y354" s="25" t="str">
        <f aca="false">IF($AJ354=0,"",IF(INDEX(입력_측정!$J$5:$J$1004,$AJ354)="","",INDEX(입력_측정!$J$5:$J$1004,$AJ354)))</f>
        <v/>
      </c>
      <c r="Z354" s="25" t="str">
        <f aca="false">IF(OR(X354="긴급",LEFT(Y354,2)="긴급",W354="필요",W354="완료"),"대상","")</f>
        <v/>
      </c>
      <c r="AA354" s="59" t="str">
        <f aca="false">IF(M354&lt;&gt;"",M354,IF(AK354&gt;0,IF(W354="필요","추가상담 대기","완료"),IF(AJ354&gt;0,"결과상담 대기",IF(AI354&gt;0,"측정 대기","미방문"))))</f>
        <v>미방문</v>
      </c>
      <c r="AB354" s="60" t="str">
        <f aca="false">IF($AI354=0,"",IF(INDEX(입력_운동!$A$5:$A$1004,$AI354)="","",INDEX(입력_운동!$A$5:$A$1004,$AI354)))</f>
        <v/>
      </c>
      <c r="AC354" s="60" t="str">
        <f aca="false">IF($AJ354=0,"",IF(INDEX(입력_측정!$A$5:$A$1004,$AJ354)="","",INDEX(입력_측정!$A$5:$A$1004,$AJ354)))</f>
        <v/>
      </c>
      <c r="AD354" s="60" t="str">
        <f aca="false">IF($AK354=0,"",IF(INDEX(입력_상담!$A$5:$A$1004,$AK354)="","",INDEX(입력_상담!$A$5:$A$1004,$AK354)))</f>
        <v/>
      </c>
      <c r="AE354" s="25" t="str">
        <f aca="false">IF(AND(ISNUMBER(AB354),ISNUMBER(AC354)),IF(AC354&gt;=AB354,ROUND((AC354-AB354)*1440,0),""),"")</f>
        <v/>
      </c>
      <c r="AF354" s="25" t="str">
        <f aca="false">IF(AND(ISNUMBER(AC354),ISNUMBER(AD354)),IF(AD354&gt;=AC354,ROUND((AD354-AC354)*1440,0),""),"")</f>
        <v/>
      </c>
      <c r="AG354" s="25" t="str">
        <f aca="false">IF(AND(AA354="완료",ISNUMBER(AB354),ISNUMBER(AD354)),IF(AD354&gt;=AB354,ROUND((AD354-AB354)*1440,0),""),"")</f>
        <v/>
      </c>
      <c r="AH354" s="61" t="str">
        <f aca="false">IF(AND(AK354&gt;0,AJ354=0),"측정 기록 없음",IF(AND(AJ354&gt;0,AI354=0),"운동평가 기록 없음",IF(OR(COUNTIF(입력_운동!$B$5:$B$1004,$A354)&gt;1,COUNTIF(입력_측정!$B$5:$B$1004,$A354)&gt;1),"중복 입력","")))</f>
        <v/>
      </c>
      <c r="AI354" s="62" t="n">
        <f aca="false">SUMPRODUCT(MAX((입력_운동!$B$5:$B$1004=$A354)*(ROW(입력_운동!$B$5:$B$1004)-4)))</f>
        <v>0</v>
      </c>
      <c r="AJ354" s="62" t="n">
        <f aca="false">SUMPRODUCT(MAX((입력_측정!$B$5:$B$1004=$A354)*(ROW(입력_측정!$B$5:$B$1004)-4)))</f>
        <v>0</v>
      </c>
      <c r="AK354" s="62" t="n">
        <f aca="false">SUMPRODUCT(MAX((입력_상담!$B$5:$B$1004=$A354)*(ROW(입력_상담!$B$5:$B$1004)-4)))</f>
        <v>0</v>
      </c>
    </row>
    <row r="355" customFormat="false" ht="15" hidden="false" customHeight="false" outlineLevel="0" collapsed="false">
      <c r="A355" s="55" t="n">
        <v>351</v>
      </c>
      <c r="B355" s="56"/>
      <c r="C355" s="24"/>
      <c r="D355" s="24"/>
      <c r="E355" s="56"/>
      <c r="F355" s="57"/>
      <c r="G355" s="58"/>
      <c r="H355" s="56"/>
      <c r="I355" s="24"/>
      <c r="J355" s="24"/>
      <c r="K355" s="24"/>
      <c r="L355" s="24"/>
      <c r="M355" s="24"/>
      <c r="N355" s="56"/>
      <c r="O355" s="25" t="str">
        <f aca="false">IF($AI355=0,"",IF(INDEX(입력_운동!$C$5:$C$1004,$AI355)="","",INDEX(입력_운동!$C$5:$C$1004,$AI355)))</f>
        <v/>
      </c>
      <c r="P355" s="25" t="str">
        <f aca="false">IF($AI355=0,"",IF(INDEX(입력_운동!$D$5:$D$1004,$AI355)="","",INDEX(입력_운동!$D$5:$D$1004,$AI355)))</f>
        <v/>
      </c>
      <c r="Q355" s="25" t="str">
        <f aca="false">IF($AI355=0,"",IF(INDEX(입력_운동!$E$5:$E$1004,$AI355)="","",INDEX(입력_운동!$E$5:$E$1004,$AI355)))</f>
        <v/>
      </c>
      <c r="R355" s="25" t="str">
        <f aca="false">IF($AI355=0,"",IF(INDEX(입력_운동!$F$5:$F$1004,$AI355)="","",INDEX(입력_운동!$F$5:$F$1004,$AI355)))</f>
        <v/>
      </c>
      <c r="S355" s="25" t="str">
        <f aca="false">IF($AJ355=0,"",IF(INDEX(입력_측정!$C$5:$C$1004,$AJ355)="","",INDEX(입력_측정!$C$5:$C$1004,$AJ355)))</f>
        <v/>
      </c>
      <c r="T355" s="25" t="str">
        <f aca="false">IF($AJ355=0,"",IF(INDEX(입력_측정!$D$5:$D$1004,$AJ355)="","",INDEX(입력_측정!$D$5:$D$1004,$AJ355)))</f>
        <v/>
      </c>
      <c r="U355" s="25" t="str">
        <f aca="false">IF($AJ355=0,"",IF(INDEX(입력_측정!$E$5:$E$1004,$AJ355)="","",INDEX(입력_측정!$E$5:$E$1004,$AJ355)))</f>
        <v/>
      </c>
      <c r="V355" s="25" t="str">
        <f aca="false">IF($AJ355=0,"",IF(INDEX(입력_측정!$F$5:$F$1004,$AJ355)="","",INDEX(입력_측정!$F$5:$F$1004,$AJ355)))</f>
        <v/>
      </c>
      <c r="W355" s="25" t="str">
        <f aca="false">IF($AK355=0,"",IF(INDEX(입력_상담!$D$5:$D$1004,$AK355)="","",INDEX(입력_상담!$D$5:$D$1004,$AK355)))</f>
        <v/>
      </c>
      <c r="X355" s="25" t="str">
        <f aca="false">IF($AJ355=0,"",IF(INDEX(입력_측정!$I$5:$I$1004,$AJ355)="","",INDEX(입력_측정!$I$5:$I$1004,$AJ355)))</f>
        <v/>
      </c>
      <c r="Y355" s="25" t="str">
        <f aca="false">IF($AJ355=0,"",IF(INDEX(입력_측정!$J$5:$J$1004,$AJ355)="","",INDEX(입력_측정!$J$5:$J$1004,$AJ355)))</f>
        <v/>
      </c>
      <c r="Z355" s="25" t="str">
        <f aca="false">IF(OR(X355="긴급",LEFT(Y355,2)="긴급",W355="필요",W355="완료"),"대상","")</f>
        <v/>
      </c>
      <c r="AA355" s="59" t="str">
        <f aca="false">IF(M355&lt;&gt;"",M355,IF(AK355&gt;0,IF(W355="필요","추가상담 대기","완료"),IF(AJ355&gt;0,"결과상담 대기",IF(AI355&gt;0,"측정 대기","미방문"))))</f>
        <v>미방문</v>
      </c>
      <c r="AB355" s="60" t="str">
        <f aca="false">IF($AI355=0,"",IF(INDEX(입력_운동!$A$5:$A$1004,$AI355)="","",INDEX(입력_운동!$A$5:$A$1004,$AI355)))</f>
        <v/>
      </c>
      <c r="AC355" s="60" t="str">
        <f aca="false">IF($AJ355=0,"",IF(INDEX(입력_측정!$A$5:$A$1004,$AJ355)="","",INDEX(입력_측정!$A$5:$A$1004,$AJ355)))</f>
        <v/>
      </c>
      <c r="AD355" s="60" t="str">
        <f aca="false">IF($AK355=0,"",IF(INDEX(입력_상담!$A$5:$A$1004,$AK355)="","",INDEX(입력_상담!$A$5:$A$1004,$AK355)))</f>
        <v/>
      </c>
      <c r="AE355" s="25" t="str">
        <f aca="false">IF(AND(ISNUMBER(AB355),ISNUMBER(AC355)),IF(AC355&gt;=AB355,ROUND((AC355-AB355)*1440,0),""),"")</f>
        <v/>
      </c>
      <c r="AF355" s="25" t="str">
        <f aca="false">IF(AND(ISNUMBER(AC355),ISNUMBER(AD355)),IF(AD355&gt;=AC355,ROUND((AD355-AC355)*1440,0),""),"")</f>
        <v/>
      </c>
      <c r="AG355" s="25" t="str">
        <f aca="false">IF(AND(AA355="완료",ISNUMBER(AB355),ISNUMBER(AD355)),IF(AD355&gt;=AB355,ROUND((AD355-AB355)*1440,0),""),"")</f>
        <v/>
      </c>
      <c r="AH355" s="61" t="str">
        <f aca="false">IF(AND(AK355&gt;0,AJ355=0),"측정 기록 없음",IF(AND(AJ355&gt;0,AI355=0),"운동평가 기록 없음",IF(OR(COUNTIF(입력_운동!$B$5:$B$1004,$A355)&gt;1,COUNTIF(입력_측정!$B$5:$B$1004,$A355)&gt;1),"중복 입력","")))</f>
        <v/>
      </c>
      <c r="AI355" s="62" t="n">
        <f aca="false">SUMPRODUCT(MAX((입력_운동!$B$5:$B$1004=$A355)*(ROW(입력_운동!$B$5:$B$1004)-4)))</f>
        <v>0</v>
      </c>
      <c r="AJ355" s="62" t="n">
        <f aca="false">SUMPRODUCT(MAX((입력_측정!$B$5:$B$1004=$A355)*(ROW(입력_측정!$B$5:$B$1004)-4)))</f>
        <v>0</v>
      </c>
      <c r="AK355" s="62" t="n">
        <f aca="false">SUMPRODUCT(MAX((입력_상담!$B$5:$B$1004=$A355)*(ROW(입력_상담!$B$5:$B$1004)-4)))</f>
        <v>0</v>
      </c>
    </row>
    <row r="356" customFormat="false" ht="15" hidden="false" customHeight="false" outlineLevel="0" collapsed="false">
      <c r="A356" s="55" t="n">
        <v>352</v>
      </c>
      <c r="B356" s="56"/>
      <c r="C356" s="24"/>
      <c r="D356" s="24"/>
      <c r="E356" s="56"/>
      <c r="F356" s="57"/>
      <c r="G356" s="58"/>
      <c r="H356" s="56"/>
      <c r="I356" s="24"/>
      <c r="J356" s="24"/>
      <c r="K356" s="24"/>
      <c r="L356" s="24"/>
      <c r="M356" s="24"/>
      <c r="N356" s="56"/>
      <c r="O356" s="25" t="str">
        <f aca="false">IF($AI356=0,"",IF(INDEX(입력_운동!$C$5:$C$1004,$AI356)="","",INDEX(입력_운동!$C$5:$C$1004,$AI356)))</f>
        <v/>
      </c>
      <c r="P356" s="25" t="str">
        <f aca="false">IF($AI356=0,"",IF(INDEX(입력_운동!$D$5:$D$1004,$AI356)="","",INDEX(입력_운동!$D$5:$D$1004,$AI356)))</f>
        <v/>
      </c>
      <c r="Q356" s="25" t="str">
        <f aca="false">IF($AI356=0,"",IF(INDEX(입력_운동!$E$5:$E$1004,$AI356)="","",INDEX(입력_운동!$E$5:$E$1004,$AI356)))</f>
        <v/>
      </c>
      <c r="R356" s="25" t="str">
        <f aca="false">IF($AI356=0,"",IF(INDEX(입력_운동!$F$5:$F$1004,$AI356)="","",INDEX(입력_운동!$F$5:$F$1004,$AI356)))</f>
        <v/>
      </c>
      <c r="S356" s="25" t="str">
        <f aca="false">IF($AJ356=0,"",IF(INDEX(입력_측정!$C$5:$C$1004,$AJ356)="","",INDEX(입력_측정!$C$5:$C$1004,$AJ356)))</f>
        <v/>
      </c>
      <c r="T356" s="25" t="str">
        <f aca="false">IF($AJ356=0,"",IF(INDEX(입력_측정!$D$5:$D$1004,$AJ356)="","",INDEX(입력_측정!$D$5:$D$1004,$AJ356)))</f>
        <v/>
      </c>
      <c r="U356" s="25" t="str">
        <f aca="false">IF($AJ356=0,"",IF(INDEX(입력_측정!$E$5:$E$1004,$AJ356)="","",INDEX(입력_측정!$E$5:$E$1004,$AJ356)))</f>
        <v/>
      </c>
      <c r="V356" s="25" t="str">
        <f aca="false">IF($AJ356=0,"",IF(INDEX(입력_측정!$F$5:$F$1004,$AJ356)="","",INDEX(입력_측정!$F$5:$F$1004,$AJ356)))</f>
        <v/>
      </c>
      <c r="W356" s="25" t="str">
        <f aca="false">IF($AK356=0,"",IF(INDEX(입력_상담!$D$5:$D$1004,$AK356)="","",INDEX(입력_상담!$D$5:$D$1004,$AK356)))</f>
        <v/>
      </c>
      <c r="X356" s="25" t="str">
        <f aca="false">IF($AJ356=0,"",IF(INDEX(입력_측정!$I$5:$I$1004,$AJ356)="","",INDEX(입력_측정!$I$5:$I$1004,$AJ356)))</f>
        <v/>
      </c>
      <c r="Y356" s="25" t="str">
        <f aca="false">IF($AJ356=0,"",IF(INDEX(입력_측정!$J$5:$J$1004,$AJ356)="","",INDEX(입력_측정!$J$5:$J$1004,$AJ356)))</f>
        <v/>
      </c>
      <c r="Z356" s="25" t="str">
        <f aca="false">IF(OR(X356="긴급",LEFT(Y356,2)="긴급",W356="필요",W356="완료"),"대상","")</f>
        <v/>
      </c>
      <c r="AA356" s="59" t="str">
        <f aca="false">IF(M356&lt;&gt;"",M356,IF(AK356&gt;0,IF(W356="필요","추가상담 대기","완료"),IF(AJ356&gt;0,"결과상담 대기",IF(AI356&gt;0,"측정 대기","미방문"))))</f>
        <v>미방문</v>
      </c>
      <c r="AB356" s="60" t="str">
        <f aca="false">IF($AI356=0,"",IF(INDEX(입력_운동!$A$5:$A$1004,$AI356)="","",INDEX(입력_운동!$A$5:$A$1004,$AI356)))</f>
        <v/>
      </c>
      <c r="AC356" s="60" t="str">
        <f aca="false">IF($AJ356=0,"",IF(INDEX(입력_측정!$A$5:$A$1004,$AJ356)="","",INDEX(입력_측정!$A$5:$A$1004,$AJ356)))</f>
        <v/>
      </c>
      <c r="AD356" s="60" t="str">
        <f aca="false">IF($AK356=0,"",IF(INDEX(입력_상담!$A$5:$A$1004,$AK356)="","",INDEX(입력_상담!$A$5:$A$1004,$AK356)))</f>
        <v/>
      </c>
      <c r="AE356" s="25" t="str">
        <f aca="false">IF(AND(ISNUMBER(AB356),ISNUMBER(AC356)),IF(AC356&gt;=AB356,ROUND((AC356-AB356)*1440,0),""),"")</f>
        <v/>
      </c>
      <c r="AF356" s="25" t="str">
        <f aca="false">IF(AND(ISNUMBER(AC356),ISNUMBER(AD356)),IF(AD356&gt;=AC356,ROUND((AD356-AC356)*1440,0),""),"")</f>
        <v/>
      </c>
      <c r="AG356" s="25" t="str">
        <f aca="false">IF(AND(AA356="완료",ISNUMBER(AB356),ISNUMBER(AD356)),IF(AD356&gt;=AB356,ROUND((AD356-AB356)*1440,0),""),"")</f>
        <v/>
      </c>
      <c r="AH356" s="61" t="str">
        <f aca="false">IF(AND(AK356&gt;0,AJ356=0),"측정 기록 없음",IF(AND(AJ356&gt;0,AI356=0),"운동평가 기록 없음",IF(OR(COUNTIF(입력_운동!$B$5:$B$1004,$A356)&gt;1,COUNTIF(입력_측정!$B$5:$B$1004,$A356)&gt;1),"중복 입력","")))</f>
        <v/>
      </c>
      <c r="AI356" s="62" t="n">
        <f aca="false">SUMPRODUCT(MAX((입력_운동!$B$5:$B$1004=$A356)*(ROW(입력_운동!$B$5:$B$1004)-4)))</f>
        <v>0</v>
      </c>
      <c r="AJ356" s="62" t="n">
        <f aca="false">SUMPRODUCT(MAX((입력_측정!$B$5:$B$1004=$A356)*(ROW(입력_측정!$B$5:$B$1004)-4)))</f>
        <v>0</v>
      </c>
      <c r="AK356" s="62" t="n">
        <f aca="false">SUMPRODUCT(MAX((입력_상담!$B$5:$B$1004=$A356)*(ROW(입력_상담!$B$5:$B$1004)-4)))</f>
        <v>0</v>
      </c>
    </row>
    <row r="357" customFormat="false" ht="15" hidden="false" customHeight="false" outlineLevel="0" collapsed="false">
      <c r="A357" s="55" t="n">
        <v>353</v>
      </c>
      <c r="B357" s="56"/>
      <c r="C357" s="24"/>
      <c r="D357" s="24"/>
      <c r="E357" s="56"/>
      <c r="F357" s="57"/>
      <c r="G357" s="58"/>
      <c r="H357" s="56"/>
      <c r="I357" s="24"/>
      <c r="J357" s="24"/>
      <c r="K357" s="24"/>
      <c r="L357" s="24"/>
      <c r="M357" s="24"/>
      <c r="N357" s="56"/>
      <c r="O357" s="25" t="str">
        <f aca="false">IF($AI357=0,"",IF(INDEX(입력_운동!$C$5:$C$1004,$AI357)="","",INDEX(입력_운동!$C$5:$C$1004,$AI357)))</f>
        <v/>
      </c>
      <c r="P357" s="25" t="str">
        <f aca="false">IF($AI357=0,"",IF(INDEX(입력_운동!$D$5:$D$1004,$AI357)="","",INDEX(입력_운동!$D$5:$D$1004,$AI357)))</f>
        <v/>
      </c>
      <c r="Q357" s="25" t="str">
        <f aca="false">IF($AI357=0,"",IF(INDEX(입력_운동!$E$5:$E$1004,$AI357)="","",INDEX(입력_운동!$E$5:$E$1004,$AI357)))</f>
        <v/>
      </c>
      <c r="R357" s="25" t="str">
        <f aca="false">IF($AI357=0,"",IF(INDEX(입력_운동!$F$5:$F$1004,$AI357)="","",INDEX(입력_운동!$F$5:$F$1004,$AI357)))</f>
        <v/>
      </c>
      <c r="S357" s="25" t="str">
        <f aca="false">IF($AJ357=0,"",IF(INDEX(입력_측정!$C$5:$C$1004,$AJ357)="","",INDEX(입력_측정!$C$5:$C$1004,$AJ357)))</f>
        <v/>
      </c>
      <c r="T357" s="25" t="str">
        <f aca="false">IF($AJ357=0,"",IF(INDEX(입력_측정!$D$5:$D$1004,$AJ357)="","",INDEX(입력_측정!$D$5:$D$1004,$AJ357)))</f>
        <v/>
      </c>
      <c r="U357" s="25" t="str">
        <f aca="false">IF($AJ357=0,"",IF(INDEX(입력_측정!$E$5:$E$1004,$AJ357)="","",INDEX(입력_측정!$E$5:$E$1004,$AJ357)))</f>
        <v/>
      </c>
      <c r="V357" s="25" t="str">
        <f aca="false">IF($AJ357=0,"",IF(INDEX(입력_측정!$F$5:$F$1004,$AJ357)="","",INDEX(입력_측정!$F$5:$F$1004,$AJ357)))</f>
        <v/>
      </c>
      <c r="W357" s="25" t="str">
        <f aca="false">IF($AK357=0,"",IF(INDEX(입력_상담!$D$5:$D$1004,$AK357)="","",INDEX(입력_상담!$D$5:$D$1004,$AK357)))</f>
        <v/>
      </c>
      <c r="X357" s="25" t="str">
        <f aca="false">IF($AJ357=0,"",IF(INDEX(입력_측정!$I$5:$I$1004,$AJ357)="","",INDEX(입력_측정!$I$5:$I$1004,$AJ357)))</f>
        <v/>
      </c>
      <c r="Y357" s="25" t="str">
        <f aca="false">IF($AJ357=0,"",IF(INDEX(입력_측정!$J$5:$J$1004,$AJ357)="","",INDEX(입력_측정!$J$5:$J$1004,$AJ357)))</f>
        <v/>
      </c>
      <c r="Z357" s="25" t="str">
        <f aca="false">IF(OR(X357="긴급",LEFT(Y357,2)="긴급",W357="필요",W357="완료"),"대상","")</f>
        <v/>
      </c>
      <c r="AA357" s="59" t="str">
        <f aca="false">IF(M357&lt;&gt;"",M357,IF(AK357&gt;0,IF(W357="필요","추가상담 대기","완료"),IF(AJ357&gt;0,"결과상담 대기",IF(AI357&gt;0,"측정 대기","미방문"))))</f>
        <v>미방문</v>
      </c>
      <c r="AB357" s="60" t="str">
        <f aca="false">IF($AI357=0,"",IF(INDEX(입력_운동!$A$5:$A$1004,$AI357)="","",INDEX(입력_운동!$A$5:$A$1004,$AI357)))</f>
        <v/>
      </c>
      <c r="AC357" s="60" t="str">
        <f aca="false">IF($AJ357=0,"",IF(INDEX(입력_측정!$A$5:$A$1004,$AJ357)="","",INDEX(입력_측정!$A$5:$A$1004,$AJ357)))</f>
        <v/>
      </c>
      <c r="AD357" s="60" t="str">
        <f aca="false">IF($AK357=0,"",IF(INDEX(입력_상담!$A$5:$A$1004,$AK357)="","",INDEX(입력_상담!$A$5:$A$1004,$AK357)))</f>
        <v/>
      </c>
      <c r="AE357" s="25" t="str">
        <f aca="false">IF(AND(ISNUMBER(AB357),ISNUMBER(AC357)),IF(AC357&gt;=AB357,ROUND((AC357-AB357)*1440,0),""),"")</f>
        <v/>
      </c>
      <c r="AF357" s="25" t="str">
        <f aca="false">IF(AND(ISNUMBER(AC357),ISNUMBER(AD357)),IF(AD357&gt;=AC357,ROUND((AD357-AC357)*1440,0),""),"")</f>
        <v/>
      </c>
      <c r="AG357" s="25" t="str">
        <f aca="false">IF(AND(AA357="완료",ISNUMBER(AB357),ISNUMBER(AD357)),IF(AD357&gt;=AB357,ROUND((AD357-AB357)*1440,0),""),"")</f>
        <v/>
      </c>
      <c r="AH357" s="61" t="str">
        <f aca="false">IF(AND(AK357&gt;0,AJ357=0),"측정 기록 없음",IF(AND(AJ357&gt;0,AI357=0),"운동평가 기록 없음",IF(OR(COUNTIF(입력_운동!$B$5:$B$1004,$A357)&gt;1,COUNTIF(입력_측정!$B$5:$B$1004,$A357)&gt;1),"중복 입력","")))</f>
        <v/>
      </c>
      <c r="AI357" s="62" t="n">
        <f aca="false">SUMPRODUCT(MAX((입력_운동!$B$5:$B$1004=$A357)*(ROW(입력_운동!$B$5:$B$1004)-4)))</f>
        <v>0</v>
      </c>
      <c r="AJ357" s="62" t="n">
        <f aca="false">SUMPRODUCT(MAX((입력_측정!$B$5:$B$1004=$A357)*(ROW(입력_측정!$B$5:$B$1004)-4)))</f>
        <v>0</v>
      </c>
      <c r="AK357" s="62" t="n">
        <f aca="false">SUMPRODUCT(MAX((입력_상담!$B$5:$B$1004=$A357)*(ROW(입력_상담!$B$5:$B$1004)-4)))</f>
        <v>0</v>
      </c>
    </row>
    <row r="358" customFormat="false" ht="15" hidden="false" customHeight="false" outlineLevel="0" collapsed="false">
      <c r="A358" s="55" t="n">
        <v>354</v>
      </c>
      <c r="B358" s="56"/>
      <c r="C358" s="24"/>
      <c r="D358" s="24"/>
      <c r="E358" s="56"/>
      <c r="F358" s="57"/>
      <c r="G358" s="58"/>
      <c r="H358" s="56"/>
      <c r="I358" s="24"/>
      <c r="J358" s="24"/>
      <c r="K358" s="24"/>
      <c r="L358" s="24"/>
      <c r="M358" s="24"/>
      <c r="N358" s="56"/>
      <c r="O358" s="25" t="str">
        <f aca="false">IF($AI358=0,"",IF(INDEX(입력_운동!$C$5:$C$1004,$AI358)="","",INDEX(입력_운동!$C$5:$C$1004,$AI358)))</f>
        <v/>
      </c>
      <c r="P358" s="25" t="str">
        <f aca="false">IF($AI358=0,"",IF(INDEX(입력_운동!$D$5:$D$1004,$AI358)="","",INDEX(입력_운동!$D$5:$D$1004,$AI358)))</f>
        <v/>
      </c>
      <c r="Q358" s="25" t="str">
        <f aca="false">IF($AI358=0,"",IF(INDEX(입력_운동!$E$5:$E$1004,$AI358)="","",INDEX(입력_운동!$E$5:$E$1004,$AI358)))</f>
        <v/>
      </c>
      <c r="R358" s="25" t="str">
        <f aca="false">IF($AI358=0,"",IF(INDEX(입력_운동!$F$5:$F$1004,$AI358)="","",INDEX(입력_운동!$F$5:$F$1004,$AI358)))</f>
        <v/>
      </c>
      <c r="S358" s="25" t="str">
        <f aca="false">IF($AJ358=0,"",IF(INDEX(입력_측정!$C$5:$C$1004,$AJ358)="","",INDEX(입력_측정!$C$5:$C$1004,$AJ358)))</f>
        <v/>
      </c>
      <c r="T358" s="25" t="str">
        <f aca="false">IF($AJ358=0,"",IF(INDEX(입력_측정!$D$5:$D$1004,$AJ358)="","",INDEX(입력_측정!$D$5:$D$1004,$AJ358)))</f>
        <v/>
      </c>
      <c r="U358" s="25" t="str">
        <f aca="false">IF($AJ358=0,"",IF(INDEX(입력_측정!$E$5:$E$1004,$AJ358)="","",INDEX(입력_측정!$E$5:$E$1004,$AJ358)))</f>
        <v/>
      </c>
      <c r="V358" s="25" t="str">
        <f aca="false">IF($AJ358=0,"",IF(INDEX(입력_측정!$F$5:$F$1004,$AJ358)="","",INDEX(입력_측정!$F$5:$F$1004,$AJ358)))</f>
        <v/>
      </c>
      <c r="W358" s="25" t="str">
        <f aca="false">IF($AK358=0,"",IF(INDEX(입력_상담!$D$5:$D$1004,$AK358)="","",INDEX(입력_상담!$D$5:$D$1004,$AK358)))</f>
        <v/>
      </c>
      <c r="X358" s="25" t="str">
        <f aca="false">IF($AJ358=0,"",IF(INDEX(입력_측정!$I$5:$I$1004,$AJ358)="","",INDEX(입력_측정!$I$5:$I$1004,$AJ358)))</f>
        <v/>
      </c>
      <c r="Y358" s="25" t="str">
        <f aca="false">IF($AJ358=0,"",IF(INDEX(입력_측정!$J$5:$J$1004,$AJ358)="","",INDEX(입력_측정!$J$5:$J$1004,$AJ358)))</f>
        <v/>
      </c>
      <c r="Z358" s="25" t="str">
        <f aca="false">IF(OR(X358="긴급",LEFT(Y358,2)="긴급",W358="필요",W358="완료"),"대상","")</f>
        <v/>
      </c>
      <c r="AA358" s="59" t="str">
        <f aca="false">IF(M358&lt;&gt;"",M358,IF(AK358&gt;0,IF(W358="필요","추가상담 대기","완료"),IF(AJ358&gt;0,"결과상담 대기",IF(AI358&gt;0,"측정 대기","미방문"))))</f>
        <v>미방문</v>
      </c>
      <c r="AB358" s="60" t="str">
        <f aca="false">IF($AI358=0,"",IF(INDEX(입력_운동!$A$5:$A$1004,$AI358)="","",INDEX(입력_운동!$A$5:$A$1004,$AI358)))</f>
        <v/>
      </c>
      <c r="AC358" s="60" t="str">
        <f aca="false">IF($AJ358=0,"",IF(INDEX(입력_측정!$A$5:$A$1004,$AJ358)="","",INDEX(입력_측정!$A$5:$A$1004,$AJ358)))</f>
        <v/>
      </c>
      <c r="AD358" s="60" t="str">
        <f aca="false">IF($AK358=0,"",IF(INDEX(입력_상담!$A$5:$A$1004,$AK358)="","",INDEX(입력_상담!$A$5:$A$1004,$AK358)))</f>
        <v/>
      </c>
      <c r="AE358" s="25" t="str">
        <f aca="false">IF(AND(ISNUMBER(AB358),ISNUMBER(AC358)),IF(AC358&gt;=AB358,ROUND((AC358-AB358)*1440,0),""),"")</f>
        <v/>
      </c>
      <c r="AF358" s="25" t="str">
        <f aca="false">IF(AND(ISNUMBER(AC358),ISNUMBER(AD358)),IF(AD358&gt;=AC358,ROUND((AD358-AC358)*1440,0),""),"")</f>
        <v/>
      </c>
      <c r="AG358" s="25" t="str">
        <f aca="false">IF(AND(AA358="완료",ISNUMBER(AB358),ISNUMBER(AD358)),IF(AD358&gt;=AB358,ROUND((AD358-AB358)*1440,0),""),"")</f>
        <v/>
      </c>
      <c r="AH358" s="61" t="str">
        <f aca="false">IF(AND(AK358&gt;0,AJ358=0),"측정 기록 없음",IF(AND(AJ358&gt;0,AI358=0),"운동평가 기록 없음",IF(OR(COUNTIF(입력_운동!$B$5:$B$1004,$A358)&gt;1,COUNTIF(입력_측정!$B$5:$B$1004,$A358)&gt;1),"중복 입력","")))</f>
        <v/>
      </c>
      <c r="AI358" s="62" t="n">
        <f aca="false">SUMPRODUCT(MAX((입력_운동!$B$5:$B$1004=$A358)*(ROW(입력_운동!$B$5:$B$1004)-4)))</f>
        <v>0</v>
      </c>
      <c r="AJ358" s="62" t="n">
        <f aca="false">SUMPRODUCT(MAX((입력_측정!$B$5:$B$1004=$A358)*(ROW(입력_측정!$B$5:$B$1004)-4)))</f>
        <v>0</v>
      </c>
      <c r="AK358" s="62" t="n">
        <f aca="false">SUMPRODUCT(MAX((입력_상담!$B$5:$B$1004=$A358)*(ROW(입력_상담!$B$5:$B$1004)-4)))</f>
        <v>0</v>
      </c>
    </row>
    <row r="359" customFormat="false" ht="15" hidden="false" customHeight="false" outlineLevel="0" collapsed="false">
      <c r="A359" s="55" t="n">
        <v>355</v>
      </c>
      <c r="B359" s="56"/>
      <c r="C359" s="24"/>
      <c r="D359" s="24"/>
      <c r="E359" s="56"/>
      <c r="F359" s="57"/>
      <c r="G359" s="58"/>
      <c r="H359" s="56"/>
      <c r="I359" s="24"/>
      <c r="J359" s="24"/>
      <c r="K359" s="24"/>
      <c r="L359" s="24"/>
      <c r="M359" s="24"/>
      <c r="N359" s="56"/>
      <c r="O359" s="25" t="str">
        <f aca="false">IF($AI359=0,"",IF(INDEX(입력_운동!$C$5:$C$1004,$AI359)="","",INDEX(입력_운동!$C$5:$C$1004,$AI359)))</f>
        <v/>
      </c>
      <c r="P359" s="25" t="str">
        <f aca="false">IF($AI359=0,"",IF(INDEX(입력_운동!$D$5:$D$1004,$AI359)="","",INDEX(입력_운동!$D$5:$D$1004,$AI359)))</f>
        <v/>
      </c>
      <c r="Q359" s="25" t="str">
        <f aca="false">IF($AI359=0,"",IF(INDEX(입력_운동!$E$5:$E$1004,$AI359)="","",INDEX(입력_운동!$E$5:$E$1004,$AI359)))</f>
        <v/>
      </c>
      <c r="R359" s="25" t="str">
        <f aca="false">IF($AI359=0,"",IF(INDEX(입력_운동!$F$5:$F$1004,$AI359)="","",INDEX(입력_운동!$F$5:$F$1004,$AI359)))</f>
        <v/>
      </c>
      <c r="S359" s="25" t="str">
        <f aca="false">IF($AJ359=0,"",IF(INDEX(입력_측정!$C$5:$C$1004,$AJ359)="","",INDEX(입력_측정!$C$5:$C$1004,$AJ359)))</f>
        <v/>
      </c>
      <c r="T359" s="25" t="str">
        <f aca="false">IF($AJ359=0,"",IF(INDEX(입력_측정!$D$5:$D$1004,$AJ359)="","",INDEX(입력_측정!$D$5:$D$1004,$AJ359)))</f>
        <v/>
      </c>
      <c r="U359" s="25" t="str">
        <f aca="false">IF($AJ359=0,"",IF(INDEX(입력_측정!$E$5:$E$1004,$AJ359)="","",INDEX(입력_측정!$E$5:$E$1004,$AJ359)))</f>
        <v/>
      </c>
      <c r="V359" s="25" t="str">
        <f aca="false">IF($AJ359=0,"",IF(INDEX(입력_측정!$F$5:$F$1004,$AJ359)="","",INDEX(입력_측정!$F$5:$F$1004,$AJ359)))</f>
        <v/>
      </c>
      <c r="W359" s="25" t="str">
        <f aca="false">IF($AK359=0,"",IF(INDEX(입력_상담!$D$5:$D$1004,$AK359)="","",INDEX(입력_상담!$D$5:$D$1004,$AK359)))</f>
        <v/>
      </c>
      <c r="X359" s="25" t="str">
        <f aca="false">IF($AJ359=0,"",IF(INDEX(입력_측정!$I$5:$I$1004,$AJ359)="","",INDEX(입력_측정!$I$5:$I$1004,$AJ359)))</f>
        <v/>
      </c>
      <c r="Y359" s="25" t="str">
        <f aca="false">IF($AJ359=0,"",IF(INDEX(입력_측정!$J$5:$J$1004,$AJ359)="","",INDEX(입력_측정!$J$5:$J$1004,$AJ359)))</f>
        <v/>
      </c>
      <c r="Z359" s="25" t="str">
        <f aca="false">IF(OR(X359="긴급",LEFT(Y359,2)="긴급",W359="필요",W359="완료"),"대상","")</f>
        <v/>
      </c>
      <c r="AA359" s="59" t="str">
        <f aca="false">IF(M359&lt;&gt;"",M359,IF(AK359&gt;0,IF(W359="필요","추가상담 대기","완료"),IF(AJ359&gt;0,"결과상담 대기",IF(AI359&gt;0,"측정 대기","미방문"))))</f>
        <v>미방문</v>
      </c>
      <c r="AB359" s="60" t="str">
        <f aca="false">IF($AI359=0,"",IF(INDEX(입력_운동!$A$5:$A$1004,$AI359)="","",INDEX(입력_운동!$A$5:$A$1004,$AI359)))</f>
        <v/>
      </c>
      <c r="AC359" s="60" t="str">
        <f aca="false">IF($AJ359=0,"",IF(INDEX(입력_측정!$A$5:$A$1004,$AJ359)="","",INDEX(입력_측정!$A$5:$A$1004,$AJ359)))</f>
        <v/>
      </c>
      <c r="AD359" s="60" t="str">
        <f aca="false">IF($AK359=0,"",IF(INDEX(입력_상담!$A$5:$A$1004,$AK359)="","",INDEX(입력_상담!$A$5:$A$1004,$AK359)))</f>
        <v/>
      </c>
      <c r="AE359" s="25" t="str">
        <f aca="false">IF(AND(ISNUMBER(AB359),ISNUMBER(AC359)),IF(AC359&gt;=AB359,ROUND((AC359-AB359)*1440,0),""),"")</f>
        <v/>
      </c>
      <c r="AF359" s="25" t="str">
        <f aca="false">IF(AND(ISNUMBER(AC359),ISNUMBER(AD359)),IF(AD359&gt;=AC359,ROUND((AD359-AC359)*1440,0),""),"")</f>
        <v/>
      </c>
      <c r="AG359" s="25" t="str">
        <f aca="false">IF(AND(AA359="완료",ISNUMBER(AB359),ISNUMBER(AD359)),IF(AD359&gt;=AB359,ROUND((AD359-AB359)*1440,0),""),"")</f>
        <v/>
      </c>
      <c r="AH359" s="61" t="str">
        <f aca="false">IF(AND(AK359&gt;0,AJ359=0),"측정 기록 없음",IF(AND(AJ359&gt;0,AI359=0),"운동평가 기록 없음",IF(OR(COUNTIF(입력_운동!$B$5:$B$1004,$A359)&gt;1,COUNTIF(입력_측정!$B$5:$B$1004,$A359)&gt;1),"중복 입력","")))</f>
        <v/>
      </c>
      <c r="AI359" s="62" t="n">
        <f aca="false">SUMPRODUCT(MAX((입력_운동!$B$5:$B$1004=$A359)*(ROW(입력_운동!$B$5:$B$1004)-4)))</f>
        <v>0</v>
      </c>
      <c r="AJ359" s="62" t="n">
        <f aca="false">SUMPRODUCT(MAX((입력_측정!$B$5:$B$1004=$A359)*(ROW(입력_측정!$B$5:$B$1004)-4)))</f>
        <v>0</v>
      </c>
      <c r="AK359" s="62" t="n">
        <f aca="false">SUMPRODUCT(MAX((입력_상담!$B$5:$B$1004=$A359)*(ROW(입력_상담!$B$5:$B$1004)-4)))</f>
        <v>0</v>
      </c>
    </row>
    <row r="360" customFormat="false" ht="15" hidden="false" customHeight="false" outlineLevel="0" collapsed="false">
      <c r="A360" s="55" t="n">
        <v>356</v>
      </c>
      <c r="B360" s="56"/>
      <c r="C360" s="24"/>
      <c r="D360" s="24"/>
      <c r="E360" s="56"/>
      <c r="F360" s="57"/>
      <c r="G360" s="58"/>
      <c r="H360" s="56"/>
      <c r="I360" s="24"/>
      <c r="J360" s="24"/>
      <c r="K360" s="24"/>
      <c r="L360" s="24"/>
      <c r="M360" s="24"/>
      <c r="N360" s="56"/>
      <c r="O360" s="25" t="str">
        <f aca="false">IF($AI360=0,"",IF(INDEX(입력_운동!$C$5:$C$1004,$AI360)="","",INDEX(입력_운동!$C$5:$C$1004,$AI360)))</f>
        <v/>
      </c>
      <c r="P360" s="25" t="str">
        <f aca="false">IF($AI360=0,"",IF(INDEX(입력_운동!$D$5:$D$1004,$AI360)="","",INDEX(입력_운동!$D$5:$D$1004,$AI360)))</f>
        <v/>
      </c>
      <c r="Q360" s="25" t="str">
        <f aca="false">IF($AI360=0,"",IF(INDEX(입력_운동!$E$5:$E$1004,$AI360)="","",INDEX(입력_운동!$E$5:$E$1004,$AI360)))</f>
        <v/>
      </c>
      <c r="R360" s="25" t="str">
        <f aca="false">IF($AI360=0,"",IF(INDEX(입력_운동!$F$5:$F$1004,$AI360)="","",INDEX(입력_운동!$F$5:$F$1004,$AI360)))</f>
        <v/>
      </c>
      <c r="S360" s="25" t="str">
        <f aca="false">IF($AJ360=0,"",IF(INDEX(입력_측정!$C$5:$C$1004,$AJ360)="","",INDEX(입력_측정!$C$5:$C$1004,$AJ360)))</f>
        <v/>
      </c>
      <c r="T360" s="25" t="str">
        <f aca="false">IF($AJ360=0,"",IF(INDEX(입력_측정!$D$5:$D$1004,$AJ360)="","",INDEX(입력_측정!$D$5:$D$1004,$AJ360)))</f>
        <v/>
      </c>
      <c r="U360" s="25" t="str">
        <f aca="false">IF($AJ360=0,"",IF(INDEX(입력_측정!$E$5:$E$1004,$AJ360)="","",INDEX(입력_측정!$E$5:$E$1004,$AJ360)))</f>
        <v/>
      </c>
      <c r="V360" s="25" t="str">
        <f aca="false">IF($AJ360=0,"",IF(INDEX(입력_측정!$F$5:$F$1004,$AJ360)="","",INDEX(입력_측정!$F$5:$F$1004,$AJ360)))</f>
        <v/>
      </c>
      <c r="W360" s="25" t="str">
        <f aca="false">IF($AK360=0,"",IF(INDEX(입력_상담!$D$5:$D$1004,$AK360)="","",INDEX(입력_상담!$D$5:$D$1004,$AK360)))</f>
        <v/>
      </c>
      <c r="X360" s="25" t="str">
        <f aca="false">IF($AJ360=0,"",IF(INDEX(입력_측정!$I$5:$I$1004,$AJ360)="","",INDEX(입력_측정!$I$5:$I$1004,$AJ360)))</f>
        <v/>
      </c>
      <c r="Y360" s="25" t="str">
        <f aca="false">IF($AJ360=0,"",IF(INDEX(입력_측정!$J$5:$J$1004,$AJ360)="","",INDEX(입력_측정!$J$5:$J$1004,$AJ360)))</f>
        <v/>
      </c>
      <c r="Z360" s="25" t="str">
        <f aca="false">IF(OR(X360="긴급",LEFT(Y360,2)="긴급",W360="필요",W360="완료"),"대상","")</f>
        <v/>
      </c>
      <c r="AA360" s="59" t="str">
        <f aca="false">IF(M360&lt;&gt;"",M360,IF(AK360&gt;0,IF(W360="필요","추가상담 대기","완료"),IF(AJ360&gt;0,"결과상담 대기",IF(AI360&gt;0,"측정 대기","미방문"))))</f>
        <v>미방문</v>
      </c>
      <c r="AB360" s="60" t="str">
        <f aca="false">IF($AI360=0,"",IF(INDEX(입력_운동!$A$5:$A$1004,$AI360)="","",INDEX(입력_운동!$A$5:$A$1004,$AI360)))</f>
        <v/>
      </c>
      <c r="AC360" s="60" t="str">
        <f aca="false">IF($AJ360=0,"",IF(INDEX(입력_측정!$A$5:$A$1004,$AJ360)="","",INDEX(입력_측정!$A$5:$A$1004,$AJ360)))</f>
        <v/>
      </c>
      <c r="AD360" s="60" t="str">
        <f aca="false">IF($AK360=0,"",IF(INDEX(입력_상담!$A$5:$A$1004,$AK360)="","",INDEX(입력_상담!$A$5:$A$1004,$AK360)))</f>
        <v/>
      </c>
      <c r="AE360" s="25" t="str">
        <f aca="false">IF(AND(ISNUMBER(AB360),ISNUMBER(AC360)),IF(AC360&gt;=AB360,ROUND((AC360-AB360)*1440,0),""),"")</f>
        <v/>
      </c>
      <c r="AF360" s="25" t="str">
        <f aca="false">IF(AND(ISNUMBER(AC360),ISNUMBER(AD360)),IF(AD360&gt;=AC360,ROUND((AD360-AC360)*1440,0),""),"")</f>
        <v/>
      </c>
      <c r="AG360" s="25" t="str">
        <f aca="false">IF(AND(AA360="완료",ISNUMBER(AB360),ISNUMBER(AD360)),IF(AD360&gt;=AB360,ROUND((AD360-AB360)*1440,0),""),"")</f>
        <v/>
      </c>
      <c r="AH360" s="61" t="str">
        <f aca="false">IF(AND(AK360&gt;0,AJ360=0),"측정 기록 없음",IF(AND(AJ360&gt;0,AI360=0),"운동평가 기록 없음",IF(OR(COUNTIF(입력_운동!$B$5:$B$1004,$A360)&gt;1,COUNTIF(입력_측정!$B$5:$B$1004,$A360)&gt;1),"중복 입력","")))</f>
        <v/>
      </c>
      <c r="AI360" s="62" t="n">
        <f aca="false">SUMPRODUCT(MAX((입력_운동!$B$5:$B$1004=$A360)*(ROW(입력_운동!$B$5:$B$1004)-4)))</f>
        <v>0</v>
      </c>
      <c r="AJ360" s="62" t="n">
        <f aca="false">SUMPRODUCT(MAX((입력_측정!$B$5:$B$1004=$A360)*(ROW(입력_측정!$B$5:$B$1004)-4)))</f>
        <v>0</v>
      </c>
      <c r="AK360" s="62" t="n">
        <f aca="false">SUMPRODUCT(MAX((입력_상담!$B$5:$B$1004=$A360)*(ROW(입력_상담!$B$5:$B$1004)-4)))</f>
        <v>0</v>
      </c>
    </row>
    <row r="361" customFormat="false" ht="15" hidden="false" customHeight="false" outlineLevel="0" collapsed="false">
      <c r="A361" s="55" t="n">
        <v>357</v>
      </c>
      <c r="B361" s="56"/>
      <c r="C361" s="24"/>
      <c r="D361" s="24"/>
      <c r="E361" s="56"/>
      <c r="F361" s="57"/>
      <c r="G361" s="58"/>
      <c r="H361" s="56"/>
      <c r="I361" s="24"/>
      <c r="J361" s="24"/>
      <c r="K361" s="24"/>
      <c r="L361" s="24"/>
      <c r="M361" s="24"/>
      <c r="N361" s="56"/>
      <c r="O361" s="25" t="str">
        <f aca="false">IF($AI361=0,"",IF(INDEX(입력_운동!$C$5:$C$1004,$AI361)="","",INDEX(입력_운동!$C$5:$C$1004,$AI361)))</f>
        <v/>
      </c>
      <c r="P361" s="25" t="str">
        <f aca="false">IF($AI361=0,"",IF(INDEX(입력_운동!$D$5:$D$1004,$AI361)="","",INDEX(입력_운동!$D$5:$D$1004,$AI361)))</f>
        <v/>
      </c>
      <c r="Q361" s="25" t="str">
        <f aca="false">IF($AI361=0,"",IF(INDEX(입력_운동!$E$5:$E$1004,$AI361)="","",INDEX(입력_운동!$E$5:$E$1004,$AI361)))</f>
        <v/>
      </c>
      <c r="R361" s="25" t="str">
        <f aca="false">IF($AI361=0,"",IF(INDEX(입력_운동!$F$5:$F$1004,$AI361)="","",INDEX(입력_운동!$F$5:$F$1004,$AI361)))</f>
        <v/>
      </c>
      <c r="S361" s="25" t="str">
        <f aca="false">IF($AJ361=0,"",IF(INDEX(입력_측정!$C$5:$C$1004,$AJ361)="","",INDEX(입력_측정!$C$5:$C$1004,$AJ361)))</f>
        <v/>
      </c>
      <c r="T361" s="25" t="str">
        <f aca="false">IF($AJ361=0,"",IF(INDEX(입력_측정!$D$5:$D$1004,$AJ361)="","",INDEX(입력_측정!$D$5:$D$1004,$AJ361)))</f>
        <v/>
      </c>
      <c r="U361" s="25" t="str">
        <f aca="false">IF($AJ361=0,"",IF(INDEX(입력_측정!$E$5:$E$1004,$AJ361)="","",INDEX(입력_측정!$E$5:$E$1004,$AJ361)))</f>
        <v/>
      </c>
      <c r="V361" s="25" t="str">
        <f aca="false">IF($AJ361=0,"",IF(INDEX(입력_측정!$F$5:$F$1004,$AJ361)="","",INDEX(입력_측정!$F$5:$F$1004,$AJ361)))</f>
        <v/>
      </c>
      <c r="W361" s="25" t="str">
        <f aca="false">IF($AK361=0,"",IF(INDEX(입력_상담!$D$5:$D$1004,$AK361)="","",INDEX(입력_상담!$D$5:$D$1004,$AK361)))</f>
        <v/>
      </c>
      <c r="X361" s="25" t="str">
        <f aca="false">IF($AJ361=0,"",IF(INDEX(입력_측정!$I$5:$I$1004,$AJ361)="","",INDEX(입력_측정!$I$5:$I$1004,$AJ361)))</f>
        <v/>
      </c>
      <c r="Y361" s="25" t="str">
        <f aca="false">IF($AJ361=0,"",IF(INDEX(입력_측정!$J$5:$J$1004,$AJ361)="","",INDEX(입력_측정!$J$5:$J$1004,$AJ361)))</f>
        <v/>
      </c>
      <c r="Z361" s="25" t="str">
        <f aca="false">IF(OR(X361="긴급",LEFT(Y361,2)="긴급",W361="필요",W361="완료"),"대상","")</f>
        <v/>
      </c>
      <c r="AA361" s="59" t="str">
        <f aca="false">IF(M361&lt;&gt;"",M361,IF(AK361&gt;0,IF(W361="필요","추가상담 대기","완료"),IF(AJ361&gt;0,"결과상담 대기",IF(AI361&gt;0,"측정 대기","미방문"))))</f>
        <v>미방문</v>
      </c>
      <c r="AB361" s="60" t="str">
        <f aca="false">IF($AI361=0,"",IF(INDEX(입력_운동!$A$5:$A$1004,$AI361)="","",INDEX(입력_운동!$A$5:$A$1004,$AI361)))</f>
        <v/>
      </c>
      <c r="AC361" s="60" t="str">
        <f aca="false">IF($AJ361=0,"",IF(INDEX(입력_측정!$A$5:$A$1004,$AJ361)="","",INDEX(입력_측정!$A$5:$A$1004,$AJ361)))</f>
        <v/>
      </c>
      <c r="AD361" s="60" t="str">
        <f aca="false">IF($AK361=0,"",IF(INDEX(입력_상담!$A$5:$A$1004,$AK361)="","",INDEX(입력_상담!$A$5:$A$1004,$AK361)))</f>
        <v/>
      </c>
      <c r="AE361" s="25" t="str">
        <f aca="false">IF(AND(ISNUMBER(AB361),ISNUMBER(AC361)),IF(AC361&gt;=AB361,ROUND((AC361-AB361)*1440,0),""),"")</f>
        <v/>
      </c>
      <c r="AF361" s="25" t="str">
        <f aca="false">IF(AND(ISNUMBER(AC361),ISNUMBER(AD361)),IF(AD361&gt;=AC361,ROUND((AD361-AC361)*1440,0),""),"")</f>
        <v/>
      </c>
      <c r="AG361" s="25" t="str">
        <f aca="false">IF(AND(AA361="완료",ISNUMBER(AB361),ISNUMBER(AD361)),IF(AD361&gt;=AB361,ROUND((AD361-AB361)*1440,0),""),"")</f>
        <v/>
      </c>
      <c r="AH361" s="61" t="str">
        <f aca="false">IF(AND(AK361&gt;0,AJ361=0),"측정 기록 없음",IF(AND(AJ361&gt;0,AI361=0),"운동평가 기록 없음",IF(OR(COUNTIF(입력_운동!$B$5:$B$1004,$A361)&gt;1,COUNTIF(입력_측정!$B$5:$B$1004,$A361)&gt;1),"중복 입력","")))</f>
        <v/>
      </c>
      <c r="AI361" s="62" t="n">
        <f aca="false">SUMPRODUCT(MAX((입력_운동!$B$5:$B$1004=$A361)*(ROW(입력_운동!$B$5:$B$1004)-4)))</f>
        <v>0</v>
      </c>
      <c r="AJ361" s="62" t="n">
        <f aca="false">SUMPRODUCT(MAX((입력_측정!$B$5:$B$1004=$A361)*(ROW(입력_측정!$B$5:$B$1004)-4)))</f>
        <v>0</v>
      </c>
      <c r="AK361" s="62" t="n">
        <f aca="false">SUMPRODUCT(MAX((입력_상담!$B$5:$B$1004=$A361)*(ROW(입력_상담!$B$5:$B$1004)-4)))</f>
        <v>0</v>
      </c>
    </row>
    <row r="362" customFormat="false" ht="15" hidden="false" customHeight="false" outlineLevel="0" collapsed="false">
      <c r="A362" s="55" t="n">
        <v>358</v>
      </c>
      <c r="B362" s="56"/>
      <c r="C362" s="24"/>
      <c r="D362" s="24"/>
      <c r="E362" s="56"/>
      <c r="F362" s="57"/>
      <c r="G362" s="58"/>
      <c r="H362" s="56"/>
      <c r="I362" s="24"/>
      <c r="J362" s="24"/>
      <c r="K362" s="24"/>
      <c r="L362" s="24"/>
      <c r="M362" s="24"/>
      <c r="N362" s="56"/>
      <c r="O362" s="25" t="str">
        <f aca="false">IF($AI362=0,"",IF(INDEX(입력_운동!$C$5:$C$1004,$AI362)="","",INDEX(입력_운동!$C$5:$C$1004,$AI362)))</f>
        <v/>
      </c>
      <c r="P362" s="25" t="str">
        <f aca="false">IF($AI362=0,"",IF(INDEX(입력_운동!$D$5:$D$1004,$AI362)="","",INDEX(입력_운동!$D$5:$D$1004,$AI362)))</f>
        <v/>
      </c>
      <c r="Q362" s="25" t="str">
        <f aca="false">IF($AI362=0,"",IF(INDEX(입력_운동!$E$5:$E$1004,$AI362)="","",INDEX(입력_운동!$E$5:$E$1004,$AI362)))</f>
        <v/>
      </c>
      <c r="R362" s="25" t="str">
        <f aca="false">IF($AI362=0,"",IF(INDEX(입력_운동!$F$5:$F$1004,$AI362)="","",INDEX(입력_운동!$F$5:$F$1004,$AI362)))</f>
        <v/>
      </c>
      <c r="S362" s="25" t="str">
        <f aca="false">IF($AJ362=0,"",IF(INDEX(입력_측정!$C$5:$C$1004,$AJ362)="","",INDEX(입력_측정!$C$5:$C$1004,$AJ362)))</f>
        <v/>
      </c>
      <c r="T362" s="25" t="str">
        <f aca="false">IF($AJ362=0,"",IF(INDEX(입력_측정!$D$5:$D$1004,$AJ362)="","",INDEX(입력_측정!$D$5:$D$1004,$AJ362)))</f>
        <v/>
      </c>
      <c r="U362" s="25" t="str">
        <f aca="false">IF($AJ362=0,"",IF(INDEX(입력_측정!$E$5:$E$1004,$AJ362)="","",INDEX(입력_측정!$E$5:$E$1004,$AJ362)))</f>
        <v/>
      </c>
      <c r="V362" s="25" t="str">
        <f aca="false">IF($AJ362=0,"",IF(INDEX(입력_측정!$F$5:$F$1004,$AJ362)="","",INDEX(입력_측정!$F$5:$F$1004,$AJ362)))</f>
        <v/>
      </c>
      <c r="W362" s="25" t="str">
        <f aca="false">IF($AK362=0,"",IF(INDEX(입력_상담!$D$5:$D$1004,$AK362)="","",INDEX(입력_상담!$D$5:$D$1004,$AK362)))</f>
        <v/>
      </c>
      <c r="X362" s="25" t="str">
        <f aca="false">IF($AJ362=0,"",IF(INDEX(입력_측정!$I$5:$I$1004,$AJ362)="","",INDEX(입력_측정!$I$5:$I$1004,$AJ362)))</f>
        <v/>
      </c>
      <c r="Y362" s="25" t="str">
        <f aca="false">IF($AJ362=0,"",IF(INDEX(입력_측정!$J$5:$J$1004,$AJ362)="","",INDEX(입력_측정!$J$5:$J$1004,$AJ362)))</f>
        <v/>
      </c>
      <c r="Z362" s="25" t="str">
        <f aca="false">IF(OR(X362="긴급",LEFT(Y362,2)="긴급",W362="필요",W362="완료"),"대상","")</f>
        <v/>
      </c>
      <c r="AA362" s="59" t="str">
        <f aca="false">IF(M362&lt;&gt;"",M362,IF(AK362&gt;0,IF(W362="필요","추가상담 대기","완료"),IF(AJ362&gt;0,"결과상담 대기",IF(AI362&gt;0,"측정 대기","미방문"))))</f>
        <v>미방문</v>
      </c>
      <c r="AB362" s="60" t="str">
        <f aca="false">IF($AI362=0,"",IF(INDEX(입력_운동!$A$5:$A$1004,$AI362)="","",INDEX(입력_운동!$A$5:$A$1004,$AI362)))</f>
        <v/>
      </c>
      <c r="AC362" s="60" t="str">
        <f aca="false">IF($AJ362=0,"",IF(INDEX(입력_측정!$A$5:$A$1004,$AJ362)="","",INDEX(입력_측정!$A$5:$A$1004,$AJ362)))</f>
        <v/>
      </c>
      <c r="AD362" s="60" t="str">
        <f aca="false">IF($AK362=0,"",IF(INDEX(입력_상담!$A$5:$A$1004,$AK362)="","",INDEX(입력_상담!$A$5:$A$1004,$AK362)))</f>
        <v/>
      </c>
      <c r="AE362" s="25" t="str">
        <f aca="false">IF(AND(ISNUMBER(AB362),ISNUMBER(AC362)),IF(AC362&gt;=AB362,ROUND((AC362-AB362)*1440,0),""),"")</f>
        <v/>
      </c>
      <c r="AF362" s="25" t="str">
        <f aca="false">IF(AND(ISNUMBER(AC362),ISNUMBER(AD362)),IF(AD362&gt;=AC362,ROUND((AD362-AC362)*1440,0),""),"")</f>
        <v/>
      </c>
      <c r="AG362" s="25" t="str">
        <f aca="false">IF(AND(AA362="완료",ISNUMBER(AB362),ISNUMBER(AD362)),IF(AD362&gt;=AB362,ROUND((AD362-AB362)*1440,0),""),"")</f>
        <v/>
      </c>
      <c r="AH362" s="61" t="str">
        <f aca="false">IF(AND(AK362&gt;0,AJ362=0),"측정 기록 없음",IF(AND(AJ362&gt;0,AI362=0),"운동평가 기록 없음",IF(OR(COUNTIF(입력_운동!$B$5:$B$1004,$A362)&gt;1,COUNTIF(입력_측정!$B$5:$B$1004,$A362)&gt;1),"중복 입력","")))</f>
        <v/>
      </c>
      <c r="AI362" s="62" t="n">
        <f aca="false">SUMPRODUCT(MAX((입력_운동!$B$5:$B$1004=$A362)*(ROW(입력_운동!$B$5:$B$1004)-4)))</f>
        <v>0</v>
      </c>
      <c r="AJ362" s="62" t="n">
        <f aca="false">SUMPRODUCT(MAX((입력_측정!$B$5:$B$1004=$A362)*(ROW(입력_측정!$B$5:$B$1004)-4)))</f>
        <v>0</v>
      </c>
      <c r="AK362" s="62" t="n">
        <f aca="false">SUMPRODUCT(MAX((입력_상담!$B$5:$B$1004=$A362)*(ROW(입력_상담!$B$5:$B$1004)-4)))</f>
        <v>0</v>
      </c>
    </row>
    <row r="363" customFormat="false" ht="15" hidden="false" customHeight="false" outlineLevel="0" collapsed="false">
      <c r="A363" s="55" t="n">
        <v>359</v>
      </c>
      <c r="B363" s="56"/>
      <c r="C363" s="24"/>
      <c r="D363" s="24"/>
      <c r="E363" s="56"/>
      <c r="F363" s="57"/>
      <c r="G363" s="58"/>
      <c r="H363" s="56"/>
      <c r="I363" s="24"/>
      <c r="J363" s="24"/>
      <c r="K363" s="24"/>
      <c r="L363" s="24"/>
      <c r="M363" s="24"/>
      <c r="N363" s="56"/>
      <c r="O363" s="25" t="str">
        <f aca="false">IF($AI363=0,"",IF(INDEX(입력_운동!$C$5:$C$1004,$AI363)="","",INDEX(입력_운동!$C$5:$C$1004,$AI363)))</f>
        <v/>
      </c>
      <c r="P363" s="25" t="str">
        <f aca="false">IF($AI363=0,"",IF(INDEX(입력_운동!$D$5:$D$1004,$AI363)="","",INDEX(입력_운동!$D$5:$D$1004,$AI363)))</f>
        <v/>
      </c>
      <c r="Q363" s="25" t="str">
        <f aca="false">IF($AI363=0,"",IF(INDEX(입력_운동!$E$5:$E$1004,$AI363)="","",INDEX(입력_운동!$E$5:$E$1004,$AI363)))</f>
        <v/>
      </c>
      <c r="R363" s="25" t="str">
        <f aca="false">IF($AI363=0,"",IF(INDEX(입력_운동!$F$5:$F$1004,$AI363)="","",INDEX(입력_운동!$F$5:$F$1004,$AI363)))</f>
        <v/>
      </c>
      <c r="S363" s="25" t="str">
        <f aca="false">IF($AJ363=0,"",IF(INDEX(입력_측정!$C$5:$C$1004,$AJ363)="","",INDEX(입력_측정!$C$5:$C$1004,$AJ363)))</f>
        <v/>
      </c>
      <c r="T363" s="25" t="str">
        <f aca="false">IF($AJ363=0,"",IF(INDEX(입력_측정!$D$5:$D$1004,$AJ363)="","",INDEX(입력_측정!$D$5:$D$1004,$AJ363)))</f>
        <v/>
      </c>
      <c r="U363" s="25" t="str">
        <f aca="false">IF($AJ363=0,"",IF(INDEX(입력_측정!$E$5:$E$1004,$AJ363)="","",INDEX(입력_측정!$E$5:$E$1004,$AJ363)))</f>
        <v/>
      </c>
      <c r="V363" s="25" t="str">
        <f aca="false">IF($AJ363=0,"",IF(INDEX(입력_측정!$F$5:$F$1004,$AJ363)="","",INDEX(입력_측정!$F$5:$F$1004,$AJ363)))</f>
        <v/>
      </c>
      <c r="W363" s="25" t="str">
        <f aca="false">IF($AK363=0,"",IF(INDEX(입력_상담!$D$5:$D$1004,$AK363)="","",INDEX(입력_상담!$D$5:$D$1004,$AK363)))</f>
        <v/>
      </c>
      <c r="X363" s="25" t="str">
        <f aca="false">IF($AJ363=0,"",IF(INDEX(입력_측정!$I$5:$I$1004,$AJ363)="","",INDEX(입력_측정!$I$5:$I$1004,$AJ363)))</f>
        <v/>
      </c>
      <c r="Y363" s="25" t="str">
        <f aca="false">IF($AJ363=0,"",IF(INDEX(입력_측정!$J$5:$J$1004,$AJ363)="","",INDEX(입력_측정!$J$5:$J$1004,$AJ363)))</f>
        <v/>
      </c>
      <c r="Z363" s="25" t="str">
        <f aca="false">IF(OR(X363="긴급",LEFT(Y363,2)="긴급",W363="필요",W363="완료"),"대상","")</f>
        <v/>
      </c>
      <c r="AA363" s="59" t="str">
        <f aca="false">IF(M363&lt;&gt;"",M363,IF(AK363&gt;0,IF(W363="필요","추가상담 대기","완료"),IF(AJ363&gt;0,"결과상담 대기",IF(AI363&gt;0,"측정 대기","미방문"))))</f>
        <v>미방문</v>
      </c>
      <c r="AB363" s="60" t="str">
        <f aca="false">IF($AI363=0,"",IF(INDEX(입력_운동!$A$5:$A$1004,$AI363)="","",INDEX(입력_운동!$A$5:$A$1004,$AI363)))</f>
        <v/>
      </c>
      <c r="AC363" s="60" t="str">
        <f aca="false">IF($AJ363=0,"",IF(INDEX(입력_측정!$A$5:$A$1004,$AJ363)="","",INDEX(입력_측정!$A$5:$A$1004,$AJ363)))</f>
        <v/>
      </c>
      <c r="AD363" s="60" t="str">
        <f aca="false">IF($AK363=0,"",IF(INDEX(입력_상담!$A$5:$A$1004,$AK363)="","",INDEX(입력_상담!$A$5:$A$1004,$AK363)))</f>
        <v/>
      </c>
      <c r="AE363" s="25" t="str">
        <f aca="false">IF(AND(ISNUMBER(AB363),ISNUMBER(AC363)),IF(AC363&gt;=AB363,ROUND((AC363-AB363)*1440,0),""),"")</f>
        <v/>
      </c>
      <c r="AF363" s="25" t="str">
        <f aca="false">IF(AND(ISNUMBER(AC363),ISNUMBER(AD363)),IF(AD363&gt;=AC363,ROUND((AD363-AC363)*1440,0),""),"")</f>
        <v/>
      </c>
      <c r="AG363" s="25" t="str">
        <f aca="false">IF(AND(AA363="완료",ISNUMBER(AB363),ISNUMBER(AD363)),IF(AD363&gt;=AB363,ROUND((AD363-AB363)*1440,0),""),"")</f>
        <v/>
      </c>
      <c r="AH363" s="61" t="str">
        <f aca="false">IF(AND(AK363&gt;0,AJ363=0),"측정 기록 없음",IF(AND(AJ363&gt;0,AI363=0),"운동평가 기록 없음",IF(OR(COUNTIF(입력_운동!$B$5:$B$1004,$A363)&gt;1,COUNTIF(입력_측정!$B$5:$B$1004,$A363)&gt;1),"중복 입력","")))</f>
        <v/>
      </c>
      <c r="AI363" s="62" t="n">
        <f aca="false">SUMPRODUCT(MAX((입력_운동!$B$5:$B$1004=$A363)*(ROW(입력_운동!$B$5:$B$1004)-4)))</f>
        <v>0</v>
      </c>
      <c r="AJ363" s="62" t="n">
        <f aca="false">SUMPRODUCT(MAX((입력_측정!$B$5:$B$1004=$A363)*(ROW(입력_측정!$B$5:$B$1004)-4)))</f>
        <v>0</v>
      </c>
      <c r="AK363" s="62" t="n">
        <f aca="false">SUMPRODUCT(MAX((입력_상담!$B$5:$B$1004=$A363)*(ROW(입력_상담!$B$5:$B$1004)-4)))</f>
        <v>0</v>
      </c>
    </row>
    <row r="364" customFormat="false" ht="15" hidden="false" customHeight="false" outlineLevel="0" collapsed="false">
      <c r="A364" s="55" t="n">
        <v>360</v>
      </c>
      <c r="B364" s="56"/>
      <c r="C364" s="24"/>
      <c r="D364" s="24"/>
      <c r="E364" s="56"/>
      <c r="F364" s="57"/>
      <c r="G364" s="58"/>
      <c r="H364" s="56"/>
      <c r="I364" s="24"/>
      <c r="J364" s="24"/>
      <c r="K364" s="24"/>
      <c r="L364" s="24"/>
      <c r="M364" s="24"/>
      <c r="N364" s="56"/>
      <c r="O364" s="25" t="str">
        <f aca="false">IF($AI364=0,"",IF(INDEX(입력_운동!$C$5:$C$1004,$AI364)="","",INDEX(입력_운동!$C$5:$C$1004,$AI364)))</f>
        <v/>
      </c>
      <c r="P364" s="25" t="str">
        <f aca="false">IF($AI364=0,"",IF(INDEX(입력_운동!$D$5:$D$1004,$AI364)="","",INDEX(입력_운동!$D$5:$D$1004,$AI364)))</f>
        <v/>
      </c>
      <c r="Q364" s="25" t="str">
        <f aca="false">IF($AI364=0,"",IF(INDEX(입력_운동!$E$5:$E$1004,$AI364)="","",INDEX(입력_운동!$E$5:$E$1004,$AI364)))</f>
        <v/>
      </c>
      <c r="R364" s="25" t="str">
        <f aca="false">IF($AI364=0,"",IF(INDEX(입력_운동!$F$5:$F$1004,$AI364)="","",INDEX(입력_운동!$F$5:$F$1004,$AI364)))</f>
        <v/>
      </c>
      <c r="S364" s="25" t="str">
        <f aca="false">IF($AJ364=0,"",IF(INDEX(입력_측정!$C$5:$C$1004,$AJ364)="","",INDEX(입력_측정!$C$5:$C$1004,$AJ364)))</f>
        <v/>
      </c>
      <c r="T364" s="25" t="str">
        <f aca="false">IF($AJ364=0,"",IF(INDEX(입력_측정!$D$5:$D$1004,$AJ364)="","",INDEX(입력_측정!$D$5:$D$1004,$AJ364)))</f>
        <v/>
      </c>
      <c r="U364" s="25" t="str">
        <f aca="false">IF($AJ364=0,"",IF(INDEX(입력_측정!$E$5:$E$1004,$AJ364)="","",INDEX(입력_측정!$E$5:$E$1004,$AJ364)))</f>
        <v/>
      </c>
      <c r="V364" s="25" t="str">
        <f aca="false">IF($AJ364=0,"",IF(INDEX(입력_측정!$F$5:$F$1004,$AJ364)="","",INDEX(입력_측정!$F$5:$F$1004,$AJ364)))</f>
        <v/>
      </c>
      <c r="W364" s="25" t="str">
        <f aca="false">IF($AK364=0,"",IF(INDEX(입력_상담!$D$5:$D$1004,$AK364)="","",INDEX(입력_상담!$D$5:$D$1004,$AK364)))</f>
        <v/>
      </c>
      <c r="X364" s="25" t="str">
        <f aca="false">IF($AJ364=0,"",IF(INDEX(입력_측정!$I$5:$I$1004,$AJ364)="","",INDEX(입력_측정!$I$5:$I$1004,$AJ364)))</f>
        <v/>
      </c>
      <c r="Y364" s="25" t="str">
        <f aca="false">IF($AJ364=0,"",IF(INDEX(입력_측정!$J$5:$J$1004,$AJ364)="","",INDEX(입력_측정!$J$5:$J$1004,$AJ364)))</f>
        <v/>
      </c>
      <c r="Z364" s="25" t="str">
        <f aca="false">IF(OR(X364="긴급",LEFT(Y364,2)="긴급",W364="필요",W364="완료"),"대상","")</f>
        <v/>
      </c>
      <c r="AA364" s="59" t="str">
        <f aca="false">IF(M364&lt;&gt;"",M364,IF(AK364&gt;0,IF(W364="필요","추가상담 대기","완료"),IF(AJ364&gt;0,"결과상담 대기",IF(AI364&gt;0,"측정 대기","미방문"))))</f>
        <v>미방문</v>
      </c>
      <c r="AB364" s="60" t="str">
        <f aca="false">IF($AI364=0,"",IF(INDEX(입력_운동!$A$5:$A$1004,$AI364)="","",INDEX(입력_운동!$A$5:$A$1004,$AI364)))</f>
        <v/>
      </c>
      <c r="AC364" s="60" t="str">
        <f aca="false">IF($AJ364=0,"",IF(INDEX(입력_측정!$A$5:$A$1004,$AJ364)="","",INDEX(입력_측정!$A$5:$A$1004,$AJ364)))</f>
        <v/>
      </c>
      <c r="AD364" s="60" t="str">
        <f aca="false">IF($AK364=0,"",IF(INDEX(입력_상담!$A$5:$A$1004,$AK364)="","",INDEX(입력_상담!$A$5:$A$1004,$AK364)))</f>
        <v/>
      </c>
      <c r="AE364" s="25" t="str">
        <f aca="false">IF(AND(ISNUMBER(AB364),ISNUMBER(AC364)),IF(AC364&gt;=AB364,ROUND((AC364-AB364)*1440,0),""),"")</f>
        <v/>
      </c>
      <c r="AF364" s="25" t="str">
        <f aca="false">IF(AND(ISNUMBER(AC364),ISNUMBER(AD364)),IF(AD364&gt;=AC364,ROUND((AD364-AC364)*1440,0),""),"")</f>
        <v/>
      </c>
      <c r="AG364" s="25" t="str">
        <f aca="false">IF(AND(AA364="완료",ISNUMBER(AB364),ISNUMBER(AD364)),IF(AD364&gt;=AB364,ROUND((AD364-AB364)*1440,0),""),"")</f>
        <v/>
      </c>
      <c r="AH364" s="61" t="str">
        <f aca="false">IF(AND(AK364&gt;0,AJ364=0),"측정 기록 없음",IF(AND(AJ364&gt;0,AI364=0),"운동평가 기록 없음",IF(OR(COUNTIF(입력_운동!$B$5:$B$1004,$A364)&gt;1,COUNTIF(입력_측정!$B$5:$B$1004,$A364)&gt;1),"중복 입력","")))</f>
        <v/>
      </c>
      <c r="AI364" s="62" t="n">
        <f aca="false">SUMPRODUCT(MAX((입력_운동!$B$5:$B$1004=$A364)*(ROW(입력_운동!$B$5:$B$1004)-4)))</f>
        <v>0</v>
      </c>
      <c r="AJ364" s="62" t="n">
        <f aca="false">SUMPRODUCT(MAX((입력_측정!$B$5:$B$1004=$A364)*(ROW(입력_측정!$B$5:$B$1004)-4)))</f>
        <v>0</v>
      </c>
      <c r="AK364" s="62" t="n">
        <f aca="false">SUMPRODUCT(MAX((입력_상담!$B$5:$B$1004=$A364)*(ROW(입력_상담!$B$5:$B$1004)-4)))</f>
        <v>0</v>
      </c>
    </row>
    <row r="365" customFormat="false" ht="15" hidden="false" customHeight="false" outlineLevel="0" collapsed="false">
      <c r="A365" s="55" t="n">
        <v>361</v>
      </c>
      <c r="B365" s="56"/>
      <c r="C365" s="24"/>
      <c r="D365" s="24"/>
      <c r="E365" s="56"/>
      <c r="F365" s="57"/>
      <c r="G365" s="58"/>
      <c r="H365" s="56"/>
      <c r="I365" s="24"/>
      <c r="J365" s="24"/>
      <c r="K365" s="24"/>
      <c r="L365" s="24"/>
      <c r="M365" s="24"/>
      <c r="N365" s="56"/>
      <c r="O365" s="25" t="str">
        <f aca="false">IF($AI365=0,"",IF(INDEX(입력_운동!$C$5:$C$1004,$AI365)="","",INDEX(입력_운동!$C$5:$C$1004,$AI365)))</f>
        <v/>
      </c>
      <c r="P365" s="25" t="str">
        <f aca="false">IF($AI365=0,"",IF(INDEX(입력_운동!$D$5:$D$1004,$AI365)="","",INDEX(입력_운동!$D$5:$D$1004,$AI365)))</f>
        <v/>
      </c>
      <c r="Q365" s="25" t="str">
        <f aca="false">IF($AI365=0,"",IF(INDEX(입력_운동!$E$5:$E$1004,$AI365)="","",INDEX(입력_운동!$E$5:$E$1004,$AI365)))</f>
        <v/>
      </c>
      <c r="R365" s="25" t="str">
        <f aca="false">IF($AI365=0,"",IF(INDEX(입력_운동!$F$5:$F$1004,$AI365)="","",INDEX(입력_운동!$F$5:$F$1004,$AI365)))</f>
        <v/>
      </c>
      <c r="S365" s="25" t="str">
        <f aca="false">IF($AJ365=0,"",IF(INDEX(입력_측정!$C$5:$C$1004,$AJ365)="","",INDEX(입력_측정!$C$5:$C$1004,$AJ365)))</f>
        <v/>
      </c>
      <c r="T365" s="25" t="str">
        <f aca="false">IF($AJ365=0,"",IF(INDEX(입력_측정!$D$5:$D$1004,$AJ365)="","",INDEX(입력_측정!$D$5:$D$1004,$AJ365)))</f>
        <v/>
      </c>
      <c r="U365" s="25" t="str">
        <f aca="false">IF($AJ365=0,"",IF(INDEX(입력_측정!$E$5:$E$1004,$AJ365)="","",INDEX(입력_측정!$E$5:$E$1004,$AJ365)))</f>
        <v/>
      </c>
      <c r="V365" s="25" t="str">
        <f aca="false">IF($AJ365=0,"",IF(INDEX(입력_측정!$F$5:$F$1004,$AJ365)="","",INDEX(입력_측정!$F$5:$F$1004,$AJ365)))</f>
        <v/>
      </c>
      <c r="W365" s="25" t="str">
        <f aca="false">IF($AK365=0,"",IF(INDEX(입력_상담!$D$5:$D$1004,$AK365)="","",INDEX(입력_상담!$D$5:$D$1004,$AK365)))</f>
        <v/>
      </c>
      <c r="X365" s="25" t="str">
        <f aca="false">IF($AJ365=0,"",IF(INDEX(입력_측정!$I$5:$I$1004,$AJ365)="","",INDEX(입력_측정!$I$5:$I$1004,$AJ365)))</f>
        <v/>
      </c>
      <c r="Y365" s="25" t="str">
        <f aca="false">IF($AJ365=0,"",IF(INDEX(입력_측정!$J$5:$J$1004,$AJ365)="","",INDEX(입력_측정!$J$5:$J$1004,$AJ365)))</f>
        <v/>
      </c>
      <c r="Z365" s="25" t="str">
        <f aca="false">IF(OR(X365="긴급",LEFT(Y365,2)="긴급",W365="필요",W365="완료"),"대상","")</f>
        <v/>
      </c>
      <c r="AA365" s="59" t="str">
        <f aca="false">IF(M365&lt;&gt;"",M365,IF(AK365&gt;0,IF(W365="필요","추가상담 대기","완료"),IF(AJ365&gt;0,"결과상담 대기",IF(AI365&gt;0,"측정 대기","미방문"))))</f>
        <v>미방문</v>
      </c>
      <c r="AB365" s="60" t="str">
        <f aca="false">IF($AI365=0,"",IF(INDEX(입력_운동!$A$5:$A$1004,$AI365)="","",INDEX(입력_운동!$A$5:$A$1004,$AI365)))</f>
        <v/>
      </c>
      <c r="AC365" s="60" t="str">
        <f aca="false">IF($AJ365=0,"",IF(INDEX(입력_측정!$A$5:$A$1004,$AJ365)="","",INDEX(입력_측정!$A$5:$A$1004,$AJ365)))</f>
        <v/>
      </c>
      <c r="AD365" s="60" t="str">
        <f aca="false">IF($AK365=0,"",IF(INDEX(입력_상담!$A$5:$A$1004,$AK365)="","",INDEX(입력_상담!$A$5:$A$1004,$AK365)))</f>
        <v/>
      </c>
      <c r="AE365" s="25" t="str">
        <f aca="false">IF(AND(ISNUMBER(AB365),ISNUMBER(AC365)),IF(AC365&gt;=AB365,ROUND((AC365-AB365)*1440,0),""),"")</f>
        <v/>
      </c>
      <c r="AF365" s="25" t="str">
        <f aca="false">IF(AND(ISNUMBER(AC365),ISNUMBER(AD365)),IF(AD365&gt;=AC365,ROUND((AD365-AC365)*1440,0),""),"")</f>
        <v/>
      </c>
      <c r="AG365" s="25" t="str">
        <f aca="false">IF(AND(AA365="완료",ISNUMBER(AB365),ISNUMBER(AD365)),IF(AD365&gt;=AB365,ROUND((AD365-AB365)*1440,0),""),"")</f>
        <v/>
      </c>
      <c r="AH365" s="61" t="str">
        <f aca="false">IF(AND(AK365&gt;0,AJ365=0),"측정 기록 없음",IF(AND(AJ365&gt;0,AI365=0),"운동평가 기록 없음",IF(OR(COUNTIF(입력_운동!$B$5:$B$1004,$A365)&gt;1,COUNTIF(입력_측정!$B$5:$B$1004,$A365)&gt;1),"중복 입력","")))</f>
        <v/>
      </c>
      <c r="AI365" s="62" t="n">
        <f aca="false">SUMPRODUCT(MAX((입력_운동!$B$5:$B$1004=$A365)*(ROW(입력_운동!$B$5:$B$1004)-4)))</f>
        <v>0</v>
      </c>
      <c r="AJ365" s="62" t="n">
        <f aca="false">SUMPRODUCT(MAX((입력_측정!$B$5:$B$1004=$A365)*(ROW(입력_측정!$B$5:$B$1004)-4)))</f>
        <v>0</v>
      </c>
      <c r="AK365" s="62" t="n">
        <f aca="false">SUMPRODUCT(MAX((입력_상담!$B$5:$B$1004=$A365)*(ROW(입력_상담!$B$5:$B$1004)-4)))</f>
        <v>0</v>
      </c>
    </row>
    <row r="366" customFormat="false" ht="15" hidden="false" customHeight="false" outlineLevel="0" collapsed="false">
      <c r="A366" s="55" t="n">
        <v>362</v>
      </c>
      <c r="B366" s="56"/>
      <c r="C366" s="24"/>
      <c r="D366" s="24"/>
      <c r="E366" s="56"/>
      <c r="F366" s="57"/>
      <c r="G366" s="58"/>
      <c r="H366" s="56"/>
      <c r="I366" s="24"/>
      <c r="J366" s="24"/>
      <c r="K366" s="24"/>
      <c r="L366" s="24"/>
      <c r="M366" s="24"/>
      <c r="N366" s="56"/>
      <c r="O366" s="25" t="str">
        <f aca="false">IF($AI366=0,"",IF(INDEX(입력_운동!$C$5:$C$1004,$AI366)="","",INDEX(입력_운동!$C$5:$C$1004,$AI366)))</f>
        <v/>
      </c>
      <c r="P366" s="25" t="str">
        <f aca="false">IF($AI366=0,"",IF(INDEX(입력_운동!$D$5:$D$1004,$AI366)="","",INDEX(입력_운동!$D$5:$D$1004,$AI366)))</f>
        <v/>
      </c>
      <c r="Q366" s="25" t="str">
        <f aca="false">IF($AI366=0,"",IF(INDEX(입력_운동!$E$5:$E$1004,$AI366)="","",INDEX(입력_운동!$E$5:$E$1004,$AI366)))</f>
        <v/>
      </c>
      <c r="R366" s="25" t="str">
        <f aca="false">IF($AI366=0,"",IF(INDEX(입력_운동!$F$5:$F$1004,$AI366)="","",INDEX(입력_운동!$F$5:$F$1004,$AI366)))</f>
        <v/>
      </c>
      <c r="S366" s="25" t="str">
        <f aca="false">IF($AJ366=0,"",IF(INDEX(입력_측정!$C$5:$C$1004,$AJ366)="","",INDEX(입력_측정!$C$5:$C$1004,$AJ366)))</f>
        <v/>
      </c>
      <c r="T366" s="25" t="str">
        <f aca="false">IF($AJ366=0,"",IF(INDEX(입력_측정!$D$5:$D$1004,$AJ366)="","",INDEX(입력_측정!$D$5:$D$1004,$AJ366)))</f>
        <v/>
      </c>
      <c r="U366" s="25" t="str">
        <f aca="false">IF($AJ366=0,"",IF(INDEX(입력_측정!$E$5:$E$1004,$AJ366)="","",INDEX(입력_측정!$E$5:$E$1004,$AJ366)))</f>
        <v/>
      </c>
      <c r="V366" s="25" t="str">
        <f aca="false">IF($AJ366=0,"",IF(INDEX(입력_측정!$F$5:$F$1004,$AJ366)="","",INDEX(입력_측정!$F$5:$F$1004,$AJ366)))</f>
        <v/>
      </c>
      <c r="W366" s="25" t="str">
        <f aca="false">IF($AK366=0,"",IF(INDEX(입력_상담!$D$5:$D$1004,$AK366)="","",INDEX(입력_상담!$D$5:$D$1004,$AK366)))</f>
        <v/>
      </c>
      <c r="X366" s="25" t="str">
        <f aca="false">IF($AJ366=0,"",IF(INDEX(입력_측정!$I$5:$I$1004,$AJ366)="","",INDEX(입력_측정!$I$5:$I$1004,$AJ366)))</f>
        <v/>
      </c>
      <c r="Y366" s="25" t="str">
        <f aca="false">IF($AJ366=0,"",IF(INDEX(입력_측정!$J$5:$J$1004,$AJ366)="","",INDEX(입력_측정!$J$5:$J$1004,$AJ366)))</f>
        <v/>
      </c>
      <c r="Z366" s="25" t="str">
        <f aca="false">IF(OR(X366="긴급",LEFT(Y366,2)="긴급",W366="필요",W366="완료"),"대상","")</f>
        <v/>
      </c>
      <c r="AA366" s="59" t="str">
        <f aca="false">IF(M366&lt;&gt;"",M366,IF(AK366&gt;0,IF(W366="필요","추가상담 대기","완료"),IF(AJ366&gt;0,"결과상담 대기",IF(AI366&gt;0,"측정 대기","미방문"))))</f>
        <v>미방문</v>
      </c>
      <c r="AB366" s="60" t="str">
        <f aca="false">IF($AI366=0,"",IF(INDEX(입력_운동!$A$5:$A$1004,$AI366)="","",INDEX(입력_운동!$A$5:$A$1004,$AI366)))</f>
        <v/>
      </c>
      <c r="AC366" s="60" t="str">
        <f aca="false">IF($AJ366=0,"",IF(INDEX(입력_측정!$A$5:$A$1004,$AJ366)="","",INDEX(입력_측정!$A$5:$A$1004,$AJ366)))</f>
        <v/>
      </c>
      <c r="AD366" s="60" t="str">
        <f aca="false">IF($AK366=0,"",IF(INDEX(입력_상담!$A$5:$A$1004,$AK366)="","",INDEX(입력_상담!$A$5:$A$1004,$AK366)))</f>
        <v/>
      </c>
      <c r="AE366" s="25" t="str">
        <f aca="false">IF(AND(ISNUMBER(AB366),ISNUMBER(AC366)),IF(AC366&gt;=AB366,ROUND((AC366-AB366)*1440,0),""),"")</f>
        <v/>
      </c>
      <c r="AF366" s="25" t="str">
        <f aca="false">IF(AND(ISNUMBER(AC366),ISNUMBER(AD366)),IF(AD366&gt;=AC366,ROUND((AD366-AC366)*1440,0),""),"")</f>
        <v/>
      </c>
      <c r="AG366" s="25" t="str">
        <f aca="false">IF(AND(AA366="완료",ISNUMBER(AB366),ISNUMBER(AD366)),IF(AD366&gt;=AB366,ROUND((AD366-AB366)*1440,0),""),"")</f>
        <v/>
      </c>
      <c r="AH366" s="61" t="str">
        <f aca="false">IF(AND(AK366&gt;0,AJ366=0),"측정 기록 없음",IF(AND(AJ366&gt;0,AI366=0),"운동평가 기록 없음",IF(OR(COUNTIF(입력_운동!$B$5:$B$1004,$A366)&gt;1,COUNTIF(입력_측정!$B$5:$B$1004,$A366)&gt;1),"중복 입력","")))</f>
        <v/>
      </c>
      <c r="AI366" s="62" t="n">
        <f aca="false">SUMPRODUCT(MAX((입력_운동!$B$5:$B$1004=$A366)*(ROW(입력_운동!$B$5:$B$1004)-4)))</f>
        <v>0</v>
      </c>
      <c r="AJ366" s="62" t="n">
        <f aca="false">SUMPRODUCT(MAX((입력_측정!$B$5:$B$1004=$A366)*(ROW(입력_측정!$B$5:$B$1004)-4)))</f>
        <v>0</v>
      </c>
      <c r="AK366" s="62" t="n">
        <f aca="false">SUMPRODUCT(MAX((입력_상담!$B$5:$B$1004=$A366)*(ROW(입력_상담!$B$5:$B$1004)-4)))</f>
        <v>0</v>
      </c>
    </row>
    <row r="367" customFormat="false" ht="15" hidden="false" customHeight="false" outlineLevel="0" collapsed="false">
      <c r="A367" s="55" t="n">
        <v>363</v>
      </c>
      <c r="B367" s="56"/>
      <c r="C367" s="24"/>
      <c r="D367" s="24"/>
      <c r="E367" s="56"/>
      <c r="F367" s="57"/>
      <c r="G367" s="58"/>
      <c r="H367" s="56"/>
      <c r="I367" s="24"/>
      <c r="J367" s="24"/>
      <c r="K367" s="24"/>
      <c r="L367" s="24"/>
      <c r="M367" s="24"/>
      <c r="N367" s="56"/>
      <c r="O367" s="25" t="str">
        <f aca="false">IF($AI367=0,"",IF(INDEX(입력_운동!$C$5:$C$1004,$AI367)="","",INDEX(입력_운동!$C$5:$C$1004,$AI367)))</f>
        <v/>
      </c>
      <c r="P367" s="25" t="str">
        <f aca="false">IF($AI367=0,"",IF(INDEX(입력_운동!$D$5:$D$1004,$AI367)="","",INDEX(입력_운동!$D$5:$D$1004,$AI367)))</f>
        <v/>
      </c>
      <c r="Q367" s="25" t="str">
        <f aca="false">IF($AI367=0,"",IF(INDEX(입력_운동!$E$5:$E$1004,$AI367)="","",INDEX(입력_운동!$E$5:$E$1004,$AI367)))</f>
        <v/>
      </c>
      <c r="R367" s="25" t="str">
        <f aca="false">IF($AI367=0,"",IF(INDEX(입력_운동!$F$5:$F$1004,$AI367)="","",INDEX(입력_운동!$F$5:$F$1004,$AI367)))</f>
        <v/>
      </c>
      <c r="S367" s="25" t="str">
        <f aca="false">IF($AJ367=0,"",IF(INDEX(입력_측정!$C$5:$C$1004,$AJ367)="","",INDEX(입력_측정!$C$5:$C$1004,$AJ367)))</f>
        <v/>
      </c>
      <c r="T367" s="25" t="str">
        <f aca="false">IF($AJ367=0,"",IF(INDEX(입력_측정!$D$5:$D$1004,$AJ367)="","",INDEX(입력_측정!$D$5:$D$1004,$AJ367)))</f>
        <v/>
      </c>
      <c r="U367" s="25" t="str">
        <f aca="false">IF($AJ367=0,"",IF(INDEX(입력_측정!$E$5:$E$1004,$AJ367)="","",INDEX(입력_측정!$E$5:$E$1004,$AJ367)))</f>
        <v/>
      </c>
      <c r="V367" s="25" t="str">
        <f aca="false">IF($AJ367=0,"",IF(INDEX(입력_측정!$F$5:$F$1004,$AJ367)="","",INDEX(입력_측정!$F$5:$F$1004,$AJ367)))</f>
        <v/>
      </c>
      <c r="W367" s="25" t="str">
        <f aca="false">IF($AK367=0,"",IF(INDEX(입력_상담!$D$5:$D$1004,$AK367)="","",INDEX(입력_상담!$D$5:$D$1004,$AK367)))</f>
        <v/>
      </c>
      <c r="X367" s="25" t="str">
        <f aca="false">IF($AJ367=0,"",IF(INDEX(입력_측정!$I$5:$I$1004,$AJ367)="","",INDEX(입력_측정!$I$5:$I$1004,$AJ367)))</f>
        <v/>
      </c>
      <c r="Y367" s="25" t="str">
        <f aca="false">IF($AJ367=0,"",IF(INDEX(입력_측정!$J$5:$J$1004,$AJ367)="","",INDEX(입력_측정!$J$5:$J$1004,$AJ367)))</f>
        <v/>
      </c>
      <c r="Z367" s="25" t="str">
        <f aca="false">IF(OR(X367="긴급",LEFT(Y367,2)="긴급",W367="필요",W367="완료"),"대상","")</f>
        <v/>
      </c>
      <c r="AA367" s="59" t="str">
        <f aca="false">IF(M367&lt;&gt;"",M367,IF(AK367&gt;0,IF(W367="필요","추가상담 대기","완료"),IF(AJ367&gt;0,"결과상담 대기",IF(AI367&gt;0,"측정 대기","미방문"))))</f>
        <v>미방문</v>
      </c>
      <c r="AB367" s="60" t="str">
        <f aca="false">IF($AI367=0,"",IF(INDEX(입력_운동!$A$5:$A$1004,$AI367)="","",INDEX(입력_운동!$A$5:$A$1004,$AI367)))</f>
        <v/>
      </c>
      <c r="AC367" s="60" t="str">
        <f aca="false">IF($AJ367=0,"",IF(INDEX(입력_측정!$A$5:$A$1004,$AJ367)="","",INDEX(입력_측정!$A$5:$A$1004,$AJ367)))</f>
        <v/>
      </c>
      <c r="AD367" s="60" t="str">
        <f aca="false">IF($AK367=0,"",IF(INDEX(입력_상담!$A$5:$A$1004,$AK367)="","",INDEX(입력_상담!$A$5:$A$1004,$AK367)))</f>
        <v/>
      </c>
      <c r="AE367" s="25" t="str">
        <f aca="false">IF(AND(ISNUMBER(AB367),ISNUMBER(AC367)),IF(AC367&gt;=AB367,ROUND((AC367-AB367)*1440,0),""),"")</f>
        <v/>
      </c>
      <c r="AF367" s="25" t="str">
        <f aca="false">IF(AND(ISNUMBER(AC367),ISNUMBER(AD367)),IF(AD367&gt;=AC367,ROUND((AD367-AC367)*1440,0),""),"")</f>
        <v/>
      </c>
      <c r="AG367" s="25" t="str">
        <f aca="false">IF(AND(AA367="완료",ISNUMBER(AB367),ISNUMBER(AD367)),IF(AD367&gt;=AB367,ROUND((AD367-AB367)*1440,0),""),"")</f>
        <v/>
      </c>
      <c r="AH367" s="61" t="str">
        <f aca="false">IF(AND(AK367&gt;0,AJ367=0),"측정 기록 없음",IF(AND(AJ367&gt;0,AI367=0),"운동평가 기록 없음",IF(OR(COUNTIF(입력_운동!$B$5:$B$1004,$A367)&gt;1,COUNTIF(입력_측정!$B$5:$B$1004,$A367)&gt;1),"중복 입력","")))</f>
        <v/>
      </c>
      <c r="AI367" s="62" t="n">
        <f aca="false">SUMPRODUCT(MAX((입력_운동!$B$5:$B$1004=$A367)*(ROW(입력_운동!$B$5:$B$1004)-4)))</f>
        <v>0</v>
      </c>
      <c r="AJ367" s="62" t="n">
        <f aca="false">SUMPRODUCT(MAX((입력_측정!$B$5:$B$1004=$A367)*(ROW(입력_측정!$B$5:$B$1004)-4)))</f>
        <v>0</v>
      </c>
      <c r="AK367" s="62" t="n">
        <f aca="false">SUMPRODUCT(MAX((입력_상담!$B$5:$B$1004=$A367)*(ROW(입력_상담!$B$5:$B$1004)-4)))</f>
        <v>0</v>
      </c>
    </row>
    <row r="368" customFormat="false" ht="15" hidden="false" customHeight="false" outlineLevel="0" collapsed="false">
      <c r="A368" s="55" t="n">
        <v>364</v>
      </c>
      <c r="B368" s="56"/>
      <c r="C368" s="24"/>
      <c r="D368" s="24"/>
      <c r="E368" s="56"/>
      <c r="F368" s="57"/>
      <c r="G368" s="58"/>
      <c r="H368" s="56"/>
      <c r="I368" s="24"/>
      <c r="J368" s="24"/>
      <c r="K368" s="24"/>
      <c r="L368" s="24"/>
      <c r="M368" s="24"/>
      <c r="N368" s="56"/>
      <c r="O368" s="25" t="str">
        <f aca="false">IF($AI368=0,"",IF(INDEX(입력_운동!$C$5:$C$1004,$AI368)="","",INDEX(입력_운동!$C$5:$C$1004,$AI368)))</f>
        <v/>
      </c>
      <c r="P368" s="25" t="str">
        <f aca="false">IF($AI368=0,"",IF(INDEX(입력_운동!$D$5:$D$1004,$AI368)="","",INDEX(입력_운동!$D$5:$D$1004,$AI368)))</f>
        <v/>
      </c>
      <c r="Q368" s="25" t="str">
        <f aca="false">IF($AI368=0,"",IF(INDEX(입력_운동!$E$5:$E$1004,$AI368)="","",INDEX(입력_운동!$E$5:$E$1004,$AI368)))</f>
        <v/>
      </c>
      <c r="R368" s="25" t="str">
        <f aca="false">IF($AI368=0,"",IF(INDEX(입력_운동!$F$5:$F$1004,$AI368)="","",INDEX(입력_운동!$F$5:$F$1004,$AI368)))</f>
        <v/>
      </c>
      <c r="S368" s="25" t="str">
        <f aca="false">IF($AJ368=0,"",IF(INDEX(입력_측정!$C$5:$C$1004,$AJ368)="","",INDEX(입력_측정!$C$5:$C$1004,$AJ368)))</f>
        <v/>
      </c>
      <c r="T368" s="25" t="str">
        <f aca="false">IF($AJ368=0,"",IF(INDEX(입력_측정!$D$5:$D$1004,$AJ368)="","",INDEX(입력_측정!$D$5:$D$1004,$AJ368)))</f>
        <v/>
      </c>
      <c r="U368" s="25" t="str">
        <f aca="false">IF($AJ368=0,"",IF(INDEX(입력_측정!$E$5:$E$1004,$AJ368)="","",INDEX(입력_측정!$E$5:$E$1004,$AJ368)))</f>
        <v/>
      </c>
      <c r="V368" s="25" t="str">
        <f aca="false">IF($AJ368=0,"",IF(INDEX(입력_측정!$F$5:$F$1004,$AJ368)="","",INDEX(입력_측정!$F$5:$F$1004,$AJ368)))</f>
        <v/>
      </c>
      <c r="W368" s="25" t="str">
        <f aca="false">IF($AK368=0,"",IF(INDEX(입력_상담!$D$5:$D$1004,$AK368)="","",INDEX(입력_상담!$D$5:$D$1004,$AK368)))</f>
        <v/>
      </c>
      <c r="X368" s="25" t="str">
        <f aca="false">IF($AJ368=0,"",IF(INDEX(입력_측정!$I$5:$I$1004,$AJ368)="","",INDEX(입력_측정!$I$5:$I$1004,$AJ368)))</f>
        <v/>
      </c>
      <c r="Y368" s="25" t="str">
        <f aca="false">IF($AJ368=0,"",IF(INDEX(입력_측정!$J$5:$J$1004,$AJ368)="","",INDEX(입력_측정!$J$5:$J$1004,$AJ368)))</f>
        <v/>
      </c>
      <c r="Z368" s="25" t="str">
        <f aca="false">IF(OR(X368="긴급",LEFT(Y368,2)="긴급",W368="필요",W368="완료"),"대상","")</f>
        <v/>
      </c>
      <c r="AA368" s="59" t="str">
        <f aca="false">IF(M368&lt;&gt;"",M368,IF(AK368&gt;0,IF(W368="필요","추가상담 대기","완료"),IF(AJ368&gt;0,"결과상담 대기",IF(AI368&gt;0,"측정 대기","미방문"))))</f>
        <v>미방문</v>
      </c>
      <c r="AB368" s="60" t="str">
        <f aca="false">IF($AI368=0,"",IF(INDEX(입력_운동!$A$5:$A$1004,$AI368)="","",INDEX(입력_운동!$A$5:$A$1004,$AI368)))</f>
        <v/>
      </c>
      <c r="AC368" s="60" t="str">
        <f aca="false">IF($AJ368=0,"",IF(INDEX(입력_측정!$A$5:$A$1004,$AJ368)="","",INDEX(입력_측정!$A$5:$A$1004,$AJ368)))</f>
        <v/>
      </c>
      <c r="AD368" s="60" t="str">
        <f aca="false">IF($AK368=0,"",IF(INDEX(입력_상담!$A$5:$A$1004,$AK368)="","",INDEX(입력_상담!$A$5:$A$1004,$AK368)))</f>
        <v/>
      </c>
      <c r="AE368" s="25" t="str">
        <f aca="false">IF(AND(ISNUMBER(AB368),ISNUMBER(AC368)),IF(AC368&gt;=AB368,ROUND((AC368-AB368)*1440,0),""),"")</f>
        <v/>
      </c>
      <c r="AF368" s="25" t="str">
        <f aca="false">IF(AND(ISNUMBER(AC368),ISNUMBER(AD368)),IF(AD368&gt;=AC368,ROUND((AD368-AC368)*1440,0),""),"")</f>
        <v/>
      </c>
      <c r="AG368" s="25" t="str">
        <f aca="false">IF(AND(AA368="완료",ISNUMBER(AB368),ISNUMBER(AD368)),IF(AD368&gt;=AB368,ROUND((AD368-AB368)*1440,0),""),"")</f>
        <v/>
      </c>
      <c r="AH368" s="61" t="str">
        <f aca="false">IF(AND(AK368&gt;0,AJ368=0),"측정 기록 없음",IF(AND(AJ368&gt;0,AI368=0),"운동평가 기록 없음",IF(OR(COUNTIF(입력_운동!$B$5:$B$1004,$A368)&gt;1,COUNTIF(입력_측정!$B$5:$B$1004,$A368)&gt;1),"중복 입력","")))</f>
        <v/>
      </c>
      <c r="AI368" s="62" t="n">
        <f aca="false">SUMPRODUCT(MAX((입력_운동!$B$5:$B$1004=$A368)*(ROW(입력_운동!$B$5:$B$1004)-4)))</f>
        <v>0</v>
      </c>
      <c r="AJ368" s="62" t="n">
        <f aca="false">SUMPRODUCT(MAX((입력_측정!$B$5:$B$1004=$A368)*(ROW(입력_측정!$B$5:$B$1004)-4)))</f>
        <v>0</v>
      </c>
      <c r="AK368" s="62" t="n">
        <f aca="false">SUMPRODUCT(MAX((입력_상담!$B$5:$B$1004=$A368)*(ROW(입력_상담!$B$5:$B$1004)-4)))</f>
        <v>0</v>
      </c>
    </row>
    <row r="369" customFormat="false" ht="15" hidden="false" customHeight="false" outlineLevel="0" collapsed="false">
      <c r="A369" s="55" t="n">
        <v>365</v>
      </c>
      <c r="B369" s="56"/>
      <c r="C369" s="24"/>
      <c r="D369" s="24"/>
      <c r="E369" s="56"/>
      <c r="F369" s="57"/>
      <c r="G369" s="58"/>
      <c r="H369" s="56"/>
      <c r="I369" s="24"/>
      <c r="J369" s="24"/>
      <c r="K369" s="24"/>
      <c r="L369" s="24"/>
      <c r="M369" s="24"/>
      <c r="N369" s="56"/>
      <c r="O369" s="25" t="str">
        <f aca="false">IF($AI369=0,"",IF(INDEX(입력_운동!$C$5:$C$1004,$AI369)="","",INDEX(입력_운동!$C$5:$C$1004,$AI369)))</f>
        <v/>
      </c>
      <c r="P369" s="25" t="str">
        <f aca="false">IF($AI369=0,"",IF(INDEX(입력_운동!$D$5:$D$1004,$AI369)="","",INDEX(입력_운동!$D$5:$D$1004,$AI369)))</f>
        <v/>
      </c>
      <c r="Q369" s="25" t="str">
        <f aca="false">IF($AI369=0,"",IF(INDEX(입력_운동!$E$5:$E$1004,$AI369)="","",INDEX(입력_운동!$E$5:$E$1004,$AI369)))</f>
        <v/>
      </c>
      <c r="R369" s="25" t="str">
        <f aca="false">IF($AI369=0,"",IF(INDEX(입력_운동!$F$5:$F$1004,$AI369)="","",INDEX(입력_운동!$F$5:$F$1004,$AI369)))</f>
        <v/>
      </c>
      <c r="S369" s="25" t="str">
        <f aca="false">IF($AJ369=0,"",IF(INDEX(입력_측정!$C$5:$C$1004,$AJ369)="","",INDEX(입력_측정!$C$5:$C$1004,$AJ369)))</f>
        <v/>
      </c>
      <c r="T369" s="25" t="str">
        <f aca="false">IF($AJ369=0,"",IF(INDEX(입력_측정!$D$5:$D$1004,$AJ369)="","",INDEX(입력_측정!$D$5:$D$1004,$AJ369)))</f>
        <v/>
      </c>
      <c r="U369" s="25" t="str">
        <f aca="false">IF($AJ369=0,"",IF(INDEX(입력_측정!$E$5:$E$1004,$AJ369)="","",INDEX(입력_측정!$E$5:$E$1004,$AJ369)))</f>
        <v/>
      </c>
      <c r="V369" s="25" t="str">
        <f aca="false">IF($AJ369=0,"",IF(INDEX(입력_측정!$F$5:$F$1004,$AJ369)="","",INDEX(입력_측정!$F$5:$F$1004,$AJ369)))</f>
        <v/>
      </c>
      <c r="W369" s="25" t="str">
        <f aca="false">IF($AK369=0,"",IF(INDEX(입력_상담!$D$5:$D$1004,$AK369)="","",INDEX(입력_상담!$D$5:$D$1004,$AK369)))</f>
        <v/>
      </c>
      <c r="X369" s="25" t="str">
        <f aca="false">IF($AJ369=0,"",IF(INDEX(입력_측정!$I$5:$I$1004,$AJ369)="","",INDEX(입력_측정!$I$5:$I$1004,$AJ369)))</f>
        <v/>
      </c>
      <c r="Y369" s="25" t="str">
        <f aca="false">IF($AJ369=0,"",IF(INDEX(입력_측정!$J$5:$J$1004,$AJ369)="","",INDEX(입력_측정!$J$5:$J$1004,$AJ369)))</f>
        <v/>
      </c>
      <c r="Z369" s="25" t="str">
        <f aca="false">IF(OR(X369="긴급",LEFT(Y369,2)="긴급",W369="필요",W369="완료"),"대상","")</f>
        <v/>
      </c>
      <c r="AA369" s="59" t="str">
        <f aca="false">IF(M369&lt;&gt;"",M369,IF(AK369&gt;0,IF(W369="필요","추가상담 대기","완료"),IF(AJ369&gt;0,"결과상담 대기",IF(AI369&gt;0,"측정 대기","미방문"))))</f>
        <v>미방문</v>
      </c>
      <c r="AB369" s="60" t="str">
        <f aca="false">IF($AI369=0,"",IF(INDEX(입력_운동!$A$5:$A$1004,$AI369)="","",INDEX(입력_운동!$A$5:$A$1004,$AI369)))</f>
        <v/>
      </c>
      <c r="AC369" s="60" t="str">
        <f aca="false">IF($AJ369=0,"",IF(INDEX(입력_측정!$A$5:$A$1004,$AJ369)="","",INDEX(입력_측정!$A$5:$A$1004,$AJ369)))</f>
        <v/>
      </c>
      <c r="AD369" s="60" t="str">
        <f aca="false">IF($AK369=0,"",IF(INDEX(입력_상담!$A$5:$A$1004,$AK369)="","",INDEX(입력_상담!$A$5:$A$1004,$AK369)))</f>
        <v/>
      </c>
      <c r="AE369" s="25" t="str">
        <f aca="false">IF(AND(ISNUMBER(AB369),ISNUMBER(AC369)),IF(AC369&gt;=AB369,ROUND((AC369-AB369)*1440,0),""),"")</f>
        <v/>
      </c>
      <c r="AF369" s="25" t="str">
        <f aca="false">IF(AND(ISNUMBER(AC369),ISNUMBER(AD369)),IF(AD369&gt;=AC369,ROUND((AD369-AC369)*1440,0),""),"")</f>
        <v/>
      </c>
      <c r="AG369" s="25" t="str">
        <f aca="false">IF(AND(AA369="완료",ISNUMBER(AB369),ISNUMBER(AD369)),IF(AD369&gt;=AB369,ROUND((AD369-AB369)*1440,0),""),"")</f>
        <v/>
      </c>
      <c r="AH369" s="61" t="str">
        <f aca="false">IF(AND(AK369&gt;0,AJ369=0),"측정 기록 없음",IF(AND(AJ369&gt;0,AI369=0),"운동평가 기록 없음",IF(OR(COUNTIF(입력_운동!$B$5:$B$1004,$A369)&gt;1,COUNTIF(입력_측정!$B$5:$B$1004,$A369)&gt;1),"중복 입력","")))</f>
        <v/>
      </c>
      <c r="AI369" s="62" t="n">
        <f aca="false">SUMPRODUCT(MAX((입력_운동!$B$5:$B$1004=$A369)*(ROW(입력_운동!$B$5:$B$1004)-4)))</f>
        <v>0</v>
      </c>
      <c r="AJ369" s="62" t="n">
        <f aca="false">SUMPRODUCT(MAX((입력_측정!$B$5:$B$1004=$A369)*(ROW(입력_측정!$B$5:$B$1004)-4)))</f>
        <v>0</v>
      </c>
      <c r="AK369" s="62" t="n">
        <f aca="false">SUMPRODUCT(MAX((입력_상담!$B$5:$B$1004=$A369)*(ROW(입력_상담!$B$5:$B$1004)-4)))</f>
        <v>0</v>
      </c>
    </row>
    <row r="370" customFormat="false" ht="15" hidden="false" customHeight="false" outlineLevel="0" collapsed="false">
      <c r="A370" s="55" t="n">
        <v>366</v>
      </c>
      <c r="B370" s="56"/>
      <c r="C370" s="24"/>
      <c r="D370" s="24"/>
      <c r="E370" s="56"/>
      <c r="F370" s="57"/>
      <c r="G370" s="58"/>
      <c r="H370" s="56"/>
      <c r="I370" s="24"/>
      <c r="J370" s="24"/>
      <c r="K370" s="24"/>
      <c r="L370" s="24"/>
      <c r="M370" s="24"/>
      <c r="N370" s="56"/>
      <c r="O370" s="25" t="str">
        <f aca="false">IF($AI370=0,"",IF(INDEX(입력_운동!$C$5:$C$1004,$AI370)="","",INDEX(입력_운동!$C$5:$C$1004,$AI370)))</f>
        <v/>
      </c>
      <c r="P370" s="25" t="str">
        <f aca="false">IF($AI370=0,"",IF(INDEX(입력_운동!$D$5:$D$1004,$AI370)="","",INDEX(입력_운동!$D$5:$D$1004,$AI370)))</f>
        <v/>
      </c>
      <c r="Q370" s="25" t="str">
        <f aca="false">IF($AI370=0,"",IF(INDEX(입력_운동!$E$5:$E$1004,$AI370)="","",INDEX(입력_운동!$E$5:$E$1004,$AI370)))</f>
        <v/>
      </c>
      <c r="R370" s="25" t="str">
        <f aca="false">IF($AI370=0,"",IF(INDEX(입력_운동!$F$5:$F$1004,$AI370)="","",INDEX(입력_운동!$F$5:$F$1004,$AI370)))</f>
        <v/>
      </c>
      <c r="S370" s="25" t="str">
        <f aca="false">IF($AJ370=0,"",IF(INDEX(입력_측정!$C$5:$C$1004,$AJ370)="","",INDEX(입력_측정!$C$5:$C$1004,$AJ370)))</f>
        <v/>
      </c>
      <c r="T370" s="25" t="str">
        <f aca="false">IF($AJ370=0,"",IF(INDEX(입력_측정!$D$5:$D$1004,$AJ370)="","",INDEX(입력_측정!$D$5:$D$1004,$AJ370)))</f>
        <v/>
      </c>
      <c r="U370" s="25" t="str">
        <f aca="false">IF($AJ370=0,"",IF(INDEX(입력_측정!$E$5:$E$1004,$AJ370)="","",INDEX(입력_측정!$E$5:$E$1004,$AJ370)))</f>
        <v/>
      </c>
      <c r="V370" s="25" t="str">
        <f aca="false">IF($AJ370=0,"",IF(INDEX(입력_측정!$F$5:$F$1004,$AJ370)="","",INDEX(입력_측정!$F$5:$F$1004,$AJ370)))</f>
        <v/>
      </c>
      <c r="W370" s="25" t="str">
        <f aca="false">IF($AK370=0,"",IF(INDEX(입력_상담!$D$5:$D$1004,$AK370)="","",INDEX(입력_상담!$D$5:$D$1004,$AK370)))</f>
        <v/>
      </c>
      <c r="X370" s="25" t="str">
        <f aca="false">IF($AJ370=0,"",IF(INDEX(입력_측정!$I$5:$I$1004,$AJ370)="","",INDEX(입력_측정!$I$5:$I$1004,$AJ370)))</f>
        <v/>
      </c>
      <c r="Y370" s="25" t="str">
        <f aca="false">IF($AJ370=0,"",IF(INDEX(입력_측정!$J$5:$J$1004,$AJ370)="","",INDEX(입력_측정!$J$5:$J$1004,$AJ370)))</f>
        <v/>
      </c>
      <c r="Z370" s="25" t="str">
        <f aca="false">IF(OR(X370="긴급",LEFT(Y370,2)="긴급",W370="필요",W370="완료"),"대상","")</f>
        <v/>
      </c>
      <c r="AA370" s="59" t="str">
        <f aca="false">IF(M370&lt;&gt;"",M370,IF(AK370&gt;0,IF(W370="필요","추가상담 대기","완료"),IF(AJ370&gt;0,"결과상담 대기",IF(AI370&gt;0,"측정 대기","미방문"))))</f>
        <v>미방문</v>
      </c>
      <c r="AB370" s="60" t="str">
        <f aca="false">IF($AI370=0,"",IF(INDEX(입력_운동!$A$5:$A$1004,$AI370)="","",INDEX(입력_운동!$A$5:$A$1004,$AI370)))</f>
        <v/>
      </c>
      <c r="AC370" s="60" t="str">
        <f aca="false">IF($AJ370=0,"",IF(INDEX(입력_측정!$A$5:$A$1004,$AJ370)="","",INDEX(입력_측정!$A$5:$A$1004,$AJ370)))</f>
        <v/>
      </c>
      <c r="AD370" s="60" t="str">
        <f aca="false">IF($AK370=0,"",IF(INDEX(입력_상담!$A$5:$A$1004,$AK370)="","",INDEX(입력_상담!$A$5:$A$1004,$AK370)))</f>
        <v/>
      </c>
      <c r="AE370" s="25" t="str">
        <f aca="false">IF(AND(ISNUMBER(AB370),ISNUMBER(AC370)),IF(AC370&gt;=AB370,ROUND((AC370-AB370)*1440,0),""),"")</f>
        <v/>
      </c>
      <c r="AF370" s="25" t="str">
        <f aca="false">IF(AND(ISNUMBER(AC370),ISNUMBER(AD370)),IF(AD370&gt;=AC370,ROUND((AD370-AC370)*1440,0),""),"")</f>
        <v/>
      </c>
      <c r="AG370" s="25" t="str">
        <f aca="false">IF(AND(AA370="완료",ISNUMBER(AB370),ISNUMBER(AD370)),IF(AD370&gt;=AB370,ROUND((AD370-AB370)*1440,0),""),"")</f>
        <v/>
      </c>
      <c r="AH370" s="61" t="str">
        <f aca="false">IF(AND(AK370&gt;0,AJ370=0),"측정 기록 없음",IF(AND(AJ370&gt;0,AI370=0),"운동평가 기록 없음",IF(OR(COUNTIF(입력_운동!$B$5:$B$1004,$A370)&gt;1,COUNTIF(입력_측정!$B$5:$B$1004,$A370)&gt;1),"중복 입력","")))</f>
        <v/>
      </c>
      <c r="AI370" s="62" t="n">
        <f aca="false">SUMPRODUCT(MAX((입력_운동!$B$5:$B$1004=$A370)*(ROW(입력_운동!$B$5:$B$1004)-4)))</f>
        <v>0</v>
      </c>
      <c r="AJ370" s="62" t="n">
        <f aca="false">SUMPRODUCT(MAX((입력_측정!$B$5:$B$1004=$A370)*(ROW(입력_측정!$B$5:$B$1004)-4)))</f>
        <v>0</v>
      </c>
      <c r="AK370" s="62" t="n">
        <f aca="false">SUMPRODUCT(MAX((입력_상담!$B$5:$B$1004=$A370)*(ROW(입력_상담!$B$5:$B$1004)-4)))</f>
        <v>0</v>
      </c>
    </row>
    <row r="371" customFormat="false" ht="15" hidden="false" customHeight="false" outlineLevel="0" collapsed="false">
      <c r="A371" s="55" t="n">
        <v>367</v>
      </c>
      <c r="B371" s="56"/>
      <c r="C371" s="24"/>
      <c r="D371" s="24"/>
      <c r="E371" s="56"/>
      <c r="F371" s="57"/>
      <c r="G371" s="58"/>
      <c r="H371" s="56"/>
      <c r="I371" s="24"/>
      <c r="J371" s="24"/>
      <c r="K371" s="24"/>
      <c r="L371" s="24"/>
      <c r="M371" s="24"/>
      <c r="N371" s="56"/>
      <c r="O371" s="25" t="str">
        <f aca="false">IF($AI371=0,"",IF(INDEX(입력_운동!$C$5:$C$1004,$AI371)="","",INDEX(입력_운동!$C$5:$C$1004,$AI371)))</f>
        <v/>
      </c>
      <c r="P371" s="25" t="str">
        <f aca="false">IF($AI371=0,"",IF(INDEX(입력_운동!$D$5:$D$1004,$AI371)="","",INDEX(입력_운동!$D$5:$D$1004,$AI371)))</f>
        <v/>
      </c>
      <c r="Q371" s="25" t="str">
        <f aca="false">IF($AI371=0,"",IF(INDEX(입력_운동!$E$5:$E$1004,$AI371)="","",INDEX(입력_운동!$E$5:$E$1004,$AI371)))</f>
        <v/>
      </c>
      <c r="R371" s="25" t="str">
        <f aca="false">IF($AI371=0,"",IF(INDEX(입력_운동!$F$5:$F$1004,$AI371)="","",INDEX(입력_운동!$F$5:$F$1004,$AI371)))</f>
        <v/>
      </c>
      <c r="S371" s="25" t="str">
        <f aca="false">IF($AJ371=0,"",IF(INDEX(입력_측정!$C$5:$C$1004,$AJ371)="","",INDEX(입력_측정!$C$5:$C$1004,$AJ371)))</f>
        <v/>
      </c>
      <c r="T371" s="25" t="str">
        <f aca="false">IF($AJ371=0,"",IF(INDEX(입력_측정!$D$5:$D$1004,$AJ371)="","",INDEX(입력_측정!$D$5:$D$1004,$AJ371)))</f>
        <v/>
      </c>
      <c r="U371" s="25" t="str">
        <f aca="false">IF($AJ371=0,"",IF(INDEX(입력_측정!$E$5:$E$1004,$AJ371)="","",INDEX(입력_측정!$E$5:$E$1004,$AJ371)))</f>
        <v/>
      </c>
      <c r="V371" s="25" t="str">
        <f aca="false">IF($AJ371=0,"",IF(INDEX(입력_측정!$F$5:$F$1004,$AJ371)="","",INDEX(입력_측정!$F$5:$F$1004,$AJ371)))</f>
        <v/>
      </c>
      <c r="W371" s="25" t="str">
        <f aca="false">IF($AK371=0,"",IF(INDEX(입력_상담!$D$5:$D$1004,$AK371)="","",INDEX(입력_상담!$D$5:$D$1004,$AK371)))</f>
        <v/>
      </c>
      <c r="X371" s="25" t="str">
        <f aca="false">IF($AJ371=0,"",IF(INDEX(입력_측정!$I$5:$I$1004,$AJ371)="","",INDEX(입력_측정!$I$5:$I$1004,$AJ371)))</f>
        <v/>
      </c>
      <c r="Y371" s="25" t="str">
        <f aca="false">IF($AJ371=0,"",IF(INDEX(입력_측정!$J$5:$J$1004,$AJ371)="","",INDEX(입력_측정!$J$5:$J$1004,$AJ371)))</f>
        <v/>
      </c>
      <c r="Z371" s="25" t="str">
        <f aca="false">IF(OR(X371="긴급",LEFT(Y371,2)="긴급",W371="필요",W371="완료"),"대상","")</f>
        <v/>
      </c>
      <c r="AA371" s="59" t="str">
        <f aca="false">IF(M371&lt;&gt;"",M371,IF(AK371&gt;0,IF(W371="필요","추가상담 대기","완료"),IF(AJ371&gt;0,"결과상담 대기",IF(AI371&gt;0,"측정 대기","미방문"))))</f>
        <v>미방문</v>
      </c>
      <c r="AB371" s="60" t="str">
        <f aca="false">IF($AI371=0,"",IF(INDEX(입력_운동!$A$5:$A$1004,$AI371)="","",INDEX(입력_운동!$A$5:$A$1004,$AI371)))</f>
        <v/>
      </c>
      <c r="AC371" s="60" t="str">
        <f aca="false">IF($AJ371=0,"",IF(INDEX(입력_측정!$A$5:$A$1004,$AJ371)="","",INDEX(입력_측정!$A$5:$A$1004,$AJ371)))</f>
        <v/>
      </c>
      <c r="AD371" s="60" t="str">
        <f aca="false">IF($AK371=0,"",IF(INDEX(입력_상담!$A$5:$A$1004,$AK371)="","",INDEX(입력_상담!$A$5:$A$1004,$AK371)))</f>
        <v/>
      </c>
      <c r="AE371" s="25" t="str">
        <f aca="false">IF(AND(ISNUMBER(AB371),ISNUMBER(AC371)),IF(AC371&gt;=AB371,ROUND((AC371-AB371)*1440,0),""),"")</f>
        <v/>
      </c>
      <c r="AF371" s="25" t="str">
        <f aca="false">IF(AND(ISNUMBER(AC371),ISNUMBER(AD371)),IF(AD371&gt;=AC371,ROUND((AD371-AC371)*1440,0),""),"")</f>
        <v/>
      </c>
      <c r="AG371" s="25" t="str">
        <f aca="false">IF(AND(AA371="완료",ISNUMBER(AB371),ISNUMBER(AD371)),IF(AD371&gt;=AB371,ROUND((AD371-AB371)*1440,0),""),"")</f>
        <v/>
      </c>
      <c r="AH371" s="61" t="str">
        <f aca="false">IF(AND(AK371&gt;0,AJ371=0),"측정 기록 없음",IF(AND(AJ371&gt;0,AI371=0),"운동평가 기록 없음",IF(OR(COUNTIF(입력_운동!$B$5:$B$1004,$A371)&gt;1,COUNTIF(입력_측정!$B$5:$B$1004,$A371)&gt;1),"중복 입력","")))</f>
        <v/>
      </c>
      <c r="AI371" s="62" t="n">
        <f aca="false">SUMPRODUCT(MAX((입력_운동!$B$5:$B$1004=$A371)*(ROW(입력_운동!$B$5:$B$1004)-4)))</f>
        <v>0</v>
      </c>
      <c r="AJ371" s="62" t="n">
        <f aca="false">SUMPRODUCT(MAX((입력_측정!$B$5:$B$1004=$A371)*(ROW(입력_측정!$B$5:$B$1004)-4)))</f>
        <v>0</v>
      </c>
      <c r="AK371" s="62" t="n">
        <f aca="false">SUMPRODUCT(MAX((입력_상담!$B$5:$B$1004=$A371)*(ROW(입력_상담!$B$5:$B$1004)-4)))</f>
        <v>0</v>
      </c>
    </row>
    <row r="372" customFormat="false" ht="15" hidden="false" customHeight="false" outlineLevel="0" collapsed="false">
      <c r="A372" s="55" t="n">
        <v>368</v>
      </c>
      <c r="B372" s="56"/>
      <c r="C372" s="24"/>
      <c r="D372" s="24"/>
      <c r="E372" s="56"/>
      <c r="F372" s="57"/>
      <c r="G372" s="58"/>
      <c r="H372" s="56"/>
      <c r="I372" s="24"/>
      <c r="J372" s="24"/>
      <c r="K372" s="24"/>
      <c r="L372" s="24"/>
      <c r="M372" s="24"/>
      <c r="N372" s="56"/>
      <c r="O372" s="25" t="str">
        <f aca="false">IF($AI372=0,"",IF(INDEX(입력_운동!$C$5:$C$1004,$AI372)="","",INDEX(입력_운동!$C$5:$C$1004,$AI372)))</f>
        <v/>
      </c>
      <c r="P372" s="25" t="str">
        <f aca="false">IF($AI372=0,"",IF(INDEX(입력_운동!$D$5:$D$1004,$AI372)="","",INDEX(입력_운동!$D$5:$D$1004,$AI372)))</f>
        <v/>
      </c>
      <c r="Q372" s="25" t="str">
        <f aca="false">IF($AI372=0,"",IF(INDEX(입력_운동!$E$5:$E$1004,$AI372)="","",INDEX(입력_운동!$E$5:$E$1004,$AI372)))</f>
        <v/>
      </c>
      <c r="R372" s="25" t="str">
        <f aca="false">IF($AI372=0,"",IF(INDEX(입력_운동!$F$5:$F$1004,$AI372)="","",INDEX(입력_운동!$F$5:$F$1004,$AI372)))</f>
        <v/>
      </c>
      <c r="S372" s="25" t="str">
        <f aca="false">IF($AJ372=0,"",IF(INDEX(입력_측정!$C$5:$C$1004,$AJ372)="","",INDEX(입력_측정!$C$5:$C$1004,$AJ372)))</f>
        <v/>
      </c>
      <c r="T372" s="25" t="str">
        <f aca="false">IF($AJ372=0,"",IF(INDEX(입력_측정!$D$5:$D$1004,$AJ372)="","",INDEX(입력_측정!$D$5:$D$1004,$AJ372)))</f>
        <v/>
      </c>
      <c r="U372" s="25" t="str">
        <f aca="false">IF($AJ372=0,"",IF(INDEX(입력_측정!$E$5:$E$1004,$AJ372)="","",INDEX(입력_측정!$E$5:$E$1004,$AJ372)))</f>
        <v/>
      </c>
      <c r="V372" s="25" t="str">
        <f aca="false">IF($AJ372=0,"",IF(INDEX(입력_측정!$F$5:$F$1004,$AJ372)="","",INDEX(입력_측정!$F$5:$F$1004,$AJ372)))</f>
        <v/>
      </c>
      <c r="W372" s="25" t="str">
        <f aca="false">IF($AK372=0,"",IF(INDEX(입력_상담!$D$5:$D$1004,$AK372)="","",INDEX(입력_상담!$D$5:$D$1004,$AK372)))</f>
        <v/>
      </c>
      <c r="X372" s="25" t="str">
        <f aca="false">IF($AJ372=0,"",IF(INDEX(입력_측정!$I$5:$I$1004,$AJ372)="","",INDEX(입력_측정!$I$5:$I$1004,$AJ372)))</f>
        <v/>
      </c>
      <c r="Y372" s="25" t="str">
        <f aca="false">IF($AJ372=0,"",IF(INDEX(입력_측정!$J$5:$J$1004,$AJ372)="","",INDEX(입력_측정!$J$5:$J$1004,$AJ372)))</f>
        <v/>
      </c>
      <c r="Z372" s="25" t="str">
        <f aca="false">IF(OR(X372="긴급",LEFT(Y372,2)="긴급",W372="필요",W372="완료"),"대상","")</f>
        <v/>
      </c>
      <c r="AA372" s="59" t="str">
        <f aca="false">IF(M372&lt;&gt;"",M372,IF(AK372&gt;0,IF(W372="필요","추가상담 대기","완료"),IF(AJ372&gt;0,"결과상담 대기",IF(AI372&gt;0,"측정 대기","미방문"))))</f>
        <v>미방문</v>
      </c>
      <c r="AB372" s="60" t="str">
        <f aca="false">IF($AI372=0,"",IF(INDEX(입력_운동!$A$5:$A$1004,$AI372)="","",INDEX(입력_운동!$A$5:$A$1004,$AI372)))</f>
        <v/>
      </c>
      <c r="AC372" s="60" t="str">
        <f aca="false">IF($AJ372=0,"",IF(INDEX(입력_측정!$A$5:$A$1004,$AJ372)="","",INDEX(입력_측정!$A$5:$A$1004,$AJ372)))</f>
        <v/>
      </c>
      <c r="AD372" s="60" t="str">
        <f aca="false">IF($AK372=0,"",IF(INDEX(입력_상담!$A$5:$A$1004,$AK372)="","",INDEX(입력_상담!$A$5:$A$1004,$AK372)))</f>
        <v/>
      </c>
      <c r="AE372" s="25" t="str">
        <f aca="false">IF(AND(ISNUMBER(AB372),ISNUMBER(AC372)),IF(AC372&gt;=AB372,ROUND((AC372-AB372)*1440,0),""),"")</f>
        <v/>
      </c>
      <c r="AF372" s="25" t="str">
        <f aca="false">IF(AND(ISNUMBER(AC372),ISNUMBER(AD372)),IF(AD372&gt;=AC372,ROUND((AD372-AC372)*1440,0),""),"")</f>
        <v/>
      </c>
      <c r="AG372" s="25" t="str">
        <f aca="false">IF(AND(AA372="완료",ISNUMBER(AB372),ISNUMBER(AD372)),IF(AD372&gt;=AB372,ROUND((AD372-AB372)*1440,0),""),"")</f>
        <v/>
      </c>
      <c r="AH372" s="61" t="str">
        <f aca="false">IF(AND(AK372&gt;0,AJ372=0),"측정 기록 없음",IF(AND(AJ372&gt;0,AI372=0),"운동평가 기록 없음",IF(OR(COUNTIF(입력_운동!$B$5:$B$1004,$A372)&gt;1,COUNTIF(입력_측정!$B$5:$B$1004,$A372)&gt;1),"중복 입력","")))</f>
        <v/>
      </c>
      <c r="AI372" s="62" t="n">
        <f aca="false">SUMPRODUCT(MAX((입력_운동!$B$5:$B$1004=$A372)*(ROW(입력_운동!$B$5:$B$1004)-4)))</f>
        <v>0</v>
      </c>
      <c r="AJ372" s="62" t="n">
        <f aca="false">SUMPRODUCT(MAX((입력_측정!$B$5:$B$1004=$A372)*(ROW(입력_측정!$B$5:$B$1004)-4)))</f>
        <v>0</v>
      </c>
      <c r="AK372" s="62" t="n">
        <f aca="false">SUMPRODUCT(MAX((입력_상담!$B$5:$B$1004=$A372)*(ROW(입력_상담!$B$5:$B$1004)-4)))</f>
        <v>0</v>
      </c>
    </row>
    <row r="373" customFormat="false" ht="15" hidden="false" customHeight="false" outlineLevel="0" collapsed="false">
      <c r="A373" s="55" t="n">
        <v>369</v>
      </c>
      <c r="B373" s="56"/>
      <c r="C373" s="24"/>
      <c r="D373" s="24"/>
      <c r="E373" s="56"/>
      <c r="F373" s="57"/>
      <c r="G373" s="58"/>
      <c r="H373" s="56"/>
      <c r="I373" s="24"/>
      <c r="J373" s="24"/>
      <c r="K373" s="24"/>
      <c r="L373" s="24"/>
      <c r="M373" s="24"/>
      <c r="N373" s="56"/>
      <c r="O373" s="25" t="str">
        <f aca="false">IF($AI373=0,"",IF(INDEX(입력_운동!$C$5:$C$1004,$AI373)="","",INDEX(입력_운동!$C$5:$C$1004,$AI373)))</f>
        <v/>
      </c>
      <c r="P373" s="25" t="str">
        <f aca="false">IF($AI373=0,"",IF(INDEX(입력_운동!$D$5:$D$1004,$AI373)="","",INDEX(입력_운동!$D$5:$D$1004,$AI373)))</f>
        <v/>
      </c>
      <c r="Q373" s="25" t="str">
        <f aca="false">IF($AI373=0,"",IF(INDEX(입력_운동!$E$5:$E$1004,$AI373)="","",INDEX(입력_운동!$E$5:$E$1004,$AI373)))</f>
        <v/>
      </c>
      <c r="R373" s="25" t="str">
        <f aca="false">IF($AI373=0,"",IF(INDEX(입력_운동!$F$5:$F$1004,$AI373)="","",INDEX(입력_운동!$F$5:$F$1004,$AI373)))</f>
        <v/>
      </c>
      <c r="S373" s="25" t="str">
        <f aca="false">IF($AJ373=0,"",IF(INDEX(입력_측정!$C$5:$C$1004,$AJ373)="","",INDEX(입력_측정!$C$5:$C$1004,$AJ373)))</f>
        <v/>
      </c>
      <c r="T373" s="25" t="str">
        <f aca="false">IF($AJ373=0,"",IF(INDEX(입력_측정!$D$5:$D$1004,$AJ373)="","",INDEX(입력_측정!$D$5:$D$1004,$AJ373)))</f>
        <v/>
      </c>
      <c r="U373" s="25" t="str">
        <f aca="false">IF($AJ373=0,"",IF(INDEX(입력_측정!$E$5:$E$1004,$AJ373)="","",INDEX(입력_측정!$E$5:$E$1004,$AJ373)))</f>
        <v/>
      </c>
      <c r="V373" s="25" t="str">
        <f aca="false">IF($AJ373=0,"",IF(INDEX(입력_측정!$F$5:$F$1004,$AJ373)="","",INDEX(입력_측정!$F$5:$F$1004,$AJ373)))</f>
        <v/>
      </c>
      <c r="W373" s="25" t="str">
        <f aca="false">IF($AK373=0,"",IF(INDEX(입력_상담!$D$5:$D$1004,$AK373)="","",INDEX(입력_상담!$D$5:$D$1004,$AK373)))</f>
        <v/>
      </c>
      <c r="X373" s="25" t="str">
        <f aca="false">IF($AJ373=0,"",IF(INDEX(입력_측정!$I$5:$I$1004,$AJ373)="","",INDEX(입력_측정!$I$5:$I$1004,$AJ373)))</f>
        <v/>
      </c>
      <c r="Y373" s="25" t="str">
        <f aca="false">IF($AJ373=0,"",IF(INDEX(입력_측정!$J$5:$J$1004,$AJ373)="","",INDEX(입력_측정!$J$5:$J$1004,$AJ373)))</f>
        <v/>
      </c>
      <c r="Z373" s="25" t="str">
        <f aca="false">IF(OR(X373="긴급",LEFT(Y373,2)="긴급",W373="필요",W373="완료"),"대상","")</f>
        <v/>
      </c>
      <c r="AA373" s="59" t="str">
        <f aca="false">IF(M373&lt;&gt;"",M373,IF(AK373&gt;0,IF(W373="필요","추가상담 대기","완료"),IF(AJ373&gt;0,"결과상담 대기",IF(AI373&gt;0,"측정 대기","미방문"))))</f>
        <v>미방문</v>
      </c>
      <c r="AB373" s="60" t="str">
        <f aca="false">IF($AI373=0,"",IF(INDEX(입력_운동!$A$5:$A$1004,$AI373)="","",INDEX(입력_운동!$A$5:$A$1004,$AI373)))</f>
        <v/>
      </c>
      <c r="AC373" s="60" t="str">
        <f aca="false">IF($AJ373=0,"",IF(INDEX(입력_측정!$A$5:$A$1004,$AJ373)="","",INDEX(입력_측정!$A$5:$A$1004,$AJ373)))</f>
        <v/>
      </c>
      <c r="AD373" s="60" t="str">
        <f aca="false">IF($AK373=0,"",IF(INDEX(입력_상담!$A$5:$A$1004,$AK373)="","",INDEX(입력_상담!$A$5:$A$1004,$AK373)))</f>
        <v/>
      </c>
      <c r="AE373" s="25" t="str">
        <f aca="false">IF(AND(ISNUMBER(AB373),ISNUMBER(AC373)),IF(AC373&gt;=AB373,ROUND((AC373-AB373)*1440,0),""),"")</f>
        <v/>
      </c>
      <c r="AF373" s="25" t="str">
        <f aca="false">IF(AND(ISNUMBER(AC373),ISNUMBER(AD373)),IF(AD373&gt;=AC373,ROUND((AD373-AC373)*1440,0),""),"")</f>
        <v/>
      </c>
      <c r="AG373" s="25" t="str">
        <f aca="false">IF(AND(AA373="완료",ISNUMBER(AB373),ISNUMBER(AD373)),IF(AD373&gt;=AB373,ROUND((AD373-AB373)*1440,0),""),"")</f>
        <v/>
      </c>
      <c r="AH373" s="61" t="str">
        <f aca="false">IF(AND(AK373&gt;0,AJ373=0),"측정 기록 없음",IF(AND(AJ373&gt;0,AI373=0),"운동평가 기록 없음",IF(OR(COUNTIF(입력_운동!$B$5:$B$1004,$A373)&gt;1,COUNTIF(입력_측정!$B$5:$B$1004,$A373)&gt;1),"중복 입력","")))</f>
        <v/>
      </c>
      <c r="AI373" s="62" t="n">
        <f aca="false">SUMPRODUCT(MAX((입력_운동!$B$5:$B$1004=$A373)*(ROW(입력_운동!$B$5:$B$1004)-4)))</f>
        <v>0</v>
      </c>
      <c r="AJ373" s="62" t="n">
        <f aca="false">SUMPRODUCT(MAX((입력_측정!$B$5:$B$1004=$A373)*(ROW(입력_측정!$B$5:$B$1004)-4)))</f>
        <v>0</v>
      </c>
      <c r="AK373" s="62" t="n">
        <f aca="false">SUMPRODUCT(MAX((입력_상담!$B$5:$B$1004=$A373)*(ROW(입력_상담!$B$5:$B$1004)-4)))</f>
        <v>0</v>
      </c>
    </row>
    <row r="374" customFormat="false" ht="15" hidden="false" customHeight="false" outlineLevel="0" collapsed="false">
      <c r="A374" s="55" t="n">
        <v>370</v>
      </c>
      <c r="B374" s="56"/>
      <c r="C374" s="24"/>
      <c r="D374" s="24"/>
      <c r="E374" s="56"/>
      <c r="F374" s="57"/>
      <c r="G374" s="58"/>
      <c r="H374" s="56"/>
      <c r="I374" s="24"/>
      <c r="J374" s="24"/>
      <c r="K374" s="24"/>
      <c r="L374" s="24"/>
      <c r="M374" s="24"/>
      <c r="N374" s="56"/>
      <c r="O374" s="25" t="str">
        <f aca="false">IF($AI374=0,"",IF(INDEX(입력_운동!$C$5:$C$1004,$AI374)="","",INDEX(입력_운동!$C$5:$C$1004,$AI374)))</f>
        <v/>
      </c>
      <c r="P374" s="25" t="str">
        <f aca="false">IF($AI374=0,"",IF(INDEX(입력_운동!$D$5:$D$1004,$AI374)="","",INDEX(입력_운동!$D$5:$D$1004,$AI374)))</f>
        <v/>
      </c>
      <c r="Q374" s="25" t="str">
        <f aca="false">IF($AI374=0,"",IF(INDEX(입력_운동!$E$5:$E$1004,$AI374)="","",INDEX(입력_운동!$E$5:$E$1004,$AI374)))</f>
        <v/>
      </c>
      <c r="R374" s="25" t="str">
        <f aca="false">IF($AI374=0,"",IF(INDEX(입력_운동!$F$5:$F$1004,$AI374)="","",INDEX(입력_운동!$F$5:$F$1004,$AI374)))</f>
        <v/>
      </c>
      <c r="S374" s="25" t="str">
        <f aca="false">IF($AJ374=0,"",IF(INDEX(입력_측정!$C$5:$C$1004,$AJ374)="","",INDEX(입력_측정!$C$5:$C$1004,$AJ374)))</f>
        <v/>
      </c>
      <c r="T374" s="25" t="str">
        <f aca="false">IF($AJ374=0,"",IF(INDEX(입력_측정!$D$5:$D$1004,$AJ374)="","",INDEX(입력_측정!$D$5:$D$1004,$AJ374)))</f>
        <v/>
      </c>
      <c r="U374" s="25" t="str">
        <f aca="false">IF($AJ374=0,"",IF(INDEX(입력_측정!$E$5:$E$1004,$AJ374)="","",INDEX(입력_측정!$E$5:$E$1004,$AJ374)))</f>
        <v/>
      </c>
      <c r="V374" s="25" t="str">
        <f aca="false">IF($AJ374=0,"",IF(INDEX(입력_측정!$F$5:$F$1004,$AJ374)="","",INDEX(입력_측정!$F$5:$F$1004,$AJ374)))</f>
        <v/>
      </c>
      <c r="W374" s="25" t="str">
        <f aca="false">IF($AK374=0,"",IF(INDEX(입력_상담!$D$5:$D$1004,$AK374)="","",INDEX(입력_상담!$D$5:$D$1004,$AK374)))</f>
        <v/>
      </c>
      <c r="X374" s="25" t="str">
        <f aca="false">IF($AJ374=0,"",IF(INDEX(입력_측정!$I$5:$I$1004,$AJ374)="","",INDEX(입력_측정!$I$5:$I$1004,$AJ374)))</f>
        <v/>
      </c>
      <c r="Y374" s="25" t="str">
        <f aca="false">IF($AJ374=0,"",IF(INDEX(입력_측정!$J$5:$J$1004,$AJ374)="","",INDEX(입력_측정!$J$5:$J$1004,$AJ374)))</f>
        <v/>
      </c>
      <c r="Z374" s="25" t="str">
        <f aca="false">IF(OR(X374="긴급",LEFT(Y374,2)="긴급",W374="필요",W374="완료"),"대상","")</f>
        <v/>
      </c>
      <c r="AA374" s="59" t="str">
        <f aca="false">IF(M374&lt;&gt;"",M374,IF(AK374&gt;0,IF(W374="필요","추가상담 대기","완료"),IF(AJ374&gt;0,"결과상담 대기",IF(AI374&gt;0,"측정 대기","미방문"))))</f>
        <v>미방문</v>
      </c>
      <c r="AB374" s="60" t="str">
        <f aca="false">IF($AI374=0,"",IF(INDEX(입력_운동!$A$5:$A$1004,$AI374)="","",INDEX(입력_운동!$A$5:$A$1004,$AI374)))</f>
        <v/>
      </c>
      <c r="AC374" s="60" t="str">
        <f aca="false">IF($AJ374=0,"",IF(INDEX(입력_측정!$A$5:$A$1004,$AJ374)="","",INDEX(입력_측정!$A$5:$A$1004,$AJ374)))</f>
        <v/>
      </c>
      <c r="AD374" s="60" t="str">
        <f aca="false">IF($AK374=0,"",IF(INDEX(입력_상담!$A$5:$A$1004,$AK374)="","",INDEX(입력_상담!$A$5:$A$1004,$AK374)))</f>
        <v/>
      </c>
      <c r="AE374" s="25" t="str">
        <f aca="false">IF(AND(ISNUMBER(AB374),ISNUMBER(AC374)),IF(AC374&gt;=AB374,ROUND((AC374-AB374)*1440,0),""),"")</f>
        <v/>
      </c>
      <c r="AF374" s="25" t="str">
        <f aca="false">IF(AND(ISNUMBER(AC374),ISNUMBER(AD374)),IF(AD374&gt;=AC374,ROUND((AD374-AC374)*1440,0),""),"")</f>
        <v/>
      </c>
      <c r="AG374" s="25" t="str">
        <f aca="false">IF(AND(AA374="완료",ISNUMBER(AB374),ISNUMBER(AD374)),IF(AD374&gt;=AB374,ROUND((AD374-AB374)*1440,0),""),"")</f>
        <v/>
      </c>
      <c r="AH374" s="61" t="str">
        <f aca="false">IF(AND(AK374&gt;0,AJ374=0),"측정 기록 없음",IF(AND(AJ374&gt;0,AI374=0),"운동평가 기록 없음",IF(OR(COUNTIF(입력_운동!$B$5:$B$1004,$A374)&gt;1,COUNTIF(입력_측정!$B$5:$B$1004,$A374)&gt;1),"중복 입력","")))</f>
        <v/>
      </c>
      <c r="AI374" s="62" t="n">
        <f aca="false">SUMPRODUCT(MAX((입력_운동!$B$5:$B$1004=$A374)*(ROW(입력_운동!$B$5:$B$1004)-4)))</f>
        <v>0</v>
      </c>
      <c r="AJ374" s="62" t="n">
        <f aca="false">SUMPRODUCT(MAX((입력_측정!$B$5:$B$1004=$A374)*(ROW(입력_측정!$B$5:$B$1004)-4)))</f>
        <v>0</v>
      </c>
      <c r="AK374" s="62" t="n">
        <f aca="false">SUMPRODUCT(MAX((입력_상담!$B$5:$B$1004=$A374)*(ROW(입력_상담!$B$5:$B$1004)-4)))</f>
        <v>0</v>
      </c>
    </row>
    <row r="375" customFormat="false" ht="15" hidden="false" customHeight="false" outlineLevel="0" collapsed="false">
      <c r="A375" s="55" t="n">
        <v>371</v>
      </c>
      <c r="B375" s="56"/>
      <c r="C375" s="24"/>
      <c r="D375" s="24"/>
      <c r="E375" s="56"/>
      <c r="F375" s="57"/>
      <c r="G375" s="58"/>
      <c r="H375" s="56"/>
      <c r="I375" s="24"/>
      <c r="J375" s="24"/>
      <c r="K375" s="24"/>
      <c r="L375" s="24"/>
      <c r="M375" s="24"/>
      <c r="N375" s="56"/>
      <c r="O375" s="25" t="str">
        <f aca="false">IF($AI375=0,"",IF(INDEX(입력_운동!$C$5:$C$1004,$AI375)="","",INDEX(입력_운동!$C$5:$C$1004,$AI375)))</f>
        <v/>
      </c>
      <c r="P375" s="25" t="str">
        <f aca="false">IF($AI375=0,"",IF(INDEX(입력_운동!$D$5:$D$1004,$AI375)="","",INDEX(입력_운동!$D$5:$D$1004,$AI375)))</f>
        <v/>
      </c>
      <c r="Q375" s="25" t="str">
        <f aca="false">IF($AI375=0,"",IF(INDEX(입력_운동!$E$5:$E$1004,$AI375)="","",INDEX(입력_운동!$E$5:$E$1004,$AI375)))</f>
        <v/>
      </c>
      <c r="R375" s="25" t="str">
        <f aca="false">IF($AI375=0,"",IF(INDEX(입력_운동!$F$5:$F$1004,$AI375)="","",INDEX(입력_운동!$F$5:$F$1004,$AI375)))</f>
        <v/>
      </c>
      <c r="S375" s="25" t="str">
        <f aca="false">IF($AJ375=0,"",IF(INDEX(입력_측정!$C$5:$C$1004,$AJ375)="","",INDEX(입력_측정!$C$5:$C$1004,$AJ375)))</f>
        <v/>
      </c>
      <c r="T375" s="25" t="str">
        <f aca="false">IF($AJ375=0,"",IF(INDEX(입력_측정!$D$5:$D$1004,$AJ375)="","",INDEX(입력_측정!$D$5:$D$1004,$AJ375)))</f>
        <v/>
      </c>
      <c r="U375" s="25" t="str">
        <f aca="false">IF($AJ375=0,"",IF(INDEX(입력_측정!$E$5:$E$1004,$AJ375)="","",INDEX(입력_측정!$E$5:$E$1004,$AJ375)))</f>
        <v/>
      </c>
      <c r="V375" s="25" t="str">
        <f aca="false">IF($AJ375=0,"",IF(INDEX(입력_측정!$F$5:$F$1004,$AJ375)="","",INDEX(입력_측정!$F$5:$F$1004,$AJ375)))</f>
        <v/>
      </c>
      <c r="W375" s="25" t="str">
        <f aca="false">IF($AK375=0,"",IF(INDEX(입력_상담!$D$5:$D$1004,$AK375)="","",INDEX(입력_상담!$D$5:$D$1004,$AK375)))</f>
        <v/>
      </c>
      <c r="X375" s="25" t="str">
        <f aca="false">IF($AJ375=0,"",IF(INDEX(입력_측정!$I$5:$I$1004,$AJ375)="","",INDEX(입력_측정!$I$5:$I$1004,$AJ375)))</f>
        <v/>
      </c>
      <c r="Y375" s="25" t="str">
        <f aca="false">IF($AJ375=0,"",IF(INDEX(입력_측정!$J$5:$J$1004,$AJ375)="","",INDEX(입력_측정!$J$5:$J$1004,$AJ375)))</f>
        <v/>
      </c>
      <c r="Z375" s="25" t="str">
        <f aca="false">IF(OR(X375="긴급",LEFT(Y375,2)="긴급",W375="필요",W375="완료"),"대상","")</f>
        <v/>
      </c>
      <c r="AA375" s="59" t="str">
        <f aca="false">IF(M375&lt;&gt;"",M375,IF(AK375&gt;0,IF(W375="필요","추가상담 대기","완료"),IF(AJ375&gt;0,"결과상담 대기",IF(AI375&gt;0,"측정 대기","미방문"))))</f>
        <v>미방문</v>
      </c>
      <c r="AB375" s="60" t="str">
        <f aca="false">IF($AI375=0,"",IF(INDEX(입력_운동!$A$5:$A$1004,$AI375)="","",INDEX(입력_운동!$A$5:$A$1004,$AI375)))</f>
        <v/>
      </c>
      <c r="AC375" s="60" t="str">
        <f aca="false">IF($AJ375=0,"",IF(INDEX(입력_측정!$A$5:$A$1004,$AJ375)="","",INDEX(입력_측정!$A$5:$A$1004,$AJ375)))</f>
        <v/>
      </c>
      <c r="AD375" s="60" t="str">
        <f aca="false">IF($AK375=0,"",IF(INDEX(입력_상담!$A$5:$A$1004,$AK375)="","",INDEX(입력_상담!$A$5:$A$1004,$AK375)))</f>
        <v/>
      </c>
      <c r="AE375" s="25" t="str">
        <f aca="false">IF(AND(ISNUMBER(AB375),ISNUMBER(AC375)),IF(AC375&gt;=AB375,ROUND((AC375-AB375)*1440,0),""),"")</f>
        <v/>
      </c>
      <c r="AF375" s="25" t="str">
        <f aca="false">IF(AND(ISNUMBER(AC375),ISNUMBER(AD375)),IF(AD375&gt;=AC375,ROUND((AD375-AC375)*1440,0),""),"")</f>
        <v/>
      </c>
      <c r="AG375" s="25" t="str">
        <f aca="false">IF(AND(AA375="완료",ISNUMBER(AB375),ISNUMBER(AD375)),IF(AD375&gt;=AB375,ROUND((AD375-AB375)*1440,0),""),"")</f>
        <v/>
      </c>
      <c r="AH375" s="61" t="str">
        <f aca="false">IF(AND(AK375&gt;0,AJ375=0),"측정 기록 없음",IF(AND(AJ375&gt;0,AI375=0),"운동평가 기록 없음",IF(OR(COUNTIF(입력_운동!$B$5:$B$1004,$A375)&gt;1,COUNTIF(입력_측정!$B$5:$B$1004,$A375)&gt;1),"중복 입력","")))</f>
        <v/>
      </c>
      <c r="AI375" s="62" t="n">
        <f aca="false">SUMPRODUCT(MAX((입력_운동!$B$5:$B$1004=$A375)*(ROW(입력_운동!$B$5:$B$1004)-4)))</f>
        <v>0</v>
      </c>
      <c r="AJ375" s="62" t="n">
        <f aca="false">SUMPRODUCT(MAX((입력_측정!$B$5:$B$1004=$A375)*(ROW(입력_측정!$B$5:$B$1004)-4)))</f>
        <v>0</v>
      </c>
      <c r="AK375" s="62" t="n">
        <f aca="false">SUMPRODUCT(MAX((입력_상담!$B$5:$B$1004=$A375)*(ROW(입력_상담!$B$5:$B$1004)-4)))</f>
        <v>0</v>
      </c>
    </row>
    <row r="376" customFormat="false" ht="15" hidden="false" customHeight="false" outlineLevel="0" collapsed="false">
      <c r="A376" s="55" t="n">
        <v>372</v>
      </c>
      <c r="B376" s="56"/>
      <c r="C376" s="24"/>
      <c r="D376" s="24"/>
      <c r="E376" s="56"/>
      <c r="F376" s="57"/>
      <c r="G376" s="58"/>
      <c r="H376" s="56"/>
      <c r="I376" s="24"/>
      <c r="J376" s="24"/>
      <c r="K376" s="24"/>
      <c r="L376" s="24"/>
      <c r="M376" s="24"/>
      <c r="N376" s="56"/>
      <c r="O376" s="25" t="str">
        <f aca="false">IF($AI376=0,"",IF(INDEX(입력_운동!$C$5:$C$1004,$AI376)="","",INDEX(입력_운동!$C$5:$C$1004,$AI376)))</f>
        <v/>
      </c>
      <c r="P376" s="25" t="str">
        <f aca="false">IF($AI376=0,"",IF(INDEX(입력_운동!$D$5:$D$1004,$AI376)="","",INDEX(입력_운동!$D$5:$D$1004,$AI376)))</f>
        <v/>
      </c>
      <c r="Q376" s="25" t="str">
        <f aca="false">IF($AI376=0,"",IF(INDEX(입력_운동!$E$5:$E$1004,$AI376)="","",INDEX(입력_운동!$E$5:$E$1004,$AI376)))</f>
        <v/>
      </c>
      <c r="R376" s="25" t="str">
        <f aca="false">IF($AI376=0,"",IF(INDEX(입력_운동!$F$5:$F$1004,$AI376)="","",INDEX(입력_운동!$F$5:$F$1004,$AI376)))</f>
        <v/>
      </c>
      <c r="S376" s="25" t="str">
        <f aca="false">IF($AJ376=0,"",IF(INDEX(입력_측정!$C$5:$C$1004,$AJ376)="","",INDEX(입력_측정!$C$5:$C$1004,$AJ376)))</f>
        <v/>
      </c>
      <c r="T376" s="25" t="str">
        <f aca="false">IF($AJ376=0,"",IF(INDEX(입력_측정!$D$5:$D$1004,$AJ376)="","",INDEX(입력_측정!$D$5:$D$1004,$AJ376)))</f>
        <v/>
      </c>
      <c r="U376" s="25" t="str">
        <f aca="false">IF($AJ376=0,"",IF(INDEX(입력_측정!$E$5:$E$1004,$AJ376)="","",INDEX(입력_측정!$E$5:$E$1004,$AJ376)))</f>
        <v/>
      </c>
      <c r="V376" s="25" t="str">
        <f aca="false">IF($AJ376=0,"",IF(INDEX(입력_측정!$F$5:$F$1004,$AJ376)="","",INDEX(입력_측정!$F$5:$F$1004,$AJ376)))</f>
        <v/>
      </c>
      <c r="W376" s="25" t="str">
        <f aca="false">IF($AK376=0,"",IF(INDEX(입력_상담!$D$5:$D$1004,$AK376)="","",INDEX(입력_상담!$D$5:$D$1004,$AK376)))</f>
        <v/>
      </c>
      <c r="X376" s="25" t="str">
        <f aca="false">IF($AJ376=0,"",IF(INDEX(입력_측정!$I$5:$I$1004,$AJ376)="","",INDEX(입력_측정!$I$5:$I$1004,$AJ376)))</f>
        <v/>
      </c>
      <c r="Y376" s="25" t="str">
        <f aca="false">IF($AJ376=0,"",IF(INDEX(입력_측정!$J$5:$J$1004,$AJ376)="","",INDEX(입력_측정!$J$5:$J$1004,$AJ376)))</f>
        <v/>
      </c>
      <c r="Z376" s="25" t="str">
        <f aca="false">IF(OR(X376="긴급",LEFT(Y376,2)="긴급",W376="필요",W376="완료"),"대상","")</f>
        <v/>
      </c>
      <c r="AA376" s="59" t="str">
        <f aca="false">IF(M376&lt;&gt;"",M376,IF(AK376&gt;0,IF(W376="필요","추가상담 대기","완료"),IF(AJ376&gt;0,"결과상담 대기",IF(AI376&gt;0,"측정 대기","미방문"))))</f>
        <v>미방문</v>
      </c>
      <c r="AB376" s="60" t="str">
        <f aca="false">IF($AI376=0,"",IF(INDEX(입력_운동!$A$5:$A$1004,$AI376)="","",INDEX(입력_운동!$A$5:$A$1004,$AI376)))</f>
        <v/>
      </c>
      <c r="AC376" s="60" t="str">
        <f aca="false">IF($AJ376=0,"",IF(INDEX(입력_측정!$A$5:$A$1004,$AJ376)="","",INDEX(입력_측정!$A$5:$A$1004,$AJ376)))</f>
        <v/>
      </c>
      <c r="AD376" s="60" t="str">
        <f aca="false">IF($AK376=0,"",IF(INDEX(입력_상담!$A$5:$A$1004,$AK376)="","",INDEX(입력_상담!$A$5:$A$1004,$AK376)))</f>
        <v/>
      </c>
      <c r="AE376" s="25" t="str">
        <f aca="false">IF(AND(ISNUMBER(AB376),ISNUMBER(AC376)),IF(AC376&gt;=AB376,ROUND((AC376-AB376)*1440,0),""),"")</f>
        <v/>
      </c>
      <c r="AF376" s="25" t="str">
        <f aca="false">IF(AND(ISNUMBER(AC376),ISNUMBER(AD376)),IF(AD376&gt;=AC376,ROUND((AD376-AC376)*1440,0),""),"")</f>
        <v/>
      </c>
      <c r="AG376" s="25" t="str">
        <f aca="false">IF(AND(AA376="완료",ISNUMBER(AB376),ISNUMBER(AD376)),IF(AD376&gt;=AB376,ROUND((AD376-AB376)*1440,0),""),"")</f>
        <v/>
      </c>
      <c r="AH376" s="61" t="str">
        <f aca="false">IF(AND(AK376&gt;0,AJ376=0),"측정 기록 없음",IF(AND(AJ376&gt;0,AI376=0),"운동평가 기록 없음",IF(OR(COUNTIF(입력_운동!$B$5:$B$1004,$A376)&gt;1,COUNTIF(입력_측정!$B$5:$B$1004,$A376)&gt;1),"중복 입력","")))</f>
        <v/>
      </c>
      <c r="AI376" s="62" t="n">
        <f aca="false">SUMPRODUCT(MAX((입력_운동!$B$5:$B$1004=$A376)*(ROW(입력_운동!$B$5:$B$1004)-4)))</f>
        <v>0</v>
      </c>
      <c r="AJ376" s="62" t="n">
        <f aca="false">SUMPRODUCT(MAX((입력_측정!$B$5:$B$1004=$A376)*(ROW(입력_측정!$B$5:$B$1004)-4)))</f>
        <v>0</v>
      </c>
      <c r="AK376" s="62" t="n">
        <f aca="false">SUMPRODUCT(MAX((입력_상담!$B$5:$B$1004=$A376)*(ROW(입력_상담!$B$5:$B$1004)-4)))</f>
        <v>0</v>
      </c>
    </row>
    <row r="377" customFormat="false" ht="15" hidden="false" customHeight="false" outlineLevel="0" collapsed="false">
      <c r="A377" s="55" t="n">
        <v>373</v>
      </c>
      <c r="B377" s="56"/>
      <c r="C377" s="24"/>
      <c r="D377" s="24"/>
      <c r="E377" s="56"/>
      <c r="F377" s="57"/>
      <c r="G377" s="58"/>
      <c r="H377" s="56"/>
      <c r="I377" s="24"/>
      <c r="J377" s="24"/>
      <c r="K377" s="24"/>
      <c r="L377" s="24"/>
      <c r="M377" s="24"/>
      <c r="N377" s="56"/>
      <c r="O377" s="25" t="str">
        <f aca="false">IF($AI377=0,"",IF(INDEX(입력_운동!$C$5:$C$1004,$AI377)="","",INDEX(입력_운동!$C$5:$C$1004,$AI377)))</f>
        <v/>
      </c>
      <c r="P377" s="25" t="str">
        <f aca="false">IF($AI377=0,"",IF(INDEX(입력_운동!$D$5:$D$1004,$AI377)="","",INDEX(입력_운동!$D$5:$D$1004,$AI377)))</f>
        <v/>
      </c>
      <c r="Q377" s="25" t="str">
        <f aca="false">IF($AI377=0,"",IF(INDEX(입력_운동!$E$5:$E$1004,$AI377)="","",INDEX(입력_운동!$E$5:$E$1004,$AI377)))</f>
        <v/>
      </c>
      <c r="R377" s="25" t="str">
        <f aca="false">IF($AI377=0,"",IF(INDEX(입력_운동!$F$5:$F$1004,$AI377)="","",INDEX(입력_운동!$F$5:$F$1004,$AI377)))</f>
        <v/>
      </c>
      <c r="S377" s="25" t="str">
        <f aca="false">IF($AJ377=0,"",IF(INDEX(입력_측정!$C$5:$C$1004,$AJ377)="","",INDEX(입력_측정!$C$5:$C$1004,$AJ377)))</f>
        <v/>
      </c>
      <c r="T377" s="25" t="str">
        <f aca="false">IF($AJ377=0,"",IF(INDEX(입력_측정!$D$5:$D$1004,$AJ377)="","",INDEX(입력_측정!$D$5:$D$1004,$AJ377)))</f>
        <v/>
      </c>
      <c r="U377" s="25" t="str">
        <f aca="false">IF($AJ377=0,"",IF(INDEX(입력_측정!$E$5:$E$1004,$AJ377)="","",INDEX(입력_측정!$E$5:$E$1004,$AJ377)))</f>
        <v/>
      </c>
      <c r="V377" s="25" t="str">
        <f aca="false">IF($AJ377=0,"",IF(INDEX(입력_측정!$F$5:$F$1004,$AJ377)="","",INDEX(입력_측정!$F$5:$F$1004,$AJ377)))</f>
        <v/>
      </c>
      <c r="W377" s="25" t="str">
        <f aca="false">IF($AK377=0,"",IF(INDEX(입력_상담!$D$5:$D$1004,$AK377)="","",INDEX(입력_상담!$D$5:$D$1004,$AK377)))</f>
        <v/>
      </c>
      <c r="X377" s="25" t="str">
        <f aca="false">IF($AJ377=0,"",IF(INDEX(입력_측정!$I$5:$I$1004,$AJ377)="","",INDEX(입력_측정!$I$5:$I$1004,$AJ377)))</f>
        <v/>
      </c>
      <c r="Y377" s="25" t="str">
        <f aca="false">IF($AJ377=0,"",IF(INDEX(입력_측정!$J$5:$J$1004,$AJ377)="","",INDEX(입력_측정!$J$5:$J$1004,$AJ377)))</f>
        <v/>
      </c>
      <c r="Z377" s="25" t="str">
        <f aca="false">IF(OR(X377="긴급",LEFT(Y377,2)="긴급",W377="필요",W377="완료"),"대상","")</f>
        <v/>
      </c>
      <c r="AA377" s="59" t="str">
        <f aca="false">IF(M377&lt;&gt;"",M377,IF(AK377&gt;0,IF(W377="필요","추가상담 대기","완료"),IF(AJ377&gt;0,"결과상담 대기",IF(AI377&gt;0,"측정 대기","미방문"))))</f>
        <v>미방문</v>
      </c>
      <c r="AB377" s="60" t="str">
        <f aca="false">IF($AI377=0,"",IF(INDEX(입력_운동!$A$5:$A$1004,$AI377)="","",INDEX(입력_운동!$A$5:$A$1004,$AI377)))</f>
        <v/>
      </c>
      <c r="AC377" s="60" t="str">
        <f aca="false">IF($AJ377=0,"",IF(INDEX(입력_측정!$A$5:$A$1004,$AJ377)="","",INDEX(입력_측정!$A$5:$A$1004,$AJ377)))</f>
        <v/>
      </c>
      <c r="AD377" s="60" t="str">
        <f aca="false">IF($AK377=0,"",IF(INDEX(입력_상담!$A$5:$A$1004,$AK377)="","",INDEX(입력_상담!$A$5:$A$1004,$AK377)))</f>
        <v/>
      </c>
      <c r="AE377" s="25" t="str">
        <f aca="false">IF(AND(ISNUMBER(AB377),ISNUMBER(AC377)),IF(AC377&gt;=AB377,ROUND((AC377-AB377)*1440,0),""),"")</f>
        <v/>
      </c>
      <c r="AF377" s="25" t="str">
        <f aca="false">IF(AND(ISNUMBER(AC377),ISNUMBER(AD377)),IF(AD377&gt;=AC377,ROUND((AD377-AC377)*1440,0),""),"")</f>
        <v/>
      </c>
      <c r="AG377" s="25" t="str">
        <f aca="false">IF(AND(AA377="완료",ISNUMBER(AB377),ISNUMBER(AD377)),IF(AD377&gt;=AB377,ROUND((AD377-AB377)*1440,0),""),"")</f>
        <v/>
      </c>
      <c r="AH377" s="61" t="str">
        <f aca="false">IF(AND(AK377&gt;0,AJ377=0),"측정 기록 없음",IF(AND(AJ377&gt;0,AI377=0),"운동평가 기록 없음",IF(OR(COUNTIF(입력_운동!$B$5:$B$1004,$A377)&gt;1,COUNTIF(입력_측정!$B$5:$B$1004,$A377)&gt;1),"중복 입력","")))</f>
        <v/>
      </c>
      <c r="AI377" s="62" t="n">
        <f aca="false">SUMPRODUCT(MAX((입력_운동!$B$5:$B$1004=$A377)*(ROW(입력_운동!$B$5:$B$1004)-4)))</f>
        <v>0</v>
      </c>
      <c r="AJ377" s="62" t="n">
        <f aca="false">SUMPRODUCT(MAX((입력_측정!$B$5:$B$1004=$A377)*(ROW(입력_측정!$B$5:$B$1004)-4)))</f>
        <v>0</v>
      </c>
      <c r="AK377" s="62" t="n">
        <f aca="false">SUMPRODUCT(MAX((입력_상담!$B$5:$B$1004=$A377)*(ROW(입력_상담!$B$5:$B$1004)-4)))</f>
        <v>0</v>
      </c>
    </row>
    <row r="378" customFormat="false" ht="15" hidden="false" customHeight="false" outlineLevel="0" collapsed="false">
      <c r="A378" s="55" t="n">
        <v>374</v>
      </c>
      <c r="B378" s="56"/>
      <c r="C378" s="24"/>
      <c r="D378" s="24"/>
      <c r="E378" s="56"/>
      <c r="F378" s="57"/>
      <c r="G378" s="58"/>
      <c r="H378" s="56"/>
      <c r="I378" s="24"/>
      <c r="J378" s="24"/>
      <c r="K378" s="24"/>
      <c r="L378" s="24"/>
      <c r="M378" s="24"/>
      <c r="N378" s="56"/>
      <c r="O378" s="25" t="str">
        <f aca="false">IF($AI378=0,"",IF(INDEX(입력_운동!$C$5:$C$1004,$AI378)="","",INDEX(입력_운동!$C$5:$C$1004,$AI378)))</f>
        <v/>
      </c>
      <c r="P378" s="25" t="str">
        <f aca="false">IF($AI378=0,"",IF(INDEX(입력_운동!$D$5:$D$1004,$AI378)="","",INDEX(입력_운동!$D$5:$D$1004,$AI378)))</f>
        <v/>
      </c>
      <c r="Q378" s="25" t="str">
        <f aca="false">IF($AI378=0,"",IF(INDEX(입력_운동!$E$5:$E$1004,$AI378)="","",INDEX(입력_운동!$E$5:$E$1004,$AI378)))</f>
        <v/>
      </c>
      <c r="R378" s="25" t="str">
        <f aca="false">IF($AI378=0,"",IF(INDEX(입력_운동!$F$5:$F$1004,$AI378)="","",INDEX(입력_운동!$F$5:$F$1004,$AI378)))</f>
        <v/>
      </c>
      <c r="S378" s="25" t="str">
        <f aca="false">IF($AJ378=0,"",IF(INDEX(입력_측정!$C$5:$C$1004,$AJ378)="","",INDEX(입력_측정!$C$5:$C$1004,$AJ378)))</f>
        <v/>
      </c>
      <c r="T378" s="25" t="str">
        <f aca="false">IF($AJ378=0,"",IF(INDEX(입력_측정!$D$5:$D$1004,$AJ378)="","",INDEX(입력_측정!$D$5:$D$1004,$AJ378)))</f>
        <v/>
      </c>
      <c r="U378" s="25" t="str">
        <f aca="false">IF($AJ378=0,"",IF(INDEX(입력_측정!$E$5:$E$1004,$AJ378)="","",INDEX(입력_측정!$E$5:$E$1004,$AJ378)))</f>
        <v/>
      </c>
      <c r="V378" s="25" t="str">
        <f aca="false">IF($AJ378=0,"",IF(INDEX(입력_측정!$F$5:$F$1004,$AJ378)="","",INDEX(입력_측정!$F$5:$F$1004,$AJ378)))</f>
        <v/>
      </c>
      <c r="W378" s="25" t="str">
        <f aca="false">IF($AK378=0,"",IF(INDEX(입력_상담!$D$5:$D$1004,$AK378)="","",INDEX(입력_상담!$D$5:$D$1004,$AK378)))</f>
        <v/>
      </c>
      <c r="X378" s="25" t="str">
        <f aca="false">IF($AJ378=0,"",IF(INDEX(입력_측정!$I$5:$I$1004,$AJ378)="","",INDEX(입력_측정!$I$5:$I$1004,$AJ378)))</f>
        <v/>
      </c>
      <c r="Y378" s="25" t="str">
        <f aca="false">IF($AJ378=0,"",IF(INDEX(입력_측정!$J$5:$J$1004,$AJ378)="","",INDEX(입력_측정!$J$5:$J$1004,$AJ378)))</f>
        <v/>
      </c>
      <c r="Z378" s="25" t="str">
        <f aca="false">IF(OR(X378="긴급",LEFT(Y378,2)="긴급",W378="필요",W378="완료"),"대상","")</f>
        <v/>
      </c>
      <c r="AA378" s="59" t="str">
        <f aca="false">IF(M378&lt;&gt;"",M378,IF(AK378&gt;0,IF(W378="필요","추가상담 대기","완료"),IF(AJ378&gt;0,"결과상담 대기",IF(AI378&gt;0,"측정 대기","미방문"))))</f>
        <v>미방문</v>
      </c>
      <c r="AB378" s="60" t="str">
        <f aca="false">IF($AI378=0,"",IF(INDEX(입력_운동!$A$5:$A$1004,$AI378)="","",INDEX(입력_운동!$A$5:$A$1004,$AI378)))</f>
        <v/>
      </c>
      <c r="AC378" s="60" t="str">
        <f aca="false">IF($AJ378=0,"",IF(INDEX(입력_측정!$A$5:$A$1004,$AJ378)="","",INDEX(입력_측정!$A$5:$A$1004,$AJ378)))</f>
        <v/>
      </c>
      <c r="AD378" s="60" t="str">
        <f aca="false">IF($AK378=0,"",IF(INDEX(입력_상담!$A$5:$A$1004,$AK378)="","",INDEX(입력_상담!$A$5:$A$1004,$AK378)))</f>
        <v/>
      </c>
      <c r="AE378" s="25" t="str">
        <f aca="false">IF(AND(ISNUMBER(AB378),ISNUMBER(AC378)),IF(AC378&gt;=AB378,ROUND((AC378-AB378)*1440,0),""),"")</f>
        <v/>
      </c>
      <c r="AF378" s="25" t="str">
        <f aca="false">IF(AND(ISNUMBER(AC378),ISNUMBER(AD378)),IF(AD378&gt;=AC378,ROUND((AD378-AC378)*1440,0),""),"")</f>
        <v/>
      </c>
      <c r="AG378" s="25" t="str">
        <f aca="false">IF(AND(AA378="완료",ISNUMBER(AB378),ISNUMBER(AD378)),IF(AD378&gt;=AB378,ROUND((AD378-AB378)*1440,0),""),"")</f>
        <v/>
      </c>
      <c r="AH378" s="61" t="str">
        <f aca="false">IF(AND(AK378&gt;0,AJ378=0),"측정 기록 없음",IF(AND(AJ378&gt;0,AI378=0),"운동평가 기록 없음",IF(OR(COUNTIF(입력_운동!$B$5:$B$1004,$A378)&gt;1,COUNTIF(입력_측정!$B$5:$B$1004,$A378)&gt;1),"중복 입력","")))</f>
        <v/>
      </c>
      <c r="AI378" s="62" t="n">
        <f aca="false">SUMPRODUCT(MAX((입력_운동!$B$5:$B$1004=$A378)*(ROW(입력_운동!$B$5:$B$1004)-4)))</f>
        <v>0</v>
      </c>
      <c r="AJ378" s="62" t="n">
        <f aca="false">SUMPRODUCT(MAX((입력_측정!$B$5:$B$1004=$A378)*(ROW(입력_측정!$B$5:$B$1004)-4)))</f>
        <v>0</v>
      </c>
      <c r="AK378" s="62" t="n">
        <f aca="false">SUMPRODUCT(MAX((입력_상담!$B$5:$B$1004=$A378)*(ROW(입력_상담!$B$5:$B$1004)-4)))</f>
        <v>0</v>
      </c>
    </row>
    <row r="379" customFormat="false" ht="15" hidden="false" customHeight="false" outlineLevel="0" collapsed="false">
      <c r="A379" s="55" t="n">
        <v>375</v>
      </c>
      <c r="B379" s="56"/>
      <c r="C379" s="24"/>
      <c r="D379" s="24"/>
      <c r="E379" s="56"/>
      <c r="F379" s="57"/>
      <c r="G379" s="58"/>
      <c r="H379" s="56"/>
      <c r="I379" s="24"/>
      <c r="J379" s="24"/>
      <c r="K379" s="24"/>
      <c r="L379" s="24"/>
      <c r="M379" s="24"/>
      <c r="N379" s="56"/>
      <c r="O379" s="25" t="str">
        <f aca="false">IF($AI379=0,"",IF(INDEX(입력_운동!$C$5:$C$1004,$AI379)="","",INDEX(입력_운동!$C$5:$C$1004,$AI379)))</f>
        <v/>
      </c>
      <c r="P379" s="25" t="str">
        <f aca="false">IF($AI379=0,"",IF(INDEX(입력_운동!$D$5:$D$1004,$AI379)="","",INDEX(입력_운동!$D$5:$D$1004,$AI379)))</f>
        <v/>
      </c>
      <c r="Q379" s="25" t="str">
        <f aca="false">IF($AI379=0,"",IF(INDEX(입력_운동!$E$5:$E$1004,$AI379)="","",INDEX(입력_운동!$E$5:$E$1004,$AI379)))</f>
        <v/>
      </c>
      <c r="R379" s="25" t="str">
        <f aca="false">IF($AI379=0,"",IF(INDEX(입력_운동!$F$5:$F$1004,$AI379)="","",INDEX(입력_운동!$F$5:$F$1004,$AI379)))</f>
        <v/>
      </c>
      <c r="S379" s="25" t="str">
        <f aca="false">IF($AJ379=0,"",IF(INDEX(입력_측정!$C$5:$C$1004,$AJ379)="","",INDEX(입력_측정!$C$5:$C$1004,$AJ379)))</f>
        <v/>
      </c>
      <c r="T379" s="25" t="str">
        <f aca="false">IF($AJ379=0,"",IF(INDEX(입력_측정!$D$5:$D$1004,$AJ379)="","",INDEX(입력_측정!$D$5:$D$1004,$AJ379)))</f>
        <v/>
      </c>
      <c r="U379" s="25" t="str">
        <f aca="false">IF($AJ379=0,"",IF(INDEX(입력_측정!$E$5:$E$1004,$AJ379)="","",INDEX(입력_측정!$E$5:$E$1004,$AJ379)))</f>
        <v/>
      </c>
      <c r="V379" s="25" t="str">
        <f aca="false">IF($AJ379=0,"",IF(INDEX(입력_측정!$F$5:$F$1004,$AJ379)="","",INDEX(입력_측정!$F$5:$F$1004,$AJ379)))</f>
        <v/>
      </c>
      <c r="W379" s="25" t="str">
        <f aca="false">IF($AK379=0,"",IF(INDEX(입력_상담!$D$5:$D$1004,$AK379)="","",INDEX(입력_상담!$D$5:$D$1004,$AK379)))</f>
        <v/>
      </c>
      <c r="X379" s="25" t="str">
        <f aca="false">IF($AJ379=0,"",IF(INDEX(입력_측정!$I$5:$I$1004,$AJ379)="","",INDEX(입력_측정!$I$5:$I$1004,$AJ379)))</f>
        <v/>
      </c>
      <c r="Y379" s="25" t="str">
        <f aca="false">IF($AJ379=0,"",IF(INDEX(입력_측정!$J$5:$J$1004,$AJ379)="","",INDEX(입력_측정!$J$5:$J$1004,$AJ379)))</f>
        <v/>
      </c>
      <c r="Z379" s="25" t="str">
        <f aca="false">IF(OR(X379="긴급",LEFT(Y379,2)="긴급",W379="필요",W379="완료"),"대상","")</f>
        <v/>
      </c>
      <c r="AA379" s="59" t="str">
        <f aca="false">IF(M379&lt;&gt;"",M379,IF(AK379&gt;0,IF(W379="필요","추가상담 대기","완료"),IF(AJ379&gt;0,"결과상담 대기",IF(AI379&gt;0,"측정 대기","미방문"))))</f>
        <v>미방문</v>
      </c>
      <c r="AB379" s="60" t="str">
        <f aca="false">IF($AI379=0,"",IF(INDEX(입력_운동!$A$5:$A$1004,$AI379)="","",INDEX(입력_운동!$A$5:$A$1004,$AI379)))</f>
        <v/>
      </c>
      <c r="AC379" s="60" t="str">
        <f aca="false">IF($AJ379=0,"",IF(INDEX(입력_측정!$A$5:$A$1004,$AJ379)="","",INDEX(입력_측정!$A$5:$A$1004,$AJ379)))</f>
        <v/>
      </c>
      <c r="AD379" s="60" t="str">
        <f aca="false">IF($AK379=0,"",IF(INDEX(입력_상담!$A$5:$A$1004,$AK379)="","",INDEX(입력_상담!$A$5:$A$1004,$AK379)))</f>
        <v/>
      </c>
      <c r="AE379" s="25" t="str">
        <f aca="false">IF(AND(ISNUMBER(AB379),ISNUMBER(AC379)),IF(AC379&gt;=AB379,ROUND((AC379-AB379)*1440,0),""),"")</f>
        <v/>
      </c>
      <c r="AF379" s="25" t="str">
        <f aca="false">IF(AND(ISNUMBER(AC379),ISNUMBER(AD379)),IF(AD379&gt;=AC379,ROUND((AD379-AC379)*1440,0),""),"")</f>
        <v/>
      </c>
      <c r="AG379" s="25" t="str">
        <f aca="false">IF(AND(AA379="완료",ISNUMBER(AB379),ISNUMBER(AD379)),IF(AD379&gt;=AB379,ROUND((AD379-AB379)*1440,0),""),"")</f>
        <v/>
      </c>
      <c r="AH379" s="61" t="str">
        <f aca="false">IF(AND(AK379&gt;0,AJ379=0),"측정 기록 없음",IF(AND(AJ379&gt;0,AI379=0),"운동평가 기록 없음",IF(OR(COUNTIF(입력_운동!$B$5:$B$1004,$A379)&gt;1,COUNTIF(입력_측정!$B$5:$B$1004,$A379)&gt;1),"중복 입력","")))</f>
        <v/>
      </c>
      <c r="AI379" s="62" t="n">
        <f aca="false">SUMPRODUCT(MAX((입력_운동!$B$5:$B$1004=$A379)*(ROW(입력_운동!$B$5:$B$1004)-4)))</f>
        <v>0</v>
      </c>
      <c r="AJ379" s="62" t="n">
        <f aca="false">SUMPRODUCT(MAX((입력_측정!$B$5:$B$1004=$A379)*(ROW(입력_측정!$B$5:$B$1004)-4)))</f>
        <v>0</v>
      </c>
      <c r="AK379" s="62" t="n">
        <f aca="false">SUMPRODUCT(MAX((입력_상담!$B$5:$B$1004=$A379)*(ROW(입력_상담!$B$5:$B$1004)-4)))</f>
        <v>0</v>
      </c>
    </row>
    <row r="380" customFormat="false" ht="15" hidden="false" customHeight="false" outlineLevel="0" collapsed="false">
      <c r="A380" s="55" t="n">
        <v>376</v>
      </c>
      <c r="B380" s="56"/>
      <c r="C380" s="24"/>
      <c r="D380" s="24"/>
      <c r="E380" s="56"/>
      <c r="F380" s="57"/>
      <c r="G380" s="58"/>
      <c r="H380" s="56"/>
      <c r="I380" s="24"/>
      <c r="J380" s="24"/>
      <c r="K380" s="24"/>
      <c r="L380" s="24"/>
      <c r="M380" s="24"/>
      <c r="N380" s="56"/>
      <c r="O380" s="25" t="str">
        <f aca="false">IF($AI380=0,"",IF(INDEX(입력_운동!$C$5:$C$1004,$AI380)="","",INDEX(입력_운동!$C$5:$C$1004,$AI380)))</f>
        <v/>
      </c>
      <c r="P380" s="25" t="str">
        <f aca="false">IF($AI380=0,"",IF(INDEX(입력_운동!$D$5:$D$1004,$AI380)="","",INDEX(입력_운동!$D$5:$D$1004,$AI380)))</f>
        <v/>
      </c>
      <c r="Q380" s="25" t="str">
        <f aca="false">IF($AI380=0,"",IF(INDEX(입력_운동!$E$5:$E$1004,$AI380)="","",INDEX(입력_운동!$E$5:$E$1004,$AI380)))</f>
        <v/>
      </c>
      <c r="R380" s="25" t="str">
        <f aca="false">IF($AI380=0,"",IF(INDEX(입력_운동!$F$5:$F$1004,$AI380)="","",INDEX(입력_운동!$F$5:$F$1004,$AI380)))</f>
        <v/>
      </c>
      <c r="S380" s="25" t="str">
        <f aca="false">IF($AJ380=0,"",IF(INDEX(입력_측정!$C$5:$C$1004,$AJ380)="","",INDEX(입력_측정!$C$5:$C$1004,$AJ380)))</f>
        <v/>
      </c>
      <c r="T380" s="25" t="str">
        <f aca="false">IF($AJ380=0,"",IF(INDEX(입력_측정!$D$5:$D$1004,$AJ380)="","",INDEX(입력_측정!$D$5:$D$1004,$AJ380)))</f>
        <v/>
      </c>
      <c r="U380" s="25" t="str">
        <f aca="false">IF($AJ380=0,"",IF(INDEX(입력_측정!$E$5:$E$1004,$AJ380)="","",INDEX(입력_측정!$E$5:$E$1004,$AJ380)))</f>
        <v/>
      </c>
      <c r="V380" s="25" t="str">
        <f aca="false">IF($AJ380=0,"",IF(INDEX(입력_측정!$F$5:$F$1004,$AJ380)="","",INDEX(입력_측정!$F$5:$F$1004,$AJ380)))</f>
        <v/>
      </c>
      <c r="W380" s="25" t="str">
        <f aca="false">IF($AK380=0,"",IF(INDEX(입력_상담!$D$5:$D$1004,$AK380)="","",INDEX(입력_상담!$D$5:$D$1004,$AK380)))</f>
        <v/>
      </c>
      <c r="X380" s="25" t="str">
        <f aca="false">IF($AJ380=0,"",IF(INDEX(입력_측정!$I$5:$I$1004,$AJ380)="","",INDEX(입력_측정!$I$5:$I$1004,$AJ380)))</f>
        <v/>
      </c>
      <c r="Y380" s="25" t="str">
        <f aca="false">IF($AJ380=0,"",IF(INDEX(입력_측정!$J$5:$J$1004,$AJ380)="","",INDEX(입력_측정!$J$5:$J$1004,$AJ380)))</f>
        <v/>
      </c>
      <c r="Z380" s="25" t="str">
        <f aca="false">IF(OR(X380="긴급",LEFT(Y380,2)="긴급",W380="필요",W380="완료"),"대상","")</f>
        <v/>
      </c>
      <c r="AA380" s="59" t="str">
        <f aca="false">IF(M380&lt;&gt;"",M380,IF(AK380&gt;0,IF(W380="필요","추가상담 대기","완료"),IF(AJ380&gt;0,"결과상담 대기",IF(AI380&gt;0,"측정 대기","미방문"))))</f>
        <v>미방문</v>
      </c>
      <c r="AB380" s="60" t="str">
        <f aca="false">IF($AI380=0,"",IF(INDEX(입력_운동!$A$5:$A$1004,$AI380)="","",INDEX(입력_운동!$A$5:$A$1004,$AI380)))</f>
        <v/>
      </c>
      <c r="AC380" s="60" t="str">
        <f aca="false">IF($AJ380=0,"",IF(INDEX(입력_측정!$A$5:$A$1004,$AJ380)="","",INDEX(입력_측정!$A$5:$A$1004,$AJ380)))</f>
        <v/>
      </c>
      <c r="AD380" s="60" t="str">
        <f aca="false">IF($AK380=0,"",IF(INDEX(입력_상담!$A$5:$A$1004,$AK380)="","",INDEX(입력_상담!$A$5:$A$1004,$AK380)))</f>
        <v/>
      </c>
      <c r="AE380" s="25" t="str">
        <f aca="false">IF(AND(ISNUMBER(AB380),ISNUMBER(AC380)),IF(AC380&gt;=AB380,ROUND((AC380-AB380)*1440,0),""),"")</f>
        <v/>
      </c>
      <c r="AF380" s="25" t="str">
        <f aca="false">IF(AND(ISNUMBER(AC380),ISNUMBER(AD380)),IF(AD380&gt;=AC380,ROUND((AD380-AC380)*1440,0),""),"")</f>
        <v/>
      </c>
      <c r="AG380" s="25" t="str">
        <f aca="false">IF(AND(AA380="완료",ISNUMBER(AB380),ISNUMBER(AD380)),IF(AD380&gt;=AB380,ROUND((AD380-AB380)*1440,0),""),"")</f>
        <v/>
      </c>
      <c r="AH380" s="61" t="str">
        <f aca="false">IF(AND(AK380&gt;0,AJ380=0),"측정 기록 없음",IF(AND(AJ380&gt;0,AI380=0),"운동평가 기록 없음",IF(OR(COUNTIF(입력_운동!$B$5:$B$1004,$A380)&gt;1,COUNTIF(입력_측정!$B$5:$B$1004,$A380)&gt;1),"중복 입력","")))</f>
        <v/>
      </c>
      <c r="AI380" s="62" t="n">
        <f aca="false">SUMPRODUCT(MAX((입력_운동!$B$5:$B$1004=$A380)*(ROW(입력_운동!$B$5:$B$1004)-4)))</f>
        <v>0</v>
      </c>
      <c r="AJ380" s="62" t="n">
        <f aca="false">SUMPRODUCT(MAX((입력_측정!$B$5:$B$1004=$A380)*(ROW(입력_측정!$B$5:$B$1004)-4)))</f>
        <v>0</v>
      </c>
      <c r="AK380" s="62" t="n">
        <f aca="false">SUMPRODUCT(MAX((입력_상담!$B$5:$B$1004=$A380)*(ROW(입력_상담!$B$5:$B$1004)-4)))</f>
        <v>0</v>
      </c>
    </row>
    <row r="381" customFormat="false" ht="15" hidden="false" customHeight="false" outlineLevel="0" collapsed="false">
      <c r="A381" s="55" t="n">
        <v>377</v>
      </c>
      <c r="B381" s="56"/>
      <c r="C381" s="24"/>
      <c r="D381" s="24"/>
      <c r="E381" s="56"/>
      <c r="F381" s="57"/>
      <c r="G381" s="58"/>
      <c r="H381" s="56"/>
      <c r="I381" s="24"/>
      <c r="J381" s="24"/>
      <c r="K381" s="24"/>
      <c r="L381" s="24"/>
      <c r="M381" s="24"/>
      <c r="N381" s="56"/>
      <c r="O381" s="25" t="str">
        <f aca="false">IF($AI381=0,"",IF(INDEX(입력_운동!$C$5:$C$1004,$AI381)="","",INDEX(입력_운동!$C$5:$C$1004,$AI381)))</f>
        <v/>
      </c>
      <c r="P381" s="25" t="str">
        <f aca="false">IF($AI381=0,"",IF(INDEX(입력_운동!$D$5:$D$1004,$AI381)="","",INDEX(입력_운동!$D$5:$D$1004,$AI381)))</f>
        <v/>
      </c>
      <c r="Q381" s="25" t="str">
        <f aca="false">IF($AI381=0,"",IF(INDEX(입력_운동!$E$5:$E$1004,$AI381)="","",INDEX(입력_운동!$E$5:$E$1004,$AI381)))</f>
        <v/>
      </c>
      <c r="R381" s="25" t="str">
        <f aca="false">IF($AI381=0,"",IF(INDEX(입력_운동!$F$5:$F$1004,$AI381)="","",INDEX(입력_운동!$F$5:$F$1004,$AI381)))</f>
        <v/>
      </c>
      <c r="S381" s="25" t="str">
        <f aca="false">IF($AJ381=0,"",IF(INDEX(입력_측정!$C$5:$C$1004,$AJ381)="","",INDEX(입력_측정!$C$5:$C$1004,$AJ381)))</f>
        <v/>
      </c>
      <c r="T381" s="25" t="str">
        <f aca="false">IF($AJ381=0,"",IF(INDEX(입력_측정!$D$5:$D$1004,$AJ381)="","",INDEX(입력_측정!$D$5:$D$1004,$AJ381)))</f>
        <v/>
      </c>
      <c r="U381" s="25" t="str">
        <f aca="false">IF($AJ381=0,"",IF(INDEX(입력_측정!$E$5:$E$1004,$AJ381)="","",INDEX(입력_측정!$E$5:$E$1004,$AJ381)))</f>
        <v/>
      </c>
      <c r="V381" s="25" t="str">
        <f aca="false">IF($AJ381=0,"",IF(INDEX(입력_측정!$F$5:$F$1004,$AJ381)="","",INDEX(입력_측정!$F$5:$F$1004,$AJ381)))</f>
        <v/>
      </c>
      <c r="W381" s="25" t="str">
        <f aca="false">IF($AK381=0,"",IF(INDEX(입력_상담!$D$5:$D$1004,$AK381)="","",INDEX(입력_상담!$D$5:$D$1004,$AK381)))</f>
        <v/>
      </c>
      <c r="X381" s="25" t="str">
        <f aca="false">IF($AJ381=0,"",IF(INDEX(입력_측정!$I$5:$I$1004,$AJ381)="","",INDEX(입력_측정!$I$5:$I$1004,$AJ381)))</f>
        <v/>
      </c>
      <c r="Y381" s="25" t="str">
        <f aca="false">IF($AJ381=0,"",IF(INDEX(입력_측정!$J$5:$J$1004,$AJ381)="","",INDEX(입력_측정!$J$5:$J$1004,$AJ381)))</f>
        <v/>
      </c>
      <c r="Z381" s="25" t="str">
        <f aca="false">IF(OR(X381="긴급",LEFT(Y381,2)="긴급",W381="필요",W381="완료"),"대상","")</f>
        <v/>
      </c>
      <c r="AA381" s="59" t="str">
        <f aca="false">IF(M381&lt;&gt;"",M381,IF(AK381&gt;0,IF(W381="필요","추가상담 대기","완료"),IF(AJ381&gt;0,"결과상담 대기",IF(AI381&gt;0,"측정 대기","미방문"))))</f>
        <v>미방문</v>
      </c>
      <c r="AB381" s="60" t="str">
        <f aca="false">IF($AI381=0,"",IF(INDEX(입력_운동!$A$5:$A$1004,$AI381)="","",INDEX(입력_운동!$A$5:$A$1004,$AI381)))</f>
        <v/>
      </c>
      <c r="AC381" s="60" t="str">
        <f aca="false">IF($AJ381=0,"",IF(INDEX(입력_측정!$A$5:$A$1004,$AJ381)="","",INDEX(입력_측정!$A$5:$A$1004,$AJ381)))</f>
        <v/>
      </c>
      <c r="AD381" s="60" t="str">
        <f aca="false">IF($AK381=0,"",IF(INDEX(입력_상담!$A$5:$A$1004,$AK381)="","",INDEX(입력_상담!$A$5:$A$1004,$AK381)))</f>
        <v/>
      </c>
      <c r="AE381" s="25" t="str">
        <f aca="false">IF(AND(ISNUMBER(AB381),ISNUMBER(AC381)),IF(AC381&gt;=AB381,ROUND((AC381-AB381)*1440,0),""),"")</f>
        <v/>
      </c>
      <c r="AF381" s="25" t="str">
        <f aca="false">IF(AND(ISNUMBER(AC381),ISNUMBER(AD381)),IF(AD381&gt;=AC381,ROUND((AD381-AC381)*1440,0),""),"")</f>
        <v/>
      </c>
      <c r="AG381" s="25" t="str">
        <f aca="false">IF(AND(AA381="완료",ISNUMBER(AB381),ISNUMBER(AD381)),IF(AD381&gt;=AB381,ROUND((AD381-AB381)*1440,0),""),"")</f>
        <v/>
      </c>
      <c r="AH381" s="61" t="str">
        <f aca="false">IF(AND(AK381&gt;0,AJ381=0),"측정 기록 없음",IF(AND(AJ381&gt;0,AI381=0),"운동평가 기록 없음",IF(OR(COUNTIF(입력_운동!$B$5:$B$1004,$A381)&gt;1,COUNTIF(입력_측정!$B$5:$B$1004,$A381)&gt;1),"중복 입력","")))</f>
        <v/>
      </c>
      <c r="AI381" s="62" t="n">
        <f aca="false">SUMPRODUCT(MAX((입력_운동!$B$5:$B$1004=$A381)*(ROW(입력_운동!$B$5:$B$1004)-4)))</f>
        <v>0</v>
      </c>
      <c r="AJ381" s="62" t="n">
        <f aca="false">SUMPRODUCT(MAX((입력_측정!$B$5:$B$1004=$A381)*(ROW(입력_측정!$B$5:$B$1004)-4)))</f>
        <v>0</v>
      </c>
      <c r="AK381" s="62" t="n">
        <f aca="false">SUMPRODUCT(MAX((입력_상담!$B$5:$B$1004=$A381)*(ROW(입력_상담!$B$5:$B$1004)-4)))</f>
        <v>0</v>
      </c>
    </row>
    <row r="382" customFormat="false" ht="15" hidden="false" customHeight="false" outlineLevel="0" collapsed="false">
      <c r="A382" s="55" t="n">
        <v>378</v>
      </c>
      <c r="B382" s="56"/>
      <c r="C382" s="24"/>
      <c r="D382" s="24"/>
      <c r="E382" s="56"/>
      <c r="F382" s="57"/>
      <c r="G382" s="58"/>
      <c r="H382" s="56"/>
      <c r="I382" s="24"/>
      <c r="J382" s="24"/>
      <c r="K382" s="24"/>
      <c r="L382" s="24"/>
      <c r="M382" s="24"/>
      <c r="N382" s="56"/>
      <c r="O382" s="25" t="str">
        <f aca="false">IF($AI382=0,"",IF(INDEX(입력_운동!$C$5:$C$1004,$AI382)="","",INDEX(입력_운동!$C$5:$C$1004,$AI382)))</f>
        <v/>
      </c>
      <c r="P382" s="25" t="str">
        <f aca="false">IF($AI382=0,"",IF(INDEX(입력_운동!$D$5:$D$1004,$AI382)="","",INDEX(입력_운동!$D$5:$D$1004,$AI382)))</f>
        <v/>
      </c>
      <c r="Q382" s="25" t="str">
        <f aca="false">IF($AI382=0,"",IF(INDEX(입력_운동!$E$5:$E$1004,$AI382)="","",INDEX(입력_운동!$E$5:$E$1004,$AI382)))</f>
        <v/>
      </c>
      <c r="R382" s="25" t="str">
        <f aca="false">IF($AI382=0,"",IF(INDEX(입력_운동!$F$5:$F$1004,$AI382)="","",INDEX(입력_운동!$F$5:$F$1004,$AI382)))</f>
        <v/>
      </c>
      <c r="S382" s="25" t="str">
        <f aca="false">IF($AJ382=0,"",IF(INDEX(입력_측정!$C$5:$C$1004,$AJ382)="","",INDEX(입력_측정!$C$5:$C$1004,$AJ382)))</f>
        <v/>
      </c>
      <c r="T382" s="25" t="str">
        <f aca="false">IF($AJ382=0,"",IF(INDEX(입력_측정!$D$5:$D$1004,$AJ382)="","",INDEX(입력_측정!$D$5:$D$1004,$AJ382)))</f>
        <v/>
      </c>
      <c r="U382" s="25" t="str">
        <f aca="false">IF($AJ382=0,"",IF(INDEX(입력_측정!$E$5:$E$1004,$AJ382)="","",INDEX(입력_측정!$E$5:$E$1004,$AJ382)))</f>
        <v/>
      </c>
      <c r="V382" s="25" t="str">
        <f aca="false">IF($AJ382=0,"",IF(INDEX(입력_측정!$F$5:$F$1004,$AJ382)="","",INDEX(입력_측정!$F$5:$F$1004,$AJ382)))</f>
        <v/>
      </c>
      <c r="W382" s="25" t="str">
        <f aca="false">IF($AK382=0,"",IF(INDEX(입력_상담!$D$5:$D$1004,$AK382)="","",INDEX(입력_상담!$D$5:$D$1004,$AK382)))</f>
        <v/>
      </c>
      <c r="X382" s="25" t="str">
        <f aca="false">IF($AJ382=0,"",IF(INDEX(입력_측정!$I$5:$I$1004,$AJ382)="","",INDEX(입력_측정!$I$5:$I$1004,$AJ382)))</f>
        <v/>
      </c>
      <c r="Y382" s="25" t="str">
        <f aca="false">IF($AJ382=0,"",IF(INDEX(입력_측정!$J$5:$J$1004,$AJ382)="","",INDEX(입력_측정!$J$5:$J$1004,$AJ382)))</f>
        <v/>
      </c>
      <c r="Z382" s="25" t="str">
        <f aca="false">IF(OR(X382="긴급",LEFT(Y382,2)="긴급",W382="필요",W382="완료"),"대상","")</f>
        <v/>
      </c>
      <c r="AA382" s="59" t="str">
        <f aca="false">IF(M382&lt;&gt;"",M382,IF(AK382&gt;0,IF(W382="필요","추가상담 대기","완료"),IF(AJ382&gt;0,"결과상담 대기",IF(AI382&gt;0,"측정 대기","미방문"))))</f>
        <v>미방문</v>
      </c>
      <c r="AB382" s="60" t="str">
        <f aca="false">IF($AI382=0,"",IF(INDEX(입력_운동!$A$5:$A$1004,$AI382)="","",INDEX(입력_운동!$A$5:$A$1004,$AI382)))</f>
        <v/>
      </c>
      <c r="AC382" s="60" t="str">
        <f aca="false">IF($AJ382=0,"",IF(INDEX(입력_측정!$A$5:$A$1004,$AJ382)="","",INDEX(입력_측정!$A$5:$A$1004,$AJ382)))</f>
        <v/>
      </c>
      <c r="AD382" s="60" t="str">
        <f aca="false">IF($AK382=0,"",IF(INDEX(입력_상담!$A$5:$A$1004,$AK382)="","",INDEX(입력_상담!$A$5:$A$1004,$AK382)))</f>
        <v/>
      </c>
      <c r="AE382" s="25" t="str">
        <f aca="false">IF(AND(ISNUMBER(AB382),ISNUMBER(AC382)),IF(AC382&gt;=AB382,ROUND((AC382-AB382)*1440,0),""),"")</f>
        <v/>
      </c>
      <c r="AF382" s="25" t="str">
        <f aca="false">IF(AND(ISNUMBER(AC382),ISNUMBER(AD382)),IF(AD382&gt;=AC382,ROUND((AD382-AC382)*1440,0),""),"")</f>
        <v/>
      </c>
      <c r="AG382" s="25" t="str">
        <f aca="false">IF(AND(AA382="완료",ISNUMBER(AB382),ISNUMBER(AD382)),IF(AD382&gt;=AB382,ROUND((AD382-AB382)*1440,0),""),"")</f>
        <v/>
      </c>
      <c r="AH382" s="61" t="str">
        <f aca="false">IF(AND(AK382&gt;0,AJ382=0),"측정 기록 없음",IF(AND(AJ382&gt;0,AI382=0),"운동평가 기록 없음",IF(OR(COUNTIF(입력_운동!$B$5:$B$1004,$A382)&gt;1,COUNTIF(입력_측정!$B$5:$B$1004,$A382)&gt;1),"중복 입력","")))</f>
        <v/>
      </c>
      <c r="AI382" s="62" t="n">
        <f aca="false">SUMPRODUCT(MAX((입력_운동!$B$5:$B$1004=$A382)*(ROW(입력_운동!$B$5:$B$1004)-4)))</f>
        <v>0</v>
      </c>
      <c r="AJ382" s="62" t="n">
        <f aca="false">SUMPRODUCT(MAX((입력_측정!$B$5:$B$1004=$A382)*(ROW(입력_측정!$B$5:$B$1004)-4)))</f>
        <v>0</v>
      </c>
      <c r="AK382" s="62" t="n">
        <f aca="false">SUMPRODUCT(MAX((입력_상담!$B$5:$B$1004=$A382)*(ROW(입력_상담!$B$5:$B$1004)-4)))</f>
        <v>0</v>
      </c>
    </row>
    <row r="383" customFormat="false" ht="15" hidden="false" customHeight="false" outlineLevel="0" collapsed="false">
      <c r="A383" s="55" t="n">
        <v>379</v>
      </c>
      <c r="B383" s="56"/>
      <c r="C383" s="24"/>
      <c r="D383" s="24"/>
      <c r="E383" s="56"/>
      <c r="F383" s="57"/>
      <c r="G383" s="58"/>
      <c r="H383" s="56"/>
      <c r="I383" s="24"/>
      <c r="J383" s="24"/>
      <c r="K383" s="24"/>
      <c r="L383" s="24"/>
      <c r="M383" s="24"/>
      <c r="N383" s="56"/>
      <c r="O383" s="25" t="str">
        <f aca="false">IF($AI383=0,"",IF(INDEX(입력_운동!$C$5:$C$1004,$AI383)="","",INDEX(입력_운동!$C$5:$C$1004,$AI383)))</f>
        <v/>
      </c>
      <c r="P383" s="25" t="str">
        <f aca="false">IF($AI383=0,"",IF(INDEX(입력_운동!$D$5:$D$1004,$AI383)="","",INDEX(입력_운동!$D$5:$D$1004,$AI383)))</f>
        <v/>
      </c>
      <c r="Q383" s="25" t="str">
        <f aca="false">IF($AI383=0,"",IF(INDEX(입력_운동!$E$5:$E$1004,$AI383)="","",INDEX(입력_운동!$E$5:$E$1004,$AI383)))</f>
        <v/>
      </c>
      <c r="R383" s="25" t="str">
        <f aca="false">IF($AI383=0,"",IF(INDEX(입력_운동!$F$5:$F$1004,$AI383)="","",INDEX(입력_운동!$F$5:$F$1004,$AI383)))</f>
        <v/>
      </c>
      <c r="S383" s="25" t="str">
        <f aca="false">IF($AJ383=0,"",IF(INDEX(입력_측정!$C$5:$C$1004,$AJ383)="","",INDEX(입력_측정!$C$5:$C$1004,$AJ383)))</f>
        <v/>
      </c>
      <c r="T383" s="25" t="str">
        <f aca="false">IF($AJ383=0,"",IF(INDEX(입력_측정!$D$5:$D$1004,$AJ383)="","",INDEX(입력_측정!$D$5:$D$1004,$AJ383)))</f>
        <v/>
      </c>
      <c r="U383" s="25" t="str">
        <f aca="false">IF($AJ383=0,"",IF(INDEX(입력_측정!$E$5:$E$1004,$AJ383)="","",INDEX(입력_측정!$E$5:$E$1004,$AJ383)))</f>
        <v/>
      </c>
      <c r="V383" s="25" t="str">
        <f aca="false">IF($AJ383=0,"",IF(INDEX(입력_측정!$F$5:$F$1004,$AJ383)="","",INDEX(입력_측정!$F$5:$F$1004,$AJ383)))</f>
        <v/>
      </c>
      <c r="W383" s="25" t="str">
        <f aca="false">IF($AK383=0,"",IF(INDEX(입력_상담!$D$5:$D$1004,$AK383)="","",INDEX(입력_상담!$D$5:$D$1004,$AK383)))</f>
        <v/>
      </c>
      <c r="X383" s="25" t="str">
        <f aca="false">IF($AJ383=0,"",IF(INDEX(입력_측정!$I$5:$I$1004,$AJ383)="","",INDEX(입력_측정!$I$5:$I$1004,$AJ383)))</f>
        <v/>
      </c>
      <c r="Y383" s="25" t="str">
        <f aca="false">IF($AJ383=0,"",IF(INDEX(입력_측정!$J$5:$J$1004,$AJ383)="","",INDEX(입력_측정!$J$5:$J$1004,$AJ383)))</f>
        <v/>
      </c>
      <c r="Z383" s="25" t="str">
        <f aca="false">IF(OR(X383="긴급",LEFT(Y383,2)="긴급",W383="필요",W383="완료"),"대상","")</f>
        <v/>
      </c>
      <c r="AA383" s="59" t="str">
        <f aca="false">IF(M383&lt;&gt;"",M383,IF(AK383&gt;0,IF(W383="필요","추가상담 대기","완료"),IF(AJ383&gt;0,"결과상담 대기",IF(AI383&gt;0,"측정 대기","미방문"))))</f>
        <v>미방문</v>
      </c>
      <c r="AB383" s="60" t="str">
        <f aca="false">IF($AI383=0,"",IF(INDEX(입력_운동!$A$5:$A$1004,$AI383)="","",INDEX(입력_운동!$A$5:$A$1004,$AI383)))</f>
        <v/>
      </c>
      <c r="AC383" s="60" t="str">
        <f aca="false">IF($AJ383=0,"",IF(INDEX(입력_측정!$A$5:$A$1004,$AJ383)="","",INDEX(입력_측정!$A$5:$A$1004,$AJ383)))</f>
        <v/>
      </c>
      <c r="AD383" s="60" t="str">
        <f aca="false">IF($AK383=0,"",IF(INDEX(입력_상담!$A$5:$A$1004,$AK383)="","",INDEX(입력_상담!$A$5:$A$1004,$AK383)))</f>
        <v/>
      </c>
      <c r="AE383" s="25" t="str">
        <f aca="false">IF(AND(ISNUMBER(AB383),ISNUMBER(AC383)),IF(AC383&gt;=AB383,ROUND((AC383-AB383)*1440,0),""),"")</f>
        <v/>
      </c>
      <c r="AF383" s="25" t="str">
        <f aca="false">IF(AND(ISNUMBER(AC383),ISNUMBER(AD383)),IF(AD383&gt;=AC383,ROUND((AD383-AC383)*1440,0),""),"")</f>
        <v/>
      </c>
      <c r="AG383" s="25" t="str">
        <f aca="false">IF(AND(AA383="완료",ISNUMBER(AB383),ISNUMBER(AD383)),IF(AD383&gt;=AB383,ROUND((AD383-AB383)*1440,0),""),"")</f>
        <v/>
      </c>
      <c r="AH383" s="61" t="str">
        <f aca="false">IF(AND(AK383&gt;0,AJ383=0),"측정 기록 없음",IF(AND(AJ383&gt;0,AI383=0),"운동평가 기록 없음",IF(OR(COUNTIF(입력_운동!$B$5:$B$1004,$A383)&gt;1,COUNTIF(입력_측정!$B$5:$B$1004,$A383)&gt;1),"중복 입력","")))</f>
        <v/>
      </c>
      <c r="AI383" s="62" t="n">
        <f aca="false">SUMPRODUCT(MAX((입력_운동!$B$5:$B$1004=$A383)*(ROW(입력_운동!$B$5:$B$1004)-4)))</f>
        <v>0</v>
      </c>
      <c r="AJ383" s="62" t="n">
        <f aca="false">SUMPRODUCT(MAX((입력_측정!$B$5:$B$1004=$A383)*(ROW(입력_측정!$B$5:$B$1004)-4)))</f>
        <v>0</v>
      </c>
      <c r="AK383" s="62" t="n">
        <f aca="false">SUMPRODUCT(MAX((입력_상담!$B$5:$B$1004=$A383)*(ROW(입력_상담!$B$5:$B$1004)-4)))</f>
        <v>0</v>
      </c>
    </row>
    <row r="384" customFormat="false" ht="15" hidden="false" customHeight="false" outlineLevel="0" collapsed="false">
      <c r="A384" s="55" t="n">
        <v>380</v>
      </c>
      <c r="B384" s="56"/>
      <c r="C384" s="24"/>
      <c r="D384" s="24"/>
      <c r="E384" s="56"/>
      <c r="F384" s="57"/>
      <c r="G384" s="58"/>
      <c r="H384" s="56"/>
      <c r="I384" s="24"/>
      <c r="J384" s="24"/>
      <c r="K384" s="24"/>
      <c r="L384" s="24"/>
      <c r="M384" s="24"/>
      <c r="N384" s="56"/>
      <c r="O384" s="25" t="str">
        <f aca="false">IF($AI384=0,"",IF(INDEX(입력_운동!$C$5:$C$1004,$AI384)="","",INDEX(입력_운동!$C$5:$C$1004,$AI384)))</f>
        <v/>
      </c>
      <c r="P384" s="25" t="str">
        <f aca="false">IF($AI384=0,"",IF(INDEX(입력_운동!$D$5:$D$1004,$AI384)="","",INDEX(입력_운동!$D$5:$D$1004,$AI384)))</f>
        <v/>
      </c>
      <c r="Q384" s="25" t="str">
        <f aca="false">IF($AI384=0,"",IF(INDEX(입력_운동!$E$5:$E$1004,$AI384)="","",INDEX(입력_운동!$E$5:$E$1004,$AI384)))</f>
        <v/>
      </c>
      <c r="R384" s="25" t="str">
        <f aca="false">IF($AI384=0,"",IF(INDEX(입력_운동!$F$5:$F$1004,$AI384)="","",INDEX(입력_운동!$F$5:$F$1004,$AI384)))</f>
        <v/>
      </c>
      <c r="S384" s="25" t="str">
        <f aca="false">IF($AJ384=0,"",IF(INDEX(입력_측정!$C$5:$C$1004,$AJ384)="","",INDEX(입력_측정!$C$5:$C$1004,$AJ384)))</f>
        <v/>
      </c>
      <c r="T384" s="25" t="str">
        <f aca="false">IF($AJ384=0,"",IF(INDEX(입력_측정!$D$5:$D$1004,$AJ384)="","",INDEX(입력_측정!$D$5:$D$1004,$AJ384)))</f>
        <v/>
      </c>
      <c r="U384" s="25" t="str">
        <f aca="false">IF($AJ384=0,"",IF(INDEX(입력_측정!$E$5:$E$1004,$AJ384)="","",INDEX(입력_측정!$E$5:$E$1004,$AJ384)))</f>
        <v/>
      </c>
      <c r="V384" s="25" t="str">
        <f aca="false">IF($AJ384=0,"",IF(INDEX(입력_측정!$F$5:$F$1004,$AJ384)="","",INDEX(입력_측정!$F$5:$F$1004,$AJ384)))</f>
        <v/>
      </c>
      <c r="W384" s="25" t="str">
        <f aca="false">IF($AK384=0,"",IF(INDEX(입력_상담!$D$5:$D$1004,$AK384)="","",INDEX(입력_상담!$D$5:$D$1004,$AK384)))</f>
        <v/>
      </c>
      <c r="X384" s="25" t="str">
        <f aca="false">IF($AJ384=0,"",IF(INDEX(입력_측정!$I$5:$I$1004,$AJ384)="","",INDEX(입력_측정!$I$5:$I$1004,$AJ384)))</f>
        <v/>
      </c>
      <c r="Y384" s="25" t="str">
        <f aca="false">IF($AJ384=0,"",IF(INDEX(입력_측정!$J$5:$J$1004,$AJ384)="","",INDEX(입력_측정!$J$5:$J$1004,$AJ384)))</f>
        <v/>
      </c>
      <c r="Z384" s="25" t="str">
        <f aca="false">IF(OR(X384="긴급",LEFT(Y384,2)="긴급",W384="필요",W384="완료"),"대상","")</f>
        <v/>
      </c>
      <c r="AA384" s="59" t="str">
        <f aca="false">IF(M384&lt;&gt;"",M384,IF(AK384&gt;0,IF(W384="필요","추가상담 대기","완료"),IF(AJ384&gt;0,"결과상담 대기",IF(AI384&gt;0,"측정 대기","미방문"))))</f>
        <v>미방문</v>
      </c>
      <c r="AB384" s="60" t="str">
        <f aca="false">IF($AI384=0,"",IF(INDEX(입력_운동!$A$5:$A$1004,$AI384)="","",INDEX(입력_운동!$A$5:$A$1004,$AI384)))</f>
        <v/>
      </c>
      <c r="AC384" s="60" t="str">
        <f aca="false">IF($AJ384=0,"",IF(INDEX(입력_측정!$A$5:$A$1004,$AJ384)="","",INDEX(입력_측정!$A$5:$A$1004,$AJ384)))</f>
        <v/>
      </c>
      <c r="AD384" s="60" t="str">
        <f aca="false">IF($AK384=0,"",IF(INDEX(입력_상담!$A$5:$A$1004,$AK384)="","",INDEX(입력_상담!$A$5:$A$1004,$AK384)))</f>
        <v/>
      </c>
      <c r="AE384" s="25" t="str">
        <f aca="false">IF(AND(ISNUMBER(AB384),ISNUMBER(AC384)),IF(AC384&gt;=AB384,ROUND((AC384-AB384)*1440,0),""),"")</f>
        <v/>
      </c>
      <c r="AF384" s="25" t="str">
        <f aca="false">IF(AND(ISNUMBER(AC384),ISNUMBER(AD384)),IF(AD384&gt;=AC384,ROUND((AD384-AC384)*1440,0),""),"")</f>
        <v/>
      </c>
      <c r="AG384" s="25" t="str">
        <f aca="false">IF(AND(AA384="완료",ISNUMBER(AB384),ISNUMBER(AD384)),IF(AD384&gt;=AB384,ROUND((AD384-AB384)*1440,0),""),"")</f>
        <v/>
      </c>
      <c r="AH384" s="61" t="str">
        <f aca="false">IF(AND(AK384&gt;0,AJ384=0),"측정 기록 없음",IF(AND(AJ384&gt;0,AI384=0),"운동평가 기록 없음",IF(OR(COUNTIF(입력_운동!$B$5:$B$1004,$A384)&gt;1,COUNTIF(입력_측정!$B$5:$B$1004,$A384)&gt;1),"중복 입력","")))</f>
        <v/>
      </c>
      <c r="AI384" s="62" t="n">
        <f aca="false">SUMPRODUCT(MAX((입력_운동!$B$5:$B$1004=$A384)*(ROW(입력_운동!$B$5:$B$1004)-4)))</f>
        <v>0</v>
      </c>
      <c r="AJ384" s="62" t="n">
        <f aca="false">SUMPRODUCT(MAX((입력_측정!$B$5:$B$1004=$A384)*(ROW(입력_측정!$B$5:$B$1004)-4)))</f>
        <v>0</v>
      </c>
      <c r="AK384" s="62" t="n">
        <f aca="false">SUMPRODUCT(MAX((입력_상담!$B$5:$B$1004=$A384)*(ROW(입력_상담!$B$5:$B$1004)-4)))</f>
        <v>0</v>
      </c>
    </row>
    <row r="385" customFormat="false" ht="15" hidden="false" customHeight="false" outlineLevel="0" collapsed="false">
      <c r="A385" s="55" t="n">
        <v>381</v>
      </c>
      <c r="B385" s="56"/>
      <c r="C385" s="24"/>
      <c r="D385" s="24"/>
      <c r="E385" s="56"/>
      <c r="F385" s="57"/>
      <c r="G385" s="58"/>
      <c r="H385" s="56"/>
      <c r="I385" s="24"/>
      <c r="J385" s="24"/>
      <c r="K385" s="24"/>
      <c r="L385" s="24"/>
      <c r="M385" s="24"/>
      <c r="N385" s="56"/>
      <c r="O385" s="25" t="str">
        <f aca="false">IF($AI385=0,"",IF(INDEX(입력_운동!$C$5:$C$1004,$AI385)="","",INDEX(입력_운동!$C$5:$C$1004,$AI385)))</f>
        <v/>
      </c>
      <c r="P385" s="25" t="str">
        <f aca="false">IF($AI385=0,"",IF(INDEX(입력_운동!$D$5:$D$1004,$AI385)="","",INDEX(입력_운동!$D$5:$D$1004,$AI385)))</f>
        <v/>
      </c>
      <c r="Q385" s="25" t="str">
        <f aca="false">IF($AI385=0,"",IF(INDEX(입력_운동!$E$5:$E$1004,$AI385)="","",INDEX(입력_운동!$E$5:$E$1004,$AI385)))</f>
        <v/>
      </c>
      <c r="R385" s="25" t="str">
        <f aca="false">IF($AI385=0,"",IF(INDEX(입력_운동!$F$5:$F$1004,$AI385)="","",INDEX(입력_운동!$F$5:$F$1004,$AI385)))</f>
        <v/>
      </c>
      <c r="S385" s="25" t="str">
        <f aca="false">IF($AJ385=0,"",IF(INDEX(입력_측정!$C$5:$C$1004,$AJ385)="","",INDEX(입력_측정!$C$5:$C$1004,$AJ385)))</f>
        <v/>
      </c>
      <c r="T385" s="25" t="str">
        <f aca="false">IF($AJ385=0,"",IF(INDEX(입력_측정!$D$5:$D$1004,$AJ385)="","",INDEX(입력_측정!$D$5:$D$1004,$AJ385)))</f>
        <v/>
      </c>
      <c r="U385" s="25" t="str">
        <f aca="false">IF($AJ385=0,"",IF(INDEX(입력_측정!$E$5:$E$1004,$AJ385)="","",INDEX(입력_측정!$E$5:$E$1004,$AJ385)))</f>
        <v/>
      </c>
      <c r="V385" s="25" t="str">
        <f aca="false">IF($AJ385=0,"",IF(INDEX(입력_측정!$F$5:$F$1004,$AJ385)="","",INDEX(입력_측정!$F$5:$F$1004,$AJ385)))</f>
        <v/>
      </c>
      <c r="W385" s="25" t="str">
        <f aca="false">IF($AK385=0,"",IF(INDEX(입력_상담!$D$5:$D$1004,$AK385)="","",INDEX(입력_상담!$D$5:$D$1004,$AK385)))</f>
        <v/>
      </c>
      <c r="X385" s="25" t="str">
        <f aca="false">IF($AJ385=0,"",IF(INDEX(입력_측정!$I$5:$I$1004,$AJ385)="","",INDEX(입력_측정!$I$5:$I$1004,$AJ385)))</f>
        <v/>
      </c>
      <c r="Y385" s="25" t="str">
        <f aca="false">IF($AJ385=0,"",IF(INDEX(입력_측정!$J$5:$J$1004,$AJ385)="","",INDEX(입력_측정!$J$5:$J$1004,$AJ385)))</f>
        <v/>
      </c>
      <c r="Z385" s="25" t="str">
        <f aca="false">IF(OR(X385="긴급",LEFT(Y385,2)="긴급",W385="필요",W385="완료"),"대상","")</f>
        <v/>
      </c>
      <c r="AA385" s="59" t="str">
        <f aca="false">IF(M385&lt;&gt;"",M385,IF(AK385&gt;0,IF(W385="필요","추가상담 대기","완료"),IF(AJ385&gt;0,"결과상담 대기",IF(AI385&gt;0,"측정 대기","미방문"))))</f>
        <v>미방문</v>
      </c>
      <c r="AB385" s="60" t="str">
        <f aca="false">IF($AI385=0,"",IF(INDEX(입력_운동!$A$5:$A$1004,$AI385)="","",INDEX(입력_운동!$A$5:$A$1004,$AI385)))</f>
        <v/>
      </c>
      <c r="AC385" s="60" t="str">
        <f aca="false">IF($AJ385=0,"",IF(INDEX(입력_측정!$A$5:$A$1004,$AJ385)="","",INDEX(입력_측정!$A$5:$A$1004,$AJ385)))</f>
        <v/>
      </c>
      <c r="AD385" s="60" t="str">
        <f aca="false">IF($AK385=0,"",IF(INDEX(입력_상담!$A$5:$A$1004,$AK385)="","",INDEX(입력_상담!$A$5:$A$1004,$AK385)))</f>
        <v/>
      </c>
      <c r="AE385" s="25" t="str">
        <f aca="false">IF(AND(ISNUMBER(AB385),ISNUMBER(AC385)),IF(AC385&gt;=AB385,ROUND((AC385-AB385)*1440,0),""),"")</f>
        <v/>
      </c>
      <c r="AF385" s="25" t="str">
        <f aca="false">IF(AND(ISNUMBER(AC385),ISNUMBER(AD385)),IF(AD385&gt;=AC385,ROUND((AD385-AC385)*1440,0),""),"")</f>
        <v/>
      </c>
      <c r="AG385" s="25" t="str">
        <f aca="false">IF(AND(AA385="완료",ISNUMBER(AB385),ISNUMBER(AD385)),IF(AD385&gt;=AB385,ROUND((AD385-AB385)*1440,0),""),"")</f>
        <v/>
      </c>
      <c r="AH385" s="61" t="str">
        <f aca="false">IF(AND(AK385&gt;0,AJ385=0),"측정 기록 없음",IF(AND(AJ385&gt;0,AI385=0),"운동평가 기록 없음",IF(OR(COUNTIF(입력_운동!$B$5:$B$1004,$A385)&gt;1,COUNTIF(입력_측정!$B$5:$B$1004,$A385)&gt;1),"중복 입력","")))</f>
        <v/>
      </c>
      <c r="AI385" s="62" t="n">
        <f aca="false">SUMPRODUCT(MAX((입력_운동!$B$5:$B$1004=$A385)*(ROW(입력_운동!$B$5:$B$1004)-4)))</f>
        <v>0</v>
      </c>
      <c r="AJ385" s="62" t="n">
        <f aca="false">SUMPRODUCT(MAX((입력_측정!$B$5:$B$1004=$A385)*(ROW(입력_측정!$B$5:$B$1004)-4)))</f>
        <v>0</v>
      </c>
      <c r="AK385" s="62" t="n">
        <f aca="false">SUMPRODUCT(MAX((입력_상담!$B$5:$B$1004=$A385)*(ROW(입력_상담!$B$5:$B$1004)-4)))</f>
        <v>0</v>
      </c>
    </row>
    <row r="386" customFormat="false" ht="15" hidden="false" customHeight="false" outlineLevel="0" collapsed="false">
      <c r="A386" s="55" t="n">
        <v>382</v>
      </c>
      <c r="B386" s="56"/>
      <c r="C386" s="24"/>
      <c r="D386" s="24"/>
      <c r="E386" s="56"/>
      <c r="F386" s="57"/>
      <c r="G386" s="58"/>
      <c r="H386" s="56"/>
      <c r="I386" s="24"/>
      <c r="J386" s="24"/>
      <c r="K386" s="24"/>
      <c r="L386" s="24"/>
      <c r="M386" s="24"/>
      <c r="N386" s="56"/>
      <c r="O386" s="25" t="str">
        <f aca="false">IF($AI386=0,"",IF(INDEX(입력_운동!$C$5:$C$1004,$AI386)="","",INDEX(입력_운동!$C$5:$C$1004,$AI386)))</f>
        <v/>
      </c>
      <c r="P386" s="25" t="str">
        <f aca="false">IF($AI386=0,"",IF(INDEX(입력_운동!$D$5:$D$1004,$AI386)="","",INDEX(입력_운동!$D$5:$D$1004,$AI386)))</f>
        <v/>
      </c>
      <c r="Q386" s="25" t="str">
        <f aca="false">IF($AI386=0,"",IF(INDEX(입력_운동!$E$5:$E$1004,$AI386)="","",INDEX(입력_운동!$E$5:$E$1004,$AI386)))</f>
        <v/>
      </c>
      <c r="R386" s="25" t="str">
        <f aca="false">IF($AI386=0,"",IF(INDEX(입력_운동!$F$5:$F$1004,$AI386)="","",INDEX(입력_운동!$F$5:$F$1004,$AI386)))</f>
        <v/>
      </c>
      <c r="S386" s="25" t="str">
        <f aca="false">IF($AJ386=0,"",IF(INDEX(입력_측정!$C$5:$C$1004,$AJ386)="","",INDEX(입력_측정!$C$5:$C$1004,$AJ386)))</f>
        <v/>
      </c>
      <c r="T386" s="25" t="str">
        <f aca="false">IF($AJ386=0,"",IF(INDEX(입력_측정!$D$5:$D$1004,$AJ386)="","",INDEX(입력_측정!$D$5:$D$1004,$AJ386)))</f>
        <v/>
      </c>
      <c r="U386" s="25" t="str">
        <f aca="false">IF($AJ386=0,"",IF(INDEX(입력_측정!$E$5:$E$1004,$AJ386)="","",INDEX(입력_측정!$E$5:$E$1004,$AJ386)))</f>
        <v/>
      </c>
      <c r="V386" s="25" t="str">
        <f aca="false">IF($AJ386=0,"",IF(INDEX(입력_측정!$F$5:$F$1004,$AJ386)="","",INDEX(입력_측정!$F$5:$F$1004,$AJ386)))</f>
        <v/>
      </c>
      <c r="W386" s="25" t="str">
        <f aca="false">IF($AK386=0,"",IF(INDEX(입력_상담!$D$5:$D$1004,$AK386)="","",INDEX(입력_상담!$D$5:$D$1004,$AK386)))</f>
        <v/>
      </c>
      <c r="X386" s="25" t="str">
        <f aca="false">IF($AJ386=0,"",IF(INDEX(입력_측정!$I$5:$I$1004,$AJ386)="","",INDEX(입력_측정!$I$5:$I$1004,$AJ386)))</f>
        <v/>
      </c>
      <c r="Y386" s="25" t="str">
        <f aca="false">IF($AJ386=0,"",IF(INDEX(입력_측정!$J$5:$J$1004,$AJ386)="","",INDEX(입력_측정!$J$5:$J$1004,$AJ386)))</f>
        <v/>
      </c>
      <c r="Z386" s="25" t="str">
        <f aca="false">IF(OR(X386="긴급",LEFT(Y386,2)="긴급",W386="필요",W386="완료"),"대상","")</f>
        <v/>
      </c>
      <c r="AA386" s="59" t="str">
        <f aca="false">IF(M386&lt;&gt;"",M386,IF(AK386&gt;0,IF(W386="필요","추가상담 대기","완료"),IF(AJ386&gt;0,"결과상담 대기",IF(AI386&gt;0,"측정 대기","미방문"))))</f>
        <v>미방문</v>
      </c>
      <c r="AB386" s="60" t="str">
        <f aca="false">IF($AI386=0,"",IF(INDEX(입력_운동!$A$5:$A$1004,$AI386)="","",INDEX(입력_운동!$A$5:$A$1004,$AI386)))</f>
        <v/>
      </c>
      <c r="AC386" s="60" t="str">
        <f aca="false">IF($AJ386=0,"",IF(INDEX(입력_측정!$A$5:$A$1004,$AJ386)="","",INDEX(입력_측정!$A$5:$A$1004,$AJ386)))</f>
        <v/>
      </c>
      <c r="AD386" s="60" t="str">
        <f aca="false">IF($AK386=0,"",IF(INDEX(입력_상담!$A$5:$A$1004,$AK386)="","",INDEX(입력_상담!$A$5:$A$1004,$AK386)))</f>
        <v/>
      </c>
      <c r="AE386" s="25" t="str">
        <f aca="false">IF(AND(ISNUMBER(AB386),ISNUMBER(AC386)),IF(AC386&gt;=AB386,ROUND((AC386-AB386)*1440,0),""),"")</f>
        <v/>
      </c>
      <c r="AF386" s="25" t="str">
        <f aca="false">IF(AND(ISNUMBER(AC386),ISNUMBER(AD386)),IF(AD386&gt;=AC386,ROUND((AD386-AC386)*1440,0),""),"")</f>
        <v/>
      </c>
      <c r="AG386" s="25" t="str">
        <f aca="false">IF(AND(AA386="완료",ISNUMBER(AB386),ISNUMBER(AD386)),IF(AD386&gt;=AB386,ROUND((AD386-AB386)*1440,0),""),"")</f>
        <v/>
      </c>
      <c r="AH386" s="61" t="str">
        <f aca="false">IF(AND(AK386&gt;0,AJ386=0),"측정 기록 없음",IF(AND(AJ386&gt;0,AI386=0),"운동평가 기록 없음",IF(OR(COUNTIF(입력_운동!$B$5:$B$1004,$A386)&gt;1,COUNTIF(입력_측정!$B$5:$B$1004,$A386)&gt;1),"중복 입력","")))</f>
        <v/>
      </c>
      <c r="AI386" s="62" t="n">
        <f aca="false">SUMPRODUCT(MAX((입력_운동!$B$5:$B$1004=$A386)*(ROW(입력_운동!$B$5:$B$1004)-4)))</f>
        <v>0</v>
      </c>
      <c r="AJ386" s="62" t="n">
        <f aca="false">SUMPRODUCT(MAX((입력_측정!$B$5:$B$1004=$A386)*(ROW(입력_측정!$B$5:$B$1004)-4)))</f>
        <v>0</v>
      </c>
      <c r="AK386" s="62" t="n">
        <f aca="false">SUMPRODUCT(MAX((입력_상담!$B$5:$B$1004=$A386)*(ROW(입력_상담!$B$5:$B$1004)-4)))</f>
        <v>0</v>
      </c>
    </row>
    <row r="387" customFormat="false" ht="15" hidden="false" customHeight="false" outlineLevel="0" collapsed="false">
      <c r="A387" s="55" t="n">
        <v>383</v>
      </c>
      <c r="B387" s="56"/>
      <c r="C387" s="24"/>
      <c r="D387" s="24"/>
      <c r="E387" s="56"/>
      <c r="F387" s="57"/>
      <c r="G387" s="58"/>
      <c r="H387" s="56"/>
      <c r="I387" s="24"/>
      <c r="J387" s="24"/>
      <c r="K387" s="24"/>
      <c r="L387" s="24"/>
      <c r="M387" s="24"/>
      <c r="N387" s="56"/>
      <c r="O387" s="25" t="str">
        <f aca="false">IF($AI387=0,"",IF(INDEX(입력_운동!$C$5:$C$1004,$AI387)="","",INDEX(입력_운동!$C$5:$C$1004,$AI387)))</f>
        <v/>
      </c>
      <c r="P387" s="25" t="str">
        <f aca="false">IF($AI387=0,"",IF(INDEX(입력_운동!$D$5:$D$1004,$AI387)="","",INDEX(입력_운동!$D$5:$D$1004,$AI387)))</f>
        <v/>
      </c>
      <c r="Q387" s="25" t="str">
        <f aca="false">IF($AI387=0,"",IF(INDEX(입력_운동!$E$5:$E$1004,$AI387)="","",INDEX(입력_운동!$E$5:$E$1004,$AI387)))</f>
        <v/>
      </c>
      <c r="R387" s="25" t="str">
        <f aca="false">IF($AI387=0,"",IF(INDEX(입력_운동!$F$5:$F$1004,$AI387)="","",INDEX(입력_운동!$F$5:$F$1004,$AI387)))</f>
        <v/>
      </c>
      <c r="S387" s="25" t="str">
        <f aca="false">IF($AJ387=0,"",IF(INDEX(입력_측정!$C$5:$C$1004,$AJ387)="","",INDEX(입력_측정!$C$5:$C$1004,$AJ387)))</f>
        <v/>
      </c>
      <c r="T387" s="25" t="str">
        <f aca="false">IF($AJ387=0,"",IF(INDEX(입력_측정!$D$5:$D$1004,$AJ387)="","",INDEX(입력_측정!$D$5:$D$1004,$AJ387)))</f>
        <v/>
      </c>
      <c r="U387" s="25" t="str">
        <f aca="false">IF($AJ387=0,"",IF(INDEX(입력_측정!$E$5:$E$1004,$AJ387)="","",INDEX(입력_측정!$E$5:$E$1004,$AJ387)))</f>
        <v/>
      </c>
      <c r="V387" s="25" t="str">
        <f aca="false">IF($AJ387=0,"",IF(INDEX(입력_측정!$F$5:$F$1004,$AJ387)="","",INDEX(입력_측정!$F$5:$F$1004,$AJ387)))</f>
        <v/>
      </c>
      <c r="W387" s="25" t="str">
        <f aca="false">IF($AK387=0,"",IF(INDEX(입력_상담!$D$5:$D$1004,$AK387)="","",INDEX(입력_상담!$D$5:$D$1004,$AK387)))</f>
        <v/>
      </c>
      <c r="X387" s="25" t="str">
        <f aca="false">IF($AJ387=0,"",IF(INDEX(입력_측정!$I$5:$I$1004,$AJ387)="","",INDEX(입력_측정!$I$5:$I$1004,$AJ387)))</f>
        <v/>
      </c>
      <c r="Y387" s="25" t="str">
        <f aca="false">IF($AJ387=0,"",IF(INDEX(입력_측정!$J$5:$J$1004,$AJ387)="","",INDEX(입력_측정!$J$5:$J$1004,$AJ387)))</f>
        <v/>
      </c>
      <c r="Z387" s="25" t="str">
        <f aca="false">IF(OR(X387="긴급",LEFT(Y387,2)="긴급",W387="필요",W387="완료"),"대상","")</f>
        <v/>
      </c>
      <c r="AA387" s="59" t="str">
        <f aca="false">IF(M387&lt;&gt;"",M387,IF(AK387&gt;0,IF(W387="필요","추가상담 대기","완료"),IF(AJ387&gt;0,"결과상담 대기",IF(AI387&gt;0,"측정 대기","미방문"))))</f>
        <v>미방문</v>
      </c>
      <c r="AB387" s="60" t="str">
        <f aca="false">IF($AI387=0,"",IF(INDEX(입력_운동!$A$5:$A$1004,$AI387)="","",INDEX(입력_운동!$A$5:$A$1004,$AI387)))</f>
        <v/>
      </c>
      <c r="AC387" s="60" t="str">
        <f aca="false">IF($AJ387=0,"",IF(INDEX(입력_측정!$A$5:$A$1004,$AJ387)="","",INDEX(입력_측정!$A$5:$A$1004,$AJ387)))</f>
        <v/>
      </c>
      <c r="AD387" s="60" t="str">
        <f aca="false">IF($AK387=0,"",IF(INDEX(입력_상담!$A$5:$A$1004,$AK387)="","",INDEX(입력_상담!$A$5:$A$1004,$AK387)))</f>
        <v/>
      </c>
      <c r="AE387" s="25" t="str">
        <f aca="false">IF(AND(ISNUMBER(AB387),ISNUMBER(AC387)),IF(AC387&gt;=AB387,ROUND((AC387-AB387)*1440,0),""),"")</f>
        <v/>
      </c>
      <c r="AF387" s="25" t="str">
        <f aca="false">IF(AND(ISNUMBER(AC387),ISNUMBER(AD387)),IF(AD387&gt;=AC387,ROUND((AD387-AC387)*1440,0),""),"")</f>
        <v/>
      </c>
      <c r="AG387" s="25" t="str">
        <f aca="false">IF(AND(AA387="완료",ISNUMBER(AB387),ISNUMBER(AD387)),IF(AD387&gt;=AB387,ROUND((AD387-AB387)*1440,0),""),"")</f>
        <v/>
      </c>
      <c r="AH387" s="61" t="str">
        <f aca="false">IF(AND(AK387&gt;0,AJ387=0),"측정 기록 없음",IF(AND(AJ387&gt;0,AI387=0),"운동평가 기록 없음",IF(OR(COUNTIF(입력_운동!$B$5:$B$1004,$A387)&gt;1,COUNTIF(입력_측정!$B$5:$B$1004,$A387)&gt;1),"중복 입력","")))</f>
        <v/>
      </c>
      <c r="AI387" s="62" t="n">
        <f aca="false">SUMPRODUCT(MAX((입력_운동!$B$5:$B$1004=$A387)*(ROW(입력_운동!$B$5:$B$1004)-4)))</f>
        <v>0</v>
      </c>
      <c r="AJ387" s="62" t="n">
        <f aca="false">SUMPRODUCT(MAX((입력_측정!$B$5:$B$1004=$A387)*(ROW(입력_측정!$B$5:$B$1004)-4)))</f>
        <v>0</v>
      </c>
      <c r="AK387" s="62" t="n">
        <f aca="false">SUMPRODUCT(MAX((입력_상담!$B$5:$B$1004=$A387)*(ROW(입력_상담!$B$5:$B$1004)-4)))</f>
        <v>0</v>
      </c>
    </row>
    <row r="388" customFormat="false" ht="15" hidden="false" customHeight="false" outlineLevel="0" collapsed="false">
      <c r="A388" s="55" t="n">
        <v>384</v>
      </c>
      <c r="B388" s="56"/>
      <c r="C388" s="24"/>
      <c r="D388" s="24"/>
      <c r="E388" s="56"/>
      <c r="F388" s="57"/>
      <c r="G388" s="58"/>
      <c r="H388" s="56"/>
      <c r="I388" s="24"/>
      <c r="J388" s="24"/>
      <c r="K388" s="24"/>
      <c r="L388" s="24"/>
      <c r="M388" s="24"/>
      <c r="N388" s="56"/>
      <c r="O388" s="25" t="str">
        <f aca="false">IF($AI388=0,"",IF(INDEX(입력_운동!$C$5:$C$1004,$AI388)="","",INDEX(입력_운동!$C$5:$C$1004,$AI388)))</f>
        <v/>
      </c>
      <c r="P388" s="25" t="str">
        <f aca="false">IF($AI388=0,"",IF(INDEX(입력_운동!$D$5:$D$1004,$AI388)="","",INDEX(입력_운동!$D$5:$D$1004,$AI388)))</f>
        <v/>
      </c>
      <c r="Q388" s="25" t="str">
        <f aca="false">IF($AI388=0,"",IF(INDEX(입력_운동!$E$5:$E$1004,$AI388)="","",INDEX(입력_운동!$E$5:$E$1004,$AI388)))</f>
        <v/>
      </c>
      <c r="R388" s="25" t="str">
        <f aca="false">IF($AI388=0,"",IF(INDEX(입력_운동!$F$5:$F$1004,$AI388)="","",INDEX(입력_운동!$F$5:$F$1004,$AI388)))</f>
        <v/>
      </c>
      <c r="S388" s="25" t="str">
        <f aca="false">IF($AJ388=0,"",IF(INDEX(입력_측정!$C$5:$C$1004,$AJ388)="","",INDEX(입력_측정!$C$5:$C$1004,$AJ388)))</f>
        <v/>
      </c>
      <c r="T388" s="25" t="str">
        <f aca="false">IF($AJ388=0,"",IF(INDEX(입력_측정!$D$5:$D$1004,$AJ388)="","",INDEX(입력_측정!$D$5:$D$1004,$AJ388)))</f>
        <v/>
      </c>
      <c r="U388" s="25" t="str">
        <f aca="false">IF($AJ388=0,"",IF(INDEX(입력_측정!$E$5:$E$1004,$AJ388)="","",INDEX(입력_측정!$E$5:$E$1004,$AJ388)))</f>
        <v/>
      </c>
      <c r="V388" s="25" t="str">
        <f aca="false">IF($AJ388=0,"",IF(INDEX(입력_측정!$F$5:$F$1004,$AJ388)="","",INDEX(입력_측정!$F$5:$F$1004,$AJ388)))</f>
        <v/>
      </c>
      <c r="W388" s="25" t="str">
        <f aca="false">IF($AK388=0,"",IF(INDEX(입력_상담!$D$5:$D$1004,$AK388)="","",INDEX(입력_상담!$D$5:$D$1004,$AK388)))</f>
        <v/>
      </c>
      <c r="X388" s="25" t="str">
        <f aca="false">IF($AJ388=0,"",IF(INDEX(입력_측정!$I$5:$I$1004,$AJ388)="","",INDEX(입력_측정!$I$5:$I$1004,$AJ388)))</f>
        <v/>
      </c>
      <c r="Y388" s="25" t="str">
        <f aca="false">IF($AJ388=0,"",IF(INDEX(입력_측정!$J$5:$J$1004,$AJ388)="","",INDEX(입력_측정!$J$5:$J$1004,$AJ388)))</f>
        <v/>
      </c>
      <c r="Z388" s="25" t="str">
        <f aca="false">IF(OR(X388="긴급",LEFT(Y388,2)="긴급",W388="필요",W388="완료"),"대상","")</f>
        <v/>
      </c>
      <c r="AA388" s="59" t="str">
        <f aca="false">IF(M388&lt;&gt;"",M388,IF(AK388&gt;0,IF(W388="필요","추가상담 대기","완료"),IF(AJ388&gt;0,"결과상담 대기",IF(AI388&gt;0,"측정 대기","미방문"))))</f>
        <v>미방문</v>
      </c>
      <c r="AB388" s="60" t="str">
        <f aca="false">IF($AI388=0,"",IF(INDEX(입력_운동!$A$5:$A$1004,$AI388)="","",INDEX(입력_운동!$A$5:$A$1004,$AI388)))</f>
        <v/>
      </c>
      <c r="AC388" s="60" t="str">
        <f aca="false">IF($AJ388=0,"",IF(INDEX(입력_측정!$A$5:$A$1004,$AJ388)="","",INDEX(입력_측정!$A$5:$A$1004,$AJ388)))</f>
        <v/>
      </c>
      <c r="AD388" s="60" t="str">
        <f aca="false">IF($AK388=0,"",IF(INDEX(입력_상담!$A$5:$A$1004,$AK388)="","",INDEX(입력_상담!$A$5:$A$1004,$AK388)))</f>
        <v/>
      </c>
      <c r="AE388" s="25" t="str">
        <f aca="false">IF(AND(ISNUMBER(AB388),ISNUMBER(AC388)),IF(AC388&gt;=AB388,ROUND((AC388-AB388)*1440,0),""),"")</f>
        <v/>
      </c>
      <c r="AF388" s="25" t="str">
        <f aca="false">IF(AND(ISNUMBER(AC388),ISNUMBER(AD388)),IF(AD388&gt;=AC388,ROUND((AD388-AC388)*1440,0),""),"")</f>
        <v/>
      </c>
      <c r="AG388" s="25" t="str">
        <f aca="false">IF(AND(AA388="완료",ISNUMBER(AB388),ISNUMBER(AD388)),IF(AD388&gt;=AB388,ROUND((AD388-AB388)*1440,0),""),"")</f>
        <v/>
      </c>
      <c r="AH388" s="61" t="str">
        <f aca="false">IF(AND(AK388&gt;0,AJ388=0),"측정 기록 없음",IF(AND(AJ388&gt;0,AI388=0),"운동평가 기록 없음",IF(OR(COUNTIF(입력_운동!$B$5:$B$1004,$A388)&gt;1,COUNTIF(입력_측정!$B$5:$B$1004,$A388)&gt;1),"중복 입력","")))</f>
        <v/>
      </c>
      <c r="AI388" s="62" t="n">
        <f aca="false">SUMPRODUCT(MAX((입력_운동!$B$5:$B$1004=$A388)*(ROW(입력_운동!$B$5:$B$1004)-4)))</f>
        <v>0</v>
      </c>
      <c r="AJ388" s="62" t="n">
        <f aca="false">SUMPRODUCT(MAX((입력_측정!$B$5:$B$1004=$A388)*(ROW(입력_측정!$B$5:$B$1004)-4)))</f>
        <v>0</v>
      </c>
      <c r="AK388" s="62" t="n">
        <f aca="false">SUMPRODUCT(MAX((입력_상담!$B$5:$B$1004=$A388)*(ROW(입력_상담!$B$5:$B$1004)-4)))</f>
        <v>0</v>
      </c>
    </row>
    <row r="389" customFormat="false" ht="15" hidden="false" customHeight="false" outlineLevel="0" collapsed="false">
      <c r="A389" s="55" t="n">
        <v>385</v>
      </c>
      <c r="B389" s="56"/>
      <c r="C389" s="24"/>
      <c r="D389" s="24"/>
      <c r="E389" s="56"/>
      <c r="F389" s="57"/>
      <c r="G389" s="58"/>
      <c r="H389" s="56"/>
      <c r="I389" s="24"/>
      <c r="J389" s="24"/>
      <c r="K389" s="24"/>
      <c r="L389" s="24"/>
      <c r="M389" s="24"/>
      <c r="N389" s="56"/>
      <c r="O389" s="25" t="str">
        <f aca="false">IF($AI389=0,"",IF(INDEX(입력_운동!$C$5:$C$1004,$AI389)="","",INDEX(입력_운동!$C$5:$C$1004,$AI389)))</f>
        <v/>
      </c>
      <c r="P389" s="25" t="str">
        <f aca="false">IF($AI389=0,"",IF(INDEX(입력_운동!$D$5:$D$1004,$AI389)="","",INDEX(입력_운동!$D$5:$D$1004,$AI389)))</f>
        <v/>
      </c>
      <c r="Q389" s="25" t="str">
        <f aca="false">IF($AI389=0,"",IF(INDEX(입력_운동!$E$5:$E$1004,$AI389)="","",INDEX(입력_운동!$E$5:$E$1004,$AI389)))</f>
        <v/>
      </c>
      <c r="R389" s="25" t="str">
        <f aca="false">IF($AI389=0,"",IF(INDEX(입력_운동!$F$5:$F$1004,$AI389)="","",INDEX(입력_운동!$F$5:$F$1004,$AI389)))</f>
        <v/>
      </c>
      <c r="S389" s="25" t="str">
        <f aca="false">IF($AJ389=0,"",IF(INDEX(입력_측정!$C$5:$C$1004,$AJ389)="","",INDEX(입력_측정!$C$5:$C$1004,$AJ389)))</f>
        <v/>
      </c>
      <c r="T389" s="25" t="str">
        <f aca="false">IF($AJ389=0,"",IF(INDEX(입력_측정!$D$5:$D$1004,$AJ389)="","",INDEX(입력_측정!$D$5:$D$1004,$AJ389)))</f>
        <v/>
      </c>
      <c r="U389" s="25" t="str">
        <f aca="false">IF($AJ389=0,"",IF(INDEX(입력_측정!$E$5:$E$1004,$AJ389)="","",INDEX(입력_측정!$E$5:$E$1004,$AJ389)))</f>
        <v/>
      </c>
      <c r="V389" s="25" t="str">
        <f aca="false">IF($AJ389=0,"",IF(INDEX(입력_측정!$F$5:$F$1004,$AJ389)="","",INDEX(입력_측정!$F$5:$F$1004,$AJ389)))</f>
        <v/>
      </c>
      <c r="W389" s="25" t="str">
        <f aca="false">IF($AK389=0,"",IF(INDEX(입력_상담!$D$5:$D$1004,$AK389)="","",INDEX(입력_상담!$D$5:$D$1004,$AK389)))</f>
        <v/>
      </c>
      <c r="X389" s="25" t="str">
        <f aca="false">IF($AJ389=0,"",IF(INDEX(입력_측정!$I$5:$I$1004,$AJ389)="","",INDEX(입력_측정!$I$5:$I$1004,$AJ389)))</f>
        <v/>
      </c>
      <c r="Y389" s="25" t="str">
        <f aca="false">IF($AJ389=0,"",IF(INDEX(입력_측정!$J$5:$J$1004,$AJ389)="","",INDEX(입력_측정!$J$5:$J$1004,$AJ389)))</f>
        <v/>
      </c>
      <c r="Z389" s="25" t="str">
        <f aca="false">IF(OR(X389="긴급",LEFT(Y389,2)="긴급",W389="필요",W389="완료"),"대상","")</f>
        <v/>
      </c>
      <c r="AA389" s="59" t="str">
        <f aca="false">IF(M389&lt;&gt;"",M389,IF(AK389&gt;0,IF(W389="필요","추가상담 대기","완료"),IF(AJ389&gt;0,"결과상담 대기",IF(AI389&gt;0,"측정 대기","미방문"))))</f>
        <v>미방문</v>
      </c>
      <c r="AB389" s="60" t="str">
        <f aca="false">IF($AI389=0,"",IF(INDEX(입력_운동!$A$5:$A$1004,$AI389)="","",INDEX(입력_운동!$A$5:$A$1004,$AI389)))</f>
        <v/>
      </c>
      <c r="AC389" s="60" t="str">
        <f aca="false">IF($AJ389=0,"",IF(INDEX(입력_측정!$A$5:$A$1004,$AJ389)="","",INDEX(입력_측정!$A$5:$A$1004,$AJ389)))</f>
        <v/>
      </c>
      <c r="AD389" s="60" t="str">
        <f aca="false">IF($AK389=0,"",IF(INDEX(입력_상담!$A$5:$A$1004,$AK389)="","",INDEX(입력_상담!$A$5:$A$1004,$AK389)))</f>
        <v/>
      </c>
      <c r="AE389" s="25" t="str">
        <f aca="false">IF(AND(ISNUMBER(AB389),ISNUMBER(AC389)),IF(AC389&gt;=AB389,ROUND((AC389-AB389)*1440,0),""),"")</f>
        <v/>
      </c>
      <c r="AF389" s="25" t="str">
        <f aca="false">IF(AND(ISNUMBER(AC389),ISNUMBER(AD389)),IF(AD389&gt;=AC389,ROUND((AD389-AC389)*1440,0),""),"")</f>
        <v/>
      </c>
      <c r="AG389" s="25" t="str">
        <f aca="false">IF(AND(AA389="완료",ISNUMBER(AB389),ISNUMBER(AD389)),IF(AD389&gt;=AB389,ROUND((AD389-AB389)*1440,0),""),"")</f>
        <v/>
      </c>
      <c r="AH389" s="61" t="str">
        <f aca="false">IF(AND(AK389&gt;0,AJ389=0),"측정 기록 없음",IF(AND(AJ389&gt;0,AI389=0),"운동평가 기록 없음",IF(OR(COUNTIF(입력_운동!$B$5:$B$1004,$A389)&gt;1,COUNTIF(입력_측정!$B$5:$B$1004,$A389)&gt;1),"중복 입력","")))</f>
        <v/>
      </c>
      <c r="AI389" s="62" t="n">
        <f aca="false">SUMPRODUCT(MAX((입력_운동!$B$5:$B$1004=$A389)*(ROW(입력_운동!$B$5:$B$1004)-4)))</f>
        <v>0</v>
      </c>
      <c r="AJ389" s="62" t="n">
        <f aca="false">SUMPRODUCT(MAX((입력_측정!$B$5:$B$1004=$A389)*(ROW(입력_측정!$B$5:$B$1004)-4)))</f>
        <v>0</v>
      </c>
      <c r="AK389" s="62" t="n">
        <f aca="false">SUMPRODUCT(MAX((입력_상담!$B$5:$B$1004=$A389)*(ROW(입력_상담!$B$5:$B$1004)-4)))</f>
        <v>0</v>
      </c>
    </row>
    <row r="390" customFormat="false" ht="15" hidden="false" customHeight="false" outlineLevel="0" collapsed="false">
      <c r="A390" s="55" t="n">
        <v>386</v>
      </c>
      <c r="B390" s="56"/>
      <c r="C390" s="24"/>
      <c r="D390" s="24"/>
      <c r="E390" s="56"/>
      <c r="F390" s="57"/>
      <c r="G390" s="58"/>
      <c r="H390" s="56"/>
      <c r="I390" s="24"/>
      <c r="J390" s="24"/>
      <c r="K390" s="24"/>
      <c r="L390" s="24"/>
      <c r="M390" s="24"/>
      <c r="N390" s="56"/>
      <c r="O390" s="25" t="str">
        <f aca="false">IF($AI390=0,"",IF(INDEX(입력_운동!$C$5:$C$1004,$AI390)="","",INDEX(입력_운동!$C$5:$C$1004,$AI390)))</f>
        <v/>
      </c>
      <c r="P390" s="25" t="str">
        <f aca="false">IF($AI390=0,"",IF(INDEX(입력_운동!$D$5:$D$1004,$AI390)="","",INDEX(입력_운동!$D$5:$D$1004,$AI390)))</f>
        <v/>
      </c>
      <c r="Q390" s="25" t="str">
        <f aca="false">IF($AI390=0,"",IF(INDEX(입력_운동!$E$5:$E$1004,$AI390)="","",INDEX(입력_운동!$E$5:$E$1004,$AI390)))</f>
        <v/>
      </c>
      <c r="R390" s="25" t="str">
        <f aca="false">IF($AI390=0,"",IF(INDEX(입력_운동!$F$5:$F$1004,$AI390)="","",INDEX(입력_운동!$F$5:$F$1004,$AI390)))</f>
        <v/>
      </c>
      <c r="S390" s="25" t="str">
        <f aca="false">IF($AJ390=0,"",IF(INDEX(입력_측정!$C$5:$C$1004,$AJ390)="","",INDEX(입력_측정!$C$5:$C$1004,$AJ390)))</f>
        <v/>
      </c>
      <c r="T390" s="25" t="str">
        <f aca="false">IF($AJ390=0,"",IF(INDEX(입력_측정!$D$5:$D$1004,$AJ390)="","",INDEX(입력_측정!$D$5:$D$1004,$AJ390)))</f>
        <v/>
      </c>
      <c r="U390" s="25" t="str">
        <f aca="false">IF($AJ390=0,"",IF(INDEX(입력_측정!$E$5:$E$1004,$AJ390)="","",INDEX(입력_측정!$E$5:$E$1004,$AJ390)))</f>
        <v/>
      </c>
      <c r="V390" s="25" t="str">
        <f aca="false">IF($AJ390=0,"",IF(INDEX(입력_측정!$F$5:$F$1004,$AJ390)="","",INDEX(입력_측정!$F$5:$F$1004,$AJ390)))</f>
        <v/>
      </c>
      <c r="W390" s="25" t="str">
        <f aca="false">IF($AK390=0,"",IF(INDEX(입력_상담!$D$5:$D$1004,$AK390)="","",INDEX(입력_상담!$D$5:$D$1004,$AK390)))</f>
        <v/>
      </c>
      <c r="X390" s="25" t="str">
        <f aca="false">IF($AJ390=0,"",IF(INDEX(입력_측정!$I$5:$I$1004,$AJ390)="","",INDEX(입력_측정!$I$5:$I$1004,$AJ390)))</f>
        <v/>
      </c>
      <c r="Y390" s="25" t="str">
        <f aca="false">IF($AJ390=0,"",IF(INDEX(입력_측정!$J$5:$J$1004,$AJ390)="","",INDEX(입력_측정!$J$5:$J$1004,$AJ390)))</f>
        <v/>
      </c>
      <c r="Z390" s="25" t="str">
        <f aca="false">IF(OR(X390="긴급",LEFT(Y390,2)="긴급",W390="필요",W390="완료"),"대상","")</f>
        <v/>
      </c>
      <c r="AA390" s="59" t="str">
        <f aca="false">IF(M390&lt;&gt;"",M390,IF(AK390&gt;0,IF(W390="필요","추가상담 대기","완료"),IF(AJ390&gt;0,"결과상담 대기",IF(AI390&gt;0,"측정 대기","미방문"))))</f>
        <v>미방문</v>
      </c>
      <c r="AB390" s="60" t="str">
        <f aca="false">IF($AI390=0,"",IF(INDEX(입력_운동!$A$5:$A$1004,$AI390)="","",INDEX(입력_운동!$A$5:$A$1004,$AI390)))</f>
        <v/>
      </c>
      <c r="AC390" s="60" t="str">
        <f aca="false">IF($AJ390=0,"",IF(INDEX(입력_측정!$A$5:$A$1004,$AJ390)="","",INDEX(입력_측정!$A$5:$A$1004,$AJ390)))</f>
        <v/>
      </c>
      <c r="AD390" s="60" t="str">
        <f aca="false">IF($AK390=0,"",IF(INDEX(입력_상담!$A$5:$A$1004,$AK390)="","",INDEX(입력_상담!$A$5:$A$1004,$AK390)))</f>
        <v/>
      </c>
      <c r="AE390" s="25" t="str">
        <f aca="false">IF(AND(ISNUMBER(AB390),ISNUMBER(AC390)),IF(AC390&gt;=AB390,ROUND((AC390-AB390)*1440,0),""),"")</f>
        <v/>
      </c>
      <c r="AF390" s="25" t="str">
        <f aca="false">IF(AND(ISNUMBER(AC390),ISNUMBER(AD390)),IF(AD390&gt;=AC390,ROUND((AD390-AC390)*1440,0),""),"")</f>
        <v/>
      </c>
      <c r="AG390" s="25" t="str">
        <f aca="false">IF(AND(AA390="완료",ISNUMBER(AB390),ISNUMBER(AD390)),IF(AD390&gt;=AB390,ROUND((AD390-AB390)*1440,0),""),"")</f>
        <v/>
      </c>
      <c r="AH390" s="61" t="str">
        <f aca="false">IF(AND(AK390&gt;0,AJ390=0),"측정 기록 없음",IF(AND(AJ390&gt;0,AI390=0),"운동평가 기록 없음",IF(OR(COUNTIF(입력_운동!$B$5:$B$1004,$A390)&gt;1,COUNTIF(입력_측정!$B$5:$B$1004,$A390)&gt;1),"중복 입력","")))</f>
        <v/>
      </c>
      <c r="AI390" s="62" t="n">
        <f aca="false">SUMPRODUCT(MAX((입력_운동!$B$5:$B$1004=$A390)*(ROW(입력_운동!$B$5:$B$1004)-4)))</f>
        <v>0</v>
      </c>
      <c r="AJ390" s="62" t="n">
        <f aca="false">SUMPRODUCT(MAX((입력_측정!$B$5:$B$1004=$A390)*(ROW(입력_측정!$B$5:$B$1004)-4)))</f>
        <v>0</v>
      </c>
      <c r="AK390" s="62" t="n">
        <f aca="false">SUMPRODUCT(MAX((입력_상담!$B$5:$B$1004=$A390)*(ROW(입력_상담!$B$5:$B$1004)-4)))</f>
        <v>0</v>
      </c>
    </row>
    <row r="391" customFormat="false" ht="15" hidden="false" customHeight="false" outlineLevel="0" collapsed="false">
      <c r="A391" s="55" t="n">
        <v>387</v>
      </c>
      <c r="B391" s="56"/>
      <c r="C391" s="24"/>
      <c r="D391" s="24"/>
      <c r="E391" s="56"/>
      <c r="F391" s="57"/>
      <c r="G391" s="58"/>
      <c r="H391" s="56"/>
      <c r="I391" s="24"/>
      <c r="J391" s="24"/>
      <c r="K391" s="24"/>
      <c r="L391" s="24"/>
      <c r="M391" s="24"/>
      <c r="N391" s="56"/>
      <c r="O391" s="25" t="str">
        <f aca="false">IF($AI391=0,"",IF(INDEX(입력_운동!$C$5:$C$1004,$AI391)="","",INDEX(입력_운동!$C$5:$C$1004,$AI391)))</f>
        <v/>
      </c>
      <c r="P391" s="25" t="str">
        <f aca="false">IF($AI391=0,"",IF(INDEX(입력_운동!$D$5:$D$1004,$AI391)="","",INDEX(입력_운동!$D$5:$D$1004,$AI391)))</f>
        <v/>
      </c>
      <c r="Q391" s="25" t="str">
        <f aca="false">IF($AI391=0,"",IF(INDEX(입력_운동!$E$5:$E$1004,$AI391)="","",INDEX(입력_운동!$E$5:$E$1004,$AI391)))</f>
        <v/>
      </c>
      <c r="R391" s="25" t="str">
        <f aca="false">IF($AI391=0,"",IF(INDEX(입력_운동!$F$5:$F$1004,$AI391)="","",INDEX(입력_운동!$F$5:$F$1004,$AI391)))</f>
        <v/>
      </c>
      <c r="S391" s="25" t="str">
        <f aca="false">IF($AJ391=0,"",IF(INDEX(입력_측정!$C$5:$C$1004,$AJ391)="","",INDEX(입력_측정!$C$5:$C$1004,$AJ391)))</f>
        <v/>
      </c>
      <c r="T391" s="25" t="str">
        <f aca="false">IF($AJ391=0,"",IF(INDEX(입력_측정!$D$5:$D$1004,$AJ391)="","",INDEX(입력_측정!$D$5:$D$1004,$AJ391)))</f>
        <v/>
      </c>
      <c r="U391" s="25" t="str">
        <f aca="false">IF($AJ391=0,"",IF(INDEX(입력_측정!$E$5:$E$1004,$AJ391)="","",INDEX(입력_측정!$E$5:$E$1004,$AJ391)))</f>
        <v/>
      </c>
      <c r="V391" s="25" t="str">
        <f aca="false">IF($AJ391=0,"",IF(INDEX(입력_측정!$F$5:$F$1004,$AJ391)="","",INDEX(입력_측정!$F$5:$F$1004,$AJ391)))</f>
        <v/>
      </c>
      <c r="W391" s="25" t="str">
        <f aca="false">IF($AK391=0,"",IF(INDEX(입력_상담!$D$5:$D$1004,$AK391)="","",INDEX(입력_상담!$D$5:$D$1004,$AK391)))</f>
        <v/>
      </c>
      <c r="X391" s="25" t="str">
        <f aca="false">IF($AJ391=0,"",IF(INDEX(입력_측정!$I$5:$I$1004,$AJ391)="","",INDEX(입력_측정!$I$5:$I$1004,$AJ391)))</f>
        <v/>
      </c>
      <c r="Y391" s="25" t="str">
        <f aca="false">IF($AJ391=0,"",IF(INDEX(입력_측정!$J$5:$J$1004,$AJ391)="","",INDEX(입력_측정!$J$5:$J$1004,$AJ391)))</f>
        <v/>
      </c>
      <c r="Z391" s="25" t="str">
        <f aca="false">IF(OR(X391="긴급",LEFT(Y391,2)="긴급",W391="필요",W391="완료"),"대상","")</f>
        <v/>
      </c>
      <c r="AA391" s="59" t="str">
        <f aca="false">IF(M391&lt;&gt;"",M391,IF(AK391&gt;0,IF(W391="필요","추가상담 대기","완료"),IF(AJ391&gt;0,"결과상담 대기",IF(AI391&gt;0,"측정 대기","미방문"))))</f>
        <v>미방문</v>
      </c>
      <c r="AB391" s="60" t="str">
        <f aca="false">IF($AI391=0,"",IF(INDEX(입력_운동!$A$5:$A$1004,$AI391)="","",INDEX(입력_운동!$A$5:$A$1004,$AI391)))</f>
        <v/>
      </c>
      <c r="AC391" s="60" t="str">
        <f aca="false">IF($AJ391=0,"",IF(INDEX(입력_측정!$A$5:$A$1004,$AJ391)="","",INDEX(입력_측정!$A$5:$A$1004,$AJ391)))</f>
        <v/>
      </c>
      <c r="AD391" s="60" t="str">
        <f aca="false">IF($AK391=0,"",IF(INDEX(입력_상담!$A$5:$A$1004,$AK391)="","",INDEX(입력_상담!$A$5:$A$1004,$AK391)))</f>
        <v/>
      </c>
      <c r="AE391" s="25" t="str">
        <f aca="false">IF(AND(ISNUMBER(AB391),ISNUMBER(AC391)),IF(AC391&gt;=AB391,ROUND((AC391-AB391)*1440,0),""),"")</f>
        <v/>
      </c>
      <c r="AF391" s="25" t="str">
        <f aca="false">IF(AND(ISNUMBER(AC391),ISNUMBER(AD391)),IF(AD391&gt;=AC391,ROUND((AD391-AC391)*1440,0),""),"")</f>
        <v/>
      </c>
      <c r="AG391" s="25" t="str">
        <f aca="false">IF(AND(AA391="완료",ISNUMBER(AB391),ISNUMBER(AD391)),IF(AD391&gt;=AB391,ROUND((AD391-AB391)*1440,0),""),"")</f>
        <v/>
      </c>
      <c r="AH391" s="61" t="str">
        <f aca="false">IF(AND(AK391&gt;0,AJ391=0),"측정 기록 없음",IF(AND(AJ391&gt;0,AI391=0),"운동평가 기록 없음",IF(OR(COUNTIF(입력_운동!$B$5:$B$1004,$A391)&gt;1,COUNTIF(입력_측정!$B$5:$B$1004,$A391)&gt;1),"중복 입력","")))</f>
        <v/>
      </c>
      <c r="AI391" s="62" t="n">
        <f aca="false">SUMPRODUCT(MAX((입력_운동!$B$5:$B$1004=$A391)*(ROW(입력_운동!$B$5:$B$1004)-4)))</f>
        <v>0</v>
      </c>
      <c r="AJ391" s="62" t="n">
        <f aca="false">SUMPRODUCT(MAX((입력_측정!$B$5:$B$1004=$A391)*(ROW(입력_측정!$B$5:$B$1004)-4)))</f>
        <v>0</v>
      </c>
      <c r="AK391" s="62" t="n">
        <f aca="false">SUMPRODUCT(MAX((입력_상담!$B$5:$B$1004=$A391)*(ROW(입력_상담!$B$5:$B$1004)-4)))</f>
        <v>0</v>
      </c>
    </row>
    <row r="392" customFormat="false" ht="15" hidden="false" customHeight="false" outlineLevel="0" collapsed="false">
      <c r="A392" s="55" t="n">
        <v>388</v>
      </c>
      <c r="B392" s="56"/>
      <c r="C392" s="24"/>
      <c r="D392" s="24"/>
      <c r="E392" s="56"/>
      <c r="F392" s="57"/>
      <c r="G392" s="58"/>
      <c r="H392" s="56"/>
      <c r="I392" s="24"/>
      <c r="J392" s="24"/>
      <c r="K392" s="24"/>
      <c r="L392" s="24"/>
      <c r="M392" s="24"/>
      <c r="N392" s="56"/>
      <c r="O392" s="25" t="str">
        <f aca="false">IF($AI392=0,"",IF(INDEX(입력_운동!$C$5:$C$1004,$AI392)="","",INDEX(입력_운동!$C$5:$C$1004,$AI392)))</f>
        <v/>
      </c>
      <c r="P392" s="25" t="str">
        <f aca="false">IF($AI392=0,"",IF(INDEX(입력_운동!$D$5:$D$1004,$AI392)="","",INDEX(입력_운동!$D$5:$D$1004,$AI392)))</f>
        <v/>
      </c>
      <c r="Q392" s="25" t="str">
        <f aca="false">IF($AI392=0,"",IF(INDEX(입력_운동!$E$5:$E$1004,$AI392)="","",INDEX(입력_운동!$E$5:$E$1004,$AI392)))</f>
        <v/>
      </c>
      <c r="R392" s="25" t="str">
        <f aca="false">IF($AI392=0,"",IF(INDEX(입력_운동!$F$5:$F$1004,$AI392)="","",INDEX(입력_운동!$F$5:$F$1004,$AI392)))</f>
        <v/>
      </c>
      <c r="S392" s="25" t="str">
        <f aca="false">IF($AJ392=0,"",IF(INDEX(입력_측정!$C$5:$C$1004,$AJ392)="","",INDEX(입력_측정!$C$5:$C$1004,$AJ392)))</f>
        <v/>
      </c>
      <c r="T392" s="25" t="str">
        <f aca="false">IF($AJ392=0,"",IF(INDEX(입력_측정!$D$5:$D$1004,$AJ392)="","",INDEX(입력_측정!$D$5:$D$1004,$AJ392)))</f>
        <v/>
      </c>
      <c r="U392" s="25" t="str">
        <f aca="false">IF($AJ392=0,"",IF(INDEX(입력_측정!$E$5:$E$1004,$AJ392)="","",INDEX(입력_측정!$E$5:$E$1004,$AJ392)))</f>
        <v/>
      </c>
      <c r="V392" s="25" t="str">
        <f aca="false">IF($AJ392=0,"",IF(INDEX(입력_측정!$F$5:$F$1004,$AJ392)="","",INDEX(입력_측정!$F$5:$F$1004,$AJ392)))</f>
        <v/>
      </c>
      <c r="W392" s="25" t="str">
        <f aca="false">IF($AK392=0,"",IF(INDEX(입력_상담!$D$5:$D$1004,$AK392)="","",INDEX(입력_상담!$D$5:$D$1004,$AK392)))</f>
        <v/>
      </c>
      <c r="X392" s="25" t="str">
        <f aca="false">IF($AJ392=0,"",IF(INDEX(입력_측정!$I$5:$I$1004,$AJ392)="","",INDEX(입력_측정!$I$5:$I$1004,$AJ392)))</f>
        <v/>
      </c>
      <c r="Y392" s="25" t="str">
        <f aca="false">IF($AJ392=0,"",IF(INDEX(입력_측정!$J$5:$J$1004,$AJ392)="","",INDEX(입력_측정!$J$5:$J$1004,$AJ392)))</f>
        <v/>
      </c>
      <c r="Z392" s="25" t="str">
        <f aca="false">IF(OR(X392="긴급",LEFT(Y392,2)="긴급",W392="필요",W392="완료"),"대상","")</f>
        <v/>
      </c>
      <c r="AA392" s="59" t="str">
        <f aca="false">IF(M392&lt;&gt;"",M392,IF(AK392&gt;0,IF(W392="필요","추가상담 대기","완료"),IF(AJ392&gt;0,"결과상담 대기",IF(AI392&gt;0,"측정 대기","미방문"))))</f>
        <v>미방문</v>
      </c>
      <c r="AB392" s="60" t="str">
        <f aca="false">IF($AI392=0,"",IF(INDEX(입력_운동!$A$5:$A$1004,$AI392)="","",INDEX(입력_운동!$A$5:$A$1004,$AI392)))</f>
        <v/>
      </c>
      <c r="AC392" s="60" t="str">
        <f aca="false">IF($AJ392=0,"",IF(INDEX(입력_측정!$A$5:$A$1004,$AJ392)="","",INDEX(입력_측정!$A$5:$A$1004,$AJ392)))</f>
        <v/>
      </c>
      <c r="AD392" s="60" t="str">
        <f aca="false">IF($AK392=0,"",IF(INDEX(입력_상담!$A$5:$A$1004,$AK392)="","",INDEX(입력_상담!$A$5:$A$1004,$AK392)))</f>
        <v/>
      </c>
      <c r="AE392" s="25" t="str">
        <f aca="false">IF(AND(ISNUMBER(AB392),ISNUMBER(AC392)),IF(AC392&gt;=AB392,ROUND((AC392-AB392)*1440,0),""),"")</f>
        <v/>
      </c>
      <c r="AF392" s="25" t="str">
        <f aca="false">IF(AND(ISNUMBER(AC392),ISNUMBER(AD392)),IF(AD392&gt;=AC392,ROUND((AD392-AC392)*1440,0),""),"")</f>
        <v/>
      </c>
      <c r="AG392" s="25" t="str">
        <f aca="false">IF(AND(AA392="완료",ISNUMBER(AB392),ISNUMBER(AD392)),IF(AD392&gt;=AB392,ROUND((AD392-AB392)*1440,0),""),"")</f>
        <v/>
      </c>
      <c r="AH392" s="61" t="str">
        <f aca="false">IF(AND(AK392&gt;0,AJ392=0),"측정 기록 없음",IF(AND(AJ392&gt;0,AI392=0),"운동평가 기록 없음",IF(OR(COUNTIF(입력_운동!$B$5:$B$1004,$A392)&gt;1,COUNTIF(입력_측정!$B$5:$B$1004,$A392)&gt;1),"중복 입력","")))</f>
        <v/>
      </c>
      <c r="AI392" s="62" t="n">
        <f aca="false">SUMPRODUCT(MAX((입력_운동!$B$5:$B$1004=$A392)*(ROW(입력_운동!$B$5:$B$1004)-4)))</f>
        <v>0</v>
      </c>
      <c r="AJ392" s="62" t="n">
        <f aca="false">SUMPRODUCT(MAX((입력_측정!$B$5:$B$1004=$A392)*(ROW(입력_측정!$B$5:$B$1004)-4)))</f>
        <v>0</v>
      </c>
      <c r="AK392" s="62" t="n">
        <f aca="false">SUMPRODUCT(MAX((입력_상담!$B$5:$B$1004=$A392)*(ROW(입력_상담!$B$5:$B$1004)-4)))</f>
        <v>0</v>
      </c>
    </row>
    <row r="393" customFormat="false" ht="15" hidden="false" customHeight="false" outlineLevel="0" collapsed="false">
      <c r="A393" s="55" t="n">
        <v>389</v>
      </c>
      <c r="B393" s="56"/>
      <c r="C393" s="24"/>
      <c r="D393" s="24"/>
      <c r="E393" s="56"/>
      <c r="F393" s="57"/>
      <c r="G393" s="58"/>
      <c r="H393" s="56"/>
      <c r="I393" s="24"/>
      <c r="J393" s="24"/>
      <c r="K393" s="24"/>
      <c r="L393" s="24"/>
      <c r="M393" s="24"/>
      <c r="N393" s="56"/>
      <c r="O393" s="25" t="str">
        <f aca="false">IF($AI393=0,"",IF(INDEX(입력_운동!$C$5:$C$1004,$AI393)="","",INDEX(입력_운동!$C$5:$C$1004,$AI393)))</f>
        <v/>
      </c>
      <c r="P393" s="25" t="str">
        <f aca="false">IF($AI393=0,"",IF(INDEX(입력_운동!$D$5:$D$1004,$AI393)="","",INDEX(입력_운동!$D$5:$D$1004,$AI393)))</f>
        <v/>
      </c>
      <c r="Q393" s="25" t="str">
        <f aca="false">IF($AI393=0,"",IF(INDEX(입력_운동!$E$5:$E$1004,$AI393)="","",INDEX(입력_운동!$E$5:$E$1004,$AI393)))</f>
        <v/>
      </c>
      <c r="R393" s="25" t="str">
        <f aca="false">IF($AI393=0,"",IF(INDEX(입력_운동!$F$5:$F$1004,$AI393)="","",INDEX(입력_운동!$F$5:$F$1004,$AI393)))</f>
        <v/>
      </c>
      <c r="S393" s="25" t="str">
        <f aca="false">IF($AJ393=0,"",IF(INDEX(입력_측정!$C$5:$C$1004,$AJ393)="","",INDEX(입력_측정!$C$5:$C$1004,$AJ393)))</f>
        <v/>
      </c>
      <c r="T393" s="25" t="str">
        <f aca="false">IF($AJ393=0,"",IF(INDEX(입력_측정!$D$5:$D$1004,$AJ393)="","",INDEX(입력_측정!$D$5:$D$1004,$AJ393)))</f>
        <v/>
      </c>
      <c r="U393" s="25" t="str">
        <f aca="false">IF($AJ393=0,"",IF(INDEX(입력_측정!$E$5:$E$1004,$AJ393)="","",INDEX(입력_측정!$E$5:$E$1004,$AJ393)))</f>
        <v/>
      </c>
      <c r="V393" s="25" t="str">
        <f aca="false">IF($AJ393=0,"",IF(INDEX(입력_측정!$F$5:$F$1004,$AJ393)="","",INDEX(입력_측정!$F$5:$F$1004,$AJ393)))</f>
        <v/>
      </c>
      <c r="W393" s="25" t="str">
        <f aca="false">IF($AK393=0,"",IF(INDEX(입력_상담!$D$5:$D$1004,$AK393)="","",INDEX(입력_상담!$D$5:$D$1004,$AK393)))</f>
        <v/>
      </c>
      <c r="X393" s="25" t="str">
        <f aca="false">IF($AJ393=0,"",IF(INDEX(입력_측정!$I$5:$I$1004,$AJ393)="","",INDEX(입력_측정!$I$5:$I$1004,$AJ393)))</f>
        <v/>
      </c>
      <c r="Y393" s="25" t="str">
        <f aca="false">IF($AJ393=0,"",IF(INDEX(입력_측정!$J$5:$J$1004,$AJ393)="","",INDEX(입력_측정!$J$5:$J$1004,$AJ393)))</f>
        <v/>
      </c>
      <c r="Z393" s="25" t="str">
        <f aca="false">IF(OR(X393="긴급",LEFT(Y393,2)="긴급",W393="필요",W393="완료"),"대상","")</f>
        <v/>
      </c>
      <c r="AA393" s="59" t="str">
        <f aca="false">IF(M393&lt;&gt;"",M393,IF(AK393&gt;0,IF(W393="필요","추가상담 대기","완료"),IF(AJ393&gt;0,"결과상담 대기",IF(AI393&gt;0,"측정 대기","미방문"))))</f>
        <v>미방문</v>
      </c>
      <c r="AB393" s="60" t="str">
        <f aca="false">IF($AI393=0,"",IF(INDEX(입력_운동!$A$5:$A$1004,$AI393)="","",INDEX(입력_운동!$A$5:$A$1004,$AI393)))</f>
        <v/>
      </c>
      <c r="AC393" s="60" t="str">
        <f aca="false">IF($AJ393=0,"",IF(INDEX(입력_측정!$A$5:$A$1004,$AJ393)="","",INDEX(입력_측정!$A$5:$A$1004,$AJ393)))</f>
        <v/>
      </c>
      <c r="AD393" s="60" t="str">
        <f aca="false">IF($AK393=0,"",IF(INDEX(입력_상담!$A$5:$A$1004,$AK393)="","",INDEX(입력_상담!$A$5:$A$1004,$AK393)))</f>
        <v/>
      </c>
      <c r="AE393" s="25" t="str">
        <f aca="false">IF(AND(ISNUMBER(AB393),ISNUMBER(AC393)),IF(AC393&gt;=AB393,ROUND((AC393-AB393)*1440,0),""),"")</f>
        <v/>
      </c>
      <c r="AF393" s="25" t="str">
        <f aca="false">IF(AND(ISNUMBER(AC393),ISNUMBER(AD393)),IF(AD393&gt;=AC393,ROUND((AD393-AC393)*1440,0),""),"")</f>
        <v/>
      </c>
      <c r="AG393" s="25" t="str">
        <f aca="false">IF(AND(AA393="완료",ISNUMBER(AB393),ISNUMBER(AD393)),IF(AD393&gt;=AB393,ROUND((AD393-AB393)*1440,0),""),"")</f>
        <v/>
      </c>
      <c r="AH393" s="61" t="str">
        <f aca="false">IF(AND(AK393&gt;0,AJ393=0),"측정 기록 없음",IF(AND(AJ393&gt;0,AI393=0),"운동평가 기록 없음",IF(OR(COUNTIF(입력_운동!$B$5:$B$1004,$A393)&gt;1,COUNTIF(입력_측정!$B$5:$B$1004,$A393)&gt;1),"중복 입력","")))</f>
        <v/>
      </c>
      <c r="AI393" s="62" t="n">
        <f aca="false">SUMPRODUCT(MAX((입력_운동!$B$5:$B$1004=$A393)*(ROW(입력_운동!$B$5:$B$1004)-4)))</f>
        <v>0</v>
      </c>
      <c r="AJ393" s="62" t="n">
        <f aca="false">SUMPRODUCT(MAX((입력_측정!$B$5:$B$1004=$A393)*(ROW(입력_측정!$B$5:$B$1004)-4)))</f>
        <v>0</v>
      </c>
      <c r="AK393" s="62" t="n">
        <f aca="false">SUMPRODUCT(MAX((입력_상담!$B$5:$B$1004=$A393)*(ROW(입력_상담!$B$5:$B$1004)-4)))</f>
        <v>0</v>
      </c>
    </row>
    <row r="394" customFormat="false" ht="15" hidden="false" customHeight="false" outlineLevel="0" collapsed="false">
      <c r="A394" s="55" t="n">
        <v>390</v>
      </c>
      <c r="B394" s="56"/>
      <c r="C394" s="24"/>
      <c r="D394" s="24"/>
      <c r="E394" s="56"/>
      <c r="F394" s="57"/>
      <c r="G394" s="58"/>
      <c r="H394" s="56"/>
      <c r="I394" s="24"/>
      <c r="J394" s="24"/>
      <c r="K394" s="24"/>
      <c r="L394" s="24"/>
      <c r="M394" s="24"/>
      <c r="N394" s="56"/>
      <c r="O394" s="25" t="str">
        <f aca="false">IF($AI394=0,"",IF(INDEX(입력_운동!$C$5:$C$1004,$AI394)="","",INDEX(입력_운동!$C$5:$C$1004,$AI394)))</f>
        <v/>
      </c>
      <c r="P394" s="25" t="str">
        <f aca="false">IF($AI394=0,"",IF(INDEX(입력_운동!$D$5:$D$1004,$AI394)="","",INDEX(입력_운동!$D$5:$D$1004,$AI394)))</f>
        <v/>
      </c>
      <c r="Q394" s="25" t="str">
        <f aca="false">IF($AI394=0,"",IF(INDEX(입력_운동!$E$5:$E$1004,$AI394)="","",INDEX(입력_운동!$E$5:$E$1004,$AI394)))</f>
        <v/>
      </c>
      <c r="R394" s="25" t="str">
        <f aca="false">IF($AI394=0,"",IF(INDEX(입력_운동!$F$5:$F$1004,$AI394)="","",INDEX(입력_운동!$F$5:$F$1004,$AI394)))</f>
        <v/>
      </c>
      <c r="S394" s="25" t="str">
        <f aca="false">IF($AJ394=0,"",IF(INDEX(입력_측정!$C$5:$C$1004,$AJ394)="","",INDEX(입력_측정!$C$5:$C$1004,$AJ394)))</f>
        <v/>
      </c>
      <c r="T394" s="25" t="str">
        <f aca="false">IF($AJ394=0,"",IF(INDEX(입력_측정!$D$5:$D$1004,$AJ394)="","",INDEX(입력_측정!$D$5:$D$1004,$AJ394)))</f>
        <v/>
      </c>
      <c r="U394" s="25" t="str">
        <f aca="false">IF($AJ394=0,"",IF(INDEX(입력_측정!$E$5:$E$1004,$AJ394)="","",INDEX(입력_측정!$E$5:$E$1004,$AJ394)))</f>
        <v/>
      </c>
      <c r="V394" s="25" t="str">
        <f aca="false">IF($AJ394=0,"",IF(INDEX(입력_측정!$F$5:$F$1004,$AJ394)="","",INDEX(입력_측정!$F$5:$F$1004,$AJ394)))</f>
        <v/>
      </c>
      <c r="W394" s="25" t="str">
        <f aca="false">IF($AK394=0,"",IF(INDEX(입력_상담!$D$5:$D$1004,$AK394)="","",INDEX(입력_상담!$D$5:$D$1004,$AK394)))</f>
        <v/>
      </c>
      <c r="X394" s="25" t="str">
        <f aca="false">IF($AJ394=0,"",IF(INDEX(입력_측정!$I$5:$I$1004,$AJ394)="","",INDEX(입력_측정!$I$5:$I$1004,$AJ394)))</f>
        <v/>
      </c>
      <c r="Y394" s="25" t="str">
        <f aca="false">IF($AJ394=0,"",IF(INDEX(입력_측정!$J$5:$J$1004,$AJ394)="","",INDEX(입력_측정!$J$5:$J$1004,$AJ394)))</f>
        <v/>
      </c>
      <c r="Z394" s="25" t="str">
        <f aca="false">IF(OR(X394="긴급",LEFT(Y394,2)="긴급",W394="필요",W394="완료"),"대상","")</f>
        <v/>
      </c>
      <c r="AA394" s="59" t="str">
        <f aca="false">IF(M394&lt;&gt;"",M394,IF(AK394&gt;0,IF(W394="필요","추가상담 대기","완료"),IF(AJ394&gt;0,"결과상담 대기",IF(AI394&gt;0,"측정 대기","미방문"))))</f>
        <v>미방문</v>
      </c>
      <c r="AB394" s="60" t="str">
        <f aca="false">IF($AI394=0,"",IF(INDEX(입력_운동!$A$5:$A$1004,$AI394)="","",INDEX(입력_운동!$A$5:$A$1004,$AI394)))</f>
        <v/>
      </c>
      <c r="AC394" s="60" t="str">
        <f aca="false">IF($AJ394=0,"",IF(INDEX(입력_측정!$A$5:$A$1004,$AJ394)="","",INDEX(입력_측정!$A$5:$A$1004,$AJ394)))</f>
        <v/>
      </c>
      <c r="AD394" s="60" t="str">
        <f aca="false">IF($AK394=0,"",IF(INDEX(입력_상담!$A$5:$A$1004,$AK394)="","",INDEX(입력_상담!$A$5:$A$1004,$AK394)))</f>
        <v/>
      </c>
      <c r="AE394" s="25" t="str">
        <f aca="false">IF(AND(ISNUMBER(AB394),ISNUMBER(AC394)),IF(AC394&gt;=AB394,ROUND((AC394-AB394)*1440,0),""),"")</f>
        <v/>
      </c>
      <c r="AF394" s="25" t="str">
        <f aca="false">IF(AND(ISNUMBER(AC394),ISNUMBER(AD394)),IF(AD394&gt;=AC394,ROUND((AD394-AC394)*1440,0),""),"")</f>
        <v/>
      </c>
      <c r="AG394" s="25" t="str">
        <f aca="false">IF(AND(AA394="완료",ISNUMBER(AB394),ISNUMBER(AD394)),IF(AD394&gt;=AB394,ROUND((AD394-AB394)*1440,0),""),"")</f>
        <v/>
      </c>
      <c r="AH394" s="61" t="str">
        <f aca="false">IF(AND(AK394&gt;0,AJ394=0),"측정 기록 없음",IF(AND(AJ394&gt;0,AI394=0),"운동평가 기록 없음",IF(OR(COUNTIF(입력_운동!$B$5:$B$1004,$A394)&gt;1,COUNTIF(입력_측정!$B$5:$B$1004,$A394)&gt;1),"중복 입력","")))</f>
        <v/>
      </c>
      <c r="AI394" s="62" t="n">
        <f aca="false">SUMPRODUCT(MAX((입력_운동!$B$5:$B$1004=$A394)*(ROW(입력_운동!$B$5:$B$1004)-4)))</f>
        <v>0</v>
      </c>
      <c r="AJ394" s="62" t="n">
        <f aca="false">SUMPRODUCT(MAX((입력_측정!$B$5:$B$1004=$A394)*(ROW(입력_측정!$B$5:$B$1004)-4)))</f>
        <v>0</v>
      </c>
      <c r="AK394" s="62" t="n">
        <f aca="false">SUMPRODUCT(MAX((입력_상담!$B$5:$B$1004=$A394)*(ROW(입력_상담!$B$5:$B$1004)-4)))</f>
        <v>0</v>
      </c>
    </row>
    <row r="395" customFormat="false" ht="15" hidden="false" customHeight="false" outlineLevel="0" collapsed="false">
      <c r="A395" s="55" t="n">
        <v>391</v>
      </c>
      <c r="B395" s="56"/>
      <c r="C395" s="24"/>
      <c r="D395" s="24"/>
      <c r="E395" s="56"/>
      <c r="F395" s="57"/>
      <c r="G395" s="58"/>
      <c r="H395" s="56"/>
      <c r="I395" s="24"/>
      <c r="J395" s="24"/>
      <c r="K395" s="24"/>
      <c r="L395" s="24"/>
      <c r="M395" s="24"/>
      <c r="N395" s="56"/>
      <c r="O395" s="25" t="str">
        <f aca="false">IF($AI395=0,"",IF(INDEX(입력_운동!$C$5:$C$1004,$AI395)="","",INDEX(입력_운동!$C$5:$C$1004,$AI395)))</f>
        <v/>
      </c>
      <c r="P395" s="25" t="str">
        <f aca="false">IF($AI395=0,"",IF(INDEX(입력_운동!$D$5:$D$1004,$AI395)="","",INDEX(입력_운동!$D$5:$D$1004,$AI395)))</f>
        <v/>
      </c>
      <c r="Q395" s="25" t="str">
        <f aca="false">IF($AI395=0,"",IF(INDEX(입력_운동!$E$5:$E$1004,$AI395)="","",INDEX(입력_운동!$E$5:$E$1004,$AI395)))</f>
        <v/>
      </c>
      <c r="R395" s="25" t="str">
        <f aca="false">IF($AI395=0,"",IF(INDEX(입력_운동!$F$5:$F$1004,$AI395)="","",INDEX(입력_운동!$F$5:$F$1004,$AI395)))</f>
        <v/>
      </c>
      <c r="S395" s="25" t="str">
        <f aca="false">IF($AJ395=0,"",IF(INDEX(입력_측정!$C$5:$C$1004,$AJ395)="","",INDEX(입력_측정!$C$5:$C$1004,$AJ395)))</f>
        <v/>
      </c>
      <c r="T395" s="25" t="str">
        <f aca="false">IF($AJ395=0,"",IF(INDEX(입력_측정!$D$5:$D$1004,$AJ395)="","",INDEX(입력_측정!$D$5:$D$1004,$AJ395)))</f>
        <v/>
      </c>
      <c r="U395" s="25" t="str">
        <f aca="false">IF($AJ395=0,"",IF(INDEX(입력_측정!$E$5:$E$1004,$AJ395)="","",INDEX(입력_측정!$E$5:$E$1004,$AJ395)))</f>
        <v/>
      </c>
      <c r="V395" s="25" t="str">
        <f aca="false">IF($AJ395=0,"",IF(INDEX(입력_측정!$F$5:$F$1004,$AJ395)="","",INDEX(입력_측정!$F$5:$F$1004,$AJ395)))</f>
        <v/>
      </c>
      <c r="W395" s="25" t="str">
        <f aca="false">IF($AK395=0,"",IF(INDEX(입력_상담!$D$5:$D$1004,$AK395)="","",INDEX(입력_상담!$D$5:$D$1004,$AK395)))</f>
        <v/>
      </c>
      <c r="X395" s="25" t="str">
        <f aca="false">IF($AJ395=0,"",IF(INDEX(입력_측정!$I$5:$I$1004,$AJ395)="","",INDEX(입력_측정!$I$5:$I$1004,$AJ395)))</f>
        <v/>
      </c>
      <c r="Y395" s="25" t="str">
        <f aca="false">IF($AJ395=0,"",IF(INDEX(입력_측정!$J$5:$J$1004,$AJ395)="","",INDEX(입력_측정!$J$5:$J$1004,$AJ395)))</f>
        <v/>
      </c>
      <c r="Z395" s="25" t="str">
        <f aca="false">IF(OR(X395="긴급",LEFT(Y395,2)="긴급",W395="필요",W395="완료"),"대상","")</f>
        <v/>
      </c>
      <c r="AA395" s="59" t="str">
        <f aca="false">IF(M395&lt;&gt;"",M395,IF(AK395&gt;0,IF(W395="필요","추가상담 대기","완료"),IF(AJ395&gt;0,"결과상담 대기",IF(AI395&gt;0,"측정 대기","미방문"))))</f>
        <v>미방문</v>
      </c>
      <c r="AB395" s="60" t="str">
        <f aca="false">IF($AI395=0,"",IF(INDEX(입력_운동!$A$5:$A$1004,$AI395)="","",INDEX(입력_운동!$A$5:$A$1004,$AI395)))</f>
        <v/>
      </c>
      <c r="AC395" s="60" t="str">
        <f aca="false">IF($AJ395=0,"",IF(INDEX(입력_측정!$A$5:$A$1004,$AJ395)="","",INDEX(입력_측정!$A$5:$A$1004,$AJ395)))</f>
        <v/>
      </c>
      <c r="AD395" s="60" t="str">
        <f aca="false">IF($AK395=0,"",IF(INDEX(입력_상담!$A$5:$A$1004,$AK395)="","",INDEX(입력_상담!$A$5:$A$1004,$AK395)))</f>
        <v/>
      </c>
      <c r="AE395" s="25" t="str">
        <f aca="false">IF(AND(ISNUMBER(AB395),ISNUMBER(AC395)),IF(AC395&gt;=AB395,ROUND((AC395-AB395)*1440,0),""),"")</f>
        <v/>
      </c>
      <c r="AF395" s="25" t="str">
        <f aca="false">IF(AND(ISNUMBER(AC395),ISNUMBER(AD395)),IF(AD395&gt;=AC395,ROUND((AD395-AC395)*1440,0),""),"")</f>
        <v/>
      </c>
      <c r="AG395" s="25" t="str">
        <f aca="false">IF(AND(AA395="완료",ISNUMBER(AB395),ISNUMBER(AD395)),IF(AD395&gt;=AB395,ROUND((AD395-AB395)*1440,0),""),"")</f>
        <v/>
      </c>
      <c r="AH395" s="61" t="str">
        <f aca="false">IF(AND(AK395&gt;0,AJ395=0),"측정 기록 없음",IF(AND(AJ395&gt;0,AI395=0),"운동평가 기록 없음",IF(OR(COUNTIF(입력_운동!$B$5:$B$1004,$A395)&gt;1,COUNTIF(입력_측정!$B$5:$B$1004,$A395)&gt;1),"중복 입력","")))</f>
        <v/>
      </c>
      <c r="AI395" s="62" t="n">
        <f aca="false">SUMPRODUCT(MAX((입력_운동!$B$5:$B$1004=$A395)*(ROW(입력_운동!$B$5:$B$1004)-4)))</f>
        <v>0</v>
      </c>
      <c r="AJ395" s="62" t="n">
        <f aca="false">SUMPRODUCT(MAX((입력_측정!$B$5:$B$1004=$A395)*(ROW(입력_측정!$B$5:$B$1004)-4)))</f>
        <v>0</v>
      </c>
      <c r="AK395" s="62" t="n">
        <f aca="false">SUMPRODUCT(MAX((입력_상담!$B$5:$B$1004=$A395)*(ROW(입력_상담!$B$5:$B$1004)-4)))</f>
        <v>0</v>
      </c>
    </row>
    <row r="396" customFormat="false" ht="15" hidden="false" customHeight="false" outlineLevel="0" collapsed="false">
      <c r="A396" s="55" t="n">
        <v>392</v>
      </c>
      <c r="B396" s="56"/>
      <c r="C396" s="24"/>
      <c r="D396" s="24"/>
      <c r="E396" s="56"/>
      <c r="F396" s="57"/>
      <c r="G396" s="58"/>
      <c r="H396" s="56"/>
      <c r="I396" s="24"/>
      <c r="J396" s="24"/>
      <c r="K396" s="24"/>
      <c r="L396" s="24"/>
      <c r="M396" s="24"/>
      <c r="N396" s="56"/>
      <c r="O396" s="25" t="str">
        <f aca="false">IF($AI396=0,"",IF(INDEX(입력_운동!$C$5:$C$1004,$AI396)="","",INDEX(입력_운동!$C$5:$C$1004,$AI396)))</f>
        <v/>
      </c>
      <c r="P396" s="25" t="str">
        <f aca="false">IF($AI396=0,"",IF(INDEX(입력_운동!$D$5:$D$1004,$AI396)="","",INDEX(입력_운동!$D$5:$D$1004,$AI396)))</f>
        <v/>
      </c>
      <c r="Q396" s="25" t="str">
        <f aca="false">IF($AI396=0,"",IF(INDEX(입력_운동!$E$5:$E$1004,$AI396)="","",INDEX(입력_운동!$E$5:$E$1004,$AI396)))</f>
        <v/>
      </c>
      <c r="R396" s="25" t="str">
        <f aca="false">IF($AI396=0,"",IF(INDEX(입력_운동!$F$5:$F$1004,$AI396)="","",INDEX(입력_운동!$F$5:$F$1004,$AI396)))</f>
        <v/>
      </c>
      <c r="S396" s="25" t="str">
        <f aca="false">IF($AJ396=0,"",IF(INDEX(입력_측정!$C$5:$C$1004,$AJ396)="","",INDEX(입력_측정!$C$5:$C$1004,$AJ396)))</f>
        <v/>
      </c>
      <c r="T396" s="25" t="str">
        <f aca="false">IF($AJ396=0,"",IF(INDEX(입력_측정!$D$5:$D$1004,$AJ396)="","",INDEX(입력_측정!$D$5:$D$1004,$AJ396)))</f>
        <v/>
      </c>
      <c r="U396" s="25" t="str">
        <f aca="false">IF($AJ396=0,"",IF(INDEX(입력_측정!$E$5:$E$1004,$AJ396)="","",INDEX(입력_측정!$E$5:$E$1004,$AJ396)))</f>
        <v/>
      </c>
      <c r="V396" s="25" t="str">
        <f aca="false">IF($AJ396=0,"",IF(INDEX(입력_측정!$F$5:$F$1004,$AJ396)="","",INDEX(입력_측정!$F$5:$F$1004,$AJ396)))</f>
        <v/>
      </c>
      <c r="W396" s="25" t="str">
        <f aca="false">IF($AK396=0,"",IF(INDEX(입력_상담!$D$5:$D$1004,$AK396)="","",INDEX(입력_상담!$D$5:$D$1004,$AK396)))</f>
        <v/>
      </c>
      <c r="X396" s="25" t="str">
        <f aca="false">IF($AJ396=0,"",IF(INDEX(입력_측정!$I$5:$I$1004,$AJ396)="","",INDEX(입력_측정!$I$5:$I$1004,$AJ396)))</f>
        <v/>
      </c>
      <c r="Y396" s="25" t="str">
        <f aca="false">IF($AJ396=0,"",IF(INDEX(입력_측정!$J$5:$J$1004,$AJ396)="","",INDEX(입력_측정!$J$5:$J$1004,$AJ396)))</f>
        <v/>
      </c>
      <c r="Z396" s="25" t="str">
        <f aca="false">IF(OR(X396="긴급",LEFT(Y396,2)="긴급",W396="필요",W396="완료"),"대상","")</f>
        <v/>
      </c>
      <c r="AA396" s="59" t="str">
        <f aca="false">IF(M396&lt;&gt;"",M396,IF(AK396&gt;0,IF(W396="필요","추가상담 대기","완료"),IF(AJ396&gt;0,"결과상담 대기",IF(AI396&gt;0,"측정 대기","미방문"))))</f>
        <v>미방문</v>
      </c>
      <c r="AB396" s="60" t="str">
        <f aca="false">IF($AI396=0,"",IF(INDEX(입력_운동!$A$5:$A$1004,$AI396)="","",INDEX(입력_운동!$A$5:$A$1004,$AI396)))</f>
        <v/>
      </c>
      <c r="AC396" s="60" t="str">
        <f aca="false">IF($AJ396=0,"",IF(INDEX(입력_측정!$A$5:$A$1004,$AJ396)="","",INDEX(입력_측정!$A$5:$A$1004,$AJ396)))</f>
        <v/>
      </c>
      <c r="AD396" s="60" t="str">
        <f aca="false">IF($AK396=0,"",IF(INDEX(입력_상담!$A$5:$A$1004,$AK396)="","",INDEX(입력_상담!$A$5:$A$1004,$AK396)))</f>
        <v/>
      </c>
      <c r="AE396" s="25" t="str">
        <f aca="false">IF(AND(ISNUMBER(AB396),ISNUMBER(AC396)),IF(AC396&gt;=AB396,ROUND((AC396-AB396)*1440,0),""),"")</f>
        <v/>
      </c>
      <c r="AF396" s="25" t="str">
        <f aca="false">IF(AND(ISNUMBER(AC396),ISNUMBER(AD396)),IF(AD396&gt;=AC396,ROUND((AD396-AC396)*1440,0),""),"")</f>
        <v/>
      </c>
      <c r="AG396" s="25" t="str">
        <f aca="false">IF(AND(AA396="완료",ISNUMBER(AB396),ISNUMBER(AD396)),IF(AD396&gt;=AB396,ROUND((AD396-AB396)*1440,0),""),"")</f>
        <v/>
      </c>
      <c r="AH396" s="61" t="str">
        <f aca="false">IF(AND(AK396&gt;0,AJ396=0),"측정 기록 없음",IF(AND(AJ396&gt;0,AI396=0),"운동평가 기록 없음",IF(OR(COUNTIF(입력_운동!$B$5:$B$1004,$A396)&gt;1,COUNTIF(입력_측정!$B$5:$B$1004,$A396)&gt;1),"중복 입력","")))</f>
        <v/>
      </c>
      <c r="AI396" s="62" t="n">
        <f aca="false">SUMPRODUCT(MAX((입력_운동!$B$5:$B$1004=$A396)*(ROW(입력_운동!$B$5:$B$1004)-4)))</f>
        <v>0</v>
      </c>
      <c r="AJ396" s="62" t="n">
        <f aca="false">SUMPRODUCT(MAX((입력_측정!$B$5:$B$1004=$A396)*(ROW(입력_측정!$B$5:$B$1004)-4)))</f>
        <v>0</v>
      </c>
      <c r="AK396" s="62" t="n">
        <f aca="false">SUMPRODUCT(MAX((입력_상담!$B$5:$B$1004=$A396)*(ROW(입력_상담!$B$5:$B$1004)-4)))</f>
        <v>0</v>
      </c>
    </row>
    <row r="397" customFormat="false" ht="15" hidden="false" customHeight="false" outlineLevel="0" collapsed="false">
      <c r="A397" s="55" t="n">
        <v>393</v>
      </c>
      <c r="B397" s="56"/>
      <c r="C397" s="24"/>
      <c r="D397" s="24"/>
      <c r="E397" s="56"/>
      <c r="F397" s="57"/>
      <c r="G397" s="58"/>
      <c r="H397" s="56"/>
      <c r="I397" s="24"/>
      <c r="J397" s="24"/>
      <c r="K397" s="24"/>
      <c r="L397" s="24"/>
      <c r="M397" s="24"/>
      <c r="N397" s="56"/>
      <c r="O397" s="25" t="str">
        <f aca="false">IF($AI397=0,"",IF(INDEX(입력_운동!$C$5:$C$1004,$AI397)="","",INDEX(입력_운동!$C$5:$C$1004,$AI397)))</f>
        <v/>
      </c>
      <c r="P397" s="25" t="str">
        <f aca="false">IF($AI397=0,"",IF(INDEX(입력_운동!$D$5:$D$1004,$AI397)="","",INDEX(입력_운동!$D$5:$D$1004,$AI397)))</f>
        <v/>
      </c>
      <c r="Q397" s="25" t="str">
        <f aca="false">IF($AI397=0,"",IF(INDEX(입력_운동!$E$5:$E$1004,$AI397)="","",INDEX(입력_운동!$E$5:$E$1004,$AI397)))</f>
        <v/>
      </c>
      <c r="R397" s="25" t="str">
        <f aca="false">IF($AI397=0,"",IF(INDEX(입력_운동!$F$5:$F$1004,$AI397)="","",INDEX(입력_운동!$F$5:$F$1004,$AI397)))</f>
        <v/>
      </c>
      <c r="S397" s="25" t="str">
        <f aca="false">IF($AJ397=0,"",IF(INDEX(입력_측정!$C$5:$C$1004,$AJ397)="","",INDEX(입력_측정!$C$5:$C$1004,$AJ397)))</f>
        <v/>
      </c>
      <c r="T397" s="25" t="str">
        <f aca="false">IF($AJ397=0,"",IF(INDEX(입력_측정!$D$5:$D$1004,$AJ397)="","",INDEX(입력_측정!$D$5:$D$1004,$AJ397)))</f>
        <v/>
      </c>
      <c r="U397" s="25" t="str">
        <f aca="false">IF($AJ397=0,"",IF(INDEX(입력_측정!$E$5:$E$1004,$AJ397)="","",INDEX(입력_측정!$E$5:$E$1004,$AJ397)))</f>
        <v/>
      </c>
      <c r="V397" s="25" t="str">
        <f aca="false">IF($AJ397=0,"",IF(INDEX(입력_측정!$F$5:$F$1004,$AJ397)="","",INDEX(입력_측정!$F$5:$F$1004,$AJ397)))</f>
        <v/>
      </c>
      <c r="W397" s="25" t="str">
        <f aca="false">IF($AK397=0,"",IF(INDEX(입력_상담!$D$5:$D$1004,$AK397)="","",INDEX(입력_상담!$D$5:$D$1004,$AK397)))</f>
        <v/>
      </c>
      <c r="X397" s="25" t="str">
        <f aca="false">IF($AJ397=0,"",IF(INDEX(입력_측정!$I$5:$I$1004,$AJ397)="","",INDEX(입력_측정!$I$5:$I$1004,$AJ397)))</f>
        <v/>
      </c>
      <c r="Y397" s="25" t="str">
        <f aca="false">IF($AJ397=0,"",IF(INDEX(입력_측정!$J$5:$J$1004,$AJ397)="","",INDEX(입력_측정!$J$5:$J$1004,$AJ397)))</f>
        <v/>
      </c>
      <c r="Z397" s="25" t="str">
        <f aca="false">IF(OR(X397="긴급",LEFT(Y397,2)="긴급",W397="필요",W397="완료"),"대상","")</f>
        <v/>
      </c>
      <c r="AA397" s="59" t="str">
        <f aca="false">IF(M397&lt;&gt;"",M397,IF(AK397&gt;0,IF(W397="필요","추가상담 대기","완료"),IF(AJ397&gt;0,"결과상담 대기",IF(AI397&gt;0,"측정 대기","미방문"))))</f>
        <v>미방문</v>
      </c>
      <c r="AB397" s="60" t="str">
        <f aca="false">IF($AI397=0,"",IF(INDEX(입력_운동!$A$5:$A$1004,$AI397)="","",INDEX(입력_운동!$A$5:$A$1004,$AI397)))</f>
        <v/>
      </c>
      <c r="AC397" s="60" t="str">
        <f aca="false">IF($AJ397=0,"",IF(INDEX(입력_측정!$A$5:$A$1004,$AJ397)="","",INDEX(입력_측정!$A$5:$A$1004,$AJ397)))</f>
        <v/>
      </c>
      <c r="AD397" s="60" t="str">
        <f aca="false">IF($AK397=0,"",IF(INDEX(입력_상담!$A$5:$A$1004,$AK397)="","",INDEX(입력_상담!$A$5:$A$1004,$AK397)))</f>
        <v/>
      </c>
      <c r="AE397" s="25" t="str">
        <f aca="false">IF(AND(ISNUMBER(AB397),ISNUMBER(AC397)),IF(AC397&gt;=AB397,ROUND((AC397-AB397)*1440,0),""),"")</f>
        <v/>
      </c>
      <c r="AF397" s="25" t="str">
        <f aca="false">IF(AND(ISNUMBER(AC397),ISNUMBER(AD397)),IF(AD397&gt;=AC397,ROUND((AD397-AC397)*1440,0),""),"")</f>
        <v/>
      </c>
      <c r="AG397" s="25" t="str">
        <f aca="false">IF(AND(AA397="완료",ISNUMBER(AB397),ISNUMBER(AD397)),IF(AD397&gt;=AB397,ROUND((AD397-AB397)*1440,0),""),"")</f>
        <v/>
      </c>
      <c r="AH397" s="61" t="str">
        <f aca="false">IF(AND(AK397&gt;0,AJ397=0),"측정 기록 없음",IF(AND(AJ397&gt;0,AI397=0),"운동평가 기록 없음",IF(OR(COUNTIF(입력_운동!$B$5:$B$1004,$A397)&gt;1,COUNTIF(입력_측정!$B$5:$B$1004,$A397)&gt;1),"중복 입력","")))</f>
        <v/>
      </c>
      <c r="AI397" s="62" t="n">
        <f aca="false">SUMPRODUCT(MAX((입력_운동!$B$5:$B$1004=$A397)*(ROW(입력_운동!$B$5:$B$1004)-4)))</f>
        <v>0</v>
      </c>
      <c r="AJ397" s="62" t="n">
        <f aca="false">SUMPRODUCT(MAX((입력_측정!$B$5:$B$1004=$A397)*(ROW(입력_측정!$B$5:$B$1004)-4)))</f>
        <v>0</v>
      </c>
      <c r="AK397" s="62" t="n">
        <f aca="false">SUMPRODUCT(MAX((입력_상담!$B$5:$B$1004=$A397)*(ROW(입력_상담!$B$5:$B$1004)-4)))</f>
        <v>0</v>
      </c>
    </row>
    <row r="398" customFormat="false" ht="15" hidden="false" customHeight="false" outlineLevel="0" collapsed="false">
      <c r="A398" s="55" t="n">
        <v>394</v>
      </c>
      <c r="B398" s="56"/>
      <c r="C398" s="24"/>
      <c r="D398" s="24"/>
      <c r="E398" s="56"/>
      <c r="F398" s="57"/>
      <c r="G398" s="58"/>
      <c r="H398" s="56"/>
      <c r="I398" s="24"/>
      <c r="J398" s="24"/>
      <c r="K398" s="24"/>
      <c r="L398" s="24"/>
      <c r="M398" s="24"/>
      <c r="N398" s="56"/>
      <c r="O398" s="25" t="str">
        <f aca="false">IF($AI398=0,"",IF(INDEX(입력_운동!$C$5:$C$1004,$AI398)="","",INDEX(입력_운동!$C$5:$C$1004,$AI398)))</f>
        <v/>
      </c>
      <c r="P398" s="25" t="str">
        <f aca="false">IF($AI398=0,"",IF(INDEX(입력_운동!$D$5:$D$1004,$AI398)="","",INDEX(입력_운동!$D$5:$D$1004,$AI398)))</f>
        <v/>
      </c>
      <c r="Q398" s="25" t="str">
        <f aca="false">IF($AI398=0,"",IF(INDEX(입력_운동!$E$5:$E$1004,$AI398)="","",INDEX(입력_운동!$E$5:$E$1004,$AI398)))</f>
        <v/>
      </c>
      <c r="R398" s="25" t="str">
        <f aca="false">IF($AI398=0,"",IF(INDEX(입력_운동!$F$5:$F$1004,$AI398)="","",INDEX(입력_운동!$F$5:$F$1004,$AI398)))</f>
        <v/>
      </c>
      <c r="S398" s="25" t="str">
        <f aca="false">IF($AJ398=0,"",IF(INDEX(입력_측정!$C$5:$C$1004,$AJ398)="","",INDEX(입력_측정!$C$5:$C$1004,$AJ398)))</f>
        <v/>
      </c>
      <c r="T398" s="25" t="str">
        <f aca="false">IF($AJ398=0,"",IF(INDEX(입력_측정!$D$5:$D$1004,$AJ398)="","",INDEX(입력_측정!$D$5:$D$1004,$AJ398)))</f>
        <v/>
      </c>
      <c r="U398" s="25" t="str">
        <f aca="false">IF($AJ398=0,"",IF(INDEX(입력_측정!$E$5:$E$1004,$AJ398)="","",INDEX(입력_측정!$E$5:$E$1004,$AJ398)))</f>
        <v/>
      </c>
      <c r="V398" s="25" t="str">
        <f aca="false">IF($AJ398=0,"",IF(INDEX(입력_측정!$F$5:$F$1004,$AJ398)="","",INDEX(입력_측정!$F$5:$F$1004,$AJ398)))</f>
        <v/>
      </c>
      <c r="W398" s="25" t="str">
        <f aca="false">IF($AK398=0,"",IF(INDEX(입력_상담!$D$5:$D$1004,$AK398)="","",INDEX(입력_상담!$D$5:$D$1004,$AK398)))</f>
        <v/>
      </c>
      <c r="X398" s="25" t="str">
        <f aca="false">IF($AJ398=0,"",IF(INDEX(입력_측정!$I$5:$I$1004,$AJ398)="","",INDEX(입력_측정!$I$5:$I$1004,$AJ398)))</f>
        <v/>
      </c>
      <c r="Y398" s="25" t="str">
        <f aca="false">IF($AJ398=0,"",IF(INDEX(입력_측정!$J$5:$J$1004,$AJ398)="","",INDEX(입력_측정!$J$5:$J$1004,$AJ398)))</f>
        <v/>
      </c>
      <c r="Z398" s="25" t="str">
        <f aca="false">IF(OR(X398="긴급",LEFT(Y398,2)="긴급",W398="필요",W398="완료"),"대상","")</f>
        <v/>
      </c>
      <c r="AA398" s="59" t="str">
        <f aca="false">IF(M398&lt;&gt;"",M398,IF(AK398&gt;0,IF(W398="필요","추가상담 대기","완료"),IF(AJ398&gt;0,"결과상담 대기",IF(AI398&gt;0,"측정 대기","미방문"))))</f>
        <v>미방문</v>
      </c>
      <c r="AB398" s="60" t="str">
        <f aca="false">IF($AI398=0,"",IF(INDEX(입력_운동!$A$5:$A$1004,$AI398)="","",INDEX(입력_운동!$A$5:$A$1004,$AI398)))</f>
        <v/>
      </c>
      <c r="AC398" s="60" t="str">
        <f aca="false">IF($AJ398=0,"",IF(INDEX(입력_측정!$A$5:$A$1004,$AJ398)="","",INDEX(입력_측정!$A$5:$A$1004,$AJ398)))</f>
        <v/>
      </c>
      <c r="AD398" s="60" t="str">
        <f aca="false">IF($AK398=0,"",IF(INDEX(입력_상담!$A$5:$A$1004,$AK398)="","",INDEX(입력_상담!$A$5:$A$1004,$AK398)))</f>
        <v/>
      </c>
      <c r="AE398" s="25" t="str">
        <f aca="false">IF(AND(ISNUMBER(AB398),ISNUMBER(AC398)),IF(AC398&gt;=AB398,ROUND((AC398-AB398)*1440,0),""),"")</f>
        <v/>
      </c>
      <c r="AF398" s="25" t="str">
        <f aca="false">IF(AND(ISNUMBER(AC398),ISNUMBER(AD398)),IF(AD398&gt;=AC398,ROUND((AD398-AC398)*1440,0),""),"")</f>
        <v/>
      </c>
      <c r="AG398" s="25" t="str">
        <f aca="false">IF(AND(AA398="완료",ISNUMBER(AB398),ISNUMBER(AD398)),IF(AD398&gt;=AB398,ROUND((AD398-AB398)*1440,0),""),"")</f>
        <v/>
      </c>
      <c r="AH398" s="61" t="str">
        <f aca="false">IF(AND(AK398&gt;0,AJ398=0),"측정 기록 없음",IF(AND(AJ398&gt;0,AI398=0),"운동평가 기록 없음",IF(OR(COUNTIF(입력_운동!$B$5:$B$1004,$A398)&gt;1,COUNTIF(입력_측정!$B$5:$B$1004,$A398)&gt;1),"중복 입력","")))</f>
        <v/>
      </c>
      <c r="AI398" s="62" t="n">
        <f aca="false">SUMPRODUCT(MAX((입력_운동!$B$5:$B$1004=$A398)*(ROW(입력_운동!$B$5:$B$1004)-4)))</f>
        <v>0</v>
      </c>
      <c r="AJ398" s="62" t="n">
        <f aca="false">SUMPRODUCT(MAX((입력_측정!$B$5:$B$1004=$A398)*(ROW(입력_측정!$B$5:$B$1004)-4)))</f>
        <v>0</v>
      </c>
      <c r="AK398" s="62" t="n">
        <f aca="false">SUMPRODUCT(MAX((입력_상담!$B$5:$B$1004=$A398)*(ROW(입력_상담!$B$5:$B$1004)-4)))</f>
        <v>0</v>
      </c>
    </row>
    <row r="399" customFormat="false" ht="15" hidden="false" customHeight="false" outlineLevel="0" collapsed="false">
      <c r="A399" s="55" t="n">
        <v>395</v>
      </c>
      <c r="B399" s="56"/>
      <c r="C399" s="24"/>
      <c r="D399" s="24"/>
      <c r="E399" s="56"/>
      <c r="F399" s="57"/>
      <c r="G399" s="58"/>
      <c r="H399" s="56"/>
      <c r="I399" s="24"/>
      <c r="J399" s="24"/>
      <c r="K399" s="24"/>
      <c r="L399" s="24"/>
      <c r="M399" s="24"/>
      <c r="N399" s="56"/>
      <c r="O399" s="25" t="str">
        <f aca="false">IF($AI399=0,"",IF(INDEX(입력_운동!$C$5:$C$1004,$AI399)="","",INDEX(입력_운동!$C$5:$C$1004,$AI399)))</f>
        <v/>
      </c>
      <c r="P399" s="25" t="str">
        <f aca="false">IF($AI399=0,"",IF(INDEX(입력_운동!$D$5:$D$1004,$AI399)="","",INDEX(입력_운동!$D$5:$D$1004,$AI399)))</f>
        <v/>
      </c>
      <c r="Q399" s="25" t="str">
        <f aca="false">IF($AI399=0,"",IF(INDEX(입력_운동!$E$5:$E$1004,$AI399)="","",INDEX(입력_운동!$E$5:$E$1004,$AI399)))</f>
        <v/>
      </c>
      <c r="R399" s="25" t="str">
        <f aca="false">IF($AI399=0,"",IF(INDEX(입력_운동!$F$5:$F$1004,$AI399)="","",INDEX(입력_운동!$F$5:$F$1004,$AI399)))</f>
        <v/>
      </c>
      <c r="S399" s="25" t="str">
        <f aca="false">IF($AJ399=0,"",IF(INDEX(입력_측정!$C$5:$C$1004,$AJ399)="","",INDEX(입력_측정!$C$5:$C$1004,$AJ399)))</f>
        <v/>
      </c>
      <c r="T399" s="25" t="str">
        <f aca="false">IF($AJ399=0,"",IF(INDEX(입력_측정!$D$5:$D$1004,$AJ399)="","",INDEX(입력_측정!$D$5:$D$1004,$AJ399)))</f>
        <v/>
      </c>
      <c r="U399" s="25" t="str">
        <f aca="false">IF($AJ399=0,"",IF(INDEX(입력_측정!$E$5:$E$1004,$AJ399)="","",INDEX(입력_측정!$E$5:$E$1004,$AJ399)))</f>
        <v/>
      </c>
      <c r="V399" s="25" t="str">
        <f aca="false">IF($AJ399=0,"",IF(INDEX(입력_측정!$F$5:$F$1004,$AJ399)="","",INDEX(입력_측정!$F$5:$F$1004,$AJ399)))</f>
        <v/>
      </c>
      <c r="W399" s="25" t="str">
        <f aca="false">IF($AK399=0,"",IF(INDEX(입력_상담!$D$5:$D$1004,$AK399)="","",INDEX(입력_상담!$D$5:$D$1004,$AK399)))</f>
        <v/>
      </c>
      <c r="X399" s="25" t="str">
        <f aca="false">IF($AJ399=0,"",IF(INDEX(입력_측정!$I$5:$I$1004,$AJ399)="","",INDEX(입력_측정!$I$5:$I$1004,$AJ399)))</f>
        <v/>
      </c>
      <c r="Y399" s="25" t="str">
        <f aca="false">IF($AJ399=0,"",IF(INDEX(입력_측정!$J$5:$J$1004,$AJ399)="","",INDEX(입력_측정!$J$5:$J$1004,$AJ399)))</f>
        <v/>
      </c>
      <c r="Z399" s="25" t="str">
        <f aca="false">IF(OR(X399="긴급",LEFT(Y399,2)="긴급",W399="필요",W399="완료"),"대상","")</f>
        <v/>
      </c>
      <c r="AA399" s="59" t="str">
        <f aca="false">IF(M399&lt;&gt;"",M399,IF(AK399&gt;0,IF(W399="필요","추가상담 대기","완료"),IF(AJ399&gt;0,"결과상담 대기",IF(AI399&gt;0,"측정 대기","미방문"))))</f>
        <v>미방문</v>
      </c>
      <c r="AB399" s="60" t="str">
        <f aca="false">IF($AI399=0,"",IF(INDEX(입력_운동!$A$5:$A$1004,$AI399)="","",INDEX(입력_운동!$A$5:$A$1004,$AI399)))</f>
        <v/>
      </c>
      <c r="AC399" s="60" t="str">
        <f aca="false">IF($AJ399=0,"",IF(INDEX(입력_측정!$A$5:$A$1004,$AJ399)="","",INDEX(입력_측정!$A$5:$A$1004,$AJ399)))</f>
        <v/>
      </c>
      <c r="AD399" s="60" t="str">
        <f aca="false">IF($AK399=0,"",IF(INDEX(입력_상담!$A$5:$A$1004,$AK399)="","",INDEX(입력_상담!$A$5:$A$1004,$AK399)))</f>
        <v/>
      </c>
      <c r="AE399" s="25" t="str">
        <f aca="false">IF(AND(ISNUMBER(AB399),ISNUMBER(AC399)),IF(AC399&gt;=AB399,ROUND((AC399-AB399)*1440,0),""),"")</f>
        <v/>
      </c>
      <c r="AF399" s="25" t="str">
        <f aca="false">IF(AND(ISNUMBER(AC399),ISNUMBER(AD399)),IF(AD399&gt;=AC399,ROUND((AD399-AC399)*1440,0),""),"")</f>
        <v/>
      </c>
      <c r="AG399" s="25" t="str">
        <f aca="false">IF(AND(AA399="완료",ISNUMBER(AB399),ISNUMBER(AD399)),IF(AD399&gt;=AB399,ROUND((AD399-AB399)*1440,0),""),"")</f>
        <v/>
      </c>
      <c r="AH399" s="61" t="str">
        <f aca="false">IF(AND(AK399&gt;0,AJ399=0),"측정 기록 없음",IF(AND(AJ399&gt;0,AI399=0),"운동평가 기록 없음",IF(OR(COUNTIF(입력_운동!$B$5:$B$1004,$A399)&gt;1,COUNTIF(입력_측정!$B$5:$B$1004,$A399)&gt;1),"중복 입력","")))</f>
        <v/>
      </c>
      <c r="AI399" s="62" t="n">
        <f aca="false">SUMPRODUCT(MAX((입력_운동!$B$5:$B$1004=$A399)*(ROW(입력_운동!$B$5:$B$1004)-4)))</f>
        <v>0</v>
      </c>
      <c r="AJ399" s="62" t="n">
        <f aca="false">SUMPRODUCT(MAX((입력_측정!$B$5:$B$1004=$A399)*(ROW(입력_측정!$B$5:$B$1004)-4)))</f>
        <v>0</v>
      </c>
      <c r="AK399" s="62" t="n">
        <f aca="false">SUMPRODUCT(MAX((입력_상담!$B$5:$B$1004=$A399)*(ROW(입력_상담!$B$5:$B$1004)-4)))</f>
        <v>0</v>
      </c>
    </row>
    <row r="400" customFormat="false" ht="15" hidden="false" customHeight="false" outlineLevel="0" collapsed="false">
      <c r="A400" s="55" t="n">
        <v>396</v>
      </c>
      <c r="B400" s="56"/>
      <c r="C400" s="24"/>
      <c r="D400" s="24"/>
      <c r="E400" s="56"/>
      <c r="F400" s="57"/>
      <c r="G400" s="58"/>
      <c r="H400" s="56"/>
      <c r="I400" s="24"/>
      <c r="J400" s="24"/>
      <c r="K400" s="24"/>
      <c r="L400" s="24"/>
      <c r="M400" s="24"/>
      <c r="N400" s="56"/>
      <c r="O400" s="25" t="str">
        <f aca="false">IF($AI400=0,"",IF(INDEX(입력_운동!$C$5:$C$1004,$AI400)="","",INDEX(입력_운동!$C$5:$C$1004,$AI400)))</f>
        <v/>
      </c>
      <c r="P400" s="25" t="str">
        <f aca="false">IF($AI400=0,"",IF(INDEX(입력_운동!$D$5:$D$1004,$AI400)="","",INDEX(입력_운동!$D$5:$D$1004,$AI400)))</f>
        <v/>
      </c>
      <c r="Q400" s="25" t="str">
        <f aca="false">IF($AI400=0,"",IF(INDEX(입력_운동!$E$5:$E$1004,$AI400)="","",INDEX(입력_운동!$E$5:$E$1004,$AI400)))</f>
        <v/>
      </c>
      <c r="R400" s="25" t="str">
        <f aca="false">IF($AI400=0,"",IF(INDEX(입력_운동!$F$5:$F$1004,$AI400)="","",INDEX(입력_운동!$F$5:$F$1004,$AI400)))</f>
        <v/>
      </c>
      <c r="S400" s="25" t="str">
        <f aca="false">IF($AJ400=0,"",IF(INDEX(입력_측정!$C$5:$C$1004,$AJ400)="","",INDEX(입력_측정!$C$5:$C$1004,$AJ400)))</f>
        <v/>
      </c>
      <c r="T400" s="25" t="str">
        <f aca="false">IF($AJ400=0,"",IF(INDEX(입력_측정!$D$5:$D$1004,$AJ400)="","",INDEX(입력_측정!$D$5:$D$1004,$AJ400)))</f>
        <v/>
      </c>
      <c r="U400" s="25" t="str">
        <f aca="false">IF($AJ400=0,"",IF(INDEX(입력_측정!$E$5:$E$1004,$AJ400)="","",INDEX(입력_측정!$E$5:$E$1004,$AJ400)))</f>
        <v/>
      </c>
      <c r="V400" s="25" t="str">
        <f aca="false">IF($AJ400=0,"",IF(INDEX(입력_측정!$F$5:$F$1004,$AJ400)="","",INDEX(입력_측정!$F$5:$F$1004,$AJ400)))</f>
        <v/>
      </c>
      <c r="W400" s="25" t="str">
        <f aca="false">IF($AK400=0,"",IF(INDEX(입력_상담!$D$5:$D$1004,$AK400)="","",INDEX(입력_상담!$D$5:$D$1004,$AK400)))</f>
        <v/>
      </c>
      <c r="X400" s="25" t="str">
        <f aca="false">IF($AJ400=0,"",IF(INDEX(입력_측정!$I$5:$I$1004,$AJ400)="","",INDEX(입력_측정!$I$5:$I$1004,$AJ400)))</f>
        <v/>
      </c>
      <c r="Y400" s="25" t="str">
        <f aca="false">IF($AJ400=0,"",IF(INDEX(입력_측정!$J$5:$J$1004,$AJ400)="","",INDEX(입력_측정!$J$5:$J$1004,$AJ400)))</f>
        <v/>
      </c>
      <c r="Z400" s="25" t="str">
        <f aca="false">IF(OR(X400="긴급",LEFT(Y400,2)="긴급",W400="필요",W400="완료"),"대상","")</f>
        <v/>
      </c>
      <c r="AA400" s="59" t="str">
        <f aca="false">IF(M400&lt;&gt;"",M400,IF(AK400&gt;0,IF(W400="필요","추가상담 대기","완료"),IF(AJ400&gt;0,"결과상담 대기",IF(AI400&gt;0,"측정 대기","미방문"))))</f>
        <v>미방문</v>
      </c>
      <c r="AB400" s="60" t="str">
        <f aca="false">IF($AI400=0,"",IF(INDEX(입력_운동!$A$5:$A$1004,$AI400)="","",INDEX(입력_운동!$A$5:$A$1004,$AI400)))</f>
        <v/>
      </c>
      <c r="AC400" s="60" t="str">
        <f aca="false">IF($AJ400=0,"",IF(INDEX(입력_측정!$A$5:$A$1004,$AJ400)="","",INDEX(입력_측정!$A$5:$A$1004,$AJ400)))</f>
        <v/>
      </c>
      <c r="AD400" s="60" t="str">
        <f aca="false">IF($AK400=0,"",IF(INDEX(입력_상담!$A$5:$A$1004,$AK400)="","",INDEX(입력_상담!$A$5:$A$1004,$AK400)))</f>
        <v/>
      </c>
      <c r="AE400" s="25" t="str">
        <f aca="false">IF(AND(ISNUMBER(AB400),ISNUMBER(AC400)),IF(AC400&gt;=AB400,ROUND((AC400-AB400)*1440,0),""),"")</f>
        <v/>
      </c>
      <c r="AF400" s="25" t="str">
        <f aca="false">IF(AND(ISNUMBER(AC400),ISNUMBER(AD400)),IF(AD400&gt;=AC400,ROUND((AD400-AC400)*1440,0),""),"")</f>
        <v/>
      </c>
      <c r="AG400" s="25" t="str">
        <f aca="false">IF(AND(AA400="완료",ISNUMBER(AB400),ISNUMBER(AD400)),IF(AD400&gt;=AB400,ROUND((AD400-AB400)*1440,0),""),"")</f>
        <v/>
      </c>
      <c r="AH400" s="61" t="str">
        <f aca="false">IF(AND(AK400&gt;0,AJ400=0),"측정 기록 없음",IF(AND(AJ400&gt;0,AI400=0),"운동평가 기록 없음",IF(OR(COUNTIF(입력_운동!$B$5:$B$1004,$A400)&gt;1,COUNTIF(입력_측정!$B$5:$B$1004,$A400)&gt;1),"중복 입력","")))</f>
        <v/>
      </c>
      <c r="AI400" s="62" t="n">
        <f aca="false">SUMPRODUCT(MAX((입력_운동!$B$5:$B$1004=$A400)*(ROW(입력_운동!$B$5:$B$1004)-4)))</f>
        <v>0</v>
      </c>
      <c r="AJ400" s="62" t="n">
        <f aca="false">SUMPRODUCT(MAX((입력_측정!$B$5:$B$1004=$A400)*(ROW(입력_측정!$B$5:$B$1004)-4)))</f>
        <v>0</v>
      </c>
      <c r="AK400" s="62" t="n">
        <f aca="false">SUMPRODUCT(MAX((입력_상담!$B$5:$B$1004=$A400)*(ROW(입력_상담!$B$5:$B$1004)-4)))</f>
        <v>0</v>
      </c>
    </row>
    <row r="401" customFormat="false" ht="15" hidden="false" customHeight="false" outlineLevel="0" collapsed="false">
      <c r="A401" s="55" t="n">
        <v>397</v>
      </c>
      <c r="B401" s="56"/>
      <c r="C401" s="24"/>
      <c r="D401" s="24"/>
      <c r="E401" s="56"/>
      <c r="F401" s="57"/>
      <c r="G401" s="58"/>
      <c r="H401" s="56"/>
      <c r="I401" s="24"/>
      <c r="J401" s="24"/>
      <c r="K401" s="24"/>
      <c r="L401" s="24"/>
      <c r="M401" s="24"/>
      <c r="N401" s="56"/>
      <c r="O401" s="25" t="str">
        <f aca="false">IF($AI401=0,"",IF(INDEX(입력_운동!$C$5:$C$1004,$AI401)="","",INDEX(입력_운동!$C$5:$C$1004,$AI401)))</f>
        <v/>
      </c>
      <c r="P401" s="25" t="str">
        <f aca="false">IF($AI401=0,"",IF(INDEX(입력_운동!$D$5:$D$1004,$AI401)="","",INDEX(입력_운동!$D$5:$D$1004,$AI401)))</f>
        <v/>
      </c>
      <c r="Q401" s="25" t="str">
        <f aca="false">IF($AI401=0,"",IF(INDEX(입력_운동!$E$5:$E$1004,$AI401)="","",INDEX(입력_운동!$E$5:$E$1004,$AI401)))</f>
        <v/>
      </c>
      <c r="R401" s="25" t="str">
        <f aca="false">IF($AI401=0,"",IF(INDEX(입력_운동!$F$5:$F$1004,$AI401)="","",INDEX(입력_운동!$F$5:$F$1004,$AI401)))</f>
        <v/>
      </c>
      <c r="S401" s="25" t="str">
        <f aca="false">IF($AJ401=0,"",IF(INDEX(입력_측정!$C$5:$C$1004,$AJ401)="","",INDEX(입력_측정!$C$5:$C$1004,$AJ401)))</f>
        <v/>
      </c>
      <c r="T401" s="25" t="str">
        <f aca="false">IF($AJ401=0,"",IF(INDEX(입력_측정!$D$5:$D$1004,$AJ401)="","",INDEX(입력_측정!$D$5:$D$1004,$AJ401)))</f>
        <v/>
      </c>
      <c r="U401" s="25" t="str">
        <f aca="false">IF($AJ401=0,"",IF(INDEX(입력_측정!$E$5:$E$1004,$AJ401)="","",INDEX(입력_측정!$E$5:$E$1004,$AJ401)))</f>
        <v/>
      </c>
      <c r="V401" s="25" t="str">
        <f aca="false">IF($AJ401=0,"",IF(INDEX(입력_측정!$F$5:$F$1004,$AJ401)="","",INDEX(입력_측정!$F$5:$F$1004,$AJ401)))</f>
        <v/>
      </c>
      <c r="W401" s="25" t="str">
        <f aca="false">IF($AK401=0,"",IF(INDEX(입력_상담!$D$5:$D$1004,$AK401)="","",INDEX(입력_상담!$D$5:$D$1004,$AK401)))</f>
        <v/>
      </c>
      <c r="X401" s="25" t="str">
        <f aca="false">IF($AJ401=0,"",IF(INDEX(입력_측정!$I$5:$I$1004,$AJ401)="","",INDEX(입력_측정!$I$5:$I$1004,$AJ401)))</f>
        <v/>
      </c>
      <c r="Y401" s="25" t="str">
        <f aca="false">IF($AJ401=0,"",IF(INDEX(입력_측정!$J$5:$J$1004,$AJ401)="","",INDEX(입력_측정!$J$5:$J$1004,$AJ401)))</f>
        <v/>
      </c>
      <c r="Z401" s="25" t="str">
        <f aca="false">IF(OR(X401="긴급",LEFT(Y401,2)="긴급",W401="필요",W401="완료"),"대상","")</f>
        <v/>
      </c>
      <c r="AA401" s="59" t="str">
        <f aca="false">IF(M401&lt;&gt;"",M401,IF(AK401&gt;0,IF(W401="필요","추가상담 대기","완료"),IF(AJ401&gt;0,"결과상담 대기",IF(AI401&gt;0,"측정 대기","미방문"))))</f>
        <v>미방문</v>
      </c>
      <c r="AB401" s="60" t="str">
        <f aca="false">IF($AI401=0,"",IF(INDEX(입력_운동!$A$5:$A$1004,$AI401)="","",INDEX(입력_운동!$A$5:$A$1004,$AI401)))</f>
        <v/>
      </c>
      <c r="AC401" s="60" t="str">
        <f aca="false">IF($AJ401=0,"",IF(INDEX(입력_측정!$A$5:$A$1004,$AJ401)="","",INDEX(입력_측정!$A$5:$A$1004,$AJ401)))</f>
        <v/>
      </c>
      <c r="AD401" s="60" t="str">
        <f aca="false">IF($AK401=0,"",IF(INDEX(입력_상담!$A$5:$A$1004,$AK401)="","",INDEX(입력_상담!$A$5:$A$1004,$AK401)))</f>
        <v/>
      </c>
      <c r="AE401" s="25" t="str">
        <f aca="false">IF(AND(ISNUMBER(AB401),ISNUMBER(AC401)),IF(AC401&gt;=AB401,ROUND((AC401-AB401)*1440,0),""),"")</f>
        <v/>
      </c>
      <c r="AF401" s="25" t="str">
        <f aca="false">IF(AND(ISNUMBER(AC401),ISNUMBER(AD401)),IF(AD401&gt;=AC401,ROUND((AD401-AC401)*1440,0),""),"")</f>
        <v/>
      </c>
      <c r="AG401" s="25" t="str">
        <f aca="false">IF(AND(AA401="완료",ISNUMBER(AB401),ISNUMBER(AD401)),IF(AD401&gt;=AB401,ROUND((AD401-AB401)*1440,0),""),"")</f>
        <v/>
      </c>
      <c r="AH401" s="61" t="str">
        <f aca="false">IF(AND(AK401&gt;0,AJ401=0),"측정 기록 없음",IF(AND(AJ401&gt;0,AI401=0),"운동평가 기록 없음",IF(OR(COUNTIF(입력_운동!$B$5:$B$1004,$A401)&gt;1,COUNTIF(입력_측정!$B$5:$B$1004,$A401)&gt;1),"중복 입력","")))</f>
        <v/>
      </c>
      <c r="AI401" s="62" t="n">
        <f aca="false">SUMPRODUCT(MAX((입력_운동!$B$5:$B$1004=$A401)*(ROW(입력_운동!$B$5:$B$1004)-4)))</f>
        <v>0</v>
      </c>
      <c r="AJ401" s="62" t="n">
        <f aca="false">SUMPRODUCT(MAX((입력_측정!$B$5:$B$1004=$A401)*(ROW(입력_측정!$B$5:$B$1004)-4)))</f>
        <v>0</v>
      </c>
      <c r="AK401" s="62" t="n">
        <f aca="false">SUMPRODUCT(MAX((입력_상담!$B$5:$B$1004=$A401)*(ROW(입력_상담!$B$5:$B$1004)-4)))</f>
        <v>0</v>
      </c>
    </row>
    <row r="402" customFormat="false" ht="15" hidden="false" customHeight="false" outlineLevel="0" collapsed="false">
      <c r="A402" s="55" t="n">
        <v>398</v>
      </c>
      <c r="B402" s="56"/>
      <c r="C402" s="24"/>
      <c r="D402" s="24"/>
      <c r="E402" s="56"/>
      <c r="F402" s="57"/>
      <c r="G402" s="58"/>
      <c r="H402" s="56"/>
      <c r="I402" s="24"/>
      <c r="J402" s="24"/>
      <c r="K402" s="24"/>
      <c r="L402" s="24"/>
      <c r="M402" s="24"/>
      <c r="N402" s="56"/>
      <c r="O402" s="25" t="str">
        <f aca="false">IF($AI402=0,"",IF(INDEX(입력_운동!$C$5:$C$1004,$AI402)="","",INDEX(입력_운동!$C$5:$C$1004,$AI402)))</f>
        <v/>
      </c>
      <c r="P402" s="25" t="str">
        <f aca="false">IF($AI402=0,"",IF(INDEX(입력_운동!$D$5:$D$1004,$AI402)="","",INDEX(입력_운동!$D$5:$D$1004,$AI402)))</f>
        <v/>
      </c>
      <c r="Q402" s="25" t="str">
        <f aca="false">IF($AI402=0,"",IF(INDEX(입력_운동!$E$5:$E$1004,$AI402)="","",INDEX(입력_운동!$E$5:$E$1004,$AI402)))</f>
        <v/>
      </c>
      <c r="R402" s="25" t="str">
        <f aca="false">IF($AI402=0,"",IF(INDEX(입력_운동!$F$5:$F$1004,$AI402)="","",INDEX(입력_운동!$F$5:$F$1004,$AI402)))</f>
        <v/>
      </c>
      <c r="S402" s="25" t="str">
        <f aca="false">IF($AJ402=0,"",IF(INDEX(입력_측정!$C$5:$C$1004,$AJ402)="","",INDEX(입력_측정!$C$5:$C$1004,$AJ402)))</f>
        <v/>
      </c>
      <c r="T402" s="25" t="str">
        <f aca="false">IF($AJ402=0,"",IF(INDEX(입력_측정!$D$5:$D$1004,$AJ402)="","",INDEX(입력_측정!$D$5:$D$1004,$AJ402)))</f>
        <v/>
      </c>
      <c r="U402" s="25" t="str">
        <f aca="false">IF($AJ402=0,"",IF(INDEX(입력_측정!$E$5:$E$1004,$AJ402)="","",INDEX(입력_측정!$E$5:$E$1004,$AJ402)))</f>
        <v/>
      </c>
      <c r="V402" s="25" t="str">
        <f aca="false">IF($AJ402=0,"",IF(INDEX(입력_측정!$F$5:$F$1004,$AJ402)="","",INDEX(입력_측정!$F$5:$F$1004,$AJ402)))</f>
        <v/>
      </c>
      <c r="W402" s="25" t="str">
        <f aca="false">IF($AK402=0,"",IF(INDEX(입력_상담!$D$5:$D$1004,$AK402)="","",INDEX(입력_상담!$D$5:$D$1004,$AK402)))</f>
        <v/>
      </c>
      <c r="X402" s="25" t="str">
        <f aca="false">IF($AJ402=0,"",IF(INDEX(입력_측정!$I$5:$I$1004,$AJ402)="","",INDEX(입력_측정!$I$5:$I$1004,$AJ402)))</f>
        <v/>
      </c>
      <c r="Y402" s="25" t="str">
        <f aca="false">IF($AJ402=0,"",IF(INDEX(입력_측정!$J$5:$J$1004,$AJ402)="","",INDEX(입력_측정!$J$5:$J$1004,$AJ402)))</f>
        <v/>
      </c>
      <c r="Z402" s="25" t="str">
        <f aca="false">IF(OR(X402="긴급",LEFT(Y402,2)="긴급",W402="필요",W402="완료"),"대상","")</f>
        <v/>
      </c>
      <c r="AA402" s="59" t="str">
        <f aca="false">IF(M402&lt;&gt;"",M402,IF(AK402&gt;0,IF(W402="필요","추가상담 대기","완료"),IF(AJ402&gt;0,"결과상담 대기",IF(AI402&gt;0,"측정 대기","미방문"))))</f>
        <v>미방문</v>
      </c>
      <c r="AB402" s="60" t="str">
        <f aca="false">IF($AI402=0,"",IF(INDEX(입력_운동!$A$5:$A$1004,$AI402)="","",INDEX(입력_운동!$A$5:$A$1004,$AI402)))</f>
        <v/>
      </c>
      <c r="AC402" s="60" t="str">
        <f aca="false">IF($AJ402=0,"",IF(INDEX(입력_측정!$A$5:$A$1004,$AJ402)="","",INDEX(입력_측정!$A$5:$A$1004,$AJ402)))</f>
        <v/>
      </c>
      <c r="AD402" s="60" t="str">
        <f aca="false">IF($AK402=0,"",IF(INDEX(입력_상담!$A$5:$A$1004,$AK402)="","",INDEX(입력_상담!$A$5:$A$1004,$AK402)))</f>
        <v/>
      </c>
      <c r="AE402" s="25" t="str">
        <f aca="false">IF(AND(ISNUMBER(AB402),ISNUMBER(AC402)),IF(AC402&gt;=AB402,ROUND((AC402-AB402)*1440,0),""),"")</f>
        <v/>
      </c>
      <c r="AF402" s="25" t="str">
        <f aca="false">IF(AND(ISNUMBER(AC402),ISNUMBER(AD402)),IF(AD402&gt;=AC402,ROUND((AD402-AC402)*1440,0),""),"")</f>
        <v/>
      </c>
      <c r="AG402" s="25" t="str">
        <f aca="false">IF(AND(AA402="완료",ISNUMBER(AB402),ISNUMBER(AD402)),IF(AD402&gt;=AB402,ROUND((AD402-AB402)*1440,0),""),"")</f>
        <v/>
      </c>
      <c r="AH402" s="61" t="str">
        <f aca="false">IF(AND(AK402&gt;0,AJ402=0),"측정 기록 없음",IF(AND(AJ402&gt;0,AI402=0),"운동평가 기록 없음",IF(OR(COUNTIF(입력_운동!$B$5:$B$1004,$A402)&gt;1,COUNTIF(입력_측정!$B$5:$B$1004,$A402)&gt;1),"중복 입력","")))</f>
        <v/>
      </c>
      <c r="AI402" s="62" t="n">
        <f aca="false">SUMPRODUCT(MAX((입력_운동!$B$5:$B$1004=$A402)*(ROW(입력_운동!$B$5:$B$1004)-4)))</f>
        <v>0</v>
      </c>
      <c r="AJ402" s="62" t="n">
        <f aca="false">SUMPRODUCT(MAX((입력_측정!$B$5:$B$1004=$A402)*(ROW(입력_측정!$B$5:$B$1004)-4)))</f>
        <v>0</v>
      </c>
      <c r="AK402" s="62" t="n">
        <f aca="false">SUMPRODUCT(MAX((입력_상담!$B$5:$B$1004=$A402)*(ROW(입력_상담!$B$5:$B$1004)-4)))</f>
        <v>0</v>
      </c>
    </row>
    <row r="403" customFormat="false" ht="15" hidden="false" customHeight="false" outlineLevel="0" collapsed="false">
      <c r="A403" s="55" t="n">
        <v>399</v>
      </c>
      <c r="B403" s="56"/>
      <c r="C403" s="24"/>
      <c r="D403" s="24"/>
      <c r="E403" s="56"/>
      <c r="F403" s="57"/>
      <c r="G403" s="58"/>
      <c r="H403" s="56"/>
      <c r="I403" s="24"/>
      <c r="J403" s="24"/>
      <c r="K403" s="24"/>
      <c r="L403" s="24"/>
      <c r="M403" s="24"/>
      <c r="N403" s="56"/>
      <c r="O403" s="25" t="str">
        <f aca="false">IF($AI403=0,"",IF(INDEX(입력_운동!$C$5:$C$1004,$AI403)="","",INDEX(입력_운동!$C$5:$C$1004,$AI403)))</f>
        <v/>
      </c>
      <c r="P403" s="25" t="str">
        <f aca="false">IF($AI403=0,"",IF(INDEX(입력_운동!$D$5:$D$1004,$AI403)="","",INDEX(입력_운동!$D$5:$D$1004,$AI403)))</f>
        <v/>
      </c>
      <c r="Q403" s="25" t="str">
        <f aca="false">IF($AI403=0,"",IF(INDEX(입력_운동!$E$5:$E$1004,$AI403)="","",INDEX(입력_운동!$E$5:$E$1004,$AI403)))</f>
        <v/>
      </c>
      <c r="R403" s="25" t="str">
        <f aca="false">IF($AI403=0,"",IF(INDEX(입력_운동!$F$5:$F$1004,$AI403)="","",INDEX(입력_운동!$F$5:$F$1004,$AI403)))</f>
        <v/>
      </c>
      <c r="S403" s="25" t="str">
        <f aca="false">IF($AJ403=0,"",IF(INDEX(입력_측정!$C$5:$C$1004,$AJ403)="","",INDEX(입력_측정!$C$5:$C$1004,$AJ403)))</f>
        <v/>
      </c>
      <c r="T403" s="25" t="str">
        <f aca="false">IF($AJ403=0,"",IF(INDEX(입력_측정!$D$5:$D$1004,$AJ403)="","",INDEX(입력_측정!$D$5:$D$1004,$AJ403)))</f>
        <v/>
      </c>
      <c r="U403" s="25" t="str">
        <f aca="false">IF($AJ403=0,"",IF(INDEX(입력_측정!$E$5:$E$1004,$AJ403)="","",INDEX(입력_측정!$E$5:$E$1004,$AJ403)))</f>
        <v/>
      </c>
      <c r="V403" s="25" t="str">
        <f aca="false">IF($AJ403=0,"",IF(INDEX(입력_측정!$F$5:$F$1004,$AJ403)="","",INDEX(입력_측정!$F$5:$F$1004,$AJ403)))</f>
        <v/>
      </c>
      <c r="W403" s="25" t="str">
        <f aca="false">IF($AK403=0,"",IF(INDEX(입력_상담!$D$5:$D$1004,$AK403)="","",INDEX(입력_상담!$D$5:$D$1004,$AK403)))</f>
        <v/>
      </c>
      <c r="X403" s="25" t="str">
        <f aca="false">IF($AJ403=0,"",IF(INDEX(입력_측정!$I$5:$I$1004,$AJ403)="","",INDEX(입력_측정!$I$5:$I$1004,$AJ403)))</f>
        <v/>
      </c>
      <c r="Y403" s="25" t="str">
        <f aca="false">IF($AJ403=0,"",IF(INDEX(입력_측정!$J$5:$J$1004,$AJ403)="","",INDEX(입력_측정!$J$5:$J$1004,$AJ403)))</f>
        <v/>
      </c>
      <c r="Z403" s="25" t="str">
        <f aca="false">IF(OR(X403="긴급",LEFT(Y403,2)="긴급",W403="필요",W403="완료"),"대상","")</f>
        <v/>
      </c>
      <c r="AA403" s="59" t="str">
        <f aca="false">IF(M403&lt;&gt;"",M403,IF(AK403&gt;0,IF(W403="필요","추가상담 대기","완료"),IF(AJ403&gt;0,"결과상담 대기",IF(AI403&gt;0,"측정 대기","미방문"))))</f>
        <v>미방문</v>
      </c>
      <c r="AB403" s="60" t="str">
        <f aca="false">IF($AI403=0,"",IF(INDEX(입력_운동!$A$5:$A$1004,$AI403)="","",INDEX(입력_운동!$A$5:$A$1004,$AI403)))</f>
        <v/>
      </c>
      <c r="AC403" s="60" t="str">
        <f aca="false">IF($AJ403=0,"",IF(INDEX(입력_측정!$A$5:$A$1004,$AJ403)="","",INDEX(입력_측정!$A$5:$A$1004,$AJ403)))</f>
        <v/>
      </c>
      <c r="AD403" s="60" t="str">
        <f aca="false">IF($AK403=0,"",IF(INDEX(입력_상담!$A$5:$A$1004,$AK403)="","",INDEX(입력_상담!$A$5:$A$1004,$AK403)))</f>
        <v/>
      </c>
      <c r="AE403" s="25" t="str">
        <f aca="false">IF(AND(ISNUMBER(AB403),ISNUMBER(AC403)),IF(AC403&gt;=AB403,ROUND((AC403-AB403)*1440,0),""),"")</f>
        <v/>
      </c>
      <c r="AF403" s="25" t="str">
        <f aca="false">IF(AND(ISNUMBER(AC403),ISNUMBER(AD403)),IF(AD403&gt;=AC403,ROUND((AD403-AC403)*1440,0),""),"")</f>
        <v/>
      </c>
      <c r="AG403" s="25" t="str">
        <f aca="false">IF(AND(AA403="완료",ISNUMBER(AB403),ISNUMBER(AD403)),IF(AD403&gt;=AB403,ROUND((AD403-AB403)*1440,0),""),"")</f>
        <v/>
      </c>
      <c r="AH403" s="61" t="str">
        <f aca="false">IF(AND(AK403&gt;0,AJ403=0),"측정 기록 없음",IF(AND(AJ403&gt;0,AI403=0),"운동평가 기록 없음",IF(OR(COUNTIF(입력_운동!$B$5:$B$1004,$A403)&gt;1,COUNTIF(입력_측정!$B$5:$B$1004,$A403)&gt;1),"중복 입력","")))</f>
        <v/>
      </c>
      <c r="AI403" s="62" t="n">
        <f aca="false">SUMPRODUCT(MAX((입력_운동!$B$5:$B$1004=$A403)*(ROW(입력_운동!$B$5:$B$1004)-4)))</f>
        <v>0</v>
      </c>
      <c r="AJ403" s="62" t="n">
        <f aca="false">SUMPRODUCT(MAX((입력_측정!$B$5:$B$1004=$A403)*(ROW(입력_측정!$B$5:$B$1004)-4)))</f>
        <v>0</v>
      </c>
      <c r="AK403" s="62" t="n">
        <f aca="false">SUMPRODUCT(MAX((입력_상담!$B$5:$B$1004=$A403)*(ROW(입력_상담!$B$5:$B$1004)-4)))</f>
        <v>0</v>
      </c>
    </row>
    <row r="404" customFormat="false" ht="15" hidden="false" customHeight="false" outlineLevel="0" collapsed="false">
      <c r="A404" s="55" t="n">
        <v>400</v>
      </c>
      <c r="B404" s="56"/>
      <c r="C404" s="24"/>
      <c r="D404" s="24"/>
      <c r="E404" s="56"/>
      <c r="F404" s="57"/>
      <c r="G404" s="58"/>
      <c r="H404" s="56"/>
      <c r="I404" s="24"/>
      <c r="J404" s="24"/>
      <c r="K404" s="24"/>
      <c r="L404" s="24"/>
      <c r="M404" s="24"/>
      <c r="N404" s="56"/>
      <c r="O404" s="25" t="str">
        <f aca="false">IF($AI404=0,"",IF(INDEX(입력_운동!$C$5:$C$1004,$AI404)="","",INDEX(입력_운동!$C$5:$C$1004,$AI404)))</f>
        <v/>
      </c>
      <c r="P404" s="25" t="str">
        <f aca="false">IF($AI404=0,"",IF(INDEX(입력_운동!$D$5:$D$1004,$AI404)="","",INDEX(입력_운동!$D$5:$D$1004,$AI404)))</f>
        <v/>
      </c>
      <c r="Q404" s="25" t="str">
        <f aca="false">IF($AI404=0,"",IF(INDEX(입력_운동!$E$5:$E$1004,$AI404)="","",INDEX(입력_운동!$E$5:$E$1004,$AI404)))</f>
        <v/>
      </c>
      <c r="R404" s="25" t="str">
        <f aca="false">IF($AI404=0,"",IF(INDEX(입력_운동!$F$5:$F$1004,$AI404)="","",INDEX(입력_운동!$F$5:$F$1004,$AI404)))</f>
        <v/>
      </c>
      <c r="S404" s="25" t="str">
        <f aca="false">IF($AJ404=0,"",IF(INDEX(입력_측정!$C$5:$C$1004,$AJ404)="","",INDEX(입력_측정!$C$5:$C$1004,$AJ404)))</f>
        <v/>
      </c>
      <c r="T404" s="25" t="str">
        <f aca="false">IF($AJ404=0,"",IF(INDEX(입력_측정!$D$5:$D$1004,$AJ404)="","",INDEX(입력_측정!$D$5:$D$1004,$AJ404)))</f>
        <v/>
      </c>
      <c r="U404" s="25" t="str">
        <f aca="false">IF($AJ404=0,"",IF(INDEX(입력_측정!$E$5:$E$1004,$AJ404)="","",INDEX(입력_측정!$E$5:$E$1004,$AJ404)))</f>
        <v/>
      </c>
      <c r="V404" s="25" t="str">
        <f aca="false">IF($AJ404=0,"",IF(INDEX(입력_측정!$F$5:$F$1004,$AJ404)="","",INDEX(입력_측정!$F$5:$F$1004,$AJ404)))</f>
        <v/>
      </c>
      <c r="W404" s="25" t="str">
        <f aca="false">IF($AK404=0,"",IF(INDEX(입력_상담!$D$5:$D$1004,$AK404)="","",INDEX(입력_상담!$D$5:$D$1004,$AK404)))</f>
        <v/>
      </c>
      <c r="X404" s="25" t="str">
        <f aca="false">IF($AJ404=0,"",IF(INDEX(입력_측정!$I$5:$I$1004,$AJ404)="","",INDEX(입력_측정!$I$5:$I$1004,$AJ404)))</f>
        <v/>
      </c>
      <c r="Y404" s="25" t="str">
        <f aca="false">IF($AJ404=0,"",IF(INDEX(입력_측정!$J$5:$J$1004,$AJ404)="","",INDEX(입력_측정!$J$5:$J$1004,$AJ404)))</f>
        <v/>
      </c>
      <c r="Z404" s="25" t="str">
        <f aca="false">IF(OR(X404="긴급",LEFT(Y404,2)="긴급",W404="필요",W404="완료"),"대상","")</f>
        <v/>
      </c>
      <c r="AA404" s="59" t="str">
        <f aca="false">IF(M404&lt;&gt;"",M404,IF(AK404&gt;0,IF(W404="필요","추가상담 대기","완료"),IF(AJ404&gt;0,"결과상담 대기",IF(AI404&gt;0,"측정 대기","미방문"))))</f>
        <v>미방문</v>
      </c>
      <c r="AB404" s="60" t="str">
        <f aca="false">IF($AI404=0,"",IF(INDEX(입력_운동!$A$5:$A$1004,$AI404)="","",INDEX(입력_운동!$A$5:$A$1004,$AI404)))</f>
        <v/>
      </c>
      <c r="AC404" s="60" t="str">
        <f aca="false">IF($AJ404=0,"",IF(INDEX(입력_측정!$A$5:$A$1004,$AJ404)="","",INDEX(입력_측정!$A$5:$A$1004,$AJ404)))</f>
        <v/>
      </c>
      <c r="AD404" s="60" t="str">
        <f aca="false">IF($AK404=0,"",IF(INDEX(입력_상담!$A$5:$A$1004,$AK404)="","",INDEX(입력_상담!$A$5:$A$1004,$AK404)))</f>
        <v/>
      </c>
      <c r="AE404" s="25" t="str">
        <f aca="false">IF(AND(ISNUMBER(AB404),ISNUMBER(AC404)),IF(AC404&gt;=AB404,ROUND((AC404-AB404)*1440,0),""),"")</f>
        <v/>
      </c>
      <c r="AF404" s="25" t="str">
        <f aca="false">IF(AND(ISNUMBER(AC404),ISNUMBER(AD404)),IF(AD404&gt;=AC404,ROUND((AD404-AC404)*1440,0),""),"")</f>
        <v/>
      </c>
      <c r="AG404" s="25" t="str">
        <f aca="false">IF(AND(AA404="완료",ISNUMBER(AB404),ISNUMBER(AD404)),IF(AD404&gt;=AB404,ROUND((AD404-AB404)*1440,0),""),"")</f>
        <v/>
      </c>
      <c r="AH404" s="61" t="str">
        <f aca="false">IF(AND(AK404&gt;0,AJ404=0),"측정 기록 없음",IF(AND(AJ404&gt;0,AI404=0),"운동평가 기록 없음",IF(OR(COUNTIF(입력_운동!$B$5:$B$1004,$A404)&gt;1,COUNTIF(입력_측정!$B$5:$B$1004,$A404)&gt;1),"중복 입력","")))</f>
        <v/>
      </c>
      <c r="AI404" s="62" t="n">
        <f aca="false">SUMPRODUCT(MAX((입력_운동!$B$5:$B$1004=$A404)*(ROW(입력_운동!$B$5:$B$1004)-4)))</f>
        <v>0</v>
      </c>
      <c r="AJ404" s="62" t="n">
        <f aca="false">SUMPRODUCT(MAX((입력_측정!$B$5:$B$1004=$A404)*(ROW(입력_측정!$B$5:$B$1004)-4)))</f>
        <v>0</v>
      </c>
      <c r="AK404" s="62" t="n">
        <f aca="false">SUMPRODUCT(MAX((입력_상담!$B$5:$B$1004=$A404)*(ROW(입력_상담!$B$5:$B$1004)-4)))</f>
        <v>0</v>
      </c>
    </row>
  </sheetData>
  <autoFilter ref="A4:AH404"/>
  <mergeCells count="9">
    <mergeCell ref="A3:H3"/>
    <mergeCell ref="I3:L3"/>
    <mergeCell ref="M3:N3"/>
    <mergeCell ref="O3:R3"/>
    <mergeCell ref="S3:V3"/>
    <mergeCell ref="X3:AA3"/>
    <mergeCell ref="AB3:AD3"/>
    <mergeCell ref="AE3:AG3"/>
    <mergeCell ref="AI3:AK3"/>
  </mergeCells>
  <conditionalFormatting sqref="X5:Y404">
    <cfRule type="expression" priority="2" aboveAverage="0" equalAverage="0" bottom="0" percent="0" rank="0" text="" dxfId="6">
      <formula>LEFT(X5,2)="긴급"</formula>
    </cfRule>
    <cfRule type="expression" priority="3" aboveAverage="0" equalAverage="0" bottom="0" percent="0" rank="0" text="" dxfId="7">
      <formula>X5="주의"</formula>
    </cfRule>
    <cfRule type="expression" priority="4" aboveAverage="0" equalAverage="0" bottom="0" percent="0" rank="0" text="" dxfId="8">
      <formula>OR(X5="확인필요",X5="조건확인",X5="측정불가")</formula>
    </cfRule>
  </conditionalFormatting>
  <conditionalFormatting sqref="Z5:Z404">
    <cfRule type="expression" priority="5" aboveAverage="0" equalAverage="0" bottom="0" percent="0" rank="0" text="" dxfId="22">
      <formula>Z5="대상"</formula>
    </cfRule>
  </conditionalFormatting>
  <conditionalFormatting sqref="AA5:AA404">
    <cfRule type="expression" priority="6" aboveAverage="0" equalAverage="0" bottom="0" percent="0" rank="0" text="" dxfId="23">
      <formula>AA5="완료"</formula>
    </cfRule>
    <cfRule type="expression" priority="7" aboveAverage="0" equalAverage="0" bottom="0" percent="0" rank="0" text="" dxfId="11">
      <formula>AA5="추가상담 대기"</formula>
    </cfRule>
    <cfRule type="expression" priority="8" aboveAverage="0" equalAverage="0" bottom="0" percent="0" rank="0" text="" dxfId="24">
      <formula>OR(AA5="불참",AA5="연기")</formula>
    </cfRule>
    <cfRule type="expression" priority="9" aboveAverage="0" equalAverage="0" bottom="0" percent="0" rank="0" text="" dxfId="25">
      <formula>OR(AA5="측정 대기",AA5="결과상담 대기")</formula>
    </cfRule>
  </conditionalFormatting>
  <conditionalFormatting sqref="AH5:AH404">
    <cfRule type="expression" priority="10" aboveAverage="0" equalAverage="0" bottom="0" percent="0" rank="0" text="" dxfId="5">
      <formula>AH5&lt;&gt;""</formula>
    </cfRule>
  </conditionalFormatting>
  <dataValidations count="4">
    <dataValidation allowBlank="true" errorStyle="stop" operator="between" showDropDown="false" showErrorMessage="true" showInputMessage="false" sqref="C5:C404" type="list">
      <formula1>"남,여"</formula1>
      <formula2>0</formula2>
    </dataValidation>
    <dataValidation allowBlank="true" error="목록에 없는 날짜입니다. 그래도 입력할까요?" errorStyle="warning" errorTitle="운영일 아님" operator="between" showDropDown="false" showErrorMessage="true" showInputMessage="false" sqref="F5:F404" type="list">
      <formula1>설정!$C$21:$C$30</formula1>
      <formula2>0</formula2>
    </dataValidation>
    <dataValidation allowBlank="true" error="목록에 없는 시간입니다. 그래도 입력할까요?" errorStyle="warning" errorTitle="슬롯 아님" operator="between" showDropDown="false" showErrorMessage="true" showInputMessage="false" sqref="G5:G404" type="list">
      <formula1>설정!$C$33:$C$44</formula1>
      <formula2>0</formula2>
    </dataValidation>
    <dataValidation allowBlank="true" errorStyle="stop" operator="between" showDropDown="false" showErrorMessage="true" showInputMessage="false" sqref="M5:M404" type="list">
      <formula1>"불참,연기"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B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13" min="4" style="0" width="10"/>
  </cols>
  <sheetData>
    <row r="1" customFormat="false" ht="19.4" hidden="false" customHeight="false" outlineLevel="0" collapsed="false">
      <c r="B1" s="18" t="s">
        <v>208</v>
      </c>
    </row>
    <row r="2" customFormat="false" ht="15" hidden="false" customHeight="false" outlineLevel="0" collapsed="false">
      <c r="B2" s="2" t="s">
        <v>209</v>
      </c>
    </row>
    <row r="3" customFormat="false" ht="15" hidden="false" customHeight="false" outlineLevel="0" collapsed="false">
      <c r="D3" s="63" t="str">
        <f aca="false">IF(D4="","",CHOOSE(WEEKDAY(D4),"일","월","화","수","목","금","토"))</f>
        <v>월</v>
      </c>
      <c r="E3" s="63" t="str">
        <f aca="false">IF(E4="","",CHOOSE(WEEKDAY(E4),"일","월","화","수","목","금","토"))</f>
        <v>화</v>
      </c>
      <c r="F3" s="63" t="str">
        <f aca="false">IF(F4="","",CHOOSE(WEEKDAY(F4),"일","월","화","수","목","금","토"))</f>
        <v>수</v>
      </c>
      <c r="G3" s="63" t="str">
        <f aca="false">IF(G4="","",CHOOSE(WEEKDAY(G4),"일","월","화","수","목","금","토"))</f>
        <v>목</v>
      </c>
      <c r="H3" s="63" t="str">
        <f aca="false">IF(H4="","",CHOOSE(WEEKDAY(H4),"일","월","화","수","목","금","토"))</f>
        <v>금</v>
      </c>
      <c r="I3" s="63" t="str">
        <f aca="false">IF(I4="","",CHOOSE(WEEKDAY(I4),"일","월","화","수","목","금","토"))</f>
        <v>월</v>
      </c>
      <c r="J3" s="63" t="str">
        <f aca="false">IF(J4="","",CHOOSE(WEEKDAY(J4),"일","월","화","수","목","금","토"))</f>
        <v>화</v>
      </c>
      <c r="K3" s="63" t="str">
        <f aca="false">IF(K4="","",CHOOSE(WEEKDAY(K4),"일","월","화","수","목","금","토"))</f>
        <v>수</v>
      </c>
      <c r="L3" s="63" t="str">
        <f aca="false">IF(L4="","",CHOOSE(WEEKDAY(L4),"일","월","화","수","목","금","토"))</f>
        <v>목</v>
      </c>
      <c r="M3" s="63" t="str">
        <f aca="false">IF(M4="","",CHOOSE(WEEKDAY(M4),"일","월","화","수","목","금","토"))</f>
        <v>금</v>
      </c>
    </row>
    <row r="4" customFormat="false" ht="15" hidden="false" customHeight="false" outlineLevel="0" collapsed="false">
      <c r="B4" s="35" t="s">
        <v>210</v>
      </c>
      <c r="C4" s="35" t="s">
        <v>211</v>
      </c>
      <c r="D4" s="64" t="n">
        <f aca="false">IF(설정!$C$21="","",설정!$C$21)</f>
        <v>46314</v>
      </c>
      <c r="E4" s="64" t="n">
        <f aca="false">IF(설정!$C$22="","",설정!$C$22)</f>
        <v>46315</v>
      </c>
      <c r="F4" s="64" t="n">
        <f aca="false">IF(설정!$C$23="","",설정!$C$23)</f>
        <v>46316</v>
      </c>
      <c r="G4" s="64" t="n">
        <f aca="false">IF(설정!$C$24="","",설정!$C$24)</f>
        <v>46317</v>
      </c>
      <c r="H4" s="64" t="n">
        <f aca="false">IF(설정!$C$25="","",설정!$C$25)</f>
        <v>46318</v>
      </c>
      <c r="I4" s="64" t="n">
        <f aca="false">IF(설정!$C$26="","",설정!$C$26)</f>
        <v>46321</v>
      </c>
      <c r="J4" s="64" t="n">
        <f aca="false">IF(설정!$C$27="","",설정!$C$27)</f>
        <v>46322</v>
      </c>
      <c r="K4" s="64" t="n">
        <f aca="false">IF(설정!$C$28="","",설정!$C$28)</f>
        <v>46323</v>
      </c>
      <c r="L4" s="64" t="n">
        <f aca="false">IF(설정!$C$29="","",설정!$C$29)</f>
        <v>46324</v>
      </c>
      <c r="M4" s="64" t="n">
        <f aca="false">IF(설정!$C$30="","",설정!$C$30)</f>
        <v>46325</v>
      </c>
    </row>
    <row r="5" customFormat="false" ht="15" hidden="false" customHeight="false" outlineLevel="0" collapsed="false">
      <c r="B5" s="65" t="n">
        <f aca="false">IF(설정!$C$33="","",설정!$C$33)</f>
        <v>0.375</v>
      </c>
      <c r="C5" s="66" t="n">
        <f aca="false">IF(설정!$D$33="","",설정!$D$33)</f>
        <v>4</v>
      </c>
      <c r="D5" s="33" t="n">
        <f aca="false">IF(OR(D$4="",$B5=""),"",COUNTIFS(명단!$F$5:$F$404,D$4,명단!$G$5:$G$404,$B5))</f>
        <v>0</v>
      </c>
      <c r="E5" s="33" t="n">
        <f aca="false">IF(OR(E$4="",$B5=""),"",COUNTIFS(명단!$F$5:$F$404,E$4,명단!$G$5:$G$404,$B5))</f>
        <v>0</v>
      </c>
      <c r="F5" s="33" t="n">
        <f aca="false">IF(OR(F$4="",$B5=""),"",COUNTIFS(명단!$F$5:$F$404,F$4,명단!$G$5:$G$404,$B5))</f>
        <v>0</v>
      </c>
      <c r="G5" s="33" t="n">
        <f aca="false">IF(OR(G$4="",$B5=""),"",COUNTIFS(명단!$F$5:$F$404,G$4,명단!$G$5:$G$404,$B5))</f>
        <v>0</v>
      </c>
      <c r="H5" s="33" t="n">
        <f aca="false">IF(OR(H$4="",$B5=""),"",COUNTIFS(명단!$F$5:$F$404,H$4,명단!$G$5:$G$404,$B5))</f>
        <v>0</v>
      </c>
      <c r="I5" s="33" t="n">
        <f aca="false">IF(OR(I$4="",$B5=""),"",COUNTIFS(명단!$F$5:$F$404,I$4,명단!$G$5:$G$404,$B5))</f>
        <v>0</v>
      </c>
      <c r="J5" s="33" t="n">
        <f aca="false">IF(OR(J$4="",$B5=""),"",COUNTIFS(명단!$F$5:$F$404,J$4,명단!$G$5:$G$404,$B5))</f>
        <v>0</v>
      </c>
      <c r="K5" s="33" t="n">
        <f aca="false">IF(OR(K$4="",$B5=""),"",COUNTIFS(명단!$F$5:$F$404,K$4,명단!$G$5:$G$404,$B5))</f>
        <v>0</v>
      </c>
      <c r="L5" s="33" t="n">
        <f aca="false">IF(OR(L$4="",$B5=""),"",COUNTIFS(명단!$F$5:$F$404,L$4,명단!$G$5:$G$404,$B5))</f>
        <v>0</v>
      </c>
      <c r="M5" s="33" t="n">
        <f aca="false">IF(OR(M$4="",$B5=""),"",COUNTIFS(명단!$F$5:$F$404,M$4,명단!$G$5:$G$404,$B5))</f>
        <v>0</v>
      </c>
    </row>
    <row r="6" customFormat="false" ht="15" hidden="false" customHeight="false" outlineLevel="0" collapsed="false">
      <c r="B6" s="65" t="n">
        <f aca="false">IF(설정!$C$34="","",설정!$C$34)</f>
        <v>0.395833333333333</v>
      </c>
      <c r="C6" s="66" t="n">
        <f aca="false">IF(설정!$D$34="","",설정!$D$34)</f>
        <v>4</v>
      </c>
      <c r="D6" s="33" t="n">
        <f aca="false">IF(OR(D$4="",$B6=""),"",COUNTIFS(명단!$F$5:$F$404,D$4,명단!$G$5:$G$404,$B6))</f>
        <v>0</v>
      </c>
      <c r="E6" s="33" t="n">
        <f aca="false">IF(OR(E$4="",$B6=""),"",COUNTIFS(명단!$F$5:$F$404,E$4,명단!$G$5:$G$404,$B6))</f>
        <v>0</v>
      </c>
      <c r="F6" s="33" t="n">
        <f aca="false">IF(OR(F$4="",$B6=""),"",COUNTIFS(명단!$F$5:$F$404,F$4,명단!$G$5:$G$404,$B6))</f>
        <v>0</v>
      </c>
      <c r="G6" s="33" t="n">
        <f aca="false">IF(OR(G$4="",$B6=""),"",COUNTIFS(명단!$F$5:$F$404,G$4,명단!$G$5:$G$404,$B6))</f>
        <v>0</v>
      </c>
      <c r="H6" s="33" t="n">
        <f aca="false">IF(OR(H$4="",$B6=""),"",COUNTIFS(명단!$F$5:$F$404,H$4,명단!$G$5:$G$404,$B6))</f>
        <v>0</v>
      </c>
      <c r="I6" s="33" t="n">
        <f aca="false">IF(OR(I$4="",$B6=""),"",COUNTIFS(명단!$F$5:$F$404,I$4,명단!$G$5:$G$404,$B6))</f>
        <v>0</v>
      </c>
      <c r="J6" s="33" t="n">
        <f aca="false">IF(OR(J$4="",$B6=""),"",COUNTIFS(명단!$F$5:$F$404,J$4,명단!$G$5:$G$404,$B6))</f>
        <v>0</v>
      </c>
      <c r="K6" s="33" t="n">
        <f aca="false">IF(OR(K$4="",$B6=""),"",COUNTIFS(명단!$F$5:$F$404,K$4,명단!$G$5:$G$404,$B6))</f>
        <v>0</v>
      </c>
      <c r="L6" s="33" t="n">
        <f aca="false">IF(OR(L$4="",$B6=""),"",COUNTIFS(명단!$F$5:$F$404,L$4,명단!$G$5:$G$404,$B6))</f>
        <v>0</v>
      </c>
      <c r="M6" s="33" t="n">
        <f aca="false">IF(OR(M$4="",$B6=""),"",COUNTIFS(명단!$F$5:$F$404,M$4,명단!$G$5:$G$404,$B6))</f>
        <v>0</v>
      </c>
    </row>
    <row r="7" customFormat="false" ht="15" hidden="false" customHeight="false" outlineLevel="0" collapsed="false">
      <c r="B7" s="65" t="n">
        <f aca="false">IF(설정!$C$35="","",설정!$C$35)</f>
        <v>0.416666666666667</v>
      </c>
      <c r="C7" s="66" t="n">
        <f aca="false">IF(설정!$D$35="","",설정!$D$35)</f>
        <v>4</v>
      </c>
      <c r="D7" s="33" t="n">
        <f aca="false">IF(OR(D$4="",$B7=""),"",COUNTIFS(명단!$F$5:$F$404,D$4,명단!$G$5:$G$404,$B7))</f>
        <v>0</v>
      </c>
      <c r="E7" s="33" t="n">
        <f aca="false">IF(OR(E$4="",$B7=""),"",COUNTIFS(명단!$F$5:$F$404,E$4,명단!$G$5:$G$404,$B7))</f>
        <v>0</v>
      </c>
      <c r="F7" s="33" t="n">
        <f aca="false">IF(OR(F$4="",$B7=""),"",COUNTIFS(명단!$F$5:$F$404,F$4,명단!$G$5:$G$404,$B7))</f>
        <v>0</v>
      </c>
      <c r="G7" s="33" t="n">
        <f aca="false">IF(OR(G$4="",$B7=""),"",COUNTIFS(명단!$F$5:$F$404,G$4,명단!$G$5:$G$404,$B7))</f>
        <v>0</v>
      </c>
      <c r="H7" s="33" t="n">
        <f aca="false">IF(OR(H$4="",$B7=""),"",COUNTIFS(명단!$F$5:$F$404,H$4,명단!$G$5:$G$404,$B7))</f>
        <v>0</v>
      </c>
      <c r="I7" s="33" t="n">
        <f aca="false">IF(OR(I$4="",$B7=""),"",COUNTIFS(명단!$F$5:$F$404,I$4,명단!$G$5:$G$404,$B7))</f>
        <v>0</v>
      </c>
      <c r="J7" s="33" t="n">
        <f aca="false">IF(OR(J$4="",$B7=""),"",COUNTIFS(명단!$F$5:$F$404,J$4,명단!$G$5:$G$404,$B7))</f>
        <v>0</v>
      </c>
      <c r="K7" s="33" t="n">
        <f aca="false">IF(OR(K$4="",$B7=""),"",COUNTIFS(명단!$F$5:$F$404,K$4,명단!$G$5:$G$404,$B7))</f>
        <v>0</v>
      </c>
      <c r="L7" s="33" t="n">
        <f aca="false">IF(OR(L$4="",$B7=""),"",COUNTIFS(명단!$F$5:$F$404,L$4,명단!$G$5:$G$404,$B7))</f>
        <v>0</v>
      </c>
      <c r="M7" s="33" t="n">
        <f aca="false">IF(OR(M$4="",$B7=""),"",COUNTIFS(명단!$F$5:$F$404,M$4,명단!$G$5:$G$404,$B7))</f>
        <v>0</v>
      </c>
    </row>
    <row r="8" customFormat="false" ht="15" hidden="false" customHeight="false" outlineLevel="0" collapsed="false">
      <c r="B8" s="65" t="n">
        <f aca="false">IF(설정!$C$36="","",설정!$C$36)</f>
        <v>0.4375</v>
      </c>
      <c r="C8" s="66" t="n">
        <f aca="false">IF(설정!$D$36="","",설정!$D$36)</f>
        <v>4</v>
      </c>
      <c r="D8" s="33" t="n">
        <f aca="false">IF(OR(D$4="",$B8=""),"",COUNTIFS(명단!$F$5:$F$404,D$4,명단!$G$5:$G$404,$B8))</f>
        <v>0</v>
      </c>
      <c r="E8" s="33" t="n">
        <f aca="false">IF(OR(E$4="",$B8=""),"",COUNTIFS(명단!$F$5:$F$404,E$4,명단!$G$5:$G$404,$B8))</f>
        <v>0</v>
      </c>
      <c r="F8" s="33" t="n">
        <f aca="false">IF(OR(F$4="",$B8=""),"",COUNTIFS(명단!$F$5:$F$404,F$4,명단!$G$5:$G$404,$B8))</f>
        <v>0</v>
      </c>
      <c r="G8" s="33" t="n">
        <f aca="false">IF(OR(G$4="",$B8=""),"",COUNTIFS(명단!$F$5:$F$404,G$4,명단!$G$5:$G$404,$B8))</f>
        <v>0</v>
      </c>
      <c r="H8" s="33" t="n">
        <f aca="false">IF(OR(H$4="",$B8=""),"",COUNTIFS(명단!$F$5:$F$404,H$4,명단!$G$5:$G$404,$B8))</f>
        <v>0</v>
      </c>
      <c r="I8" s="33" t="n">
        <f aca="false">IF(OR(I$4="",$B8=""),"",COUNTIFS(명단!$F$5:$F$404,I$4,명단!$G$5:$G$404,$B8))</f>
        <v>0</v>
      </c>
      <c r="J8" s="33" t="n">
        <f aca="false">IF(OR(J$4="",$B8=""),"",COUNTIFS(명단!$F$5:$F$404,J$4,명단!$G$5:$G$404,$B8))</f>
        <v>0</v>
      </c>
      <c r="K8" s="33" t="n">
        <f aca="false">IF(OR(K$4="",$B8=""),"",COUNTIFS(명단!$F$5:$F$404,K$4,명단!$G$5:$G$404,$B8))</f>
        <v>0</v>
      </c>
      <c r="L8" s="33" t="n">
        <f aca="false">IF(OR(L$4="",$B8=""),"",COUNTIFS(명단!$F$5:$F$404,L$4,명단!$G$5:$G$404,$B8))</f>
        <v>0</v>
      </c>
      <c r="M8" s="33" t="n">
        <f aca="false">IF(OR(M$4="",$B8=""),"",COUNTIFS(명단!$F$5:$F$404,M$4,명단!$G$5:$G$404,$B8))</f>
        <v>0</v>
      </c>
    </row>
    <row r="9" customFormat="false" ht="15" hidden="false" customHeight="false" outlineLevel="0" collapsed="false">
      <c r="B9" s="65" t="n">
        <f aca="false">IF(설정!$C$37="","",설정!$C$37)</f>
        <v>0.458333333333333</v>
      </c>
      <c r="C9" s="66" t="n">
        <f aca="false">IF(설정!$D$37="","",설정!$D$37)</f>
        <v>4</v>
      </c>
      <c r="D9" s="33" t="n">
        <f aca="false">IF(OR(D$4="",$B9=""),"",COUNTIFS(명단!$F$5:$F$404,D$4,명단!$G$5:$G$404,$B9))</f>
        <v>0</v>
      </c>
      <c r="E9" s="33" t="n">
        <f aca="false">IF(OR(E$4="",$B9=""),"",COUNTIFS(명단!$F$5:$F$404,E$4,명단!$G$5:$G$404,$B9))</f>
        <v>0</v>
      </c>
      <c r="F9" s="33" t="n">
        <f aca="false">IF(OR(F$4="",$B9=""),"",COUNTIFS(명단!$F$5:$F$404,F$4,명단!$G$5:$G$404,$B9))</f>
        <v>0</v>
      </c>
      <c r="G9" s="33" t="n">
        <f aca="false">IF(OR(G$4="",$B9=""),"",COUNTIFS(명단!$F$5:$F$404,G$4,명단!$G$5:$G$404,$B9))</f>
        <v>0</v>
      </c>
      <c r="H9" s="33" t="n">
        <f aca="false">IF(OR(H$4="",$B9=""),"",COUNTIFS(명단!$F$5:$F$404,H$4,명단!$G$5:$G$404,$B9))</f>
        <v>0</v>
      </c>
      <c r="I9" s="33" t="n">
        <f aca="false">IF(OR(I$4="",$B9=""),"",COUNTIFS(명단!$F$5:$F$404,I$4,명단!$G$5:$G$404,$B9))</f>
        <v>0</v>
      </c>
      <c r="J9" s="33" t="n">
        <f aca="false">IF(OR(J$4="",$B9=""),"",COUNTIFS(명단!$F$5:$F$404,J$4,명단!$G$5:$G$404,$B9))</f>
        <v>0</v>
      </c>
      <c r="K9" s="33" t="n">
        <f aca="false">IF(OR(K$4="",$B9=""),"",COUNTIFS(명단!$F$5:$F$404,K$4,명단!$G$5:$G$404,$B9))</f>
        <v>0</v>
      </c>
      <c r="L9" s="33" t="n">
        <f aca="false">IF(OR(L$4="",$B9=""),"",COUNTIFS(명단!$F$5:$F$404,L$4,명단!$G$5:$G$404,$B9))</f>
        <v>0</v>
      </c>
      <c r="M9" s="33" t="n">
        <f aca="false">IF(OR(M$4="",$B9=""),"",COUNTIFS(명단!$F$5:$F$404,M$4,명단!$G$5:$G$404,$B9))</f>
        <v>0</v>
      </c>
    </row>
    <row r="10" customFormat="false" ht="15" hidden="false" customHeight="false" outlineLevel="0" collapsed="false">
      <c r="B10" s="65" t="n">
        <f aca="false">IF(설정!$C$38="","",설정!$C$38)</f>
        <v>0.479166666666667</v>
      </c>
      <c r="C10" s="66" t="n">
        <f aca="false">IF(설정!$D$38="","",설정!$D$38)</f>
        <v>4</v>
      </c>
      <c r="D10" s="33" t="n">
        <f aca="false">IF(OR(D$4="",$B10=""),"",COUNTIFS(명단!$F$5:$F$404,D$4,명단!$G$5:$G$404,$B10))</f>
        <v>0</v>
      </c>
      <c r="E10" s="33" t="n">
        <f aca="false">IF(OR(E$4="",$B10=""),"",COUNTIFS(명단!$F$5:$F$404,E$4,명단!$G$5:$G$404,$B10))</f>
        <v>0</v>
      </c>
      <c r="F10" s="33" t="n">
        <f aca="false">IF(OR(F$4="",$B10=""),"",COUNTIFS(명단!$F$5:$F$404,F$4,명단!$G$5:$G$404,$B10))</f>
        <v>0</v>
      </c>
      <c r="G10" s="33" t="n">
        <f aca="false">IF(OR(G$4="",$B10=""),"",COUNTIFS(명단!$F$5:$F$404,G$4,명단!$G$5:$G$404,$B10))</f>
        <v>0</v>
      </c>
      <c r="H10" s="33" t="n">
        <f aca="false">IF(OR(H$4="",$B10=""),"",COUNTIFS(명단!$F$5:$F$404,H$4,명단!$G$5:$G$404,$B10))</f>
        <v>0</v>
      </c>
      <c r="I10" s="33" t="n">
        <f aca="false">IF(OR(I$4="",$B10=""),"",COUNTIFS(명단!$F$5:$F$404,I$4,명단!$G$5:$G$404,$B10))</f>
        <v>0</v>
      </c>
      <c r="J10" s="33" t="n">
        <f aca="false">IF(OR(J$4="",$B10=""),"",COUNTIFS(명단!$F$5:$F$404,J$4,명단!$G$5:$G$404,$B10))</f>
        <v>0</v>
      </c>
      <c r="K10" s="33" t="n">
        <f aca="false">IF(OR(K$4="",$B10=""),"",COUNTIFS(명단!$F$5:$F$404,K$4,명단!$G$5:$G$404,$B10))</f>
        <v>0</v>
      </c>
      <c r="L10" s="33" t="n">
        <f aca="false">IF(OR(L$4="",$B10=""),"",COUNTIFS(명단!$F$5:$F$404,L$4,명단!$G$5:$G$404,$B10))</f>
        <v>0</v>
      </c>
      <c r="M10" s="33" t="n">
        <f aca="false">IF(OR(M$4="",$B10=""),"",COUNTIFS(명단!$F$5:$F$404,M$4,명단!$G$5:$G$404,$B10))</f>
        <v>0</v>
      </c>
    </row>
    <row r="11" customFormat="false" ht="15" hidden="false" customHeight="false" outlineLevel="0" collapsed="false">
      <c r="B11" s="65" t="n">
        <f aca="false">IF(설정!$C$39="","",설정!$C$39)</f>
        <v>0.5625</v>
      </c>
      <c r="C11" s="66" t="n">
        <f aca="false">IF(설정!$D$39="","",설정!$D$39)</f>
        <v>4</v>
      </c>
      <c r="D11" s="33" t="n">
        <f aca="false">IF(OR(D$4="",$B11=""),"",COUNTIFS(명단!$F$5:$F$404,D$4,명단!$G$5:$G$404,$B11))</f>
        <v>0</v>
      </c>
      <c r="E11" s="33" t="n">
        <f aca="false">IF(OR(E$4="",$B11=""),"",COUNTIFS(명단!$F$5:$F$404,E$4,명단!$G$5:$G$404,$B11))</f>
        <v>0</v>
      </c>
      <c r="F11" s="33" t="n">
        <f aca="false">IF(OR(F$4="",$B11=""),"",COUNTIFS(명단!$F$5:$F$404,F$4,명단!$G$5:$G$404,$B11))</f>
        <v>0</v>
      </c>
      <c r="G11" s="33" t="n">
        <f aca="false">IF(OR(G$4="",$B11=""),"",COUNTIFS(명단!$F$5:$F$404,G$4,명단!$G$5:$G$404,$B11))</f>
        <v>0</v>
      </c>
      <c r="H11" s="33" t="n">
        <f aca="false">IF(OR(H$4="",$B11=""),"",COUNTIFS(명단!$F$5:$F$404,H$4,명단!$G$5:$G$404,$B11))</f>
        <v>0</v>
      </c>
      <c r="I11" s="33" t="n">
        <f aca="false">IF(OR(I$4="",$B11=""),"",COUNTIFS(명단!$F$5:$F$404,I$4,명단!$G$5:$G$404,$B11))</f>
        <v>0</v>
      </c>
      <c r="J11" s="33" t="n">
        <f aca="false">IF(OR(J$4="",$B11=""),"",COUNTIFS(명단!$F$5:$F$404,J$4,명단!$G$5:$G$404,$B11))</f>
        <v>0</v>
      </c>
      <c r="K11" s="33" t="n">
        <f aca="false">IF(OR(K$4="",$B11=""),"",COUNTIFS(명단!$F$5:$F$404,K$4,명단!$G$5:$G$404,$B11))</f>
        <v>0</v>
      </c>
      <c r="L11" s="33" t="n">
        <f aca="false">IF(OR(L$4="",$B11=""),"",COUNTIFS(명단!$F$5:$F$404,L$4,명단!$G$5:$G$404,$B11))</f>
        <v>0</v>
      </c>
      <c r="M11" s="33" t="n">
        <f aca="false">IF(OR(M$4="",$B11=""),"",COUNTIFS(명단!$F$5:$F$404,M$4,명단!$G$5:$G$404,$B11))</f>
        <v>0</v>
      </c>
    </row>
    <row r="12" customFormat="false" ht="15" hidden="false" customHeight="false" outlineLevel="0" collapsed="false">
      <c r="B12" s="65" t="n">
        <f aca="false">IF(설정!$C$40="","",설정!$C$40)</f>
        <v>0.583333333333333</v>
      </c>
      <c r="C12" s="66" t="n">
        <f aca="false">IF(설정!$D$40="","",설정!$D$40)</f>
        <v>4</v>
      </c>
      <c r="D12" s="33" t="n">
        <f aca="false">IF(OR(D$4="",$B12=""),"",COUNTIFS(명단!$F$5:$F$404,D$4,명단!$G$5:$G$404,$B12))</f>
        <v>0</v>
      </c>
      <c r="E12" s="33" t="n">
        <f aca="false">IF(OR(E$4="",$B12=""),"",COUNTIFS(명단!$F$5:$F$404,E$4,명단!$G$5:$G$404,$B12))</f>
        <v>0</v>
      </c>
      <c r="F12" s="33" t="n">
        <f aca="false">IF(OR(F$4="",$B12=""),"",COUNTIFS(명단!$F$5:$F$404,F$4,명단!$G$5:$G$404,$B12))</f>
        <v>0</v>
      </c>
      <c r="G12" s="33" t="n">
        <f aca="false">IF(OR(G$4="",$B12=""),"",COUNTIFS(명단!$F$5:$F$404,G$4,명단!$G$5:$G$404,$B12))</f>
        <v>0</v>
      </c>
      <c r="H12" s="33" t="n">
        <f aca="false">IF(OR(H$4="",$B12=""),"",COUNTIFS(명단!$F$5:$F$404,H$4,명단!$G$5:$G$404,$B12))</f>
        <v>0</v>
      </c>
      <c r="I12" s="33" t="n">
        <f aca="false">IF(OR(I$4="",$B12=""),"",COUNTIFS(명단!$F$5:$F$404,I$4,명단!$G$5:$G$404,$B12))</f>
        <v>0</v>
      </c>
      <c r="J12" s="33" t="n">
        <f aca="false">IF(OR(J$4="",$B12=""),"",COUNTIFS(명단!$F$5:$F$404,J$4,명단!$G$5:$G$404,$B12))</f>
        <v>0</v>
      </c>
      <c r="K12" s="33" t="n">
        <f aca="false">IF(OR(K$4="",$B12=""),"",COUNTIFS(명단!$F$5:$F$404,K$4,명단!$G$5:$G$404,$B12))</f>
        <v>0</v>
      </c>
      <c r="L12" s="33" t="n">
        <f aca="false">IF(OR(L$4="",$B12=""),"",COUNTIFS(명단!$F$5:$F$404,L$4,명단!$G$5:$G$404,$B12))</f>
        <v>0</v>
      </c>
      <c r="M12" s="33" t="n">
        <f aca="false">IF(OR(M$4="",$B12=""),"",COUNTIFS(명단!$F$5:$F$404,M$4,명단!$G$5:$G$404,$B12))</f>
        <v>0</v>
      </c>
    </row>
    <row r="13" customFormat="false" ht="15" hidden="false" customHeight="false" outlineLevel="0" collapsed="false">
      <c r="B13" s="65" t="n">
        <f aca="false">IF(설정!$C$41="","",설정!$C$41)</f>
        <v>0.604166666666667</v>
      </c>
      <c r="C13" s="66" t="n">
        <f aca="false">IF(설정!$D$41="","",설정!$D$41)</f>
        <v>4</v>
      </c>
      <c r="D13" s="33" t="n">
        <f aca="false">IF(OR(D$4="",$B13=""),"",COUNTIFS(명단!$F$5:$F$404,D$4,명단!$G$5:$G$404,$B13))</f>
        <v>0</v>
      </c>
      <c r="E13" s="33" t="n">
        <f aca="false">IF(OR(E$4="",$B13=""),"",COUNTIFS(명단!$F$5:$F$404,E$4,명단!$G$5:$G$404,$B13))</f>
        <v>0</v>
      </c>
      <c r="F13" s="33" t="n">
        <f aca="false">IF(OR(F$4="",$B13=""),"",COUNTIFS(명단!$F$5:$F$404,F$4,명단!$G$5:$G$404,$B13))</f>
        <v>0</v>
      </c>
      <c r="G13" s="33" t="n">
        <f aca="false">IF(OR(G$4="",$B13=""),"",COUNTIFS(명단!$F$5:$F$404,G$4,명단!$G$5:$G$404,$B13))</f>
        <v>0</v>
      </c>
      <c r="H13" s="33" t="n">
        <f aca="false">IF(OR(H$4="",$B13=""),"",COUNTIFS(명단!$F$5:$F$404,H$4,명단!$G$5:$G$404,$B13))</f>
        <v>0</v>
      </c>
      <c r="I13" s="33" t="n">
        <f aca="false">IF(OR(I$4="",$B13=""),"",COUNTIFS(명단!$F$5:$F$404,I$4,명단!$G$5:$G$404,$B13))</f>
        <v>0</v>
      </c>
      <c r="J13" s="33" t="n">
        <f aca="false">IF(OR(J$4="",$B13=""),"",COUNTIFS(명단!$F$5:$F$404,J$4,명단!$G$5:$G$404,$B13))</f>
        <v>0</v>
      </c>
      <c r="K13" s="33" t="n">
        <f aca="false">IF(OR(K$4="",$B13=""),"",COUNTIFS(명단!$F$5:$F$404,K$4,명단!$G$5:$G$404,$B13))</f>
        <v>0</v>
      </c>
      <c r="L13" s="33" t="n">
        <f aca="false">IF(OR(L$4="",$B13=""),"",COUNTIFS(명단!$F$5:$F$404,L$4,명단!$G$5:$G$404,$B13))</f>
        <v>0</v>
      </c>
      <c r="M13" s="33" t="n">
        <f aca="false">IF(OR(M$4="",$B13=""),"",COUNTIFS(명단!$F$5:$F$404,M$4,명단!$G$5:$G$404,$B13))</f>
        <v>0</v>
      </c>
    </row>
    <row r="14" customFormat="false" ht="15" hidden="false" customHeight="false" outlineLevel="0" collapsed="false">
      <c r="B14" s="65" t="n">
        <f aca="false">IF(설정!$C$42="","",설정!$C$42)</f>
        <v>0.625</v>
      </c>
      <c r="C14" s="66" t="n">
        <f aca="false">IF(설정!$D$42="","",설정!$D$42)</f>
        <v>4</v>
      </c>
      <c r="D14" s="33" t="n">
        <f aca="false">IF(OR(D$4="",$B14=""),"",COUNTIFS(명단!$F$5:$F$404,D$4,명단!$G$5:$G$404,$B14))</f>
        <v>0</v>
      </c>
      <c r="E14" s="33" t="n">
        <f aca="false">IF(OR(E$4="",$B14=""),"",COUNTIFS(명단!$F$5:$F$404,E$4,명단!$G$5:$G$404,$B14))</f>
        <v>0</v>
      </c>
      <c r="F14" s="33" t="n">
        <f aca="false">IF(OR(F$4="",$B14=""),"",COUNTIFS(명단!$F$5:$F$404,F$4,명단!$G$5:$G$404,$B14))</f>
        <v>0</v>
      </c>
      <c r="G14" s="33" t="n">
        <f aca="false">IF(OR(G$4="",$B14=""),"",COUNTIFS(명단!$F$5:$F$404,G$4,명단!$G$5:$G$404,$B14))</f>
        <v>0</v>
      </c>
      <c r="H14" s="33" t="n">
        <f aca="false">IF(OR(H$4="",$B14=""),"",COUNTIFS(명단!$F$5:$F$404,H$4,명단!$G$5:$G$404,$B14))</f>
        <v>0</v>
      </c>
      <c r="I14" s="33" t="n">
        <f aca="false">IF(OR(I$4="",$B14=""),"",COUNTIFS(명단!$F$5:$F$404,I$4,명단!$G$5:$G$404,$B14))</f>
        <v>0</v>
      </c>
      <c r="J14" s="33" t="n">
        <f aca="false">IF(OR(J$4="",$B14=""),"",COUNTIFS(명단!$F$5:$F$404,J$4,명단!$G$5:$G$404,$B14))</f>
        <v>0</v>
      </c>
      <c r="K14" s="33" t="n">
        <f aca="false">IF(OR(K$4="",$B14=""),"",COUNTIFS(명단!$F$5:$F$404,K$4,명단!$G$5:$G$404,$B14))</f>
        <v>0</v>
      </c>
      <c r="L14" s="33" t="n">
        <f aca="false">IF(OR(L$4="",$B14=""),"",COUNTIFS(명단!$F$5:$F$404,L$4,명단!$G$5:$G$404,$B14))</f>
        <v>0</v>
      </c>
      <c r="M14" s="33" t="n">
        <f aca="false">IF(OR(M$4="",$B14=""),"",COUNTIFS(명단!$F$5:$F$404,M$4,명단!$G$5:$G$404,$B14))</f>
        <v>0</v>
      </c>
    </row>
    <row r="15" customFormat="false" ht="15" hidden="false" customHeight="false" outlineLevel="0" collapsed="false">
      <c r="B15" s="65" t="n">
        <f aca="false">IF(설정!$C$43="","",설정!$C$43)</f>
        <v>0.645833333333333</v>
      </c>
      <c r="C15" s="66" t="n">
        <f aca="false">IF(설정!$D$43="","",설정!$D$43)</f>
        <v>4</v>
      </c>
      <c r="D15" s="33" t="n">
        <f aca="false">IF(OR(D$4="",$B15=""),"",COUNTIFS(명단!$F$5:$F$404,D$4,명단!$G$5:$G$404,$B15))</f>
        <v>0</v>
      </c>
      <c r="E15" s="33" t="n">
        <f aca="false">IF(OR(E$4="",$B15=""),"",COUNTIFS(명단!$F$5:$F$404,E$4,명단!$G$5:$G$404,$B15))</f>
        <v>0</v>
      </c>
      <c r="F15" s="33" t="n">
        <f aca="false">IF(OR(F$4="",$B15=""),"",COUNTIFS(명단!$F$5:$F$404,F$4,명단!$G$5:$G$404,$B15))</f>
        <v>0</v>
      </c>
      <c r="G15" s="33" t="n">
        <f aca="false">IF(OR(G$4="",$B15=""),"",COUNTIFS(명단!$F$5:$F$404,G$4,명단!$G$5:$G$404,$B15))</f>
        <v>0</v>
      </c>
      <c r="H15" s="33" t="n">
        <f aca="false">IF(OR(H$4="",$B15=""),"",COUNTIFS(명단!$F$5:$F$404,H$4,명단!$G$5:$G$404,$B15))</f>
        <v>0</v>
      </c>
      <c r="I15" s="33" t="n">
        <f aca="false">IF(OR(I$4="",$B15=""),"",COUNTIFS(명단!$F$5:$F$404,I$4,명단!$G$5:$G$404,$B15))</f>
        <v>0</v>
      </c>
      <c r="J15" s="33" t="n">
        <f aca="false">IF(OR(J$4="",$B15=""),"",COUNTIFS(명단!$F$5:$F$404,J$4,명단!$G$5:$G$404,$B15))</f>
        <v>0</v>
      </c>
      <c r="K15" s="33" t="n">
        <f aca="false">IF(OR(K$4="",$B15=""),"",COUNTIFS(명단!$F$5:$F$404,K$4,명단!$G$5:$G$404,$B15))</f>
        <v>0</v>
      </c>
      <c r="L15" s="33" t="n">
        <f aca="false">IF(OR(L$4="",$B15=""),"",COUNTIFS(명단!$F$5:$F$404,L$4,명단!$G$5:$G$404,$B15))</f>
        <v>0</v>
      </c>
      <c r="M15" s="33" t="n">
        <f aca="false">IF(OR(M$4="",$B15=""),"",COUNTIFS(명단!$F$5:$F$404,M$4,명단!$G$5:$G$404,$B15))</f>
        <v>0</v>
      </c>
    </row>
    <row r="16" customFormat="false" ht="15" hidden="false" customHeight="false" outlineLevel="0" collapsed="false">
      <c r="B16" s="65" t="n">
        <f aca="false">IF(설정!$C$44="","",설정!$C$44)</f>
        <v>0.666666666666667</v>
      </c>
      <c r="C16" s="66" t="n">
        <f aca="false">IF(설정!$D$44="","",설정!$D$44)</f>
        <v>4</v>
      </c>
      <c r="D16" s="33" t="n">
        <f aca="false">IF(OR(D$4="",$B16=""),"",COUNTIFS(명단!$F$5:$F$404,D$4,명단!$G$5:$G$404,$B16))</f>
        <v>0</v>
      </c>
      <c r="E16" s="33" t="n">
        <f aca="false">IF(OR(E$4="",$B16=""),"",COUNTIFS(명단!$F$5:$F$404,E$4,명단!$G$5:$G$404,$B16))</f>
        <v>0</v>
      </c>
      <c r="F16" s="33" t="n">
        <f aca="false">IF(OR(F$4="",$B16=""),"",COUNTIFS(명단!$F$5:$F$404,F$4,명단!$G$5:$G$404,$B16))</f>
        <v>0</v>
      </c>
      <c r="G16" s="33" t="n">
        <f aca="false">IF(OR(G$4="",$B16=""),"",COUNTIFS(명단!$F$5:$F$404,G$4,명단!$G$5:$G$404,$B16))</f>
        <v>0</v>
      </c>
      <c r="H16" s="33" t="n">
        <f aca="false">IF(OR(H$4="",$B16=""),"",COUNTIFS(명단!$F$5:$F$404,H$4,명단!$G$5:$G$404,$B16))</f>
        <v>0</v>
      </c>
      <c r="I16" s="33" t="n">
        <f aca="false">IF(OR(I$4="",$B16=""),"",COUNTIFS(명단!$F$5:$F$404,I$4,명단!$G$5:$G$404,$B16))</f>
        <v>0</v>
      </c>
      <c r="J16" s="33" t="n">
        <f aca="false">IF(OR(J$4="",$B16=""),"",COUNTIFS(명단!$F$5:$F$404,J$4,명단!$G$5:$G$404,$B16))</f>
        <v>0</v>
      </c>
      <c r="K16" s="33" t="n">
        <f aca="false">IF(OR(K$4="",$B16=""),"",COUNTIFS(명단!$F$5:$F$404,K$4,명단!$G$5:$G$404,$B16))</f>
        <v>0</v>
      </c>
      <c r="L16" s="33" t="n">
        <f aca="false">IF(OR(L$4="",$B16=""),"",COUNTIFS(명단!$F$5:$F$404,L$4,명단!$G$5:$G$404,$B16))</f>
        <v>0</v>
      </c>
      <c r="M16" s="33" t="n">
        <f aca="false">IF(OR(M$4="",$B16=""),"",COUNTIFS(명단!$F$5:$F$404,M$4,명단!$G$5:$G$404,$B16))</f>
        <v>0</v>
      </c>
    </row>
    <row r="17" customFormat="false" ht="15" hidden="false" customHeight="true" outlineLevel="0" collapsed="false">
      <c r="B17" s="31" t="s">
        <v>212</v>
      </c>
      <c r="C17" s="31"/>
      <c r="D17" s="41" t="n">
        <f aca="false">IF(D$4="","",COUNTIFS(명단!$F$5:$F$404,D$4,명단!$G$5:$G$404,""))</f>
        <v>0</v>
      </c>
      <c r="E17" s="41" t="n">
        <f aca="false">IF(E$4="","",COUNTIFS(명단!$F$5:$F$404,E$4,명단!$G$5:$G$404,""))</f>
        <v>0</v>
      </c>
      <c r="F17" s="41" t="n">
        <f aca="false">IF(F$4="","",COUNTIFS(명단!$F$5:$F$404,F$4,명단!$G$5:$G$404,""))</f>
        <v>0</v>
      </c>
      <c r="G17" s="41" t="n">
        <f aca="false">IF(G$4="","",COUNTIFS(명단!$F$5:$F$404,G$4,명단!$G$5:$G$404,""))</f>
        <v>0</v>
      </c>
      <c r="H17" s="41" t="n">
        <f aca="false">IF(H$4="","",COUNTIFS(명단!$F$5:$F$404,H$4,명단!$G$5:$G$404,""))</f>
        <v>0</v>
      </c>
      <c r="I17" s="41" t="n">
        <f aca="false">IF(I$4="","",COUNTIFS(명단!$F$5:$F$404,I$4,명단!$G$5:$G$404,""))</f>
        <v>0</v>
      </c>
      <c r="J17" s="41" t="n">
        <f aca="false">IF(J$4="","",COUNTIFS(명단!$F$5:$F$404,J$4,명단!$G$5:$G$404,""))</f>
        <v>0</v>
      </c>
      <c r="K17" s="41" t="n">
        <f aca="false">IF(K$4="","",COUNTIFS(명단!$F$5:$F$404,K$4,명단!$G$5:$G$404,""))</f>
        <v>0</v>
      </c>
      <c r="L17" s="41" t="n">
        <f aca="false">IF(L$4="","",COUNTIFS(명단!$F$5:$F$404,L$4,명단!$G$5:$G$404,""))</f>
        <v>0</v>
      </c>
      <c r="M17" s="41" t="n">
        <f aca="false">IF(M$4="","",COUNTIFS(명단!$F$5:$F$404,M$4,명단!$G$5:$G$404,""))</f>
        <v>0</v>
      </c>
    </row>
    <row r="18" customFormat="false" ht="15" hidden="false" customHeight="true" outlineLevel="0" collapsed="false">
      <c r="B18" s="31" t="s">
        <v>213</v>
      </c>
      <c r="C18" s="31"/>
      <c r="D18" s="67" t="n">
        <f aca="false">IF(D$4="","",COUNTIFS(명단!$F$5:$F$404,D$4))</f>
        <v>0</v>
      </c>
      <c r="E18" s="67" t="n">
        <f aca="false">IF(E$4="","",COUNTIFS(명단!$F$5:$F$404,E$4))</f>
        <v>0</v>
      </c>
      <c r="F18" s="67" t="n">
        <f aca="false">IF(F$4="","",COUNTIFS(명단!$F$5:$F$404,F$4))</f>
        <v>0</v>
      </c>
      <c r="G18" s="67" t="n">
        <f aca="false">IF(G$4="","",COUNTIFS(명단!$F$5:$F$404,G$4))</f>
        <v>0</v>
      </c>
      <c r="H18" s="67" t="n">
        <f aca="false">IF(H$4="","",COUNTIFS(명단!$F$5:$F$404,H$4))</f>
        <v>0</v>
      </c>
      <c r="I18" s="67" t="n">
        <f aca="false">IF(I$4="","",COUNTIFS(명단!$F$5:$F$404,I$4))</f>
        <v>0</v>
      </c>
      <c r="J18" s="67" t="n">
        <f aca="false">IF(J$4="","",COUNTIFS(명단!$F$5:$F$404,J$4))</f>
        <v>0</v>
      </c>
      <c r="K18" s="67" t="n">
        <f aca="false">IF(K$4="","",COUNTIFS(명단!$F$5:$F$404,K$4))</f>
        <v>0</v>
      </c>
      <c r="L18" s="67" t="n">
        <f aca="false">IF(L$4="","",COUNTIFS(명단!$F$5:$F$404,L$4))</f>
        <v>0</v>
      </c>
      <c r="M18" s="67" t="n">
        <f aca="false">IF(M$4="","",COUNTIFS(명단!$F$5:$F$404,M$4))</f>
        <v>0</v>
      </c>
    </row>
    <row r="19" customFormat="false" ht="15" hidden="false" customHeight="true" outlineLevel="0" collapsed="false">
      <c r="B19" s="31" t="s">
        <v>214</v>
      </c>
      <c r="C19" s="31"/>
      <c r="D19" s="41" t="n">
        <f aca="false">IF(D$4="","",SUM($C$5:$C$16))</f>
        <v>48</v>
      </c>
      <c r="E19" s="41" t="n">
        <f aca="false">IF(E$4="","",SUM($C$5:$C$16))</f>
        <v>48</v>
      </c>
      <c r="F19" s="41" t="n">
        <f aca="false">IF(F$4="","",SUM($C$5:$C$16))</f>
        <v>48</v>
      </c>
      <c r="G19" s="41" t="n">
        <f aca="false">IF(G$4="","",SUM($C$5:$C$16))</f>
        <v>48</v>
      </c>
      <c r="H19" s="41" t="n">
        <f aca="false">IF(H$4="","",SUM($C$5:$C$16))</f>
        <v>48</v>
      </c>
      <c r="I19" s="41" t="n">
        <f aca="false">IF(I$4="","",SUM($C$5:$C$16))</f>
        <v>48</v>
      </c>
      <c r="J19" s="41" t="n">
        <f aca="false">IF(J$4="","",SUM($C$5:$C$16))</f>
        <v>48</v>
      </c>
      <c r="K19" s="41" t="n">
        <f aca="false">IF(K$4="","",SUM($C$5:$C$16))</f>
        <v>48</v>
      </c>
      <c r="L19" s="41" t="n">
        <f aca="false">IF(L$4="","",SUM($C$5:$C$16))</f>
        <v>48</v>
      </c>
      <c r="M19" s="41" t="n">
        <f aca="false">IF(M$4="","",SUM($C$5:$C$16))</f>
        <v>48</v>
      </c>
    </row>
    <row r="20" customFormat="false" ht="15" hidden="false" customHeight="true" outlineLevel="0" collapsed="false">
      <c r="B20" s="31" t="s">
        <v>215</v>
      </c>
      <c r="C20" s="31"/>
      <c r="D20" s="67" t="n">
        <f aca="false">IF(D$4="","",COUNTIFS(명단!$F$5:$F$404,D$4,명단!$AA$5:$AA$404,"완료"))</f>
        <v>0</v>
      </c>
      <c r="E20" s="67" t="n">
        <f aca="false">IF(E$4="","",COUNTIFS(명단!$F$5:$F$404,E$4,명단!$AA$5:$AA$404,"완료"))</f>
        <v>0</v>
      </c>
      <c r="F20" s="67" t="n">
        <f aca="false">IF(F$4="","",COUNTIFS(명단!$F$5:$F$404,F$4,명단!$AA$5:$AA$404,"완료"))</f>
        <v>0</v>
      </c>
      <c r="G20" s="67" t="n">
        <f aca="false">IF(G$4="","",COUNTIFS(명단!$F$5:$F$404,G$4,명단!$AA$5:$AA$404,"완료"))</f>
        <v>0</v>
      </c>
      <c r="H20" s="67" t="n">
        <f aca="false">IF(H$4="","",COUNTIFS(명단!$F$5:$F$404,H$4,명단!$AA$5:$AA$404,"완료"))</f>
        <v>0</v>
      </c>
      <c r="I20" s="67" t="n">
        <f aca="false">IF(I$4="","",COUNTIFS(명단!$F$5:$F$404,I$4,명단!$AA$5:$AA$404,"완료"))</f>
        <v>0</v>
      </c>
      <c r="J20" s="67" t="n">
        <f aca="false">IF(J$4="","",COUNTIFS(명단!$F$5:$F$404,J$4,명단!$AA$5:$AA$404,"완료"))</f>
        <v>0</v>
      </c>
      <c r="K20" s="67" t="n">
        <f aca="false">IF(K$4="","",COUNTIFS(명단!$F$5:$F$404,K$4,명단!$AA$5:$AA$404,"완료"))</f>
        <v>0</v>
      </c>
      <c r="L20" s="67" t="n">
        <f aca="false">IF(L$4="","",COUNTIFS(명단!$F$5:$F$404,L$4,명단!$AA$5:$AA$404,"완료"))</f>
        <v>0</v>
      </c>
      <c r="M20" s="67" t="n">
        <f aca="false">IF(M$4="","",COUNTIFS(명단!$F$5:$F$404,M$4,명단!$AA$5:$AA$404,"완료"))</f>
        <v>0</v>
      </c>
    </row>
    <row r="21" customFormat="false" ht="15" hidden="false" customHeight="true" outlineLevel="0" collapsed="false">
      <c r="B21" s="31" t="s">
        <v>216</v>
      </c>
      <c r="C21" s="31"/>
      <c r="D21" s="41" t="n">
        <f aca="false">IF(D$4="","",COUNTIFS(명단!$F$5:$F$404,D$4,명단!$AA$5:$AA$404,"불참")+COUNTIFS(명단!$F$5:$F$404,D$4,명단!$AA$5:$AA$404,"연기"))</f>
        <v>0</v>
      </c>
      <c r="E21" s="41" t="n">
        <f aca="false">IF(E$4="","",COUNTIFS(명단!$F$5:$F$404,E$4,명단!$AA$5:$AA$404,"불참")+COUNTIFS(명단!$F$5:$F$404,E$4,명단!$AA$5:$AA$404,"연기"))</f>
        <v>0</v>
      </c>
      <c r="F21" s="41" t="n">
        <f aca="false">IF(F$4="","",COUNTIFS(명단!$F$5:$F$404,F$4,명단!$AA$5:$AA$404,"불참")+COUNTIFS(명단!$F$5:$F$404,F$4,명단!$AA$5:$AA$404,"연기"))</f>
        <v>0</v>
      </c>
      <c r="G21" s="41" t="n">
        <f aca="false">IF(G$4="","",COUNTIFS(명단!$F$5:$F$404,G$4,명단!$AA$5:$AA$404,"불참")+COUNTIFS(명단!$F$5:$F$404,G$4,명단!$AA$5:$AA$404,"연기"))</f>
        <v>0</v>
      </c>
      <c r="H21" s="41" t="n">
        <f aca="false">IF(H$4="","",COUNTIFS(명단!$F$5:$F$404,H$4,명단!$AA$5:$AA$404,"불참")+COUNTIFS(명단!$F$5:$F$404,H$4,명단!$AA$5:$AA$404,"연기"))</f>
        <v>0</v>
      </c>
      <c r="I21" s="41" t="n">
        <f aca="false">IF(I$4="","",COUNTIFS(명단!$F$5:$F$404,I$4,명단!$AA$5:$AA$404,"불참")+COUNTIFS(명단!$F$5:$F$404,I$4,명단!$AA$5:$AA$404,"연기"))</f>
        <v>0</v>
      </c>
      <c r="J21" s="41" t="n">
        <f aca="false">IF(J$4="","",COUNTIFS(명단!$F$5:$F$404,J$4,명단!$AA$5:$AA$404,"불참")+COUNTIFS(명단!$F$5:$F$404,J$4,명단!$AA$5:$AA$404,"연기"))</f>
        <v>0</v>
      </c>
      <c r="K21" s="41" t="n">
        <f aca="false">IF(K$4="","",COUNTIFS(명단!$F$5:$F$404,K$4,명단!$AA$5:$AA$404,"불참")+COUNTIFS(명단!$F$5:$F$404,K$4,명단!$AA$5:$AA$404,"연기"))</f>
        <v>0</v>
      </c>
      <c r="L21" s="41" t="n">
        <f aca="false">IF(L$4="","",COUNTIFS(명단!$F$5:$F$404,L$4,명단!$AA$5:$AA$404,"불참")+COUNTIFS(명단!$F$5:$F$404,L$4,명단!$AA$5:$AA$404,"연기"))</f>
        <v>0</v>
      </c>
      <c r="M21" s="41" t="n">
        <f aca="false">IF(M$4="","",COUNTIFS(명단!$F$5:$F$404,M$4,명단!$AA$5:$AA$404,"불참")+COUNTIFS(명단!$F$5:$F$404,M$4,명단!$AA$5:$AA$404,"연기"))</f>
        <v>0</v>
      </c>
    </row>
    <row r="22" customFormat="false" ht="15" hidden="false" customHeight="true" outlineLevel="0" collapsed="false">
      <c r="B22" s="31" t="s">
        <v>217</v>
      </c>
      <c r="C22" s="31"/>
      <c r="D22" s="41" t="n">
        <f aca="false">IF(D$4="","",D18-D20-D21)</f>
        <v>0</v>
      </c>
      <c r="E22" s="41" t="n">
        <f aca="false">IF(E$4="","",E18-E20-E21)</f>
        <v>0</v>
      </c>
      <c r="F22" s="41" t="n">
        <f aca="false">IF(F$4="","",F18-F20-F21)</f>
        <v>0</v>
      </c>
      <c r="G22" s="41" t="n">
        <f aca="false">IF(G$4="","",G18-G20-G21)</f>
        <v>0</v>
      </c>
      <c r="H22" s="41" t="n">
        <f aca="false">IF(H$4="","",H18-H20-H21)</f>
        <v>0</v>
      </c>
      <c r="I22" s="41" t="n">
        <f aca="false">IF(I$4="","",I18-I20-I21)</f>
        <v>0</v>
      </c>
      <c r="J22" s="41" t="n">
        <f aca="false">IF(J$4="","",J18-J20-J21)</f>
        <v>0</v>
      </c>
      <c r="K22" s="41" t="n">
        <f aca="false">IF(K$4="","",K18-K20-K21)</f>
        <v>0</v>
      </c>
      <c r="L22" s="41" t="n">
        <f aca="false">IF(L$4="","",L18-L20-L21)</f>
        <v>0</v>
      </c>
      <c r="M22" s="41" t="n">
        <f aca="false">IF(M$4="","",M18-M20-M21)</f>
        <v>0</v>
      </c>
    </row>
    <row r="23" customFormat="false" ht="15" hidden="false" customHeight="true" outlineLevel="0" collapsed="false">
      <c r="B23" s="31" t="s">
        <v>218</v>
      </c>
      <c r="C23" s="31"/>
      <c r="D23" s="68" t="str">
        <f aca="false">IF(D$4="","",IF(D18=0,"-",D20/D18))</f>
        <v>-</v>
      </c>
      <c r="E23" s="68" t="str">
        <f aca="false">IF(E$4="","",IF(E18=0,"-",E20/E18))</f>
        <v>-</v>
      </c>
      <c r="F23" s="68" t="str">
        <f aca="false">IF(F$4="","",IF(F18=0,"-",F20/F18))</f>
        <v>-</v>
      </c>
      <c r="G23" s="68" t="str">
        <f aca="false">IF(G$4="","",IF(G18=0,"-",G20/G18))</f>
        <v>-</v>
      </c>
      <c r="H23" s="68" t="str">
        <f aca="false">IF(H$4="","",IF(H18=0,"-",H20/H18))</f>
        <v>-</v>
      </c>
      <c r="I23" s="68" t="str">
        <f aca="false">IF(I$4="","",IF(I18=0,"-",I20/I18))</f>
        <v>-</v>
      </c>
      <c r="J23" s="68" t="str">
        <f aca="false">IF(J$4="","",IF(J18=0,"-",J20/J18))</f>
        <v>-</v>
      </c>
      <c r="K23" s="68" t="str">
        <f aca="false">IF(K$4="","",IF(K18=0,"-",K20/K18))</f>
        <v>-</v>
      </c>
      <c r="L23" s="68" t="str">
        <f aca="false">IF(L$4="","",IF(L18=0,"-",L20/L18))</f>
        <v>-</v>
      </c>
      <c r="M23" s="68" t="str">
        <f aca="false">IF(M$4="","",IF(M18=0,"-",M20/M18))</f>
        <v>-</v>
      </c>
    </row>
    <row r="24" customFormat="false" ht="15" hidden="false" customHeight="true" outlineLevel="0" collapsed="false">
      <c r="B24" s="31" t="s">
        <v>219</v>
      </c>
      <c r="C24" s="31"/>
      <c r="D24" s="41" t="str">
        <f aca="false">IF(D$4="","",TEXT(D$4,"m/d"))</f>
        <v>10/19</v>
      </c>
      <c r="E24" s="41" t="str">
        <f aca="false">IF(E$4="","",TEXT(E$4,"m/d"))</f>
        <v>10/20</v>
      </c>
      <c r="F24" s="41" t="str">
        <f aca="false">IF(F$4="","",TEXT(F$4,"m/d"))</f>
        <v>10/21</v>
      </c>
      <c r="G24" s="41" t="str">
        <f aca="false">IF(G$4="","",TEXT(G$4,"m/d"))</f>
        <v>10/22</v>
      </c>
      <c r="H24" s="41" t="str">
        <f aca="false">IF(H$4="","",TEXT(H$4,"m/d"))</f>
        <v>10/23</v>
      </c>
      <c r="I24" s="41" t="str">
        <f aca="false">IF(I$4="","",TEXT(I$4,"m/d"))</f>
        <v>10/26</v>
      </c>
      <c r="J24" s="41" t="str">
        <f aca="false">IF(J$4="","",TEXT(J$4,"m/d"))</f>
        <v>10/27</v>
      </c>
      <c r="K24" s="41" t="str">
        <f aca="false">IF(K$4="","",TEXT(K$4,"m/d"))</f>
        <v>10/28</v>
      </c>
      <c r="L24" s="41" t="str">
        <f aca="false">IF(L$4="","",TEXT(L$4,"m/d"))</f>
        <v>10/29</v>
      </c>
      <c r="M24" s="41" t="str">
        <f aca="false">IF(M$4="","",TEXT(M$4,"m/d"))</f>
        <v>10/30</v>
      </c>
    </row>
    <row r="25" customFormat="false" ht="15" hidden="false" customHeight="false" outlineLevel="0" collapsed="false">
      <c r="B25" s="2" t="s">
        <v>220</v>
      </c>
    </row>
  </sheetData>
  <mergeCells count="8">
    <mergeCell ref="B17:C17"/>
    <mergeCell ref="B18:C18"/>
    <mergeCell ref="B19:C19"/>
    <mergeCell ref="B20:C20"/>
    <mergeCell ref="B21:C21"/>
    <mergeCell ref="B22:C22"/>
    <mergeCell ref="B23:C23"/>
    <mergeCell ref="B24:C24"/>
  </mergeCells>
  <conditionalFormatting sqref="D5:M16">
    <cfRule type="expression" priority="2" aboveAverage="0" equalAverage="0" bottom="0" percent="0" rank="0" text="" dxfId="4">
      <formula>AND(ISNUMBER(D5),ISNUMBER($C5),D5&gt;$C5)</formula>
    </cfRule>
    <cfRule type="expression" priority="3" aboveAverage="0" equalAverage="0" bottom="0" percent="0" rank="0" text="" dxfId="8">
      <formula>AND(ISNUMBER(D5),ISNUMBER($C5),D5=$C5,D5&gt;0)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B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9" min="3" style="0" width="20"/>
    <col collapsed="false" customWidth="true" hidden="false" outlineLevel="0" max="10" min="10" style="0" width="28"/>
  </cols>
  <sheetData>
    <row r="1" customFormat="false" ht="19.4" hidden="false" customHeight="false" outlineLevel="0" collapsed="false">
      <c r="B1" s="18" t="s">
        <v>221</v>
      </c>
    </row>
    <row r="2" customFormat="false" ht="15" hidden="false" customHeight="false" outlineLevel="0" collapsed="false">
      <c r="B2" s="2" t="s">
        <v>222</v>
      </c>
    </row>
    <row r="3" customFormat="false" ht="15" hidden="false" customHeight="false" outlineLevel="0" collapsed="false">
      <c r="B3" s="6" t="s">
        <v>223</v>
      </c>
      <c r="C3" s="69" t="n">
        <v>5</v>
      </c>
    </row>
    <row r="4" customFormat="false" ht="15" hidden="false" customHeight="false" outlineLevel="0" collapsed="false">
      <c r="B4" s="6" t="s">
        <v>224</v>
      </c>
      <c r="C4" s="67" t="n">
        <f aca="false">설정!C4</f>
        <v>350</v>
      </c>
    </row>
    <row r="5" customFormat="false" ht="15" hidden="false" customHeight="false" outlineLevel="0" collapsed="false">
      <c r="B5" s="6" t="s">
        <v>225</v>
      </c>
      <c r="C5" s="67" t="n">
        <f aca="false">COUNT(설정!C21:C30)</f>
        <v>10</v>
      </c>
    </row>
    <row r="6" customFormat="false" ht="15" hidden="false" customHeight="false" outlineLevel="0" collapsed="false">
      <c r="B6" s="6" t="s">
        <v>226</v>
      </c>
      <c r="C6" s="69" t="n">
        <v>2</v>
      </c>
      <c r="E6" s="2" t="s">
        <v>227</v>
      </c>
    </row>
    <row r="7" customFormat="false" ht="15" hidden="false" customHeight="false" outlineLevel="0" collapsed="false">
      <c r="B7" s="6" t="s">
        <v>228</v>
      </c>
      <c r="C7" s="67" t="n">
        <f aca="false">C5-C6</f>
        <v>8</v>
      </c>
    </row>
    <row r="8" customFormat="false" ht="15" hidden="false" customHeight="false" outlineLevel="0" collapsed="false">
      <c r="B8" s="6" t="s">
        <v>229</v>
      </c>
      <c r="C8" s="67" t="n">
        <f aca="false">IF(C7&lt;=0,"-",ROUNDUP(C4/C7,0))</f>
        <v>44</v>
      </c>
    </row>
    <row r="10" customFormat="false" ht="33.75" hidden="false" customHeight="true" outlineLevel="0" collapsed="false">
      <c r="B10" s="35" t="s">
        <v>230</v>
      </c>
      <c r="C10" s="70" t="s">
        <v>231</v>
      </c>
      <c r="D10" s="35" t="s">
        <v>232</v>
      </c>
      <c r="E10" s="35" t="s">
        <v>233</v>
      </c>
      <c r="F10" s="35" t="s">
        <v>234</v>
      </c>
      <c r="G10" s="35" t="s">
        <v>235</v>
      </c>
      <c r="H10" s="35" t="s">
        <v>236</v>
      </c>
      <c r="I10" s="35" t="s">
        <v>237</v>
      </c>
    </row>
    <row r="11" customFormat="false" ht="15" hidden="false" customHeight="false" outlineLevel="0" collapsed="false">
      <c r="B11" s="6" t="s">
        <v>238</v>
      </c>
      <c r="C11" s="69" t="n">
        <v>1</v>
      </c>
      <c r="D11" s="69" t="n">
        <v>1</v>
      </c>
      <c r="E11" s="71" t="n">
        <v>1</v>
      </c>
      <c r="F11" s="36" t="n">
        <f aca="false">IF(OR(C11&lt;=0,E11&lt;=0),"-",D11*60/C11/E11)</f>
        <v>60</v>
      </c>
      <c r="G11" s="72" t="n">
        <f aca="false">IF(ISNUMBER(F11),F11*$C$3,"-")</f>
        <v>300</v>
      </c>
      <c r="H11" s="72" t="n">
        <f aca="false">IF(AND(ISNUMBER($C$8),$C$3&gt;0),ROUNDUP($C$8*E11*C11/60/$C$3,0),"-")</f>
        <v>1</v>
      </c>
      <c r="I11" s="37" t="n">
        <f aca="false">IF(AND(ISNUMBER($C$8),$C$8&gt;0,E11&gt;0),D11*60*$C$3/($C$8*E11),"-")</f>
        <v>6.81818181818182</v>
      </c>
      <c r="J11" s="2" t="s">
        <v>239</v>
      </c>
    </row>
    <row r="12" customFormat="false" ht="15" hidden="false" customHeight="false" outlineLevel="0" collapsed="false">
      <c r="B12" s="6" t="s">
        <v>240</v>
      </c>
      <c r="C12" s="69" t="n">
        <v>5</v>
      </c>
      <c r="D12" s="69" t="n">
        <v>1</v>
      </c>
      <c r="E12" s="71" t="n">
        <v>1</v>
      </c>
      <c r="F12" s="36" t="n">
        <f aca="false">IF(OR(C12&lt;=0,E12&lt;=0),"-",D12*60/C12/E12)</f>
        <v>12</v>
      </c>
      <c r="G12" s="72" t="n">
        <f aca="false">IF(ISNUMBER(F12),F12*$C$3,"-")</f>
        <v>60</v>
      </c>
      <c r="H12" s="72" t="n">
        <f aca="false">IF(AND(ISNUMBER($C$8),$C$3&gt;0),ROUNDUP($C$8*E12*C12/60/$C$3,0),"-")</f>
        <v>1</v>
      </c>
      <c r="I12" s="37" t="n">
        <f aca="false">IF(AND(ISNUMBER($C$8),$C$8&gt;0,E12&gt;0),D12*60*$C$3/($C$8*E12),"-")</f>
        <v>6.81818181818182</v>
      </c>
      <c r="J12" s="73" t="s">
        <v>241</v>
      </c>
    </row>
    <row r="13" customFormat="false" ht="15" hidden="false" customHeight="false" outlineLevel="0" collapsed="false">
      <c r="B13" s="6" t="s">
        <v>242</v>
      </c>
      <c r="C13" s="69" t="n">
        <v>10</v>
      </c>
      <c r="D13" s="69" t="n">
        <v>2</v>
      </c>
      <c r="E13" s="71" t="n">
        <v>1</v>
      </c>
      <c r="F13" s="36" t="n">
        <f aca="false">IF(OR(C13&lt;=0,E13&lt;=0),"-",D13*60/C13/E13)</f>
        <v>12</v>
      </c>
      <c r="G13" s="72" t="n">
        <f aca="false">IF(ISNUMBER(F13),F13*$C$3,"-")</f>
        <v>60</v>
      </c>
      <c r="H13" s="72" t="n">
        <f aca="false">IF(AND(ISNUMBER($C$8),$C$3&gt;0),ROUNDUP($C$8*E13*C13/60/$C$3,0),"-")</f>
        <v>2</v>
      </c>
      <c r="I13" s="37" t="n">
        <f aca="false">IF(AND(ISNUMBER($C$8),$C$8&gt;0,E13&gt;0),D13*60*$C$3/($C$8*E13),"-")</f>
        <v>13.6363636363636</v>
      </c>
      <c r="J13" s="73" t="s">
        <v>241</v>
      </c>
    </row>
    <row r="14" customFormat="false" ht="15" hidden="false" customHeight="false" outlineLevel="0" collapsed="false">
      <c r="B14" s="2" t="s">
        <v>243</v>
      </c>
    </row>
    <row r="16" customFormat="false" ht="15" hidden="false" customHeight="false" outlineLevel="0" collapsed="false">
      <c r="B16" s="12" t="s">
        <v>168</v>
      </c>
      <c r="C16" s="4"/>
    </row>
    <row r="17" customFormat="false" ht="15" hidden="false" customHeight="false" outlineLevel="0" collapsed="false">
      <c r="B17" s="6" t="s">
        <v>244</v>
      </c>
      <c r="C17" s="67" t="str">
        <f aca="false">INDEX(B11:B13,MATCH(MIN(F11:F13),F11:F13,0))</f>
        <v>혈압·혈당 측정 부스</v>
      </c>
    </row>
    <row r="18" customFormat="false" ht="15" hidden="false" customHeight="false" outlineLevel="0" collapsed="false">
      <c r="B18" s="6" t="s">
        <v>245</v>
      </c>
      <c r="C18" s="37" t="n">
        <f aca="false">MIN(F11:F13)</f>
        <v>12</v>
      </c>
    </row>
    <row r="19" customFormat="false" ht="15" hidden="false" customHeight="false" outlineLevel="0" collapsed="false">
      <c r="B19" s="6" t="s">
        <v>246</v>
      </c>
      <c r="C19" s="74" t="n">
        <f aca="false">C18*C3</f>
        <v>60</v>
      </c>
    </row>
    <row r="20" customFormat="false" ht="15" hidden="false" customHeight="false" outlineLevel="0" collapsed="false">
      <c r="B20" s="6" t="s">
        <v>247</v>
      </c>
      <c r="C20" s="67" t="n">
        <f aca="false">ROUNDUP(C4/C19,0)</f>
        <v>6</v>
      </c>
    </row>
    <row r="21" customFormat="false" ht="15" hidden="false" customHeight="false" outlineLevel="0" collapsed="false">
      <c r="B21" s="6" t="s">
        <v>248</v>
      </c>
      <c r="C21" s="37" t="n">
        <f aca="false">IF(ISNUMBER(C8),C8/C18,"-")</f>
        <v>3.66666666666667</v>
      </c>
    </row>
    <row r="22" customFormat="false" ht="15" hidden="false" customHeight="false" outlineLevel="0" collapsed="false">
      <c r="B22" s="6" t="s">
        <v>169</v>
      </c>
      <c r="C22" s="10" t="str">
        <f aca="false">IF(C20&lt;=C7,"가능 ("&amp;C7&amp;"일 이내)","부족: "&amp;C17&amp;" 부스를 늘리거나 운영일·시간 확대 필요")</f>
        <v>가능 (8일 이내)</v>
      </c>
      <c r="D22" s="10"/>
      <c r="E22" s="10"/>
      <c r="F22" s="10"/>
    </row>
    <row r="24" customFormat="false" ht="15" hidden="false" customHeight="false" outlineLevel="0" collapsed="false">
      <c r="B24" s="2" t="s">
        <v>249</v>
      </c>
    </row>
  </sheetData>
  <mergeCells count="1">
    <mergeCell ref="C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B2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74"/>
  </cols>
  <sheetData>
    <row r="2" customFormat="false" ht="19.4" hidden="false" customHeight="false" outlineLevel="0" collapsed="false">
      <c r="B2" s="18" t="s">
        <v>250</v>
      </c>
    </row>
    <row r="3" customFormat="false" ht="15" hidden="false" customHeight="false" outlineLevel="0" collapsed="false">
      <c r="B3" s="2" t="s">
        <v>251</v>
      </c>
    </row>
    <row r="4" customFormat="false" ht="15" hidden="false" customHeight="false" outlineLevel="0" collapsed="false">
      <c r="B4" s="6" t="s">
        <v>224</v>
      </c>
      <c r="C4" s="69" t="n">
        <v>350</v>
      </c>
      <c r="E4" s="75" t="s">
        <v>252</v>
      </c>
    </row>
    <row r="5" customFormat="false" ht="15" hidden="false" customHeight="false" outlineLevel="0" collapsed="false">
      <c r="B5" s="6" t="s">
        <v>253</v>
      </c>
      <c r="C5" s="69" t="n">
        <v>4</v>
      </c>
      <c r="E5" s="75" t="s">
        <v>254</v>
      </c>
    </row>
    <row r="6" customFormat="false" ht="15" hidden="false" customHeight="false" outlineLevel="0" collapsed="false">
      <c r="B6" s="6" t="s">
        <v>255</v>
      </c>
      <c r="C6" s="69" t="n">
        <v>4</v>
      </c>
      <c r="E6" s="75" t="s">
        <v>256</v>
      </c>
    </row>
    <row r="8" customFormat="false" ht="15" hidden="false" customHeight="false" outlineLevel="0" collapsed="false">
      <c r="B8" s="12" t="s">
        <v>257</v>
      </c>
      <c r="C8" s="4"/>
      <c r="D8" s="4"/>
    </row>
    <row r="9" customFormat="false" ht="15" hidden="false" customHeight="false" outlineLevel="0" collapsed="false">
      <c r="B9" s="6" t="s">
        <v>258</v>
      </c>
      <c r="C9" s="69" t="n">
        <v>140</v>
      </c>
      <c r="E9" s="75" t="s">
        <v>259</v>
      </c>
    </row>
    <row r="10" customFormat="false" ht="15" hidden="false" customHeight="false" outlineLevel="0" collapsed="false">
      <c r="B10" s="6" t="s">
        <v>260</v>
      </c>
      <c r="C10" s="69" t="n">
        <v>90</v>
      </c>
      <c r="E10" s="75"/>
    </row>
    <row r="11" customFormat="false" ht="15" hidden="false" customHeight="false" outlineLevel="0" collapsed="false">
      <c r="B11" s="6" t="s">
        <v>261</v>
      </c>
      <c r="C11" s="69" t="n">
        <v>180</v>
      </c>
      <c r="E11" s="75" t="s">
        <v>262</v>
      </c>
    </row>
    <row r="12" customFormat="false" ht="15" hidden="false" customHeight="false" outlineLevel="0" collapsed="false">
      <c r="B12" s="6" t="s">
        <v>263</v>
      </c>
      <c r="C12" s="69" t="n">
        <v>110</v>
      </c>
      <c r="E12" s="75"/>
    </row>
    <row r="13" customFormat="false" ht="15" hidden="false" customHeight="false" outlineLevel="0" collapsed="false">
      <c r="B13" s="6" t="s">
        <v>264</v>
      </c>
      <c r="C13" s="69" t="n">
        <v>90</v>
      </c>
      <c r="E13" s="75" t="s">
        <v>265</v>
      </c>
    </row>
    <row r="14" customFormat="false" ht="15" hidden="false" customHeight="false" outlineLevel="0" collapsed="false">
      <c r="B14" s="12" t="s">
        <v>266</v>
      </c>
      <c r="C14" s="4"/>
      <c r="D14" s="4"/>
    </row>
    <row r="15" customFormat="false" ht="15" hidden="false" customHeight="false" outlineLevel="0" collapsed="false">
      <c r="B15" s="6" t="s">
        <v>267</v>
      </c>
      <c r="C15" s="69" t="n">
        <v>126</v>
      </c>
      <c r="E15" s="75" t="s">
        <v>268</v>
      </c>
    </row>
    <row r="16" customFormat="false" ht="15" hidden="false" customHeight="false" outlineLevel="0" collapsed="false">
      <c r="B16" s="6" t="s">
        <v>269</v>
      </c>
      <c r="C16" s="69" t="n">
        <v>200</v>
      </c>
      <c r="E16" s="75" t="s">
        <v>270</v>
      </c>
    </row>
    <row r="17" customFormat="false" ht="15" hidden="false" customHeight="false" outlineLevel="0" collapsed="false">
      <c r="B17" s="6" t="s">
        <v>271</v>
      </c>
      <c r="C17" s="69" t="n">
        <v>70</v>
      </c>
      <c r="E17" s="75" t="s">
        <v>272</v>
      </c>
    </row>
    <row r="18" customFormat="false" ht="15" hidden="false" customHeight="false" outlineLevel="0" collapsed="false">
      <c r="B18" s="6" t="s">
        <v>273</v>
      </c>
      <c r="C18" s="69" t="n">
        <v>300</v>
      </c>
      <c r="E18" s="75" t="s">
        <v>274</v>
      </c>
    </row>
    <row r="19" customFormat="false" ht="15" hidden="false" customHeight="false" outlineLevel="0" collapsed="false">
      <c r="B19" s="45" t="s">
        <v>275</v>
      </c>
    </row>
    <row r="20" customFormat="false" ht="15" hidden="false" customHeight="false" outlineLevel="0" collapsed="false">
      <c r="B20" s="12" t="s">
        <v>276</v>
      </c>
      <c r="C20" s="76" t="s">
        <v>277</v>
      </c>
      <c r="D20" s="4"/>
    </row>
    <row r="21" customFormat="false" ht="26.85" hidden="false" customHeight="false" outlineLevel="0" collapsed="false">
      <c r="B21" s="9" t="s">
        <v>278</v>
      </c>
      <c r="C21" s="77" t="n">
        <v>46314</v>
      </c>
      <c r="E21" s="75" t="s">
        <v>279</v>
      </c>
    </row>
    <row r="22" customFormat="false" ht="15" hidden="false" customHeight="false" outlineLevel="0" collapsed="false">
      <c r="B22" s="9" t="s">
        <v>280</v>
      </c>
      <c r="C22" s="77" t="n">
        <v>46315</v>
      </c>
    </row>
    <row r="23" customFormat="false" ht="15" hidden="false" customHeight="false" outlineLevel="0" collapsed="false">
      <c r="B23" s="9" t="s">
        <v>281</v>
      </c>
      <c r="C23" s="77" t="n">
        <v>46316</v>
      </c>
    </row>
    <row r="24" customFormat="false" ht="15" hidden="false" customHeight="false" outlineLevel="0" collapsed="false">
      <c r="B24" s="9" t="s">
        <v>282</v>
      </c>
      <c r="C24" s="77" t="n">
        <v>46317</v>
      </c>
    </row>
    <row r="25" customFormat="false" ht="15" hidden="false" customHeight="false" outlineLevel="0" collapsed="false">
      <c r="B25" s="9" t="s">
        <v>283</v>
      </c>
      <c r="C25" s="77" t="n">
        <v>46318</v>
      </c>
    </row>
    <row r="26" customFormat="false" ht="15" hidden="false" customHeight="false" outlineLevel="0" collapsed="false">
      <c r="B26" s="9" t="s">
        <v>284</v>
      </c>
      <c r="C26" s="77" t="n">
        <v>46321</v>
      </c>
    </row>
    <row r="27" customFormat="false" ht="15" hidden="false" customHeight="false" outlineLevel="0" collapsed="false">
      <c r="B27" s="9" t="s">
        <v>285</v>
      </c>
      <c r="C27" s="77" t="n">
        <v>46322</v>
      </c>
    </row>
    <row r="28" customFormat="false" ht="15" hidden="false" customHeight="false" outlineLevel="0" collapsed="false">
      <c r="B28" s="9" t="s">
        <v>286</v>
      </c>
      <c r="C28" s="77" t="n">
        <v>46323</v>
      </c>
    </row>
    <row r="29" customFormat="false" ht="15" hidden="false" customHeight="false" outlineLevel="0" collapsed="false">
      <c r="B29" s="9" t="s">
        <v>287</v>
      </c>
      <c r="C29" s="77" t="n">
        <v>46324</v>
      </c>
    </row>
    <row r="30" customFormat="false" ht="15" hidden="false" customHeight="false" outlineLevel="0" collapsed="false">
      <c r="B30" s="9" t="s">
        <v>288</v>
      </c>
      <c r="C30" s="77" t="n">
        <v>46325</v>
      </c>
    </row>
    <row r="32" customFormat="false" ht="15" hidden="false" customHeight="false" outlineLevel="0" collapsed="false">
      <c r="B32" s="12" t="s">
        <v>289</v>
      </c>
      <c r="C32" s="76" t="s">
        <v>210</v>
      </c>
      <c r="D32" s="76" t="s">
        <v>290</v>
      </c>
    </row>
    <row r="33" customFormat="false" ht="26.85" hidden="false" customHeight="false" outlineLevel="0" collapsed="false">
      <c r="B33" s="6" t="s">
        <v>291</v>
      </c>
      <c r="C33" s="78" t="n">
        <v>0.375</v>
      </c>
      <c r="D33" s="69" t="n">
        <v>4</v>
      </c>
      <c r="E33" s="75" t="s">
        <v>292</v>
      </c>
    </row>
    <row r="34" customFormat="false" ht="15" hidden="false" customHeight="false" outlineLevel="0" collapsed="false">
      <c r="B34" s="6" t="s">
        <v>293</v>
      </c>
      <c r="C34" s="78" t="n">
        <v>0.395833333333333</v>
      </c>
      <c r="D34" s="69" t="n">
        <v>4</v>
      </c>
      <c r="E34" s="75" t="s">
        <v>294</v>
      </c>
    </row>
    <row r="35" customFormat="false" ht="15" hidden="false" customHeight="false" outlineLevel="0" collapsed="false">
      <c r="B35" s="6" t="s">
        <v>295</v>
      </c>
      <c r="C35" s="78" t="n">
        <v>0.416666666666667</v>
      </c>
      <c r="D35" s="69" t="n">
        <v>4</v>
      </c>
    </row>
    <row r="36" customFormat="false" ht="15" hidden="false" customHeight="false" outlineLevel="0" collapsed="false">
      <c r="B36" s="6" t="s">
        <v>296</v>
      </c>
      <c r="C36" s="78" t="n">
        <v>0.4375</v>
      </c>
      <c r="D36" s="69" t="n">
        <v>4</v>
      </c>
    </row>
    <row r="37" customFormat="false" ht="15" hidden="false" customHeight="false" outlineLevel="0" collapsed="false">
      <c r="B37" s="6" t="s">
        <v>297</v>
      </c>
      <c r="C37" s="78" t="n">
        <v>0.458333333333333</v>
      </c>
      <c r="D37" s="69" t="n">
        <v>4</v>
      </c>
    </row>
    <row r="38" customFormat="false" ht="15" hidden="false" customHeight="false" outlineLevel="0" collapsed="false">
      <c r="B38" s="6" t="s">
        <v>298</v>
      </c>
      <c r="C38" s="78" t="n">
        <v>0.479166666666667</v>
      </c>
      <c r="D38" s="69" t="n">
        <v>4</v>
      </c>
    </row>
    <row r="39" customFormat="false" ht="15" hidden="false" customHeight="false" outlineLevel="0" collapsed="false">
      <c r="B39" s="6" t="s">
        <v>299</v>
      </c>
      <c r="C39" s="78" t="n">
        <v>0.5625</v>
      </c>
      <c r="D39" s="69" t="n">
        <v>4</v>
      </c>
    </row>
    <row r="40" customFormat="false" ht="15" hidden="false" customHeight="false" outlineLevel="0" collapsed="false">
      <c r="B40" s="6" t="s">
        <v>300</v>
      </c>
      <c r="C40" s="78" t="n">
        <v>0.583333333333333</v>
      </c>
      <c r="D40" s="69" t="n">
        <v>4</v>
      </c>
    </row>
    <row r="41" customFormat="false" ht="15" hidden="false" customHeight="false" outlineLevel="0" collapsed="false">
      <c r="B41" s="6" t="s">
        <v>301</v>
      </c>
      <c r="C41" s="78" t="n">
        <v>0.604166666666667</v>
      </c>
      <c r="D41" s="69" t="n">
        <v>4</v>
      </c>
    </row>
    <row r="42" customFormat="false" ht="15" hidden="false" customHeight="false" outlineLevel="0" collapsed="false">
      <c r="B42" s="6" t="s">
        <v>302</v>
      </c>
      <c r="C42" s="78" t="n">
        <v>0.625</v>
      </c>
      <c r="D42" s="69" t="n">
        <v>4</v>
      </c>
    </row>
    <row r="43" customFormat="false" ht="15" hidden="false" customHeight="false" outlineLevel="0" collapsed="false">
      <c r="B43" s="6" t="s">
        <v>303</v>
      </c>
      <c r="C43" s="78" t="n">
        <v>0.645833333333333</v>
      </c>
      <c r="D43" s="69" t="n">
        <v>4</v>
      </c>
    </row>
    <row r="44" customFormat="false" ht="15" hidden="false" customHeight="false" outlineLevel="0" collapsed="false">
      <c r="B44" s="6" t="s">
        <v>304</v>
      </c>
      <c r="C44" s="78" t="n">
        <v>0.666666666666667</v>
      </c>
      <c r="D44" s="69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2026-10-12T07:18:39Z</dcterms:created>
  <dc:creator>openpyxl</dc:creator>
  <dc:description/>
  <dc:language>en-US</dc:language>
  <cp:lastModifiedBy/>
  <dcterms:modified xsi:type="dcterms:W3CDTF">2026-10-12T07:18:46Z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