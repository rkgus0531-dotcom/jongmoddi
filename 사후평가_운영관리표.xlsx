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vmlDrawing1.vml" ContentType="application/vnd.openxmlformats-officedocument.vmlDrawing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사용법" sheetId="1" state="visible" r:id="rId3"/>
    <sheet name="현황판" sheetId="2" state="visible" r:id="rId4"/>
    <sheet name="명단" sheetId="3" state="visible" r:id="rId5"/>
    <sheet name="일정표" sheetId="4" state="visible" r:id="rId6"/>
    <sheet name="병목계산" sheetId="5" state="visible" r:id="rId7"/>
    <sheet name="설정" sheetId="6" state="visible" r:id="rId8"/>
  </sheets>
  <definedNames>
    <definedName function="false" hidden="false" localSheetId="2" name="_xlnm.Print_Area" vbProcedure="false">명단!$A$1:$W$404</definedName>
    <definedName function="false" hidden="false" localSheetId="2" name="_xlnm.Print_Titles" vbProcedure="false">명단!$3:$4</definedName>
    <definedName function="false" hidden="true" localSheetId="2" name="_xlnm._FilterDatabase" vbProcedure="false">명단!$A$4:$AG$404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K4" authorId="0">
      <text>
        <r>
          <rPr>
            <sz val="10"/>
            <rFont val="WenQuanYi Zen Hei"/>
            <family val="2"/>
          </rPr>
          <t xml:space="preserve">수축기</t>
        </r>
        <r>
          <rPr>
            <sz val="10"/>
            <rFont val="Arial"/>
            <family val="2"/>
          </rPr>
          <t xml:space="preserve">(</t>
        </r>
        <r>
          <rPr>
            <sz val="10"/>
            <rFont val="WenQuanYi Zen Hei"/>
            <family val="2"/>
          </rPr>
          <t xml:space="preserve">위</t>
        </r>
        <r>
          <rPr>
            <sz val="10"/>
            <rFont val="Arial"/>
            <family val="2"/>
          </rPr>
          <t xml:space="preserve">) </t>
        </r>
        <r>
          <rPr>
            <sz val="10"/>
            <rFont val="WenQuanYi Zen Hei"/>
            <family val="2"/>
          </rPr>
          <t xml:space="preserve">혈압</t>
        </r>
        <r>
          <rPr>
            <sz val="10"/>
            <rFont val="Arial"/>
            <family val="2"/>
          </rPr>
          <t xml:space="preserve">. </t>
        </r>
        <r>
          <rPr>
            <sz val="10"/>
            <rFont val="WenQuanYi Zen Hei"/>
            <family val="2"/>
          </rPr>
          <t xml:space="preserve">측정 거부</t>
        </r>
        <r>
          <rPr>
            <sz val="10"/>
            <rFont val="Arial"/>
            <family val="2"/>
          </rPr>
          <t xml:space="preserve">·</t>
        </r>
        <r>
          <rPr>
            <sz val="10"/>
            <rFont val="WenQuanYi Zen Hei"/>
            <family val="2"/>
          </rPr>
          <t xml:space="preserve">불가 시 </t>
        </r>
        <r>
          <rPr>
            <sz val="10"/>
            <rFont val="Arial"/>
            <family val="2"/>
          </rPr>
          <t xml:space="preserve">- </t>
        </r>
        <r>
          <rPr>
            <sz val="10"/>
            <rFont val="WenQuanYi Zen Hei"/>
            <family val="2"/>
          </rPr>
          <t xml:space="preserve">입력</t>
        </r>
      </text>
    </comment>
    <comment ref="M4" authorId="0">
      <text>
        <r>
          <rPr>
            <sz val="10"/>
            <rFont val="WenQuanYi Zen Hei"/>
            <family val="2"/>
          </rPr>
          <t xml:space="preserve">혈당</t>
        </r>
        <r>
          <rPr>
            <sz val="10"/>
            <rFont val="Arial"/>
            <family val="2"/>
          </rPr>
          <t xml:space="preserve">(mg/dL). </t>
        </r>
        <r>
          <rPr>
            <sz val="10"/>
            <rFont val="WenQuanYi Zen Hei"/>
            <family val="2"/>
          </rPr>
          <t xml:space="preserve">측정 거부</t>
        </r>
        <r>
          <rPr>
            <sz val="10"/>
            <rFont val="Arial"/>
            <family val="2"/>
          </rPr>
          <t xml:space="preserve">·</t>
        </r>
        <r>
          <rPr>
            <sz val="10"/>
            <rFont val="WenQuanYi Zen Hei"/>
            <family val="2"/>
          </rPr>
          <t xml:space="preserve">불가 시 </t>
        </r>
        <r>
          <rPr>
            <sz val="10"/>
            <rFont val="Arial"/>
            <family val="2"/>
          </rPr>
          <t xml:space="preserve">- </t>
        </r>
        <r>
          <rPr>
            <sz val="10"/>
            <rFont val="WenQuanYi Zen Hei"/>
            <family val="2"/>
          </rPr>
          <t xml:space="preserve">입력</t>
        </r>
      </text>
    </comment>
    <comment ref="N4" authorId="0">
      <text>
        <r>
          <rPr>
            <sz val="10"/>
            <rFont val="WenQuanYi Zen Hei"/>
            <family val="2"/>
          </rPr>
          <t xml:space="preserve">공복 </t>
        </r>
        <r>
          <rPr>
            <sz val="10"/>
            <rFont val="Arial"/>
            <family val="2"/>
          </rPr>
          <t xml:space="preserve">/ </t>
        </r>
        <r>
          <rPr>
            <sz val="10"/>
            <rFont val="WenQuanYi Zen Hei"/>
            <family val="2"/>
          </rPr>
          <t xml:space="preserve">식후 중 선택</t>
        </r>
        <r>
          <rPr>
            <sz val="10"/>
            <rFont val="Arial"/>
            <family val="2"/>
          </rPr>
          <t xml:space="preserve">. </t>
        </r>
        <r>
          <rPr>
            <sz val="10"/>
            <rFont val="WenQuanYi Zen Hei"/>
            <family val="2"/>
          </rPr>
          <t xml:space="preserve">사전평가와 같은 조건으로 측정해야 비교가 정확합니다</t>
        </r>
        <r>
          <rPr>
            <sz val="10"/>
            <rFont val="Arial"/>
            <family val="2"/>
          </rPr>
          <t xml:space="preserve">.</t>
        </r>
      </text>
    </comment>
    <comment ref="R4" authorId="0">
      <text>
        <r>
          <rPr>
            <sz val="10"/>
            <rFont val="WenQuanYi Zen Hei"/>
            <family val="2"/>
          </rPr>
          <t xml:space="preserve">당일 오지 않았거나 일정을 미룬 경우 선택</t>
        </r>
        <r>
          <rPr>
            <sz val="10"/>
            <rFont val="Arial"/>
            <family val="2"/>
          </rPr>
          <t xml:space="preserve">. </t>
        </r>
        <r>
          <rPr>
            <sz val="10"/>
            <rFont val="WenQuanYi Zen Hei"/>
            <family val="2"/>
          </rPr>
          <t xml:space="preserve">재예약하면 예약일</t>
        </r>
        <r>
          <rPr>
            <sz val="10"/>
            <rFont val="Arial"/>
            <family val="2"/>
          </rPr>
          <t xml:space="preserve">·</t>
        </r>
        <r>
          <rPr>
            <sz val="10"/>
            <rFont val="WenQuanYi Zen Hei"/>
            <family val="2"/>
          </rPr>
          <t xml:space="preserve">시간을 고치고 이 칸을 비우세요</t>
        </r>
        <r>
          <rPr>
            <sz val="10"/>
            <rFont val="Arial"/>
            <family val="2"/>
          </rPr>
          <t xml:space="preserve">.</t>
        </r>
      </text>
    </comment>
    <comment ref="V4" authorId="0">
      <text>
        <r>
          <rPr>
            <sz val="10"/>
            <rFont val="WenQuanYi Zen Hei"/>
            <family val="2"/>
          </rPr>
          <t xml:space="preserve">혈압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WenQuanYi Zen Hei"/>
            <family val="2"/>
          </rPr>
          <t xml:space="preserve">혈당이 </t>
        </r>
        <r>
          <rPr>
            <sz val="10"/>
            <rFont val="Arial"/>
            <family val="2"/>
          </rPr>
          <t xml:space="preserve">'</t>
        </r>
        <r>
          <rPr>
            <sz val="10"/>
            <rFont val="WenQuanYi Zen Hei"/>
            <family val="2"/>
          </rPr>
          <t xml:space="preserve">긴급</t>
        </r>
        <r>
          <rPr>
            <sz val="10"/>
            <rFont val="Arial"/>
            <family val="2"/>
          </rPr>
          <t xml:space="preserve">'</t>
        </r>
        <r>
          <rPr>
            <sz val="10"/>
            <rFont val="WenQuanYi Zen Hei"/>
            <family val="2"/>
          </rPr>
          <t xml:space="preserve">이거나 선생님이 </t>
        </r>
        <r>
          <rPr>
            <sz val="10"/>
            <rFont val="Arial"/>
            <family val="2"/>
          </rPr>
          <t xml:space="preserve">'</t>
        </r>
        <r>
          <rPr>
            <sz val="10"/>
            <rFont val="WenQuanYi Zen Hei"/>
            <family val="2"/>
          </rPr>
          <t xml:space="preserve">추가상담 요청</t>
        </r>
        <r>
          <rPr>
            <sz val="10"/>
            <rFont val="Arial"/>
            <family val="2"/>
          </rPr>
          <t xml:space="preserve">'</t>
        </r>
        <r>
          <rPr>
            <sz val="10"/>
            <rFont val="WenQuanYi Zen Hei"/>
            <family val="2"/>
          </rPr>
          <t xml:space="preserve">에 </t>
        </r>
        <r>
          <rPr>
            <sz val="10"/>
            <rFont val="Arial"/>
            <family val="2"/>
          </rPr>
          <t xml:space="preserve">O</t>
        </r>
        <r>
          <rPr>
            <sz val="10"/>
            <rFont val="WenQuanYi Zen Hei"/>
            <family val="2"/>
          </rPr>
          <t xml:space="preserve">를 넣으면 자동으로 </t>
        </r>
        <r>
          <rPr>
            <sz val="10"/>
            <rFont val="Arial"/>
            <family val="2"/>
          </rPr>
          <t xml:space="preserve">'</t>
        </r>
        <r>
          <rPr>
            <sz val="10"/>
            <rFont val="WenQuanYi Zen Hei"/>
            <family val="2"/>
          </rPr>
          <t xml:space="preserve">대상</t>
        </r>
        <r>
          <rPr>
            <sz val="10"/>
            <rFont val="Arial"/>
            <family val="2"/>
          </rPr>
          <t xml:space="preserve">' </t>
        </r>
        <r>
          <rPr>
            <sz val="10"/>
            <rFont val="WenQuanYi Zen Hei"/>
            <family val="2"/>
          </rPr>
          <t xml:space="preserve">표시</t>
        </r>
      </text>
    </comment>
  </commentList>
</comments>
</file>

<file path=xl/sharedStrings.xml><?xml version="1.0" encoding="utf-8"?>
<sst xmlns="http://schemas.openxmlformats.org/spreadsheetml/2006/main" count="263" uniqueCount="257">
  <si>
    <r>
      <rPr>
        <b val="true"/>
        <sz val="16"/>
        <color rgb="FF1F3864"/>
        <rFont val="WenQuanYi Zen Hei"/>
        <family val="2"/>
      </rPr>
      <t xml:space="preserve">사후평가 운영 관리표 </t>
    </r>
    <r>
      <rPr>
        <b val="true"/>
        <sz val="16"/>
        <color rgb="FF1F3864"/>
        <rFont val="맑은 고딕"/>
        <family val="0"/>
        <charset val="1"/>
      </rPr>
      <t xml:space="preserve">(2</t>
    </r>
    <r>
      <rPr>
        <b val="true"/>
        <sz val="16"/>
        <color rgb="FF1F3864"/>
        <rFont val="WenQuanYi Zen Hei"/>
        <family val="2"/>
      </rPr>
      <t xml:space="preserve">주 </t>
    </r>
    <r>
      <rPr>
        <b val="true"/>
        <sz val="16"/>
        <color rgb="FF1F3864"/>
        <rFont val="맑은 고딕"/>
        <family val="0"/>
        <charset val="1"/>
      </rPr>
      <t xml:space="preserve">· 350</t>
    </r>
    <r>
      <rPr>
        <b val="true"/>
        <sz val="16"/>
        <color rgb="FF1F3864"/>
        <rFont val="WenQuanYi Zen Hei"/>
        <family val="2"/>
      </rPr>
      <t xml:space="preserve">명</t>
    </r>
    <r>
      <rPr>
        <b val="true"/>
        <sz val="16"/>
        <color rgb="FF1F3864"/>
        <rFont val="맑은 고딕"/>
        <family val="0"/>
        <charset val="1"/>
      </rPr>
      <t xml:space="preserve">)</t>
    </r>
  </si>
  <si>
    <r>
      <rPr>
        <i val="true"/>
        <sz val="10"/>
        <color rgb="FF7F7F7F"/>
        <rFont val="WenQuanYi Zen Hei"/>
        <family val="2"/>
      </rPr>
      <t xml:space="preserve">한 사람 </t>
    </r>
    <r>
      <rPr>
        <i val="true"/>
        <sz val="10"/>
        <color rgb="FF7F7F7F"/>
        <rFont val="맑은 고딕"/>
        <family val="0"/>
        <charset val="1"/>
      </rPr>
      <t xml:space="preserve">= </t>
    </r>
    <r>
      <rPr>
        <i val="true"/>
        <sz val="10"/>
        <color rgb="FF7F7F7F"/>
        <rFont val="WenQuanYi Zen Hei"/>
        <family val="2"/>
      </rPr>
      <t xml:space="preserve">한 줄</t>
    </r>
    <r>
      <rPr>
        <i val="true"/>
        <sz val="10"/>
        <color rgb="FF7F7F7F"/>
        <rFont val="맑은 고딕"/>
        <family val="0"/>
        <charset val="1"/>
      </rPr>
      <t xml:space="preserve">. </t>
    </r>
    <r>
      <rPr>
        <i val="true"/>
        <sz val="10"/>
        <color rgb="FF7F7F7F"/>
        <rFont val="WenQuanYi Zen Hei"/>
        <family val="2"/>
      </rPr>
      <t xml:space="preserve">번호 하나로 접수 → 운동평가 → 혈압</t>
    </r>
    <r>
      <rPr>
        <i val="true"/>
        <sz val="10"/>
        <color rgb="FF7F7F7F"/>
        <rFont val="맑은 고딕"/>
        <family val="0"/>
        <charset val="1"/>
      </rPr>
      <t xml:space="preserve">·</t>
    </r>
    <r>
      <rPr>
        <i val="true"/>
        <sz val="10"/>
        <color rgb="FF7F7F7F"/>
        <rFont val="WenQuanYi Zen Hei"/>
        <family val="2"/>
      </rPr>
      <t xml:space="preserve">혈당 → 선생님 상담 → 추가상담까지 따라가며</t>
    </r>
    <r>
      <rPr>
        <i val="true"/>
        <sz val="10"/>
        <color rgb="FF7F7F7F"/>
        <rFont val="맑은 고딕"/>
        <family val="0"/>
        <charset val="1"/>
      </rPr>
      <t xml:space="preserve">, </t>
    </r>
    <r>
      <rPr>
        <i val="true"/>
        <sz val="10"/>
        <color rgb="FF7F7F7F"/>
        <rFont val="WenQuanYi Zen Hei"/>
        <family val="2"/>
      </rPr>
      <t xml:space="preserve">각 담당자는 자기 칸에 </t>
    </r>
    <r>
      <rPr>
        <i val="true"/>
        <sz val="10"/>
        <color rgb="FF7F7F7F"/>
        <rFont val="맑은 고딕"/>
        <family val="0"/>
        <charset val="1"/>
      </rPr>
      <t xml:space="preserve">O</t>
    </r>
    <r>
      <rPr>
        <i val="true"/>
        <sz val="10"/>
        <color rgb="FF7F7F7F"/>
        <rFont val="WenQuanYi Zen Hei"/>
        <family val="2"/>
      </rPr>
      <t xml:space="preserve">만 선택합니다</t>
    </r>
    <r>
      <rPr>
        <i val="true"/>
        <sz val="10"/>
        <color rgb="FF7F7F7F"/>
        <rFont val="맑은 고딕"/>
        <family val="0"/>
        <charset val="1"/>
      </rPr>
      <t xml:space="preserve">.</t>
    </r>
  </si>
  <si>
    <r>
      <rPr>
        <b val="true"/>
        <sz val="10"/>
        <color rgb="FFFFFFFF"/>
        <rFont val="맑은 고딕"/>
        <family val="0"/>
        <charset val="1"/>
      </rPr>
      <t xml:space="preserve">1. </t>
    </r>
    <r>
      <rPr>
        <b val="true"/>
        <sz val="10"/>
        <color rgb="FFFFFFFF"/>
        <rFont val="WenQuanYi Zen Hei"/>
        <family val="2"/>
      </rPr>
      <t xml:space="preserve">시트 구성</t>
    </r>
  </si>
  <si>
    <t xml:space="preserve">현황판</t>
  </si>
  <si>
    <r>
      <rPr>
        <sz val="10"/>
        <color rgb="FF000000"/>
        <rFont val="WenQuanYi Zen Hei"/>
        <family val="2"/>
      </rPr>
      <t xml:space="preserve">오늘 단계별 대기 인원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전체 진행률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일별 예약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완료 그래프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구간별 평균 소요시간</t>
    </r>
    <r>
      <rPr>
        <sz val="10"/>
        <color rgb="FF000000"/>
        <rFont val="맑은 고딕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병목 구간</t>
    </r>
    <r>
      <rPr>
        <sz val="10"/>
        <color rgb="FF000000"/>
        <rFont val="맑은 고딕"/>
        <family val="0"/>
        <charset val="1"/>
      </rPr>
      <t xml:space="preserve">)</t>
    </r>
  </si>
  <si>
    <t xml:space="preserve">명단</t>
  </si>
  <si>
    <r>
      <rPr>
        <sz val="10"/>
        <color rgb="FF000000"/>
        <rFont val="WenQuanYi Zen Hei"/>
        <family val="2"/>
      </rPr>
      <t xml:space="preserve">핵심 시트</t>
    </r>
    <r>
      <rPr>
        <sz val="10"/>
        <color rgb="FF000000"/>
        <rFont val="맑은 고딕"/>
        <family val="0"/>
        <charset val="1"/>
      </rPr>
      <t xml:space="preserve">. 400</t>
    </r>
    <r>
      <rPr>
        <sz val="10"/>
        <color rgb="FF000000"/>
        <rFont val="WenQuanYi Zen Hei"/>
        <family val="2"/>
      </rPr>
      <t xml:space="preserve">줄</t>
    </r>
    <r>
      <rPr>
        <sz val="10"/>
        <color rgb="FF000000"/>
        <rFont val="맑은 고딕"/>
        <family val="0"/>
        <charset val="1"/>
      </rPr>
      <t xml:space="preserve">(350</t>
    </r>
    <r>
      <rPr>
        <sz val="10"/>
        <color rgb="FF000000"/>
        <rFont val="WenQuanYi Zen Hei"/>
        <family val="2"/>
      </rPr>
      <t xml:space="preserve">명 </t>
    </r>
    <r>
      <rPr>
        <sz val="10"/>
        <color rgb="FF000000"/>
        <rFont val="맑은 고딕"/>
        <family val="0"/>
        <charset val="1"/>
      </rPr>
      <t xml:space="preserve">+ </t>
    </r>
    <r>
      <rPr>
        <sz val="10"/>
        <color rgb="FF000000"/>
        <rFont val="WenQuanYi Zen Hei"/>
        <family val="2"/>
      </rPr>
      <t xml:space="preserve">여유</t>
    </r>
    <r>
      <rPr>
        <sz val="10"/>
        <color rgb="FF000000"/>
        <rFont val="맑은 고딕"/>
        <family val="0"/>
        <charset val="1"/>
      </rPr>
      <t xml:space="preserve">). </t>
    </r>
    <r>
      <rPr>
        <sz val="10"/>
        <color rgb="FF000000"/>
        <rFont val="WenQuanYi Zen Hei"/>
        <family val="2"/>
      </rPr>
      <t xml:space="preserve">번호</t>
    </r>
    <r>
      <rPr>
        <sz val="10"/>
        <color rgb="FF000000"/>
        <rFont val="맑은 고딕"/>
        <family val="0"/>
        <charset val="1"/>
      </rPr>
      <t xml:space="preserve">(001~)</t>
    </r>
    <r>
      <rPr>
        <sz val="10"/>
        <color rgb="FF000000"/>
        <rFont val="WenQuanYi Zen Hei"/>
        <family val="2"/>
      </rPr>
      <t xml:space="preserve">로 찾아 입력</t>
    </r>
    <r>
      <rPr>
        <sz val="10"/>
        <color rgb="FF000000"/>
        <rFont val="맑은 고딕"/>
        <family val="0"/>
        <charset val="1"/>
      </rPr>
      <t xml:space="preserve">. </t>
    </r>
    <r>
      <rPr>
        <sz val="10"/>
        <color rgb="FF000000"/>
        <rFont val="WenQuanYi Zen Hei"/>
        <family val="2"/>
      </rPr>
      <t xml:space="preserve">맨 위 필터로 </t>
    </r>
    <r>
      <rPr>
        <sz val="10"/>
        <color rgb="FF000000"/>
        <rFont val="맑은 고딕"/>
        <family val="0"/>
        <charset val="1"/>
      </rPr>
      <t xml:space="preserve">'</t>
    </r>
    <r>
      <rPr>
        <sz val="10"/>
        <color rgb="FF000000"/>
        <rFont val="WenQuanYi Zen Hei"/>
        <family val="2"/>
      </rPr>
      <t xml:space="preserve">오늘 예약자</t>
    </r>
    <r>
      <rPr>
        <sz val="10"/>
        <color rgb="FF000000"/>
        <rFont val="맑은 고딕"/>
        <family val="0"/>
        <charset val="1"/>
      </rPr>
      <t xml:space="preserve">', '</t>
    </r>
    <r>
      <rPr>
        <sz val="10"/>
        <color rgb="FF000000"/>
        <rFont val="WenQuanYi Zen Hei"/>
        <family val="2"/>
      </rPr>
      <t xml:space="preserve">추가상담 대기</t>
    </r>
    <r>
      <rPr>
        <sz val="10"/>
        <color rgb="FF000000"/>
        <rFont val="맑은 고딕"/>
        <family val="0"/>
        <charset val="1"/>
      </rPr>
      <t xml:space="preserve">' </t>
    </r>
    <r>
      <rPr>
        <sz val="10"/>
        <color rgb="FF000000"/>
        <rFont val="WenQuanYi Zen Hei"/>
        <family val="2"/>
      </rPr>
      <t xml:space="preserve">등을 골라 봅니다</t>
    </r>
    <r>
      <rPr>
        <sz val="10"/>
        <color rgb="FF000000"/>
        <rFont val="맑은 고딕"/>
        <family val="0"/>
        <charset val="1"/>
      </rPr>
      <t xml:space="preserve">.</t>
    </r>
  </si>
  <si>
    <t xml:space="preserve">일정표</t>
  </si>
  <si>
    <r>
      <rPr>
        <sz val="10"/>
        <color rgb="FF000000"/>
        <rFont val="WenQuanYi Zen Hei"/>
        <family val="2"/>
      </rPr>
      <t xml:space="preserve">날짜 </t>
    </r>
    <r>
      <rPr>
        <sz val="10"/>
        <color rgb="FF000000"/>
        <rFont val="맑은 고딕"/>
        <family val="0"/>
        <charset val="1"/>
      </rPr>
      <t xml:space="preserve">× </t>
    </r>
    <r>
      <rPr>
        <sz val="10"/>
        <color rgb="FF000000"/>
        <rFont val="WenQuanYi Zen Hei"/>
        <family val="2"/>
      </rPr>
      <t xml:space="preserve">시간대 예약 인원</t>
    </r>
    <r>
      <rPr>
        <sz val="10"/>
        <color rgb="FF000000"/>
        <rFont val="맑은 고딕"/>
        <family val="0"/>
        <charset val="1"/>
      </rPr>
      <t xml:space="preserve">. </t>
    </r>
    <r>
      <rPr>
        <sz val="10"/>
        <color rgb="FF000000"/>
        <rFont val="WenQuanYi Zen Hei"/>
        <family val="2"/>
      </rPr>
      <t xml:space="preserve">정원 초과는 빨간색</t>
    </r>
    <r>
      <rPr>
        <sz val="10"/>
        <color rgb="FF000000"/>
        <rFont val="맑은 고딕"/>
        <family val="0"/>
        <charset val="1"/>
      </rPr>
      <t xml:space="preserve">. </t>
    </r>
    <r>
      <rPr>
        <sz val="10"/>
        <color rgb="FF000000"/>
        <rFont val="WenQuanYi Zen Hei"/>
        <family val="2"/>
      </rPr>
      <t xml:space="preserve">하루 정원 합계와 예약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완료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불참을 한눈에</t>
    </r>
    <r>
      <rPr>
        <sz val="10"/>
        <color rgb="FF000000"/>
        <rFont val="맑은 고딕"/>
        <family val="0"/>
        <charset val="1"/>
      </rPr>
      <t xml:space="preserve">.</t>
    </r>
  </si>
  <si>
    <t xml:space="preserve">병목계산</t>
  </si>
  <si>
    <r>
      <rPr>
        <sz val="10"/>
        <color rgb="FF000000"/>
        <rFont val="WenQuanYi Zen Hei"/>
        <family val="2"/>
      </rPr>
      <t xml:space="preserve">단계별 소요시간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담당 인원 → 하루 처리 가능 인원과 필요한 인력</t>
    </r>
    <r>
      <rPr>
        <sz val="10"/>
        <color rgb="FF000000"/>
        <rFont val="맑은 고딕"/>
        <family val="0"/>
        <charset val="1"/>
      </rPr>
      <t xml:space="preserve">. </t>
    </r>
    <r>
      <rPr>
        <sz val="10"/>
        <color rgb="FF000000"/>
        <rFont val="WenQuanYi Zen Hei"/>
        <family val="2"/>
      </rPr>
      <t xml:space="preserve">일정 짜기 전에 먼저 돌려 보세요</t>
    </r>
    <r>
      <rPr>
        <sz val="10"/>
        <color rgb="FF000000"/>
        <rFont val="맑은 고딕"/>
        <family val="0"/>
        <charset val="1"/>
      </rPr>
      <t xml:space="preserve">.</t>
    </r>
  </si>
  <si>
    <t xml:space="preserve">설정</t>
  </si>
  <si>
    <r>
      <rPr>
        <sz val="10"/>
        <color rgb="FF000000"/>
        <rFont val="WenQuanYi Zen Hei"/>
        <family val="2"/>
      </rPr>
      <t xml:space="preserve">목표 인원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운영일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시간대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정원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혈압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혈당 판정 기준</t>
    </r>
  </si>
  <si>
    <r>
      <rPr>
        <b val="true"/>
        <sz val="10"/>
        <color rgb="FFFFFFFF"/>
        <rFont val="맑은 고딕"/>
        <family val="0"/>
        <charset val="1"/>
      </rPr>
      <t xml:space="preserve">2. </t>
    </r>
    <r>
      <rPr>
        <b val="true"/>
        <sz val="10"/>
        <color rgb="FFFFFFFF"/>
        <rFont val="WenQuanYi Zen Hei"/>
        <family val="2"/>
      </rPr>
      <t xml:space="preserve">색 규칙</t>
    </r>
  </si>
  <si>
    <r>
      <rPr>
        <b val="true"/>
        <sz val="10"/>
        <color rgb="FF0000FF"/>
        <rFont val="WenQuanYi Zen Hei"/>
        <family val="2"/>
      </rPr>
      <t xml:space="preserve">노란 칸 </t>
    </r>
    <r>
      <rPr>
        <b val="true"/>
        <sz val="10"/>
        <color rgb="FF0000FF"/>
        <rFont val="맑은 고딕"/>
        <family val="0"/>
        <charset val="1"/>
      </rPr>
      <t xml:space="preserve">+ </t>
    </r>
    <r>
      <rPr>
        <b val="true"/>
        <sz val="10"/>
        <color rgb="FF0000FF"/>
        <rFont val="WenQuanYi Zen Hei"/>
        <family val="2"/>
      </rPr>
      <t xml:space="preserve">파란 글씨</t>
    </r>
  </si>
  <si>
    <r>
      <rPr>
        <sz val="10"/>
        <color rgb="FF000000"/>
        <rFont val="WenQuanYi Zen Hei"/>
        <family val="2"/>
      </rPr>
      <t xml:space="preserve">직접 입력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수정하는 설정값</t>
    </r>
    <r>
      <rPr>
        <sz val="10"/>
        <color rgb="FF000000"/>
        <rFont val="맑은 고딕"/>
        <family val="0"/>
        <charset val="1"/>
      </rPr>
      <t xml:space="preserve">. </t>
    </r>
    <r>
      <rPr>
        <sz val="10"/>
        <color rgb="FF000000"/>
        <rFont val="WenQuanYi Zen Hei"/>
        <family val="2"/>
      </rPr>
      <t xml:space="preserve">들어 있는 숫자는 모두 예시이니 실제 값으로 바꾸세요</t>
    </r>
    <r>
      <rPr>
        <sz val="10"/>
        <color rgb="FF000000"/>
        <rFont val="맑은 고딕"/>
        <family val="0"/>
        <charset val="1"/>
      </rPr>
      <t xml:space="preserve">.</t>
    </r>
  </si>
  <si>
    <t xml:space="preserve">회색 칸</t>
  </si>
  <si>
    <r>
      <rPr>
        <sz val="10"/>
        <color rgb="FF000000"/>
        <rFont val="WenQuanYi Zen Hei"/>
        <family val="2"/>
      </rPr>
      <t xml:space="preserve">자동 계산</t>
    </r>
    <r>
      <rPr>
        <sz val="10"/>
        <color rgb="FF000000"/>
        <rFont val="맑은 고딕"/>
        <family val="0"/>
        <charset val="1"/>
      </rPr>
      <t xml:space="preserve">. </t>
    </r>
    <r>
      <rPr>
        <sz val="10"/>
        <color rgb="FF000000"/>
        <rFont val="WenQuanYi Zen Hei"/>
        <family val="2"/>
      </rPr>
      <t xml:space="preserve">건드리지 마세요</t>
    </r>
    <r>
      <rPr>
        <sz val="10"/>
        <color rgb="FF000000"/>
        <rFont val="맑은 고딕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수식이 지워집니다</t>
    </r>
    <r>
      <rPr>
        <sz val="10"/>
        <color rgb="FF000000"/>
        <rFont val="맑은 고딕"/>
        <family val="0"/>
        <charset val="1"/>
      </rPr>
      <t xml:space="preserve">).</t>
    </r>
  </si>
  <si>
    <t xml:space="preserve">흰 칸</t>
  </si>
  <si>
    <t xml:space="preserve">명단에 직접 입력하는 칸</t>
  </si>
  <si>
    <r>
      <rPr>
        <b val="true"/>
        <sz val="10"/>
        <color rgb="FF000000"/>
        <rFont val="WenQuanYi Zen Hei"/>
        <family val="2"/>
      </rPr>
      <t xml:space="preserve">빨강 </t>
    </r>
    <r>
      <rPr>
        <b val="true"/>
        <sz val="10"/>
        <color rgb="FF000000"/>
        <rFont val="맑은 고딕"/>
        <family val="0"/>
        <charset val="1"/>
      </rPr>
      <t xml:space="preserve">/ </t>
    </r>
    <r>
      <rPr>
        <b val="true"/>
        <sz val="10"/>
        <color rgb="FF000000"/>
        <rFont val="WenQuanYi Zen Hei"/>
        <family val="2"/>
      </rPr>
      <t xml:space="preserve">주황 </t>
    </r>
    <r>
      <rPr>
        <b val="true"/>
        <sz val="10"/>
        <color rgb="FF000000"/>
        <rFont val="맑은 고딕"/>
        <family val="0"/>
        <charset val="1"/>
      </rPr>
      <t xml:space="preserve">/ </t>
    </r>
    <r>
      <rPr>
        <b val="true"/>
        <sz val="10"/>
        <color rgb="FF000000"/>
        <rFont val="WenQuanYi Zen Hei"/>
        <family val="2"/>
      </rPr>
      <t xml:space="preserve">초록</t>
    </r>
  </si>
  <si>
    <r>
      <rPr>
        <sz val="10"/>
        <color rgb="FF000000"/>
        <rFont val="WenQuanYi Zen Hei"/>
        <family val="2"/>
      </rPr>
      <t xml:space="preserve">빨강 </t>
    </r>
    <r>
      <rPr>
        <sz val="10"/>
        <color rgb="FF000000"/>
        <rFont val="맑은 고딕"/>
        <family val="0"/>
        <charset val="1"/>
      </rPr>
      <t xml:space="preserve">= </t>
    </r>
    <r>
      <rPr>
        <sz val="10"/>
        <color rgb="FF000000"/>
        <rFont val="WenQuanYi Zen Hei"/>
        <family val="2"/>
      </rPr>
      <t xml:space="preserve">긴급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정원 초과 </t>
    </r>
    <r>
      <rPr>
        <sz val="10"/>
        <color rgb="FF000000"/>
        <rFont val="맑은 고딕"/>
        <family val="0"/>
        <charset val="1"/>
      </rPr>
      <t xml:space="preserve">· </t>
    </r>
    <r>
      <rPr>
        <sz val="10"/>
        <color rgb="FF000000"/>
        <rFont val="WenQuanYi Zen Hei"/>
        <family val="2"/>
      </rPr>
      <t xml:space="preserve">주황 </t>
    </r>
    <r>
      <rPr>
        <sz val="10"/>
        <color rgb="FF000000"/>
        <rFont val="맑은 고딕"/>
        <family val="0"/>
        <charset val="1"/>
      </rPr>
      <t xml:space="preserve">= </t>
    </r>
    <r>
      <rPr>
        <sz val="10"/>
        <color rgb="FF000000"/>
        <rFont val="WenQuanYi Zen Hei"/>
        <family val="2"/>
      </rPr>
      <t xml:space="preserve">주의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추가상담 대기 </t>
    </r>
    <r>
      <rPr>
        <sz val="10"/>
        <color rgb="FF000000"/>
        <rFont val="맑은 고딕"/>
        <family val="0"/>
        <charset val="1"/>
      </rPr>
      <t xml:space="preserve">· </t>
    </r>
    <r>
      <rPr>
        <sz val="10"/>
        <color rgb="FF000000"/>
        <rFont val="WenQuanYi Zen Hei"/>
        <family val="2"/>
      </rPr>
      <t xml:space="preserve">초록 </t>
    </r>
    <r>
      <rPr>
        <sz val="10"/>
        <color rgb="FF000000"/>
        <rFont val="맑은 고딕"/>
        <family val="0"/>
        <charset val="1"/>
      </rPr>
      <t xml:space="preserve">= </t>
    </r>
    <r>
      <rPr>
        <sz val="10"/>
        <color rgb="FF000000"/>
        <rFont val="WenQuanYi Zen Hei"/>
        <family val="2"/>
      </rPr>
      <t xml:space="preserve">완료</t>
    </r>
    <r>
      <rPr>
        <sz val="10"/>
        <color rgb="FF000000"/>
        <rFont val="맑은 고딕"/>
        <family val="0"/>
        <charset val="1"/>
      </rPr>
      <t xml:space="preserve">·O </t>
    </r>
    <r>
      <rPr>
        <sz val="10"/>
        <color rgb="FF000000"/>
        <rFont val="WenQuanYi Zen Hei"/>
        <family val="2"/>
      </rPr>
      <t xml:space="preserve">입력됨</t>
    </r>
  </si>
  <si>
    <r>
      <rPr>
        <b val="true"/>
        <sz val="10"/>
        <color rgb="FFFFFFFF"/>
        <rFont val="맑은 고딕"/>
        <family val="0"/>
        <charset val="1"/>
      </rPr>
      <t xml:space="preserve">3. </t>
    </r>
    <r>
      <rPr>
        <b val="true"/>
        <sz val="10"/>
        <color rgb="FFFFFFFF"/>
        <rFont val="WenQuanYi Zen Hei"/>
        <family val="2"/>
      </rPr>
      <t xml:space="preserve">시작 전 준비 </t>
    </r>
    <r>
      <rPr>
        <b val="true"/>
        <sz val="10"/>
        <color rgb="FFFFFFFF"/>
        <rFont val="맑은 고딕"/>
        <family val="0"/>
        <charset val="1"/>
      </rPr>
      <t xml:space="preserve">(</t>
    </r>
    <r>
      <rPr>
        <b val="true"/>
        <sz val="10"/>
        <color rgb="FFFFFFFF"/>
        <rFont val="WenQuanYi Zen Hei"/>
        <family val="2"/>
      </rPr>
      <t xml:space="preserve">방문 </t>
    </r>
    <r>
      <rPr>
        <b val="true"/>
        <sz val="10"/>
        <color rgb="FFFFFFFF"/>
        <rFont val="맑은 고딕"/>
        <family val="0"/>
        <charset val="1"/>
      </rPr>
      <t xml:space="preserve">1~2</t>
    </r>
    <r>
      <rPr>
        <b val="true"/>
        <sz val="10"/>
        <color rgb="FFFFFFFF"/>
        <rFont val="WenQuanYi Zen Hei"/>
        <family val="2"/>
      </rPr>
      <t xml:space="preserve">주 전</t>
    </r>
    <r>
      <rPr>
        <b val="true"/>
        <sz val="10"/>
        <color rgb="FFFFFFFF"/>
        <rFont val="맑은 고딕"/>
        <family val="0"/>
        <charset val="1"/>
      </rPr>
      <t xml:space="preserve">)</t>
    </r>
  </si>
  <si>
    <t xml:space="preserve">① 설정</t>
  </si>
  <si>
    <r>
      <rPr>
        <sz val="10"/>
        <color rgb="FF000000"/>
        <rFont val="WenQuanYi Zen Hei"/>
        <family val="2"/>
      </rPr>
      <t xml:space="preserve">목표 인원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운영일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시간대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정원 입력</t>
    </r>
  </si>
  <si>
    <t xml:space="preserve">② 병목계산</t>
  </si>
  <si>
    <r>
      <rPr>
        <sz val="10"/>
        <color rgb="FF000000"/>
        <rFont val="WenQuanYi Zen Hei"/>
        <family val="2"/>
      </rPr>
      <t xml:space="preserve">단계별 </t>
    </r>
    <r>
      <rPr>
        <sz val="10"/>
        <color rgb="FF000000"/>
        <rFont val="맑은 고딕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인당 소요분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담당 인원 입력 → </t>
    </r>
    <r>
      <rPr>
        <sz val="10"/>
        <color rgb="FF000000"/>
        <rFont val="맑은 고딕"/>
        <family val="0"/>
        <charset val="1"/>
      </rPr>
      <t xml:space="preserve">'</t>
    </r>
    <r>
      <rPr>
        <sz val="10"/>
        <color rgb="FF000000"/>
        <rFont val="WenQuanYi Zen Hei"/>
        <family val="2"/>
      </rPr>
      <t xml:space="preserve">하루 처리 가능</t>
    </r>
    <r>
      <rPr>
        <sz val="10"/>
        <color rgb="FF000000"/>
        <rFont val="맑은 고딕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명</t>
    </r>
    <r>
      <rPr>
        <sz val="10"/>
        <color rgb="FF000000"/>
        <rFont val="맑은 고딕"/>
        <family val="0"/>
        <charset val="1"/>
      </rPr>
      <t xml:space="preserve">)'</t>
    </r>
    <r>
      <rPr>
        <sz val="10"/>
        <color rgb="FF000000"/>
        <rFont val="WenQuanYi Zen Hei"/>
        <family val="2"/>
      </rPr>
      <t xml:space="preserve">이 </t>
    </r>
    <r>
      <rPr>
        <sz val="10"/>
        <color rgb="FF000000"/>
        <rFont val="맑은 고딕"/>
        <family val="0"/>
        <charset val="1"/>
      </rPr>
      <t xml:space="preserve">'</t>
    </r>
    <r>
      <rPr>
        <sz val="10"/>
        <color rgb="FF000000"/>
        <rFont val="WenQuanYi Zen Hei"/>
        <family val="2"/>
      </rPr>
      <t xml:space="preserve">하루 목표 인원</t>
    </r>
    <r>
      <rPr>
        <sz val="10"/>
        <color rgb="FF000000"/>
        <rFont val="맑은 고딕"/>
        <family val="0"/>
        <charset val="1"/>
      </rPr>
      <t xml:space="preserve">'</t>
    </r>
    <r>
      <rPr>
        <sz val="10"/>
        <color rgb="FF000000"/>
        <rFont val="WenQuanYi Zen Hei"/>
        <family val="2"/>
      </rPr>
      <t xml:space="preserve">보다 작은 단계에 인력 추가 또는 정원 축소</t>
    </r>
  </si>
  <si>
    <t xml:space="preserve">③ 명단</t>
  </si>
  <si>
    <r>
      <rPr>
        <sz val="10"/>
        <color rgb="FF000000"/>
        <rFont val="WenQuanYi Zen Hei"/>
        <family val="2"/>
      </rPr>
      <t xml:space="preserve">번호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이름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성별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연령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연락처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예약일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예약시간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특이사항</t>
    </r>
    <r>
      <rPr>
        <sz val="10"/>
        <color rgb="FF000000"/>
        <rFont val="맑은 고딕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보행보조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청력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시력 등</t>
    </r>
    <r>
      <rPr>
        <sz val="10"/>
        <color rgb="FF000000"/>
        <rFont val="맑은 고딕"/>
        <family val="0"/>
        <charset val="1"/>
      </rPr>
      <t xml:space="preserve">) </t>
    </r>
    <r>
      <rPr>
        <sz val="10"/>
        <color rgb="FF000000"/>
        <rFont val="WenQuanYi Zen Hei"/>
        <family val="2"/>
      </rPr>
      <t xml:space="preserve">입력</t>
    </r>
    <r>
      <rPr>
        <sz val="10"/>
        <color rgb="FF000000"/>
        <rFont val="맑은 고딕"/>
        <family val="0"/>
        <charset val="1"/>
      </rPr>
      <t xml:space="preserve">. </t>
    </r>
    <r>
      <rPr>
        <sz val="10"/>
        <color rgb="FF000000"/>
        <rFont val="WenQuanYi Zen Hei"/>
        <family val="2"/>
      </rPr>
      <t xml:space="preserve">예약일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시간은 목록에서 선택</t>
    </r>
  </si>
  <si>
    <t xml:space="preserve">④ 일정표</t>
  </si>
  <si>
    <r>
      <rPr>
        <sz val="10"/>
        <color rgb="FF000000"/>
        <rFont val="WenQuanYi Zen Hei"/>
        <family val="2"/>
      </rPr>
      <t xml:space="preserve">빨간 칸</t>
    </r>
    <r>
      <rPr>
        <sz val="10"/>
        <color rgb="FF000000"/>
        <rFont val="맑은 고딕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정원 초과</t>
    </r>
    <r>
      <rPr>
        <sz val="10"/>
        <color rgb="FF000000"/>
        <rFont val="맑은 고딕"/>
        <family val="0"/>
        <charset val="1"/>
      </rPr>
      <t xml:space="preserve">)</t>
    </r>
    <r>
      <rPr>
        <sz val="10"/>
        <color rgb="FF000000"/>
        <rFont val="WenQuanYi Zen Hei"/>
        <family val="2"/>
      </rPr>
      <t xml:space="preserve">을 다른 슬롯으로 조정</t>
    </r>
    <r>
      <rPr>
        <sz val="10"/>
        <color rgb="FF000000"/>
        <rFont val="맑은 고딕"/>
        <family val="0"/>
        <charset val="1"/>
      </rPr>
      <t xml:space="preserve">. </t>
    </r>
    <r>
      <rPr>
        <sz val="10"/>
        <color rgb="FF000000"/>
        <rFont val="WenQuanYi Zen Hei"/>
        <family val="2"/>
      </rPr>
      <t xml:space="preserve">불참 대비 예비일 </t>
    </r>
    <r>
      <rPr>
        <sz val="10"/>
        <color rgb="FF000000"/>
        <rFont val="맑은 고딕"/>
        <family val="0"/>
        <charset val="1"/>
      </rPr>
      <t xml:space="preserve">1~2</t>
    </r>
    <r>
      <rPr>
        <sz val="10"/>
        <color rgb="FF000000"/>
        <rFont val="WenQuanYi Zen Hei"/>
        <family val="2"/>
      </rPr>
      <t xml:space="preserve">일 확보</t>
    </r>
  </si>
  <si>
    <r>
      <rPr>
        <b val="true"/>
        <sz val="10"/>
        <color rgb="FF000000"/>
        <rFont val="WenQuanYi Zen Hei"/>
        <family val="2"/>
      </rPr>
      <t xml:space="preserve">⑤ 이름표</t>
    </r>
    <r>
      <rPr>
        <b val="true"/>
        <sz val="10"/>
        <color rgb="FF000000"/>
        <rFont val="맑은 고딕"/>
        <family val="0"/>
        <charset val="1"/>
      </rPr>
      <t xml:space="preserve">·</t>
    </r>
    <r>
      <rPr>
        <b val="true"/>
        <sz val="10"/>
        <color rgb="FF000000"/>
        <rFont val="WenQuanYi Zen Hei"/>
        <family val="2"/>
      </rPr>
      <t xml:space="preserve">여정카드</t>
    </r>
  </si>
  <si>
    <r>
      <rPr>
        <sz val="10"/>
        <color rgb="FF000000"/>
        <rFont val="맑은 고딕"/>
        <family val="0"/>
        <charset val="1"/>
      </rPr>
      <t xml:space="preserve">'</t>
    </r>
    <r>
      <rPr>
        <sz val="10"/>
        <color rgb="FF000000"/>
        <rFont val="WenQuanYi Zen Hei"/>
        <family val="2"/>
      </rPr>
      <t xml:space="preserve">번호</t>
    </r>
    <r>
      <rPr>
        <sz val="10"/>
        <color rgb="FF000000"/>
        <rFont val="맑은 고딕"/>
        <family val="0"/>
        <charset val="1"/>
      </rPr>
      <t xml:space="preserve">'</t>
    </r>
    <r>
      <rPr>
        <sz val="10"/>
        <color rgb="FF000000"/>
        <rFont val="WenQuanYi Zen Hei"/>
        <family val="2"/>
      </rPr>
      <t xml:space="preserve">를 큰 글씨로 인쇄</t>
    </r>
    <r>
      <rPr>
        <sz val="10"/>
        <color rgb="FF000000"/>
        <rFont val="맑은 고딕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어르신 성함은 김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이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박 동명이인이 많아 번호가 기준</t>
    </r>
    <r>
      <rPr>
        <sz val="10"/>
        <color rgb="FF000000"/>
        <rFont val="맑은 고딕"/>
        <family val="0"/>
        <charset val="1"/>
      </rPr>
      <t xml:space="preserve">). </t>
    </r>
    <r>
      <rPr>
        <sz val="10"/>
        <color rgb="FF000000"/>
        <rFont val="WenQuanYi Zen Hei"/>
        <family val="2"/>
      </rPr>
      <t xml:space="preserve">카드에는 접수→운동→측정→상담 순서와 도장 칸</t>
    </r>
  </si>
  <si>
    <r>
      <rPr>
        <b val="true"/>
        <sz val="10"/>
        <color rgb="FFFFFFFF"/>
        <rFont val="맑은 고딕"/>
        <family val="0"/>
        <charset val="1"/>
      </rPr>
      <t xml:space="preserve">4. </t>
    </r>
    <r>
      <rPr>
        <b val="true"/>
        <sz val="10"/>
        <color rgb="FFFFFFFF"/>
        <rFont val="WenQuanYi Zen Hei"/>
        <family val="2"/>
      </rPr>
      <t xml:space="preserve">당일 입력 방법 </t>
    </r>
    <r>
      <rPr>
        <b val="true"/>
        <sz val="10"/>
        <color rgb="FFFFFFFF"/>
        <rFont val="맑은 고딕"/>
        <family val="0"/>
        <charset val="1"/>
      </rPr>
      <t xml:space="preserve">(</t>
    </r>
    <r>
      <rPr>
        <b val="true"/>
        <sz val="10"/>
        <color rgb="FFFFFFFF"/>
        <rFont val="WenQuanYi Zen Hei"/>
        <family val="2"/>
      </rPr>
      <t xml:space="preserve">담당자별</t>
    </r>
    <r>
      <rPr>
        <b val="true"/>
        <sz val="10"/>
        <color rgb="FFFFFFFF"/>
        <rFont val="맑은 고딕"/>
        <family val="0"/>
        <charset val="1"/>
      </rPr>
      <t xml:space="preserve">)</t>
    </r>
  </si>
  <si>
    <t xml:space="preserve">접수 담당</t>
  </si>
  <si>
    <r>
      <rPr>
        <sz val="10"/>
        <color rgb="FF000000"/>
        <rFont val="WenQuanYi Zen Hei"/>
        <family val="2"/>
      </rPr>
      <t xml:space="preserve">번호로 찾아 </t>
    </r>
    <r>
      <rPr>
        <sz val="10"/>
        <color rgb="FF000000"/>
        <rFont val="맑은 고딕"/>
        <family val="0"/>
        <charset val="1"/>
      </rPr>
      <t xml:space="preserve">'</t>
    </r>
    <r>
      <rPr>
        <sz val="10"/>
        <color rgb="FF000000"/>
        <rFont val="WenQuanYi Zen Hei"/>
        <family val="2"/>
      </rPr>
      <t xml:space="preserve">접수</t>
    </r>
    <r>
      <rPr>
        <sz val="10"/>
        <color rgb="FF000000"/>
        <rFont val="맑은 고딕"/>
        <family val="0"/>
        <charset val="1"/>
      </rPr>
      <t xml:space="preserve">'</t>
    </r>
    <r>
      <rPr>
        <sz val="10"/>
        <color rgb="FF000000"/>
        <rFont val="WenQuanYi Zen Hei"/>
        <family val="2"/>
      </rPr>
      <t xml:space="preserve">에 </t>
    </r>
    <r>
      <rPr>
        <sz val="10"/>
        <color rgb="FF000000"/>
        <rFont val="맑은 고딕"/>
        <family val="0"/>
        <charset val="1"/>
      </rPr>
      <t xml:space="preserve">O. </t>
    </r>
    <r>
      <rPr>
        <sz val="10"/>
        <color rgb="FF000000"/>
        <rFont val="WenQuanYi Zen Hei"/>
        <family val="2"/>
      </rPr>
      <t xml:space="preserve">예약일이 오늘이 아니면 예약일을 오늘로 고치세요</t>
    </r>
    <r>
      <rPr>
        <sz val="10"/>
        <color rgb="FF000000"/>
        <rFont val="맑은 고딕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현황판은 예약일 기준 집계</t>
    </r>
    <r>
      <rPr>
        <sz val="10"/>
        <color rgb="FF000000"/>
        <rFont val="맑은 고딕"/>
        <family val="0"/>
        <charset val="1"/>
      </rPr>
      <t xml:space="preserve">).</t>
    </r>
  </si>
  <si>
    <t xml:space="preserve">운동평가 담당</t>
  </si>
  <si>
    <r>
      <rPr>
        <sz val="10"/>
        <color rgb="FF000000"/>
        <rFont val="WenQuanYi Zen Hei"/>
        <family val="2"/>
      </rPr>
      <t xml:space="preserve">평가 후 </t>
    </r>
    <r>
      <rPr>
        <sz val="10"/>
        <color rgb="FF000000"/>
        <rFont val="맑은 고딕"/>
        <family val="0"/>
        <charset val="1"/>
      </rPr>
      <t xml:space="preserve">'</t>
    </r>
    <r>
      <rPr>
        <sz val="10"/>
        <color rgb="FF000000"/>
        <rFont val="WenQuanYi Zen Hei"/>
        <family val="2"/>
      </rPr>
      <t xml:space="preserve">운동평가 완료</t>
    </r>
    <r>
      <rPr>
        <sz val="10"/>
        <color rgb="FF000000"/>
        <rFont val="맑은 고딕"/>
        <family val="0"/>
        <charset val="1"/>
      </rPr>
      <t xml:space="preserve">'</t>
    </r>
    <r>
      <rPr>
        <sz val="10"/>
        <color rgb="FF000000"/>
        <rFont val="WenQuanYi Zen Hei"/>
        <family val="2"/>
      </rPr>
      <t xml:space="preserve">에 </t>
    </r>
    <r>
      <rPr>
        <sz val="10"/>
        <color rgb="FF000000"/>
        <rFont val="맑은 고딕"/>
        <family val="0"/>
        <charset val="1"/>
      </rPr>
      <t xml:space="preserve">O</t>
    </r>
  </si>
  <si>
    <t xml:space="preserve">간호실습생</t>
  </si>
  <si>
    <r>
      <rPr>
        <sz val="10"/>
        <color rgb="FF000000"/>
        <rFont val="WenQuanYi Zen Hei"/>
        <family val="2"/>
      </rPr>
      <t xml:space="preserve">수축기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이완기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혈당 입력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혈당조건</t>
    </r>
    <r>
      <rPr>
        <sz val="10"/>
        <color rgb="FF000000"/>
        <rFont val="맑은 고딕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공복</t>
    </r>
    <r>
      <rPr>
        <sz val="10"/>
        <color rgb="FF000000"/>
        <rFont val="맑은 고딕"/>
        <family val="0"/>
        <charset val="1"/>
      </rPr>
      <t xml:space="preserve">/</t>
    </r>
    <r>
      <rPr>
        <sz val="10"/>
        <color rgb="FF000000"/>
        <rFont val="WenQuanYi Zen Hei"/>
        <family val="2"/>
      </rPr>
      <t xml:space="preserve">식후</t>
    </r>
    <r>
      <rPr>
        <sz val="10"/>
        <color rgb="FF000000"/>
        <rFont val="맑은 고딕"/>
        <family val="0"/>
        <charset val="1"/>
      </rPr>
      <t xml:space="preserve">) </t>
    </r>
    <r>
      <rPr>
        <sz val="10"/>
        <color rgb="FF000000"/>
        <rFont val="WenQuanYi Zen Hei"/>
        <family val="2"/>
      </rPr>
      <t xml:space="preserve">선택</t>
    </r>
    <r>
      <rPr>
        <sz val="10"/>
        <color rgb="FF000000"/>
        <rFont val="맑은 고딕"/>
        <family val="0"/>
        <charset val="1"/>
      </rPr>
      <t xml:space="preserve">. </t>
    </r>
    <r>
      <rPr>
        <sz val="10"/>
        <color rgb="FF000000"/>
        <rFont val="WenQuanYi Zen Hei"/>
        <family val="2"/>
      </rPr>
      <t xml:space="preserve">측정 거부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불가면 해당 칸에 </t>
    </r>
    <r>
      <rPr>
        <sz val="10"/>
        <color rgb="FF000000"/>
        <rFont val="맑은 고딕"/>
        <family val="0"/>
        <charset val="1"/>
      </rPr>
      <t xml:space="preserve">- </t>
    </r>
    <r>
      <rPr>
        <sz val="10"/>
        <color rgb="FF000000"/>
        <rFont val="WenQuanYi Zen Hei"/>
        <family val="2"/>
      </rPr>
      <t xml:space="preserve">입력</t>
    </r>
    <r>
      <rPr>
        <sz val="10"/>
        <color rgb="FF000000"/>
        <rFont val="맑은 고딕"/>
        <family val="0"/>
        <charset val="1"/>
      </rPr>
      <t xml:space="preserve">. '</t>
    </r>
    <r>
      <rPr>
        <sz val="10"/>
        <color rgb="FF000000"/>
        <rFont val="WenQuanYi Zen Hei"/>
        <family val="2"/>
      </rPr>
      <t xml:space="preserve">긴급</t>
    </r>
    <r>
      <rPr>
        <sz val="10"/>
        <color rgb="FF000000"/>
        <rFont val="맑은 고딕"/>
        <family val="0"/>
        <charset val="1"/>
      </rPr>
      <t xml:space="preserve">'</t>
    </r>
    <r>
      <rPr>
        <sz val="10"/>
        <color rgb="FF000000"/>
        <rFont val="WenQuanYi Zen Hei"/>
        <family val="2"/>
      </rPr>
      <t xml:space="preserve">이 뜨면 즉시 선생님 호출</t>
    </r>
    <r>
      <rPr>
        <sz val="10"/>
        <color rgb="FF000000"/>
        <rFont val="맑은 고딕"/>
        <family val="0"/>
        <charset val="1"/>
      </rPr>
      <t xml:space="preserve">.</t>
    </r>
  </si>
  <si>
    <t xml:space="preserve">선생님</t>
  </si>
  <si>
    <r>
      <rPr>
        <sz val="10"/>
        <color rgb="FF000000"/>
        <rFont val="WenQuanYi Zen Hei"/>
        <family val="2"/>
      </rPr>
      <t xml:space="preserve">상담 후 </t>
    </r>
    <r>
      <rPr>
        <sz val="10"/>
        <color rgb="FF000000"/>
        <rFont val="맑은 고딕"/>
        <family val="0"/>
        <charset val="1"/>
      </rPr>
      <t xml:space="preserve">'</t>
    </r>
    <r>
      <rPr>
        <sz val="10"/>
        <color rgb="FF000000"/>
        <rFont val="WenQuanYi Zen Hei"/>
        <family val="2"/>
      </rPr>
      <t xml:space="preserve">선생님 상담 완료</t>
    </r>
    <r>
      <rPr>
        <sz val="10"/>
        <color rgb="FF000000"/>
        <rFont val="맑은 고딕"/>
        <family val="0"/>
        <charset val="1"/>
      </rPr>
      <t xml:space="preserve">'</t>
    </r>
    <r>
      <rPr>
        <sz val="10"/>
        <color rgb="FF000000"/>
        <rFont val="WenQuanYi Zen Hei"/>
        <family val="2"/>
      </rPr>
      <t xml:space="preserve">에 </t>
    </r>
    <r>
      <rPr>
        <sz val="10"/>
        <color rgb="FF000000"/>
        <rFont val="맑은 고딕"/>
        <family val="0"/>
        <charset val="1"/>
      </rPr>
      <t xml:space="preserve">O. </t>
    </r>
    <r>
      <rPr>
        <sz val="10"/>
        <color rgb="FF000000"/>
        <rFont val="WenQuanYi Zen Hei"/>
        <family val="2"/>
      </rPr>
      <t xml:space="preserve">추가상담이 필요하면 </t>
    </r>
    <r>
      <rPr>
        <sz val="10"/>
        <color rgb="FF000000"/>
        <rFont val="맑은 고딕"/>
        <family val="0"/>
        <charset val="1"/>
      </rPr>
      <t xml:space="preserve">'</t>
    </r>
    <r>
      <rPr>
        <sz val="10"/>
        <color rgb="FF000000"/>
        <rFont val="WenQuanYi Zen Hei"/>
        <family val="2"/>
      </rPr>
      <t xml:space="preserve">추가상담 요청</t>
    </r>
    <r>
      <rPr>
        <sz val="10"/>
        <color rgb="FF000000"/>
        <rFont val="맑은 고딕"/>
        <family val="0"/>
        <charset val="1"/>
      </rPr>
      <t xml:space="preserve">'</t>
    </r>
    <r>
      <rPr>
        <sz val="10"/>
        <color rgb="FF000000"/>
        <rFont val="WenQuanYi Zen Hei"/>
        <family val="2"/>
      </rPr>
      <t xml:space="preserve">에도 </t>
    </r>
    <r>
      <rPr>
        <sz val="10"/>
        <color rgb="FF000000"/>
        <rFont val="맑은 고딕"/>
        <family val="0"/>
        <charset val="1"/>
      </rPr>
      <t xml:space="preserve">O (</t>
    </r>
    <r>
      <rPr>
        <sz val="10"/>
        <color rgb="FF000000"/>
        <rFont val="WenQuanYi Zen Hei"/>
        <family val="2"/>
      </rPr>
      <t xml:space="preserve">혈압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혈당 </t>
    </r>
    <r>
      <rPr>
        <sz val="10"/>
        <color rgb="FF000000"/>
        <rFont val="맑은 고딕"/>
        <family val="0"/>
        <charset val="1"/>
      </rPr>
      <t xml:space="preserve">'</t>
    </r>
    <r>
      <rPr>
        <sz val="10"/>
        <color rgb="FF000000"/>
        <rFont val="WenQuanYi Zen Hei"/>
        <family val="2"/>
      </rPr>
      <t xml:space="preserve">긴급</t>
    </r>
    <r>
      <rPr>
        <sz val="10"/>
        <color rgb="FF000000"/>
        <rFont val="맑은 고딕"/>
        <family val="0"/>
        <charset val="1"/>
      </rPr>
      <t xml:space="preserve">'</t>
    </r>
    <r>
      <rPr>
        <sz val="10"/>
        <color rgb="FF000000"/>
        <rFont val="WenQuanYi Zen Hei"/>
        <family val="2"/>
      </rPr>
      <t xml:space="preserve">은 자동으로 대상</t>
    </r>
    <r>
      <rPr>
        <sz val="10"/>
        <color rgb="FF000000"/>
        <rFont val="맑은 고딕"/>
        <family val="0"/>
        <charset val="1"/>
      </rPr>
      <t xml:space="preserve">)</t>
    </r>
  </si>
  <si>
    <t xml:space="preserve">추가상담 담당</t>
  </si>
  <si>
    <r>
      <rPr>
        <sz val="10"/>
        <color rgb="FF000000"/>
        <rFont val="WenQuanYi Zen Hei"/>
        <family val="2"/>
      </rPr>
      <t xml:space="preserve">상담 끝나면 </t>
    </r>
    <r>
      <rPr>
        <sz val="10"/>
        <color rgb="FF000000"/>
        <rFont val="맑은 고딕"/>
        <family val="0"/>
        <charset val="1"/>
      </rPr>
      <t xml:space="preserve">'</t>
    </r>
    <r>
      <rPr>
        <sz val="10"/>
        <color rgb="FF000000"/>
        <rFont val="WenQuanYi Zen Hei"/>
        <family val="2"/>
      </rPr>
      <t xml:space="preserve">추가상담 완료</t>
    </r>
    <r>
      <rPr>
        <sz val="10"/>
        <color rgb="FF000000"/>
        <rFont val="맑은 고딕"/>
        <family val="0"/>
        <charset val="1"/>
      </rPr>
      <t xml:space="preserve">'</t>
    </r>
    <r>
      <rPr>
        <sz val="10"/>
        <color rgb="FF000000"/>
        <rFont val="WenQuanYi Zen Hei"/>
        <family val="2"/>
      </rPr>
      <t xml:space="preserve">에 </t>
    </r>
    <r>
      <rPr>
        <sz val="10"/>
        <color rgb="FF000000"/>
        <rFont val="맑은 고딕"/>
        <family val="0"/>
        <charset val="1"/>
      </rPr>
      <t xml:space="preserve">O → </t>
    </r>
    <r>
      <rPr>
        <sz val="10"/>
        <color rgb="FF000000"/>
        <rFont val="WenQuanYi Zen Hei"/>
        <family val="2"/>
      </rPr>
      <t xml:space="preserve">진행 단계가 </t>
    </r>
    <r>
      <rPr>
        <sz val="10"/>
        <color rgb="FF000000"/>
        <rFont val="맑은 고딕"/>
        <family val="0"/>
        <charset val="1"/>
      </rPr>
      <t xml:space="preserve">'</t>
    </r>
    <r>
      <rPr>
        <sz val="10"/>
        <color rgb="FF000000"/>
        <rFont val="WenQuanYi Zen Hei"/>
        <family val="2"/>
      </rPr>
      <t xml:space="preserve">완료</t>
    </r>
    <r>
      <rPr>
        <sz val="10"/>
        <color rgb="FF000000"/>
        <rFont val="맑은 고딕"/>
        <family val="0"/>
        <charset val="1"/>
      </rPr>
      <t xml:space="preserve">'</t>
    </r>
    <r>
      <rPr>
        <sz val="10"/>
        <color rgb="FF000000"/>
        <rFont val="WenQuanYi Zen Hei"/>
        <family val="2"/>
      </rPr>
      <t xml:space="preserve">로 바뀜</t>
    </r>
  </si>
  <si>
    <t xml:space="preserve">현황 담당</t>
  </si>
  <si>
    <r>
      <rPr>
        <sz val="10"/>
        <color rgb="FF000000"/>
        <rFont val="WenQuanYi Zen Hei"/>
        <family val="2"/>
      </rPr>
      <t xml:space="preserve">현황판의 </t>
    </r>
    <r>
      <rPr>
        <sz val="10"/>
        <color rgb="FF000000"/>
        <rFont val="맑은 고딕"/>
        <family val="0"/>
        <charset val="1"/>
      </rPr>
      <t xml:space="preserve">'</t>
    </r>
    <r>
      <rPr>
        <sz val="10"/>
        <color rgb="FF000000"/>
        <rFont val="WenQuanYi Zen Hei"/>
        <family val="2"/>
      </rPr>
      <t xml:space="preserve">대기</t>
    </r>
    <r>
      <rPr>
        <sz val="10"/>
        <color rgb="FF000000"/>
        <rFont val="맑은 고딕"/>
        <family val="0"/>
        <charset val="1"/>
      </rPr>
      <t xml:space="preserve">' </t>
    </r>
    <r>
      <rPr>
        <sz val="10"/>
        <color rgb="FF000000"/>
        <rFont val="WenQuanYi Zen Hei"/>
        <family val="2"/>
      </rPr>
      <t xml:space="preserve">숫자를 보고 대기가 몰린 단계로 안내 인원을 보내거나 인력을 이동</t>
    </r>
  </si>
  <si>
    <r>
      <rPr>
        <b val="true"/>
        <sz val="10"/>
        <color rgb="FFFFFFFF"/>
        <rFont val="맑은 고딕"/>
        <family val="0"/>
        <charset val="1"/>
      </rPr>
      <t xml:space="preserve">5. </t>
    </r>
    <r>
      <rPr>
        <b val="true"/>
        <sz val="10"/>
        <color rgb="FFFFFFFF"/>
        <rFont val="WenQuanYi Zen Hei"/>
        <family val="2"/>
      </rPr>
      <t xml:space="preserve">하루 마감 루틴 </t>
    </r>
    <r>
      <rPr>
        <b val="true"/>
        <sz val="10"/>
        <color rgb="FFFFFFFF"/>
        <rFont val="맑은 고딕"/>
        <family val="0"/>
        <charset val="1"/>
      </rPr>
      <t xml:space="preserve">(10</t>
    </r>
    <r>
      <rPr>
        <b val="true"/>
        <sz val="10"/>
        <color rgb="FFFFFFFF"/>
        <rFont val="WenQuanYi Zen Hei"/>
        <family val="2"/>
      </rPr>
      <t xml:space="preserve">분</t>
    </r>
    <r>
      <rPr>
        <b val="true"/>
        <sz val="10"/>
        <color rgb="FFFFFFFF"/>
        <rFont val="맑은 고딕"/>
        <family val="0"/>
        <charset val="1"/>
      </rPr>
      <t xml:space="preserve">)</t>
    </r>
  </si>
  <si>
    <t xml:space="preserve">① 현황판</t>
  </si>
  <si>
    <r>
      <rPr>
        <sz val="10"/>
        <color rgb="FF000000"/>
        <rFont val="WenQuanYi Zen Hei"/>
        <family val="2"/>
      </rPr>
      <t xml:space="preserve">오늘 완료</t>
    </r>
    <r>
      <rPr>
        <sz val="10"/>
        <color rgb="FF000000"/>
        <rFont val="맑은 고딕"/>
        <family val="0"/>
        <charset val="1"/>
      </rPr>
      <t xml:space="preserve">/</t>
    </r>
    <r>
      <rPr>
        <sz val="10"/>
        <color rgb="FF000000"/>
        <rFont val="WenQuanYi Zen Hei"/>
        <family val="2"/>
      </rPr>
      <t xml:space="preserve">미완료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합계 확인이 </t>
    </r>
    <r>
      <rPr>
        <sz val="10"/>
        <color rgb="FF000000"/>
        <rFont val="맑은 고딕"/>
        <family val="0"/>
        <charset val="1"/>
      </rPr>
      <t xml:space="preserve">OK</t>
    </r>
    <r>
      <rPr>
        <sz val="10"/>
        <color rgb="FF000000"/>
        <rFont val="WenQuanYi Zen Hei"/>
        <family val="2"/>
      </rPr>
      <t xml:space="preserve">인지 확인</t>
    </r>
  </si>
  <si>
    <t xml:space="preserve">② 명단 필터</t>
  </si>
  <si>
    <r>
      <rPr>
        <sz val="10"/>
        <color rgb="FF000000"/>
        <rFont val="WenQuanYi Zen Hei"/>
        <family val="2"/>
      </rPr>
      <t xml:space="preserve">예약일 </t>
    </r>
    <r>
      <rPr>
        <sz val="10"/>
        <color rgb="FF000000"/>
        <rFont val="맑은 고딕"/>
        <family val="0"/>
        <charset val="1"/>
      </rPr>
      <t xml:space="preserve">= </t>
    </r>
    <r>
      <rPr>
        <sz val="10"/>
        <color rgb="FF000000"/>
        <rFont val="WenQuanYi Zen Hei"/>
        <family val="2"/>
      </rPr>
      <t xml:space="preserve">오늘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진행 단계 </t>
    </r>
    <r>
      <rPr>
        <sz val="10"/>
        <color rgb="FF000000"/>
        <rFont val="맑은 고딕"/>
        <family val="0"/>
        <charset val="1"/>
      </rPr>
      <t xml:space="preserve">= </t>
    </r>
    <r>
      <rPr>
        <sz val="10"/>
        <color rgb="FF000000"/>
        <rFont val="WenQuanYi Zen Hei"/>
        <family val="2"/>
      </rPr>
      <t xml:space="preserve">미방문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불참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연기 → 재예약 연락 후 예약일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시간 수정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불참</t>
    </r>
    <r>
      <rPr>
        <sz val="10"/>
        <color rgb="FF000000"/>
        <rFont val="맑은 고딕"/>
        <family val="0"/>
        <charset val="1"/>
      </rPr>
      <t xml:space="preserve">/</t>
    </r>
    <r>
      <rPr>
        <sz val="10"/>
        <color rgb="FF000000"/>
        <rFont val="WenQuanYi Zen Hei"/>
        <family val="2"/>
      </rPr>
      <t xml:space="preserve">연기 칸 비우기</t>
    </r>
  </si>
  <si>
    <t xml:space="preserve">③ 다음 날 준비</t>
  </si>
  <si>
    <r>
      <rPr>
        <sz val="10"/>
        <color rgb="FF000000"/>
        <rFont val="맑은 고딕"/>
        <family val="0"/>
        <charset val="1"/>
      </rPr>
      <t xml:space="preserve">'</t>
    </r>
    <r>
      <rPr>
        <sz val="10"/>
        <color rgb="FF000000"/>
        <rFont val="WenQuanYi Zen Hei"/>
        <family val="2"/>
      </rPr>
      <t xml:space="preserve">추가상담 대기</t>
    </r>
    <r>
      <rPr>
        <sz val="10"/>
        <color rgb="FF000000"/>
        <rFont val="맑은 고딕"/>
        <family val="0"/>
        <charset val="1"/>
      </rPr>
      <t xml:space="preserve">'</t>
    </r>
    <r>
      <rPr>
        <sz val="10"/>
        <color rgb="FF000000"/>
        <rFont val="WenQuanYi Zen Hei"/>
        <family val="2"/>
      </rPr>
      <t xml:space="preserve">가 남았으면 다음 날 우선 배정 </t>
    </r>
    <r>
      <rPr>
        <sz val="10"/>
        <color rgb="FF000000"/>
        <rFont val="맑은 고딕"/>
        <family val="0"/>
        <charset val="1"/>
      </rPr>
      <t xml:space="preserve">· </t>
    </r>
    <r>
      <rPr>
        <sz val="10"/>
        <color rgb="FF000000"/>
        <rFont val="WenQuanYi Zen Hei"/>
        <family val="2"/>
      </rPr>
      <t xml:space="preserve">내일 예약자 필터로 확인 문자</t>
    </r>
    <r>
      <rPr>
        <sz val="10"/>
        <color rgb="FF000000"/>
        <rFont val="맑은 고딕"/>
        <family val="0"/>
        <charset val="1"/>
      </rPr>
      <t xml:space="preserve">/</t>
    </r>
    <r>
      <rPr>
        <sz val="10"/>
        <color rgb="FF000000"/>
        <rFont val="WenQuanYi Zen Hei"/>
        <family val="2"/>
      </rPr>
      <t xml:space="preserve">전화 대상 확정</t>
    </r>
  </si>
  <si>
    <t xml:space="preserve">④ 백업</t>
  </si>
  <si>
    <r>
      <rPr>
        <sz val="10"/>
        <color rgb="FF000000"/>
        <rFont val="WenQuanYi Zen Hei"/>
        <family val="2"/>
      </rPr>
      <t xml:space="preserve">파일을 날짜를 붙여 사본 저장</t>
    </r>
    <r>
      <rPr>
        <sz val="10"/>
        <color rgb="FF000000"/>
        <rFont val="맑은 고딕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엑셀</t>
    </r>
    <r>
      <rPr>
        <sz val="10"/>
        <color rgb="FF000000"/>
        <rFont val="맑은 고딕"/>
        <family val="0"/>
        <charset val="1"/>
      </rPr>
      <t xml:space="preserve">) </t>
    </r>
    <r>
      <rPr>
        <sz val="10"/>
        <color rgb="FF000000"/>
        <rFont val="WenQuanYi Zen Hei"/>
        <family val="2"/>
      </rPr>
      <t xml:space="preserve">또는 구글 시트 버전 기록 확인</t>
    </r>
  </si>
  <si>
    <r>
      <rPr>
        <b val="true"/>
        <sz val="10"/>
        <color rgb="FFFFFFFF"/>
        <rFont val="맑은 고딕"/>
        <family val="0"/>
        <charset val="1"/>
      </rPr>
      <t xml:space="preserve">6. </t>
    </r>
    <r>
      <rPr>
        <b val="true"/>
        <sz val="10"/>
        <color rgb="FFFFFFFF"/>
        <rFont val="WenQuanYi Zen Hei"/>
        <family val="2"/>
      </rPr>
      <t xml:space="preserve">입력 예시 </t>
    </r>
    <r>
      <rPr>
        <b val="true"/>
        <sz val="10"/>
        <color rgb="FFFFFFFF"/>
        <rFont val="맑은 고딕"/>
        <family val="0"/>
        <charset val="1"/>
      </rPr>
      <t xml:space="preserve">(</t>
    </r>
    <r>
      <rPr>
        <b val="true"/>
        <sz val="10"/>
        <color rgb="FFFFFFFF"/>
        <rFont val="WenQuanYi Zen Hei"/>
        <family val="2"/>
      </rPr>
      <t xml:space="preserve">명단 한 줄</t>
    </r>
    <r>
      <rPr>
        <b val="true"/>
        <sz val="10"/>
        <color rgb="FFFFFFFF"/>
        <rFont val="맑은 고딕"/>
        <family val="0"/>
        <charset val="1"/>
      </rPr>
      <t xml:space="preserve">)</t>
    </r>
  </si>
  <si>
    <r>
      <rPr>
        <b val="true"/>
        <sz val="10"/>
        <color rgb="FF000000"/>
        <rFont val="WenQuanYi Zen Hei"/>
        <family val="2"/>
      </rPr>
      <t xml:space="preserve">번호 </t>
    </r>
    <r>
      <rPr>
        <b val="true"/>
        <sz val="10"/>
        <color rgb="FF000000"/>
        <rFont val="맑은 고딕"/>
        <family val="0"/>
        <charset val="1"/>
      </rPr>
      <t xml:space="preserve">/ </t>
    </r>
    <r>
      <rPr>
        <b val="true"/>
        <sz val="10"/>
        <color rgb="FF000000"/>
        <rFont val="WenQuanYi Zen Hei"/>
        <family val="2"/>
      </rPr>
      <t xml:space="preserve">이름 </t>
    </r>
    <r>
      <rPr>
        <b val="true"/>
        <sz val="10"/>
        <color rgb="FF000000"/>
        <rFont val="맑은 고딕"/>
        <family val="0"/>
        <charset val="1"/>
      </rPr>
      <t xml:space="preserve">/ </t>
    </r>
    <r>
      <rPr>
        <b val="true"/>
        <sz val="10"/>
        <color rgb="FF000000"/>
        <rFont val="WenQuanYi Zen Hei"/>
        <family val="2"/>
      </rPr>
      <t xml:space="preserve">성별 </t>
    </r>
    <r>
      <rPr>
        <b val="true"/>
        <sz val="10"/>
        <color rgb="FF000000"/>
        <rFont val="맑은 고딕"/>
        <family val="0"/>
        <charset val="1"/>
      </rPr>
      <t xml:space="preserve">/ </t>
    </r>
    <r>
      <rPr>
        <b val="true"/>
        <sz val="10"/>
        <color rgb="FF000000"/>
        <rFont val="WenQuanYi Zen Hei"/>
        <family val="2"/>
      </rPr>
      <t xml:space="preserve">연령</t>
    </r>
  </si>
  <si>
    <r>
      <rPr>
        <sz val="10"/>
        <color rgb="FF000000"/>
        <rFont val="맑은 고딕"/>
        <family val="0"/>
        <charset val="1"/>
      </rPr>
      <t xml:space="preserve">1 / </t>
    </r>
    <r>
      <rPr>
        <sz val="10"/>
        <color rgb="FF000000"/>
        <rFont val="WenQuanYi Zen Hei"/>
        <family val="2"/>
      </rPr>
      <t xml:space="preserve">홍길동</t>
    </r>
    <r>
      <rPr>
        <sz val="10"/>
        <color rgb="FF000000"/>
        <rFont val="맑은 고딕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가명</t>
    </r>
    <r>
      <rPr>
        <sz val="10"/>
        <color rgb="FF000000"/>
        <rFont val="맑은 고딕"/>
        <family val="0"/>
        <charset val="1"/>
      </rPr>
      <t xml:space="preserve">) / </t>
    </r>
    <r>
      <rPr>
        <sz val="10"/>
        <color rgb="FF000000"/>
        <rFont val="WenQuanYi Zen Hei"/>
        <family val="2"/>
      </rPr>
      <t xml:space="preserve">여 </t>
    </r>
    <r>
      <rPr>
        <sz val="10"/>
        <color rgb="FF000000"/>
        <rFont val="맑은 고딕"/>
        <family val="0"/>
        <charset val="1"/>
      </rPr>
      <t xml:space="preserve">/ 72</t>
    </r>
  </si>
  <si>
    <r>
      <rPr>
        <b val="true"/>
        <sz val="10"/>
        <color rgb="FF000000"/>
        <rFont val="WenQuanYi Zen Hei"/>
        <family val="2"/>
      </rPr>
      <t xml:space="preserve">연락처 </t>
    </r>
    <r>
      <rPr>
        <b val="true"/>
        <sz val="10"/>
        <color rgb="FF000000"/>
        <rFont val="맑은 고딕"/>
        <family val="0"/>
        <charset val="1"/>
      </rPr>
      <t xml:space="preserve">/ </t>
    </r>
    <r>
      <rPr>
        <b val="true"/>
        <sz val="10"/>
        <color rgb="FF000000"/>
        <rFont val="WenQuanYi Zen Hei"/>
        <family val="2"/>
      </rPr>
      <t xml:space="preserve">예약일 </t>
    </r>
    <r>
      <rPr>
        <b val="true"/>
        <sz val="10"/>
        <color rgb="FF000000"/>
        <rFont val="맑은 고딕"/>
        <family val="0"/>
        <charset val="1"/>
      </rPr>
      <t xml:space="preserve">/ </t>
    </r>
    <r>
      <rPr>
        <b val="true"/>
        <sz val="10"/>
        <color rgb="FF000000"/>
        <rFont val="WenQuanYi Zen Hei"/>
        <family val="2"/>
      </rPr>
      <t xml:space="preserve">예약시간</t>
    </r>
  </si>
  <si>
    <t xml:space="preserve">010-0000-0000 / 2026-10-19 / 09:00</t>
  </si>
  <si>
    <t xml:space="preserve">특이사항</t>
  </si>
  <si>
    <r>
      <rPr>
        <sz val="10"/>
        <color rgb="FF000000"/>
        <rFont val="WenQuanYi Zen Hei"/>
        <family val="2"/>
      </rPr>
      <t xml:space="preserve">지팡이 보행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왼쪽 귀 난청</t>
    </r>
    <r>
      <rPr>
        <sz val="10"/>
        <color rgb="FF000000"/>
        <rFont val="맑은 고딕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큰 소리로 안내</t>
    </r>
    <r>
      <rPr>
        <sz val="10"/>
        <color rgb="FF000000"/>
        <rFont val="맑은 고딕"/>
        <family val="0"/>
        <charset val="1"/>
      </rPr>
      <t xml:space="preserve">)</t>
    </r>
  </si>
  <si>
    <r>
      <rPr>
        <b val="true"/>
        <sz val="10"/>
        <color rgb="FF000000"/>
        <rFont val="WenQuanYi Zen Hei"/>
        <family val="2"/>
      </rPr>
      <t xml:space="preserve">접수 </t>
    </r>
    <r>
      <rPr>
        <b val="true"/>
        <sz val="10"/>
        <color rgb="FF000000"/>
        <rFont val="맑은 고딕"/>
        <family val="0"/>
        <charset val="1"/>
      </rPr>
      <t xml:space="preserve">/ </t>
    </r>
    <r>
      <rPr>
        <b val="true"/>
        <sz val="10"/>
        <color rgb="FF000000"/>
        <rFont val="WenQuanYi Zen Hei"/>
        <family val="2"/>
      </rPr>
      <t xml:space="preserve">운동평가 완료</t>
    </r>
  </si>
  <si>
    <t xml:space="preserve">O / O</t>
  </si>
  <si>
    <r>
      <rPr>
        <b val="true"/>
        <sz val="10"/>
        <color rgb="FF000000"/>
        <rFont val="WenQuanYi Zen Hei"/>
        <family val="2"/>
      </rPr>
      <t xml:space="preserve">수축기 </t>
    </r>
    <r>
      <rPr>
        <b val="true"/>
        <sz val="10"/>
        <color rgb="FF000000"/>
        <rFont val="맑은 고딕"/>
        <family val="0"/>
        <charset val="1"/>
      </rPr>
      <t xml:space="preserve">/ </t>
    </r>
    <r>
      <rPr>
        <b val="true"/>
        <sz val="10"/>
        <color rgb="FF000000"/>
        <rFont val="WenQuanYi Zen Hei"/>
        <family val="2"/>
      </rPr>
      <t xml:space="preserve">이완기 </t>
    </r>
    <r>
      <rPr>
        <b val="true"/>
        <sz val="10"/>
        <color rgb="FF000000"/>
        <rFont val="맑은 고딕"/>
        <family val="0"/>
        <charset val="1"/>
      </rPr>
      <t xml:space="preserve">/ </t>
    </r>
    <r>
      <rPr>
        <b val="true"/>
        <sz val="10"/>
        <color rgb="FF000000"/>
        <rFont val="WenQuanYi Zen Hei"/>
        <family val="2"/>
      </rPr>
      <t xml:space="preserve">혈당 </t>
    </r>
    <r>
      <rPr>
        <b val="true"/>
        <sz val="10"/>
        <color rgb="FF000000"/>
        <rFont val="맑은 고딕"/>
        <family val="0"/>
        <charset val="1"/>
      </rPr>
      <t xml:space="preserve">/ </t>
    </r>
    <r>
      <rPr>
        <b val="true"/>
        <sz val="10"/>
        <color rgb="FF000000"/>
        <rFont val="WenQuanYi Zen Hei"/>
        <family val="2"/>
      </rPr>
      <t xml:space="preserve">혈당조건</t>
    </r>
  </si>
  <si>
    <r>
      <rPr>
        <sz val="10"/>
        <color rgb="FF000000"/>
        <rFont val="맑은 고딕"/>
        <family val="0"/>
        <charset val="1"/>
      </rPr>
      <t xml:space="preserve">128 / 76 / 104 / </t>
    </r>
    <r>
      <rPr>
        <sz val="10"/>
        <color rgb="FF000000"/>
        <rFont val="WenQuanYi Zen Hei"/>
        <family val="2"/>
      </rPr>
      <t xml:space="preserve">공복</t>
    </r>
  </si>
  <si>
    <t xml:space="preserve">선생님 상담 완료</t>
  </si>
  <si>
    <r>
      <rPr>
        <sz val="10"/>
        <color rgb="FF000000"/>
        <rFont val="맑은 고딕"/>
        <family val="0"/>
        <charset val="1"/>
      </rPr>
      <t xml:space="preserve">O → </t>
    </r>
    <r>
      <rPr>
        <sz val="10"/>
        <color rgb="FF000000"/>
        <rFont val="WenQuanYi Zen Hei"/>
        <family val="2"/>
      </rPr>
      <t xml:space="preserve">진행 단계 </t>
    </r>
    <r>
      <rPr>
        <sz val="10"/>
        <color rgb="FF000000"/>
        <rFont val="맑은 고딕"/>
        <family val="0"/>
        <charset val="1"/>
      </rPr>
      <t xml:space="preserve">'</t>
    </r>
    <r>
      <rPr>
        <sz val="10"/>
        <color rgb="FF000000"/>
        <rFont val="WenQuanYi Zen Hei"/>
        <family val="2"/>
      </rPr>
      <t xml:space="preserve">완료</t>
    </r>
    <r>
      <rPr>
        <sz val="10"/>
        <color rgb="FF000000"/>
        <rFont val="맑은 고딕"/>
        <family val="0"/>
        <charset val="1"/>
      </rPr>
      <t xml:space="preserve">' </t>
    </r>
    <r>
      <rPr>
        <sz val="10"/>
        <color rgb="FF000000"/>
        <rFont val="WenQuanYi Zen Hei"/>
        <family val="2"/>
      </rPr>
      <t xml:space="preserve">자동 표시</t>
    </r>
  </si>
  <si>
    <t xml:space="preserve">메모</t>
  </si>
  <si>
    <r>
      <rPr>
        <sz val="10"/>
        <color rgb="FF000000"/>
        <rFont val="WenQuanYi Zen Hei"/>
        <family val="2"/>
      </rPr>
      <t xml:space="preserve">오른쪽 무릎 통증 호소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다음 주 재방문 희망</t>
    </r>
  </si>
  <si>
    <r>
      <rPr>
        <b val="true"/>
        <sz val="10"/>
        <color rgb="FFFFFFFF"/>
        <rFont val="맑은 고딕"/>
        <family val="0"/>
        <charset val="1"/>
      </rPr>
      <t xml:space="preserve">7. </t>
    </r>
    <r>
      <rPr>
        <b val="true"/>
        <sz val="10"/>
        <color rgb="FFFFFFFF"/>
        <rFont val="WenQuanYi Zen Hei"/>
        <family val="2"/>
      </rPr>
      <t xml:space="preserve">개인정보</t>
    </r>
    <r>
      <rPr>
        <b val="true"/>
        <sz val="10"/>
        <color rgb="FFFFFFFF"/>
        <rFont val="맑은 고딕"/>
        <family val="0"/>
        <charset val="1"/>
      </rPr>
      <t xml:space="preserve">·</t>
    </r>
    <r>
      <rPr>
        <b val="true"/>
        <sz val="10"/>
        <color rgb="FFFFFFFF"/>
        <rFont val="WenQuanYi Zen Hei"/>
        <family val="2"/>
      </rPr>
      <t xml:space="preserve">보안 </t>
    </r>
    <r>
      <rPr>
        <b val="true"/>
        <sz val="10"/>
        <color rgb="FFFFFFFF"/>
        <rFont val="맑은 고딕"/>
        <family val="0"/>
        <charset val="1"/>
      </rPr>
      <t xml:space="preserve">(</t>
    </r>
    <r>
      <rPr>
        <b val="true"/>
        <sz val="10"/>
        <color rgb="FFFFFFFF"/>
        <rFont val="WenQuanYi Zen Hei"/>
        <family val="2"/>
      </rPr>
      <t xml:space="preserve">중요</t>
    </r>
    <r>
      <rPr>
        <b val="true"/>
        <sz val="10"/>
        <color rgb="FFFFFFFF"/>
        <rFont val="맑은 고딕"/>
        <family val="0"/>
        <charset val="1"/>
      </rPr>
      <t xml:space="preserve">)</t>
    </r>
  </si>
  <si>
    <t xml:space="preserve">민감정보</t>
  </si>
  <si>
    <r>
      <rPr>
        <sz val="10"/>
        <color rgb="FF000000"/>
        <rFont val="WenQuanYi Zen Hei"/>
        <family val="2"/>
      </rPr>
      <t xml:space="preserve">혈압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혈당은 건강정보</t>
    </r>
    <r>
      <rPr>
        <sz val="10"/>
        <color rgb="FF000000"/>
        <rFont val="맑은 고딕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민감정보</t>
    </r>
    <r>
      <rPr>
        <sz val="10"/>
        <color rgb="FF000000"/>
        <rFont val="맑은 고딕"/>
        <family val="0"/>
        <charset val="1"/>
      </rPr>
      <t xml:space="preserve">)</t>
    </r>
    <r>
      <rPr>
        <sz val="10"/>
        <color rgb="FF000000"/>
        <rFont val="WenQuanYi Zen Hei"/>
        <family val="2"/>
      </rPr>
      <t xml:space="preserve">입니다</t>
    </r>
    <r>
      <rPr>
        <sz val="10"/>
        <color rgb="FF000000"/>
        <rFont val="맑은 고딕"/>
        <family val="0"/>
        <charset val="1"/>
      </rPr>
      <t xml:space="preserve">. </t>
    </r>
    <r>
      <rPr>
        <sz val="10"/>
        <color rgb="FF000000"/>
        <rFont val="WenQuanYi Zen Hei"/>
        <family val="2"/>
      </rPr>
      <t xml:space="preserve">기관 개인정보 담당부서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연구윤리</t>
    </r>
    <r>
      <rPr>
        <sz val="10"/>
        <color rgb="FF000000"/>
        <rFont val="맑은 고딕"/>
        <family val="0"/>
        <charset val="1"/>
      </rPr>
      <t xml:space="preserve">(IRB) </t>
    </r>
    <r>
      <rPr>
        <sz val="10"/>
        <color rgb="FF000000"/>
        <rFont val="WenQuanYi Zen Hei"/>
        <family val="2"/>
      </rPr>
      <t xml:space="preserve">규정과 동의서 범위 안에서만 사용하세요</t>
    </r>
    <r>
      <rPr>
        <sz val="10"/>
        <color rgb="FF000000"/>
        <rFont val="맑은 고딕"/>
        <family val="0"/>
        <charset val="1"/>
      </rPr>
      <t xml:space="preserve">.</t>
    </r>
  </si>
  <si>
    <t xml:space="preserve">공유 방법</t>
  </si>
  <si>
    <r>
      <rPr>
        <sz val="10"/>
        <color rgb="FF000000"/>
        <rFont val="맑은 고딕"/>
        <family val="0"/>
        <charset val="1"/>
      </rPr>
      <t xml:space="preserve">'</t>
    </r>
    <r>
      <rPr>
        <sz val="10"/>
        <color rgb="FF000000"/>
        <rFont val="WenQuanYi Zen Hei"/>
        <family val="2"/>
      </rPr>
      <t xml:space="preserve">링크가 있는 모든 사용자</t>
    </r>
    <r>
      <rPr>
        <sz val="10"/>
        <color rgb="FF000000"/>
        <rFont val="맑은 고딕"/>
        <family val="0"/>
        <charset val="1"/>
      </rPr>
      <t xml:space="preserve">' </t>
    </r>
    <r>
      <rPr>
        <sz val="10"/>
        <color rgb="FF000000"/>
        <rFont val="WenQuanYi Zen Hei"/>
        <family val="2"/>
      </rPr>
      <t xml:space="preserve">공유 금지</t>
    </r>
    <r>
      <rPr>
        <sz val="10"/>
        <color rgb="FF000000"/>
        <rFont val="맑은 고딕"/>
        <family val="0"/>
        <charset val="1"/>
      </rPr>
      <t xml:space="preserve">. </t>
    </r>
    <r>
      <rPr>
        <sz val="10"/>
        <color rgb="FF000000"/>
        <rFont val="WenQuanYi Zen Hei"/>
        <family val="2"/>
      </rPr>
      <t xml:space="preserve">지정한 직원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실습생 계정에만 편집 권한</t>
    </r>
    <r>
      <rPr>
        <sz val="10"/>
        <color rgb="FF000000"/>
        <rFont val="맑은 고딕"/>
        <family val="0"/>
        <charset val="1"/>
      </rPr>
      <t xml:space="preserve">. </t>
    </r>
    <r>
      <rPr>
        <sz val="10"/>
        <color rgb="FF000000"/>
        <rFont val="WenQuanYi Zen Hei"/>
        <family val="2"/>
      </rPr>
      <t xml:space="preserve">화면 공유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캡처 시에는 번호 중심으로</t>
    </r>
    <r>
      <rPr>
        <sz val="10"/>
        <color rgb="FF000000"/>
        <rFont val="맑은 고딕"/>
        <family val="0"/>
        <charset val="1"/>
      </rPr>
      <t xml:space="preserve">.</t>
    </r>
  </si>
  <si>
    <t xml:space="preserve">최소 수집</t>
  </si>
  <si>
    <r>
      <rPr>
        <sz val="10"/>
        <color rgb="FF000000"/>
        <rFont val="WenQuanYi Zen Hei"/>
        <family val="2"/>
      </rPr>
      <t xml:space="preserve">연락처는 안내가 끝나면 삭제</t>
    </r>
    <r>
      <rPr>
        <sz val="10"/>
        <color rgb="FF000000"/>
        <rFont val="맑은 고딕"/>
        <family val="0"/>
        <charset val="1"/>
      </rPr>
      <t xml:space="preserve">. </t>
    </r>
    <r>
      <rPr>
        <sz val="10"/>
        <color rgb="FF000000"/>
        <rFont val="WenQuanYi Zen Hei"/>
        <family val="2"/>
      </rPr>
      <t xml:space="preserve">분석용 파일은 이름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연락처를 지우고 번호만 남겨 보관</t>
    </r>
    <r>
      <rPr>
        <sz val="10"/>
        <color rgb="FF000000"/>
        <rFont val="맑은 고딕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비식별</t>
    </r>
    <r>
      <rPr>
        <sz val="10"/>
        <color rgb="FF000000"/>
        <rFont val="맑은 고딕"/>
        <family val="0"/>
        <charset val="1"/>
      </rPr>
      <t xml:space="preserve">).</t>
    </r>
  </si>
  <si>
    <r>
      <rPr>
        <b val="true"/>
        <sz val="10"/>
        <color rgb="FFFFFFFF"/>
        <rFont val="맑은 고딕"/>
        <family val="0"/>
        <charset val="1"/>
      </rPr>
      <t xml:space="preserve">8. </t>
    </r>
    <r>
      <rPr>
        <b val="true"/>
        <sz val="10"/>
        <color rgb="FFFFFFFF"/>
        <rFont val="WenQuanYi Zen Hei"/>
        <family val="2"/>
      </rPr>
      <t xml:space="preserve">구글 시트로 쓰기 </t>
    </r>
    <r>
      <rPr>
        <b val="true"/>
        <sz val="10"/>
        <color rgb="FFFFFFFF"/>
        <rFont val="맑은 고딕"/>
        <family val="0"/>
        <charset val="1"/>
      </rPr>
      <t xml:space="preserve">(</t>
    </r>
    <r>
      <rPr>
        <b val="true"/>
        <sz val="10"/>
        <color rgb="FFFFFFFF"/>
        <rFont val="WenQuanYi Zen Hei"/>
        <family val="2"/>
      </rPr>
      <t xml:space="preserve">여러 명이 동시에 입력할 때 권장</t>
    </r>
    <r>
      <rPr>
        <b val="true"/>
        <sz val="10"/>
        <color rgb="FFFFFFFF"/>
        <rFont val="맑은 고딕"/>
        <family val="0"/>
        <charset val="1"/>
      </rPr>
      <t xml:space="preserve">)</t>
    </r>
  </si>
  <si>
    <t xml:space="preserve">업로드</t>
  </si>
  <si>
    <r>
      <rPr>
        <sz val="10"/>
        <color rgb="FF000000"/>
        <rFont val="WenQuanYi Zen Hei"/>
        <family val="2"/>
      </rPr>
      <t xml:space="preserve">구글 드라이브에 올려 </t>
    </r>
    <r>
      <rPr>
        <sz val="10"/>
        <color rgb="FF000000"/>
        <rFont val="맑은 고딕"/>
        <family val="0"/>
        <charset val="1"/>
      </rPr>
      <t xml:space="preserve">'</t>
    </r>
    <r>
      <rPr>
        <sz val="10"/>
        <color rgb="FF000000"/>
        <rFont val="WenQuanYi Zen Hei"/>
        <family val="2"/>
      </rPr>
      <t xml:space="preserve">구글 스프레드시트로 열기</t>
    </r>
    <r>
      <rPr>
        <sz val="10"/>
        <color rgb="FF000000"/>
        <rFont val="맑은 고딕"/>
        <family val="0"/>
        <charset val="1"/>
      </rPr>
      <t xml:space="preserve">' (</t>
    </r>
    <r>
      <rPr>
        <sz val="10"/>
        <color rgb="FF000000"/>
        <rFont val="WenQuanYi Zen Hei"/>
        <family val="2"/>
      </rPr>
      <t xml:space="preserve">드롭다운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색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수식 유지</t>
    </r>
    <r>
      <rPr>
        <sz val="10"/>
        <color rgb="FF000000"/>
        <rFont val="맑은 고딕"/>
        <family val="0"/>
        <charset val="1"/>
      </rPr>
      <t xml:space="preserve">). </t>
    </r>
    <r>
      <rPr>
        <sz val="10"/>
        <color rgb="FF000000"/>
        <rFont val="WenQuanYi Zen Hei"/>
        <family val="2"/>
      </rPr>
      <t xml:space="preserve">여러 명이 동시에 입력해도 한 파일에 쌓입니다</t>
    </r>
    <r>
      <rPr>
        <sz val="10"/>
        <color rgb="FF000000"/>
        <rFont val="맑은 고딕"/>
        <family val="0"/>
        <charset val="1"/>
      </rPr>
      <t xml:space="preserve">.</t>
    </r>
  </si>
  <si>
    <t xml:space="preserve">자동 시각 기록</t>
  </si>
  <si>
    <r>
      <rPr>
        <sz val="10"/>
        <color rgb="FF000000"/>
        <rFont val="WenQuanYi Zen Hei"/>
        <family val="2"/>
      </rPr>
      <t xml:space="preserve">확장 프로그램 </t>
    </r>
    <r>
      <rPr>
        <sz val="10"/>
        <color rgb="FF000000"/>
        <rFont val="맑은 고딕"/>
        <family val="0"/>
        <charset val="1"/>
      </rPr>
      <t xml:space="preserve">&gt; Apps Script</t>
    </r>
    <r>
      <rPr>
        <sz val="10"/>
        <color rgb="FF000000"/>
        <rFont val="WenQuanYi Zen Hei"/>
        <family val="2"/>
      </rPr>
      <t xml:space="preserve">에 </t>
    </r>
    <r>
      <rPr>
        <sz val="10"/>
        <color rgb="FF000000"/>
        <rFont val="맑은 고딕"/>
        <family val="0"/>
        <charset val="1"/>
      </rPr>
      <t xml:space="preserve">'</t>
    </r>
    <r>
      <rPr>
        <sz val="10"/>
        <color rgb="FF000000"/>
        <rFont val="WenQuanYi Zen Hei"/>
        <family val="2"/>
      </rPr>
      <t xml:space="preserve">자동시각기록</t>
    </r>
    <r>
      <rPr>
        <sz val="10"/>
        <color rgb="FF000000"/>
        <rFont val="맑은 고딕"/>
        <family val="0"/>
        <charset val="1"/>
      </rPr>
      <t xml:space="preserve">.gs' </t>
    </r>
    <r>
      <rPr>
        <sz val="10"/>
        <color rgb="FF000000"/>
        <rFont val="WenQuanYi Zen Hei"/>
        <family val="2"/>
      </rPr>
      <t xml:space="preserve">내용을 붙여넣고 저장</t>
    </r>
    <r>
      <rPr>
        <sz val="10"/>
        <color rgb="FF000000"/>
        <rFont val="맑은 고딕"/>
        <family val="0"/>
        <charset val="1"/>
      </rPr>
      <t xml:space="preserve">. O</t>
    </r>
    <r>
      <rPr>
        <sz val="10"/>
        <color rgb="FF000000"/>
        <rFont val="WenQuanYi Zen Hei"/>
        <family val="2"/>
      </rPr>
      <t xml:space="preserve">를 고르는 순간 시각이 기록되어 구간별 소요시간이 계산됩니다</t>
    </r>
    <r>
      <rPr>
        <sz val="10"/>
        <color rgb="FF000000"/>
        <rFont val="맑은 고딕"/>
        <family val="0"/>
        <charset val="1"/>
      </rPr>
      <t xml:space="preserve">. </t>
    </r>
    <r>
      <rPr>
        <sz val="10"/>
        <color rgb="FF000000"/>
        <rFont val="WenQuanYi Zen Hei"/>
        <family val="2"/>
      </rPr>
      <t xml:space="preserve">더미 줄로 먼저 테스트하세요</t>
    </r>
    <r>
      <rPr>
        <sz val="10"/>
        <color rgb="FF000000"/>
        <rFont val="맑은 고딕"/>
        <family val="0"/>
        <charset val="1"/>
      </rPr>
      <t xml:space="preserve">.</t>
    </r>
  </si>
  <si>
    <t xml:space="preserve">엑셀만 쓸 때</t>
  </si>
  <si>
    <r>
      <rPr>
        <sz val="10"/>
        <color rgb="FF000000"/>
        <rFont val="WenQuanYi Zen Hei"/>
        <family val="2"/>
      </rPr>
      <t xml:space="preserve">시각 칸은 비워 두어도 됩니다</t>
    </r>
    <r>
      <rPr>
        <sz val="10"/>
        <color rgb="FF000000"/>
        <rFont val="맑은 고딕"/>
        <family val="0"/>
        <charset val="1"/>
      </rPr>
      <t xml:space="preserve">. </t>
    </r>
    <r>
      <rPr>
        <sz val="10"/>
        <color rgb="FF000000"/>
        <rFont val="WenQuanYi Zen Hei"/>
        <family val="2"/>
      </rPr>
      <t xml:space="preserve">현황판의 소요시간만 </t>
    </r>
    <r>
      <rPr>
        <sz val="10"/>
        <color rgb="FF000000"/>
        <rFont val="맑은 고딕"/>
        <family val="0"/>
        <charset val="1"/>
      </rPr>
      <t xml:space="preserve">'-'</t>
    </r>
    <r>
      <rPr>
        <sz val="10"/>
        <color rgb="FF000000"/>
        <rFont val="WenQuanYi Zen Hei"/>
        <family val="2"/>
      </rPr>
      <t xml:space="preserve">로 표시되고 나머지는 정상 동작합니다</t>
    </r>
    <r>
      <rPr>
        <sz val="10"/>
        <color rgb="FF000000"/>
        <rFont val="맑은 고딕"/>
        <family val="0"/>
        <charset val="1"/>
      </rPr>
      <t xml:space="preserve">.</t>
    </r>
  </si>
  <si>
    <r>
      <rPr>
        <b val="true"/>
        <sz val="10"/>
        <color rgb="FFFFFFFF"/>
        <rFont val="맑은 고딕"/>
        <family val="0"/>
        <charset val="1"/>
      </rPr>
      <t xml:space="preserve">9. </t>
    </r>
    <r>
      <rPr>
        <b val="true"/>
        <sz val="10"/>
        <color rgb="FFFFFFFF"/>
        <rFont val="WenQuanYi Zen Hei"/>
        <family val="2"/>
      </rPr>
      <t xml:space="preserve">방문 전날 안내 문자 예시</t>
    </r>
  </si>
  <si>
    <t xml:space="preserve">문구</t>
  </si>
  <si>
    <r>
      <rPr>
        <sz val="10"/>
        <color rgb="FF000000"/>
        <rFont val="맑은 고딕"/>
        <family val="0"/>
        <charset val="1"/>
      </rPr>
      <t xml:space="preserve">[OO </t>
    </r>
    <r>
      <rPr>
        <sz val="10"/>
        <color rgb="FF000000"/>
        <rFont val="WenQuanYi Zen Hei"/>
        <family val="2"/>
      </rPr>
      <t xml:space="preserve">사후평가</t>
    </r>
    <r>
      <rPr>
        <sz val="10"/>
        <color rgb="FF000000"/>
        <rFont val="맑은 고딕"/>
        <family val="0"/>
        <charset val="1"/>
      </rPr>
      <t xml:space="preserve">] </t>
    </r>
    <r>
      <rPr>
        <sz val="10"/>
        <color rgb="FF000000"/>
        <rFont val="WenQuanYi Zen Hei"/>
        <family val="2"/>
      </rPr>
      <t xml:space="preserve">홍길동 님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내일</t>
    </r>
    <r>
      <rPr>
        <sz val="10"/>
        <color rgb="FF000000"/>
        <rFont val="맑은 고딕"/>
        <family val="0"/>
        <charset val="1"/>
      </rPr>
      <t xml:space="preserve">(10/20 </t>
    </r>
    <r>
      <rPr>
        <sz val="10"/>
        <color rgb="FF000000"/>
        <rFont val="WenQuanYi Zen Hei"/>
        <family val="2"/>
      </rPr>
      <t xml:space="preserve">화</t>
    </r>
    <r>
      <rPr>
        <sz val="10"/>
        <color rgb="FF000000"/>
        <rFont val="맑은 고딕"/>
        <family val="0"/>
        <charset val="1"/>
      </rPr>
      <t xml:space="preserve">) 09:00 OO</t>
    </r>
    <r>
      <rPr>
        <sz val="10"/>
        <color rgb="FF000000"/>
        <rFont val="WenQuanYi Zen Hei"/>
        <family val="2"/>
      </rPr>
      <t xml:space="preserve">실로 오세요</t>
    </r>
    <r>
      <rPr>
        <sz val="10"/>
        <color rgb="FF000000"/>
        <rFont val="맑은 고딕"/>
        <family val="0"/>
        <charset val="1"/>
      </rPr>
      <t xml:space="preserve">. </t>
    </r>
    <r>
      <rPr>
        <sz val="10"/>
        <color rgb="FF000000"/>
        <rFont val="WenQuanYi Zen Hei"/>
        <family val="2"/>
      </rPr>
      <t xml:space="preserve">번호는 </t>
    </r>
    <r>
      <rPr>
        <sz val="10"/>
        <color rgb="FF000000"/>
        <rFont val="맑은 고딕"/>
        <family val="0"/>
        <charset val="1"/>
      </rPr>
      <t xml:space="preserve">001</t>
    </r>
    <r>
      <rPr>
        <sz val="10"/>
        <color rgb="FF000000"/>
        <rFont val="WenQuanYi Zen Hei"/>
        <family val="2"/>
      </rPr>
      <t xml:space="preserve">번입니다</t>
    </r>
    <r>
      <rPr>
        <sz val="10"/>
        <color rgb="FF000000"/>
        <rFont val="맑은 고딕"/>
        <family val="0"/>
        <charset val="1"/>
      </rPr>
      <t xml:space="preserve">. </t>
    </r>
    <r>
      <rPr>
        <sz val="10"/>
        <color rgb="FF000000"/>
        <rFont val="WenQuanYi Zen Hei"/>
        <family val="2"/>
      </rPr>
      <t xml:space="preserve">편한 운동복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운동화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복용 중인 약 목록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안경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보청기를 챙겨 주세요</t>
    </r>
    <r>
      <rPr>
        <sz val="10"/>
        <color rgb="FF000000"/>
        <rFont val="맑은 고딕"/>
        <family val="0"/>
        <charset val="1"/>
      </rPr>
      <t xml:space="preserve">. </t>
    </r>
    <r>
      <rPr>
        <sz val="10"/>
        <color rgb="FF000000"/>
        <rFont val="WenQuanYi Zen Hei"/>
        <family val="2"/>
      </rPr>
      <t xml:space="preserve">혈당 측정이 있으니 </t>
    </r>
    <r>
      <rPr>
        <sz val="10"/>
        <color rgb="FF000000"/>
        <rFont val="맑은 고딕"/>
        <family val="0"/>
        <charset val="1"/>
      </rPr>
      <t xml:space="preserve">[</t>
    </r>
    <r>
      <rPr>
        <sz val="10"/>
        <color rgb="FF000000"/>
        <rFont val="WenQuanYi Zen Hei"/>
        <family val="2"/>
      </rPr>
      <t xml:space="preserve">사전평가와 같은 조건</t>
    </r>
    <r>
      <rPr>
        <sz val="10"/>
        <color rgb="FF000000"/>
        <rFont val="맑은 고딕"/>
        <family val="0"/>
        <charset val="1"/>
      </rPr>
      <t xml:space="preserve">: </t>
    </r>
    <r>
      <rPr>
        <sz val="10"/>
        <color rgb="FF000000"/>
        <rFont val="WenQuanYi Zen Hei"/>
        <family val="2"/>
      </rPr>
      <t xml:space="preserve">예</t>
    </r>
    <r>
      <rPr>
        <sz val="10"/>
        <color rgb="FF000000"/>
        <rFont val="맑은 고딕"/>
        <family val="0"/>
        <charset val="1"/>
      </rPr>
      <t xml:space="preserve">) </t>
    </r>
    <r>
      <rPr>
        <sz val="10"/>
        <color rgb="FF000000"/>
        <rFont val="WenQuanYi Zen Hei"/>
        <family val="2"/>
      </rPr>
      <t xml:space="preserve">아침 식후 </t>
    </r>
    <r>
      <rPr>
        <sz val="10"/>
        <color rgb="FF000000"/>
        <rFont val="맑은 고딕"/>
        <family val="0"/>
        <charset val="1"/>
      </rPr>
      <t xml:space="preserve">2</t>
    </r>
    <r>
      <rPr>
        <sz val="10"/>
        <color rgb="FF000000"/>
        <rFont val="WenQuanYi Zen Hei"/>
        <family val="2"/>
      </rPr>
      <t xml:space="preserve">시간</t>
    </r>
    <r>
      <rPr>
        <sz val="10"/>
        <color rgb="FF000000"/>
        <rFont val="맑은 고딕"/>
        <family val="0"/>
        <charset val="1"/>
      </rPr>
      <t xml:space="preserve">]</t>
    </r>
    <r>
      <rPr>
        <sz val="10"/>
        <color rgb="FF000000"/>
        <rFont val="WenQuanYi Zen Hei"/>
        <family val="2"/>
      </rPr>
      <t xml:space="preserve">을 지켜 주세요</t>
    </r>
    <r>
      <rPr>
        <sz val="10"/>
        <color rgb="FF000000"/>
        <rFont val="맑은 고딕"/>
        <family val="0"/>
        <charset val="1"/>
      </rPr>
      <t xml:space="preserve">. </t>
    </r>
    <r>
      <rPr>
        <sz val="10"/>
        <color rgb="FF000000"/>
        <rFont val="WenQuanYi Zen Hei"/>
        <family val="2"/>
      </rPr>
      <t xml:space="preserve">변경 문의 </t>
    </r>
    <r>
      <rPr>
        <sz val="10"/>
        <color rgb="FF000000"/>
        <rFont val="맑은 고딕"/>
        <family val="0"/>
        <charset val="1"/>
      </rPr>
      <t xml:space="preserve">031-000-0000</t>
    </r>
  </si>
  <si>
    <t xml:space="preserve">사후평가 현황판</t>
  </si>
  <si>
    <r>
      <rPr>
        <i val="true"/>
        <sz val="10"/>
        <color rgb="FF7F7F7F"/>
        <rFont val="WenQuanYi Zen Hei"/>
        <family val="2"/>
      </rPr>
      <t xml:space="preserve">명단에 </t>
    </r>
    <r>
      <rPr>
        <i val="true"/>
        <sz val="10"/>
        <color rgb="FF7F7F7F"/>
        <rFont val="맑은 고딕"/>
        <family val="0"/>
        <charset val="1"/>
      </rPr>
      <t xml:space="preserve">O</t>
    </r>
    <r>
      <rPr>
        <i val="true"/>
        <sz val="10"/>
        <color rgb="FF7F7F7F"/>
        <rFont val="WenQuanYi Zen Hei"/>
        <family val="2"/>
      </rPr>
      <t xml:space="preserve">를 입력하면 자동으로 갱신됩니다</t>
    </r>
    <r>
      <rPr>
        <i val="true"/>
        <sz val="10"/>
        <color rgb="FF7F7F7F"/>
        <rFont val="맑은 고딕"/>
        <family val="0"/>
        <charset val="1"/>
      </rPr>
      <t xml:space="preserve">. </t>
    </r>
    <r>
      <rPr>
        <i val="true"/>
        <sz val="10"/>
        <color rgb="FF7F7F7F"/>
        <rFont val="WenQuanYi Zen Hei"/>
        <family val="2"/>
      </rPr>
      <t xml:space="preserve">아래 숫자는 직접 고치지 마세요</t>
    </r>
    <r>
      <rPr>
        <i val="true"/>
        <sz val="10"/>
        <color rgb="FF7F7F7F"/>
        <rFont val="맑은 고딕"/>
        <family val="0"/>
        <charset val="1"/>
      </rPr>
      <t xml:space="preserve">.</t>
    </r>
  </si>
  <si>
    <r>
      <rPr>
        <b val="true"/>
        <sz val="10"/>
        <color rgb="FF000000"/>
        <rFont val="WenQuanYi Zen Hei"/>
        <family val="2"/>
      </rPr>
      <t xml:space="preserve">기준일</t>
    </r>
    <r>
      <rPr>
        <b val="true"/>
        <sz val="10"/>
        <color rgb="FF000000"/>
        <rFont val="맑은 고딕"/>
        <family val="0"/>
        <charset val="1"/>
      </rPr>
      <t xml:space="preserve">(</t>
    </r>
    <r>
      <rPr>
        <b val="true"/>
        <sz val="10"/>
        <color rgb="FF000000"/>
        <rFont val="WenQuanYi Zen Hei"/>
        <family val="2"/>
      </rPr>
      <t xml:space="preserve">오늘</t>
    </r>
    <r>
      <rPr>
        <b val="true"/>
        <sz val="10"/>
        <color rgb="FF000000"/>
        <rFont val="맑은 고딕"/>
        <family val="0"/>
        <charset val="1"/>
      </rPr>
      <t xml:space="preserve">)</t>
    </r>
  </si>
  <si>
    <r>
      <rPr>
        <i val="true"/>
        <sz val="10"/>
        <color rgb="FF7F7F7F"/>
        <rFont val="WenQuanYi Zen Hei"/>
        <family val="2"/>
      </rPr>
      <t xml:space="preserve">다른 날짜를 보려면 </t>
    </r>
    <r>
      <rPr>
        <i val="true"/>
        <sz val="10"/>
        <color rgb="FF7F7F7F"/>
        <rFont val="맑은 고딕"/>
        <family val="0"/>
        <charset val="1"/>
      </rPr>
      <t xml:space="preserve">C4</t>
    </r>
    <r>
      <rPr>
        <i val="true"/>
        <sz val="10"/>
        <color rgb="FF7F7F7F"/>
        <rFont val="WenQuanYi Zen Hei"/>
        <family val="2"/>
      </rPr>
      <t xml:space="preserve">에 날짜를 직접 입력하세요</t>
    </r>
    <r>
      <rPr>
        <i val="true"/>
        <sz val="10"/>
        <color rgb="FF7F7F7F"/>
        <rFont val="맑은 고딕"/>
        <family val="0"/>
        <charset val="1"/>
      </rPr>
      <t xml:space="preserve">.</t>
    </r>
  </si>
  <si>
    <r>
      <rPr>
        <b val="true"/>
        <sz val="10"/>
        <color rgb="FFFFFFFF"/>
        <rFont val="WenQuanYi Zen Hei"/>
        <family val="2"/>
      </rPr>
      <t xml:space="preserve">오늘 현황 </t>
    </r>
    <r>
      <rPr>
        <b val="true"/>
        <sz val="10"/>
        <color rgb="FFFFFFFF"/>
        <rFont val="맑은 고딕"/>
        <family val="0"/>
        <charset val="1"/>
      </rPr>
      <t xml:space="preserve">(</t>
    </r>
    <r>
      <rPr>
        <b val="true"/>
        <sz val="10"/>
        <color rgb="FFFFFFFF"/>
        <rFont val="WenQuanYi Zen Hei"/>
        <family val="2"/>
      </rPr>
      <t xml:space="preserve">예약일 </t>
    </r>
    <r>
      <rPr>
        <b val="true"/>
        <sz val="10"/>
        <color rgb="FFFFFFFF"/>
        <rFont val="맑은 고딕"/>
        <family val="0"/>
        <charset val="1"/>
      </rPr>
      <t xml:space="preserve">= </t>
    </r>
    <r>
      <rPr>
        <b val="true"/>
        <sz val="10"/>
        <color rgb="FFFFFFFF"/>
        <rFont val="WenQuanYi Zen Hei"/>
        <family val="2"/>
      </rPr>
      <t xml:space="preserve">기준일</t>
    </r>
    <r>
      <rPr>
        <b val="true"/>
        <sz val="10"/>
        <color rgb="FFFFFFFF"/>
        <rFont val="맑은 고딕"/>
        <family val="0"/>
        <charset val="1"/>
      </rPr>
      <t xml:space="preserve">)</t>
    </r>
  </si>
  <si>
    <r>
      <rPr>
        <b val="true"/>
        <sz val="10"/>
        <color rgb="FFFFFFFF"/>
        <rFont val="WenQuanYi Zen Hei"/>
        <family val="2"/>
      </rPr>
      <t xml:space="preserve">전체 진행 </t>
    </r>
    <r>
      <rPr>
        <b val="true"/>
        <sz val="10"/>
        <color rgb="FFFFFFFF"/>
        <rFont val="맑은 고딕"/>
        <family val="0"/>
        <charset val="1"/>
      </rPr>
      <t xml:space="preserve">(</t>
    </r>
    <r>
      <rPr>
        <b val="true"/>
        <sz val="10"/>
        <color rgb="FFFFFFFF"/>
        <rFont val="WenQuanYi Zen Hei"/>
        <family val="2"/>
      </rPr>
      <t xml:space="preserve">목표 대비</t>
    </r>
    <r>
      <rPr>
        <b val="true"/>
        <sz val="10"/>
        <color rgb="FFFFFFFF"/>
        <rFont val="맑은 고딕"/>
        <family val="0"/>
        <charset val="1"/>
      </rPr>
      <t xml:space="preserve">)</t>
    </r>
  </si>
  <si>
    <t xml:space="preserve">오늘 예약 인원</t>
  </si>
  <si>
    <t xml:space="preserve">목표 인원</t>
  </si>
  <si>
    <r>
      <rPr>
        <sz val="10"/>
        <color rgb="FF000000"/>
        <rFont val="WenQuanYi Zen Hei"/>
        <family val="2"/>
      </rPr>
      <t xml:space="preserve">아직 도착 전</t>
    </r>
    <r>
      <rPr>
        <sz val="10"/>
        <color rgb="FF000000"/>
        <rFont val="맑은 고딕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미방문</t>
    </r>
    <r>
      <rPr>
        <sz val="10"/>
        <color rgb="FF000000"/>
        <rFont val="맑은 고딕"/>
        <family val="0"/>
        <charset val="1"/>
      </rPr>
      <t xml:space="preserve">)</t>
    </r>
  </si>
  <si>
    <t xml:space="preserve">명단 등록 인원</t>
  </si>
  <si>
    <t xml:space="preserve">운동평가 대기</t>
  </si>
  <si>
    <t xml:space="preserve">완료 인원</t>
  </si>
  <si>
    <r>
      <rPr>
        <sz val="10"/>
        <color rgb="FF000000"/>
        <rFont val="WenQuanYi Zen Hei"/>
        <family val="2"/>
      </rPr>
      <t xml:space="preserve">혈압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혈당 측정 대기</t>
    </r>
  </si>
  <si>
    <t xml:space="preserve">진행률</t>
  </si>
  <si>
    <t xml:space="preserve">선생님 상담 대기</t>
  </si>
  <si>
    <t xml:space="preserve">남은 인원</t>
  </si>
  <si>
    <t xml:space="preserve">추가상담 대기</t>
  </si>
  <si>
    <r>
      <rPr>
        <sz val="10"/>
        <color rgb="FF000000"/>
        <rFont val="WenQuanYi Zen Hei"/>
        <family val="2"/>
      </rPr>
      <t xml:space="preserve">남은 운영일</t>
    </r>
    <r>
      <rPr>
        <sz val="10"/>
        <color rgb="FF000000"/>
        <rFont val="맑은 고딕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기준일 포함</t>
    </r>
    <r>
      <rPr>
        <sz val="10"/>
        <color rgb="FF000000"/>
        <rFont val="맑은 고딕"/>
        <family val="0"/>
        <charset val="1"/>
      </rPr>
      <t xml:space="preserve">)</t>
    </r>
  </si>
  <si>
    <t xml:space="preserve">완료</t>
  </si>
  <si>
    <t xml:space="preserve">남은 일수 기준 하루 필요 인원</t>
  </si>
  <si>
    <r>
      <rPr>
        <sz val="10"/>
        <color rgb="FF000000"/>
        <rFont val="WenQuanYi Zen Hei"/>
        <family val="2"/>
      </rPr>
      <t xml:space="preserve">불참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연기</t>
    </r>
  </si>
  <si>
    <r>
      <rPr>
        <sz val="10"/>
        <color rgb="FF000000"/>
        <rFont val="WenQuanYi Zen Hei"/>
        <family val="2"/>
      </rPr>
      <t xml:space="preserve">불참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연기</t>
    </r>
    <r>
      <rPr>
        <sz val="10"/>
        <color rgb="FF000000"/>
        <rFont val="맑은 고딕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재예약 필요</t>
    </r>
    <r>
      <rPr>
        <sz val="10"/>
        <color rgb="FF000000"/>
        <rFont val="맑은 고딕"/>
        <family val="0"/>
        <charset val="1"/>
      </rPr>
      <t xml:space="preserve">)</t>
    </r>
  </si>
  <si>
    <r>
      <rPr>
        <sz val="10"/>
        <color rgb="FF000000"/>
        <rFont val="WenQuanYi Zen Hei"/>
        <family val="2"/>
      </rPr>
      <t xml:space="preserve">현재 현장 체류 인원</t>
    </r>
    <r>
      <rPr>
        <sz val="10"/>
        <color rgb="FF000000"/>
        <rFont val="맑은 고딕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대기 합</t>
    </r>
    <r>
      <rPr>
        <sz val="10"/>
        <color rgb="FF000000"/>
        <rFont val="맑은 고딕"/>
        <family val="0"/>
        <charset val="1"/>
      </rPr>
      <t xml:space="preserve">)</t>
    </r>
  </si>
  <si>
    <r>
      <rPr>
        <sz val="10"/>
        <color rgb="FF000000"/>
        <rFont val="WenQuanYi Zen Hei"/>
        <family val="2"/>
      </rPr>
      <t xml:space="preserve">추가상담 대상 </t>
    </r>
    <r>
      <rPr>
        <sz val="10"/>
        <color rgb="FF000000"/>
        <rFont val="맑은 고딕"/>
        <family val="0"/>
        <charset val="1"/>
      </rPr>
      <t xml:space="preserve">/ </t>
    </r>
    <r>
      <rPr>
        <sz val="10"/>
        <color rgb="FF000000"/>
        <rFont val="WenQuanYi Zen Hei"/>
        <family val="2"/>
      </rPr>
      <t xml:space="preserve">이 중 대기</t>
    </r>
  </si>
  <si>
    <t xml:space="preserve">합계 확인</t>
  </si>
  <si>
    <r>
      <rPr>
        <b val="true"/>
        <sz val="10"/>
        <color rgb="FFFFFFFF"/>
        <rFont val="WenQuanYi Zen Hei"/>
        <family val="2"/>
      </rPr>
      <t xml:space="preserve">측정 결과 플래그 </t>
    </r>
    <r>
      <rPr>
        <b val="true"/>
        <sz val="10"/>
        <color rgb="FFFFFFFF"/>
        <rFont val="맑은 고딕"/>
        <family val="0"/>
        <charset val="1"/>
      </rPr>
      <t xml:space="preserve">(</t>
    </r>
    <r>
      <rPr>
        <b val="true"/>
        <sz val="10"/>
        <color rgb="FFFFFFFF"/>
        <rFont val="WenQuanYi Zen Hei"/>
        <family val="2"/>
      </rPr>
      <t xml:space="preserve">누적</t>
    </r>
    <r>
      <rPr>
        <b val="true"/>
        <sz val="10"/>
        <color rgb="FFFFFFFF"/>
        <rFont val="맑은 고딕"/>
        <family val="0"/>
        <charset val="1"/>
      </rPr>
      <t xml:space="preserve">)</t>
    </r>
  </si>
  <si>
    <r>
      <rPr>
        <b val="true"/>
        <sz val="10"/>
        <color rgb="FFFFFFFF"/>
        <rFont val="WenQuanYi Zen Hei"/>
        <family val="2"/>
      </rPr>
      <t xml:space="preserve">구간별 평균 소요시간 </t>
    </r>
    <r>
      <rPr>
        <b val="true"/>
        <sz val="10"/>
        <color rgb="FFFFFFFF"/>
        <rFont val="맑은 고딕"/>
        <family val="0"/>
        <charset val="1"/>
      </rPr>
      <t xml:space="preserve">(</t>
    </r>
    <r>
      <rPr>
        <b val="true"/>
        <sz val="10"/>
        <color rgb="FFFFFFFF"/>
        <rFont val="WenQuanYi Zen Hei"/>
        <family val="2"/>
      </rPr>
      <t xml:space="preserve">분</t>
    </r>
    <r>
      <rPr>
        <b val="true"/>
        <sz val="10"/>
        <color rgb="FFFFFFFF"/>
        <rFont val="맑은 고딕"/>
        <family val="0"/>
        <charset val="1"/>
      </rPr>
      <t xml:space="preserve">, </t>
    </r>
    <r>
      <rPr>
        <b val="true"/>
        <sz val="10"/>
        <color rgb="FFFFFFFF"/>
        <rFont val="WenQuanYi Zen Hei"/>
        <family val="2"/>
      </rPr>
      <t xml:space="preserve">대기 포함</t>
    </r>
    <r>
      <rPr>
        <b val="true"/>
        <sz val="10"/>
        <color rgb="FFFFFFFF"/>
        <rFont val="맑은 고딕"/>
        <family val="0"/>
        <charset val="1"/>
      </rPr>
      <t xml:space="preserve">)</t>
    </r>
  </si>
  <si>
    <r>
      <rPr>
        <sz val="10"/>
        <color rgb="FF000000"/>
        <rFont val="WenQuanYi Zen Hei"/>
        <family val="2"/>
      </rPr>
      <t xml:space="preserve">혈압 긴급 </t>
    </r>
    <r>
      <rPr>
        <sz val="10"/>
        <color rgb="FF000000"/>
        <rFont val="맑은 고딕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즉시 선생님 호출</t>
    </r>
    <r>
      <rPr>
        <sz val="10"/>
        <color rgb="FF000000"/>
        <rFont val="맑은 고딕"/>
        <family val="0"/>
        <charset val="1"/>
      </rPr>
      <t xml:space="preserve">)</t>
    </r>
  </si>
  <si>
    <t xml:space="preserve">접수 → 운동평가 완료</t>
  </si>
  <si>
    <t xml:space="preserve">혈압 주의</t>
  </si>
  <si>
    <t xml:space="preserve">운동평가 → 측정 완료</t>
  </si>
  <si>
    <t xml:space="preserve">혈당 긴급</t>
  </si>
  <si>
    <t xml:space="preserve">측정 → 상담 완료</t>
  </si>
  <si>
    <t xml:space="preserve">혈당 주의</t>
  </si>
  <si>
    <t xml:space="preserve">상담 → 추가상담 완료</t>
  </si>
  <si>
    <r>
      <rPr>
        <sz val="10"/>
        <color rgb="FF000000"/>
        <rFont val="WenQuanYi Zen Hei"/>
        <family val="2"/>
      </rPr>
      <t xml:space="preserve">혈당조건</t>
    </r>
    <r>
      <rPr>
        <sz val="10"/>
        <color rgb="FF000000"/>
        <rFont val="맑은 고딕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공복</t>
    </r>
    <r>
      <rPr>
        <sz val="10"/>
        <color rgb="FF000000"/>
        <rFont val="맑은 고딕"/>
        <family val="0"/>
        <charset val="1"/>
      </rPr>
      <t xml:space="preserve">/</t>
    </r>
    <r>
      <rPr>
        <sz val="10"/>
        <color rgb="FF000000"/>
        <rFont val="WenQuanYi Zen Hei"/>
        <family val="2"/>
      </rPr>
      <t xml:space="preserve">식후</t>
    </r>
    <r>
      <rPr>
        <sz val="10"/>
        <color rgb="FF000000"/>
        <rFont val="맑은 고딕"/>
        <family val="0"/>
        <charset val="1"/>
      </rPr>
      <t xml:space="preserve">) </t>
    </r>
    <r>
      <rPr>
        <sz val="10"/>
        <color rgb="FF000000"/>
        <rFont val="WenQuanYi Zen Hei"/>
        <family val="2"/>
      </rPr>
      <t xml:space="preserve">미기록</t>
    </r>
  </si>
  <si>
    <r>
      <rPr>
        <sz val="10"/>
        <color rgb="FF000000"/>
        <rFont val="WenQuanYi Zen Hei"/>
        <family val="2"/>
      </rPr>
      <t xml:space="preserve">접수 → 최종 완료 </t>
    </r>
    <r>
      <rPr>
        <sz val="10"/>
        <color rgb="FF000000"/>
        <rFont val="맑은 고딕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전체</t>
    </r>
    <r>
      <rPr>
        <sz val="10"/>
        <color rgb="FF000000"/>
        <rFont val="맑은 고딕"/>
        <family val="0"/>
        <charset val="1"/>
      </rPr>
      <t xml:space="preserve">)</t>
    </r>
  </si>
  <si>
    <t xml:space="preserve">가장 오래 걸리는 구간</t>
  </si>
  <si>
    <r>
      <rPr>
        <i val="true"/>
        <sz val="10"/>
        <color rgb="FF7F7F7F"/>
        <rFont val="WenQuanYi Zen Hei"/>
        <family val="2"/>
      </rPr>
      <t xml:space="preserve">※ 시각 기록</t>
    </r>
    <r>
      <rPr>
        <i val="true"/>
        <sz val="10"/>
        <color rgb="FF7F7F7F"/>
        <rFont val="맑은 고딕"/>
        <family val="0"/>
        <charset val="1"/>
      </rPr>
      <t xml:space="preserve">(</t>
    </r>
    <r>
      <rPr>
        <i val="true"/>
        <sz val="10"/>
        <color rgb="FF7F7F7F"/>
        <rFont val="WenQuanYi Zen Hei"/>
        <family val="2"/>
      </rPr>
      <t xml:space="preserve">명단 </t>
    </r>
    <r>
      <rPr>
        <i val="true"/>
        <sz val="10"/>
        <color rgb="FF7F7F7F"/>
        <rFont val="맑은 고딕"/>
        <family val="0"/>
        <charset val="1"/>
      </rPr>
      <t xml:space="preserve">X~AB</t>
    </r>
    <r>
      <rPr>
        <i val="true"/>
        <sz val="10"/>
        <color rgb="FF7F7F7F"/>
        <rFont val="WenQuanYi Zen Hei"/>
        <family val="2"/>
      </rPr>
      <t xml:space="preserve">열</t>
    </r>
    <r>
      <rPr>
        <i val="true"/>
        <sz val="10"/>
        <color rgb="FF7F7F7F"/>
        <rFont val="맑은 고딕"/>
        <family val="0"/>
        <charset val="1"/>
      </rPr>
      <t xml:space="preserve">)</t>
    </r>
    <r>
      <rPr>
        <i val="true"/>
        <sz val="10"/>
        <color rgb="FF7F7F7F"/>
        <rFont val="WenQuanYi Zen Hei"/>
        <family val="2"/>
      </rPr>
      <t xml:space="preserve">이 있어야 계산됩니다</t>
    </r>
    <r>
      <rPr>
        <i val="true"/>
        <sz val="10"/>
        <color rgb="FF7F7F7F"/>
        <rFont val="맑은 고딕"/>
        <family val="0"/>
        <charset val="1"/>
      </rPr>
      <t xml:space="preserve">. </t>
    </r>
    <r>
      <rPr>
        <i val="true"/>
        <sz val="10"/>
        <color rgb="FF7F7F7F"/>
        <rFont val="WenQuanYi Zen Hei"/>
        <family val="2"/>
      </rPr>
      <t xml:space="preserve">없으면 </t>
    </r>
    <r>
      <rPr>
        <i val="true"/>
        <sz val="10"/>
        <color rgb="FF7F7F7F"/>
        <rFont val="맑은 고딕"/>
        <family val="0"/>
        <charset val="1"/>
      </rPr>
      <t xml:space="preserve">'-'.</t>
    </r>
  </si>
  <si>
    <r>
      <rPr>
        <b val="true"/>
        <sz val="14"/>
        <color rgb="FF1F3864"/>
        <rFont val="WenQuanYi Zen Hei"/>
        <family val="2"/>
      </rPr>
      <t xml:space="preserve">명단 </t>
    </r>
    <r>
      <rPr>
        <b val="true"/>
        <sz val="14"/>
        <color rgb="FF1F3864"/>
        <rFont val="맑은 고딕"/>
        <family val="0"/>
        <charset val="1"/>
      </rPr>
      <t xml:space="preserve">(</t>
    </r>
    <r>
      <rPr>
        <b val="true"/>
        <sz val="14"/>
        <color rgb="FF1F3864"/>
        <rFont val="WenQuanYi Zen Hei"/>
        <family val="2"/>
      </rPr>
      <t xml:space="preserve">한 사람 </t>
    </r>
    <r>
      <rPr>
        <b val="true"/>
        <sz val="14"/>
        <color rgb="FF1F3864"/>
        <rFont val="맑은 고딕"/>
        <family val="0"/>
        <charset val="1"/>
      </rPr>
      <t xml:space="preserve">= </t>
    </r>
    <r>
      <rPr>
        <b val="true"/>
        <sz val="14"/>
        <color rgb="FF1F3864"/>
        <rFont val="WenQuanYi Zen Hei"/>
        <family val="2"/>
      </rPr>
      <t xml:space="preserve">한 줄 </t>
    </r>
    <r>
      <rPr>
        <b val="true"/>
        <sz val="14"/>
        <color rgb="FF1F3864"/>
        <rFont val="맑은 고딕"/>
        <family val="0"/>
        <charset val="1"/>
      </rPr>
      <t xml:space="preserve">· </t>
    </r>
    <r>
      <rPr>
        <b val="true"/>
        <sz val="14"/>
        <color rgb="FF1F3864"/>
        <rFont val="WenQuanYi Zen Hei"/>
        <family val="2"/>
      </rPr>
      <t xml:space="preserve">번호로 찾기</t>
    </r>
    <r>
      <rPr>
        <b val="true"/>
        <sz val="14"/>
        <color rgb="FF1F3864"/>
        <rFont val="맑은 고딕"/>
        <family val="0"/>
        <charset val="1"/>
      </rPr>
      <t xml:space="preserve">)</t>
    </r>
  </si>
  <si>
    <r>
      <rPr>
        <i val="true"/>
        <sz val="10"/>
        <color rgb="FF7F7F7F"/>
        <rFont val="WenQuanYi Zen Hei"/>
        <family val="2"/>
      </rPr>
      <t xml:space="preserve">흰 칸에 입력</t>
    </r>
    <r>
      <rPr>
        <i val="true"/>
        <sz val="10"/>
        <color rgb="FF7F7F7F"/>
        <rFont val="맑은 고딕"/>
        <family val="0"/>
        <charset val="1"/>
      </rPr>
      <t xml:space="preserve">, </t>
    </r>
    <r>
      <rPr>
        <i val="true"/>
        <sz val="10"/>
        <color rgb="FF7F7F7F"/>
        <rFont val="WenQuanYi Zen Hei"/>
        <family val="2"/>
      </rPr>
      <t xml:space="preserve">회색 칸은 자동 계산</t>
    </r>
    <r>
      <rPr>
        <i val="true"/>
        <sz val="10"/>
        <color rgb="FF7F7F7F"/>
        <rFont val="맑은 고딕"/>
        <family val="0"/>
        <charset val="1"/>
      </rPr>
      <t xml:space="preserve">(</t>
    </r>
    <r>
      <rPr>
        <i val="true"/>
        <sz val="10"/>
        <color rgb="FF7F7F7F"/>
        <rFont val="WenQuanYi Zen Hei"/>
        <family val="2"/>
      </rPr>
      <t xml:space="preserve">수정 금지</t>
    </r>
    <r>
      <rPr>
        <i val="true"/>
        <sz val="10"/>
        <color rgb="FF7F7F7F"/>
        <rFont val="맑은 고딕"/>
        <family val="0"/>
        <charset val="1"/>
      </rPr>
      <t xml:space="preserve">). </t>
    </r>
    <r>
      <rPr>
        <i val="true"/>
        <sz val="10"/>
        <color rgb="FF7F7F7F"/>
        <rFont val="WenQuanYi Zen Hei"/>
        <family val="2"/>
      </rPr>
      <t xml:space="preserve">단계가 끝나면 해당 칸에 </t>
    </r>
    <r>
      <rPr>
        <i val="true"/>
        <sz val="10"/>
        <color rgb="FF7F7F7F"/>
        <rFont val="맑은 고딕"/>
        <family val="0"/>
        <charset val="1"/>
      </rPr>
      <t xml:space="preserve">O </t>
    </r>
    <r>
      <rPr>
        <i val="true"/>
        <sz val="10"/>
        <color rgb="FF7F7F7F"/>
        <rFont val="WenQuanYi Zen Hei"/>
        <family val="2"/>
      </rPr>
      <t xml:space="preserve">선택</t>
    </r>
    <r>
      <rPr>
        <i val="true"/>
        <sz val="10"/>
        <color rgb="FF7F7F7F"/>
        <rFont val="맑은 고딕"/>
        <family val="0"/>
        <charset val="1"/>
      </rPr>
      <t xml:space="preserve">. </t>
    </r>
    <r>
      <rPr>
        <i val="true"/>
        <sz val="10"/>
        <color rgb="FF7F7F7F"/>
        <rFont val="WenQuanYi Zen Hei"/>
        <family val="2"/>
      </rPr>
      <t xml:space="preserve">측정 거부</t>
    </r>
    <r>
      <rPr>
        <i val="true"/>
        <sz val="10"/>
        <color rgb="FF7F7F7F"/>
        <rFont val="맑은 고딕"/>
        <family val="0"/>
        <charset val="1"/>
      </rPr>
      <t xml:space="preserve">·</t>
    </r>
    <r>
      <rPr>
        <i val="true"/>
        <sz val="10"/>
        <color rgb="FF7F7F7F"/>
        <rFont val="WenQuanYi Zen Hei"/>
        <family val="2"/>
      </rPr>
      <t xml:space="preserve">불가 시 해당 칸에 </t>
    </r>
    <r>
      <rPr>
        <i val="true"/>
        <sz val="10"/>
        <color rgb="FF7F7F7F"/>
        <rFont val="맑은 고딕"/>
        <family val="0"/>
        <charset val="1"/>
      </rPr>
      <t xml:space="preserve">- </t>
    </r>
    <r>
      <rPr>
        <i val="true"/>
        <sz val="10"/>
        <color rgb="FF7F7F7F"/>
        <rFont val="WenQuanYi Zen Hei"/>
        <family val="2"/>
      </rPr>
      <t xml:space="preserve">입력</t>
    </r>
    <r>
      <rPr>
        <i val="true"/>
        <sz val="10"/>
        <color rgb="FF7F7F7F"/>
        <rFont val="맑은 고딕"/>
        <family val="0"/>
        <charset val="1"/>
      </rPr>
      <t xml:space="preserve">.</t>
    </r>
  </si>
  <si>
    <r>
      <rPr>
        <b val="true"/>
        <sz val="10"/>
        <color rgb="FFFFFFFF"/>
        <rFont val="WenQuanYi Zen Hei"/>
        <family val="2"/>
      </rPr>
      <t xml:space="preserve">기본 정보 </t>
    </r>
    <r>
      <rPr>
        <b val="true"/>
        <sz val="10"/>
        <color rgb="FFFFFFFF"/>
        <rFont val="맑은 고딕"/>
        <family val="0"/>
        <charset val="1"/>
      </rPr>
      <t xml:space="preserve">(</t>
    </r>
    <r>
      <rPr>
        <b val="true"/>
        <sz val="10"/>
        <color rgb="FFFFFFFF"/>
        <rFont val="WenQuanYi Zen Hei"/>
        <family val="2"/>
      </rPr>
      <t xml:space="preserve">사전 입력</t>
    </r>
    <r>
      <rPr>
        <b val="true"/>
        <sz val="10"/>
        <color rgb="FFFFFFFF"/>
        <rFont val="맑은 고딕"/>
        <family val="0"/>
        <charset val="1"/>
      </rPr>
      <t xml:space="preserve">)</t>
    </r>
  </si>
  <si>
    <r>
      <rPr>
        <b val="true"/>
        <sz val="10"/>
        <color rgb="FFFFFFFF"/>
        <rFont val="WenQuanYi Zen Hei"/>
        <family val="2"/>
      </rPr>
      <t xml:space="preserve">접수</t>
    </r>
    <r>
      <rPr>
        <b val="true"/>
        <sz val="10"/>
        <color rgb="FFFFFFFF"/>
        <rFont val="맑은 고딕"/>
        <family val="0"/>
        <charset val="1"/>
      </rPr>
      <t xml:space="preserve">·</t>
    </r>
    <r>
      <rPr>
        <b val="true"/>
        <sz val="10"/>
        <color rgb="FFFFFFFF"/>
        <rFont val="WenQuanYi Zen Hei"/>
        <family val="2"/>
      </rPr>
      <t xml:space="preserve">운동평가</t>
    </r>
  </si>
  <si>
    <r>
      <rPr>
        <b val="true"/>
        <sz val="10"/>
        <color rgb="FFFFFFFF"/>
        <rFont val="WenQuanYi Zen Hei"/>
        <family val="2"/>
      </rPr>
      <t xml:space="preserve">혈압</t>
    </r>
    <r>
      <rPr>
        <b val="true"/>
        <sz val="10"/>
        <color rgb="FFFFFFFF"/>
        <rFont val="맑은 고딕"/>
        <family val="0"/>
        <charset val="1"/>
      </rPr>
      <t xml:space="preserve">·</t>
    </r>
    <r>
      <rPr>
        <b val="true"/>
        <sz val="10"/>
        <color rgb="FFFFFFFF"/>
        <rFont val="WenQuanYi Zen Hei"/>
        <family val="2"/>
      </rPr>
      <t xml:space="preserve">혈당 </t>
    </r>
    <r>
      <rPr>
        <b val="true"/>
        <sz val="10"/>
        <color rgb="FFFFFFFF"/>
        <rFont val="맑은 고딕"/>
        <family val="0"/>
        <charset val="1"/>
      </rPr>
      <t xml:space="preserve">(</t>
    </r>
    <r>
      <rPr>
        <b val="true"/>
        <sz val="10"/>
        <color rgb="FFFFFFFF"/>
        <rFont val="WenQuanYi Zen Hei"/>
        <family val="2"/>
      </rPr>
      <t xml:space="preserve">간호실습생</t>
    </r>
    <r>
      <rPr>
        <b val="true"/>
        <sz val="10"/>
        <color rgb="FFFFFFFF"/>
        <rFont val="맑은 고딕"/>
        <family val="0"/>
        <charset val="1"/>
      </rPr>
      <t xml:space="preserve">)</t>
    </r>
  </si>
  <si>
    <t xml:space="preserve">상담</t>
  </si>
  <si>
    <t xml:space="preserve">기타</t>
  </si>
  <si>
    <t xml:space="preserve">자동 계산</t>
  </si>
  <si>
    <r>
      <rPr>
        <b val="true"/>
        <sz val="10"/>
        <color rgb="FFFFFFFF"/>
        <rFont val="WenQuanYi Zen Hei"/>
        <family val="2"/>
      </rPr>
      <t xml:space="preserve">단계별 시각 </t>
    </r>
    <r>
      <rPr>
        <b val="true"/>
        <sz val="10"/>
        <color rgb="FFFFFFFF"/>
        <rFont val="맑은 고딕"/>
        <family val="0"/>
        <charset val="1"/>
      </rPr>
      <t xml:space="preserve">(</t>
    </r>
    <r>
      <rPr>
        <b val="true"/>
        <sz val="10"/>
        <color rgb="FFFFFFFF"/>
        <rFont val="WenQuanYi Zen Hei"/>
        <family val="2"/>
      </rPr>
      <t xml:space="preserve">스크립트 사용 시 자동</t>
    </r>
    <r>
      <rPr>
        <b val="true"/>
        <sz val="10"/>
        <color rgb="FFFFFFFF"/>
        <rFont val="맑은 고딕"/>
        <family val="0"/>
        <charset val="1"/>
      </rPr>
      <t xml:space="preserve">)</t>
    </r>
  </si>
  <si>
    <r>
      <rPr>
        <b val="true"/>
        <sz val="10"/>
        <color rgb="FFFFFFFF"/>
        <rFont val="WenQuanYi Zen Hei"/>
        <family val="2"/>
      </rPr>
      <t xml:space="preserve">구간 소요시간 </t>
    </r>
    <r>
      <rPr>
        <b val="true"/>
        <sz val="10"/>
        <color rgb="FFFFFFFF"/>
        <rFont val="맑은 고딕"/>
        <family val="0"/>
        <charset val="1"/>
      </rPr>
      <t xml:space="preserve">(</t>
    </r>
    <r>
      <rPr>
        <b val="true"/>
        <sz val="10"/>
        <color rgb="FFFFFFFF"/>
        <rFont val="WenQuanYi Zen Hei"/>
        <family val="2"/>
      </rPr>
      <t xml:space="preserve">분</t>
    </r>
    <r>
      <rPr>
        <b val="true"/>
        <sz val="10"/>
        <color rgb="FFFFFFFF"/>
        <rFont val="맑은 고딕"/>
        <family val="0"/>
        <charset val="1"/>
      </rPr>
      <t xml:space="preserve">, </t>
    </r>
    <r>
      <rPr>
        <b val="true"/>
        <sz val="10"/>
        <color rgb="FFFFFFFF"/>
        <rFont val="WenQuanYi Zen Hei"/>
        <family val="2"/>
      </rPr>
      <t xml:space="preserve">대기 포함</t>
    </r>
    <r>
      <rPr>
        <b val="true"/>
        <sz val="10"/>
        <color rgb="FFFFFFFF"/>
        <rFont val="맑은 고딕"/>
        <family val="0"/>
        <charset val="1"/>
      </rPr>
      <t xml:space="preserve">)</t>
    </r>
  </si>
  <si>
    <t xml:space="preserve">번호</t>
  </si>
  <si>
    <t xml:space="preserve">이름</t>
  </si>
  <si>
    <t xml:space="preserve">성별</t>
  </si>
  <si>
    <t xml:space="preserve">연령</t>
  </si>
  <si>
    <t xml:space="preserve">연락처</t>
  </si>
  <si>
    <t xml:space="preserve">예약일</t>
  </si>
  <si>
    <t xml:space="preserve">예약시간</t>
  </si>
  <si>
    <t xml:space="preserve">접수</t>
  </si>
  <si>
    <t xml:space="preserve">운동평가 완료</t>
  </si>
  <si>
    <t xml:space="preserve">수축기</t>
  </si>
  <si>
    <t xml:space="preserve">이완기</t>
  </si>
  <si>
    <t xml:space="preserve">혈당</t>
  </si>
  <si>
    <t xml:space="preserve">혈당조건</t>
  </si>
  <si>
    <t xml:space="preserve">추가상담 요청</t>
  </si>
  <si>
    <t xml:space="preserve">추가상담 완료</t>
  </si>
  <si>
    <r>
      <rPr>
        <b val="true"/>
        <sz val="10"/>
        <color rgb="FFFFFFFF"/>
        <rFont val="WenQuanYi Zen Hei"/>
        <family val="2"/>
      </rPr>
      <t xml:space="preserve">불참</t>
    </r>
    <r>
      <rPr>
        <b val="true"/>
        <sz val="10"/>
        <color rgb="FFFFFFFF"/>
        <rFont val="맑은 고딕"/>
        <family val="0"/>
        <charset val="1"/>
      </rPr>
      <t xml:space="preserve">/</t>
    </r>
    <r>
      <rPr>
        <b val="true"/>
        <sz val="10"/>
        <color rgb="FFFFFFFF"/>
        <rFont val="WenQuanYi Zen Hei"/>
        <family val="2"/>
      </rPr>
      <t xml:space="preserve">연기</t>
    </r>
  </si>
  <si>
    <t xml:space="preserve">혈압 판정</t>
  </si>
  <si>
    <t xml:space="preserve">혈당 판정</t>
  </si>
  <si>
    <t xml:space="preserve">추가상담 대상</t>
  </si>
  <si>
    <t xml:space="preserve">진행 단계</t>
  </si>
  <si>
    <t xml:space="preserve">접수 시각</t>
  </si>
  <si>
    <t xml:space="preserve">운동평가 시각</t>
  </si>
  <si>
    <t xml:space="preserve">측정 시각</t>
  </si>
  <si>
    <t xml:space="preserve">상담 시각</t>
  </si>
  <si>
    <t xml:space="preserve">추가상담 시각</t>
  </si>
  <si>
    <r>
      <rPr>
        <b val="true"/>
        <sz val="10"/>
        <color rgb="FFFFFFFF"/>
        <rFont val="WenQuanYi Zen Hei"/>
        <family val="2"/>
      </rPr>
      <t xml:space="preserve">접수→운동평가</t>
    </r>
    <r>
      <rPr>
        <b val="true"/>
        <sz val="10"/>
        <color rgb="FFFFFFFF"/>
        <rFont val="맑은 고딕"/>
        <family val="0"/>
        <charset val="1"/>
      </rPr>
      <t xml:space="preserve">(</t>
    </r>
    <r>
      <rPr>
        <b val="true"/>
        <sz val="10"/>
        <color rgb="FFFFFFFF"/>
        <rFont val="WenQuanYi Zen Hei"/>
        <family val="2"/>
      </rPr>
      <t xml:space="preserve">분</t>
    </r>
    <r>
      <rPr>
        <b val="true"/>
        <sz val="10"/>
        <color rgb="FFFFFFFF"/>
        <rFont val="맑은 고딕"/>
        <family val="0"/>
        <charset val="1"/>
      </rPr>
      <t xml:space="preserve">)</t>
    </r>
  </si>
  <si>
    <r>
      <rPr>
        <b val="true"/>
        <sz val="10"/>
        <color rgb="FFFFFFFF"/>
        <rFont val="WenQuanYi Zen Hei"/>
        <family val="2"/>
      </rPr>
      <t xml:space="preserve">운동평가→측정</t>
    </r>
    <r>
      <rPr>
        <b val="true"/>
        <sz val="10"/>
        <color rgb="FFFFFFFF"/>
        <rFont val="맑은 고딕"/>
        <family val="0"/>
        <charset val="1"/>
      </rPr>
      <t xml:space="preserve">(</t>
    </r>
    <r>
      <rPr>
        <b val="true"/>
        <sz val="10"/>
        <color rgb="FFFFFFFF"/>
        <rFont val="WenQuanYi Zen Hei"/>
        <family val="2"/>
      </rPr>
      <t xml:space="preserve">분</t>
    </r>
    <r>
      <rPr>
        <b val="true"/>
        <sz val="10"/>
        <color rgb="FFFFFFFF"/>
        <rFont val="맑은 고딕"/>
        <family val="0"/>
        <charset val="1"/>
      </rPr>
      <t xml:space="preserve">)</t>
    </r>
  </si>
  <si>
    <r>
      <rPr>
        <b val="true"/>
        <sz val="10"/>
        <color rgb="FFFFFFFF"/>
        <rFont val="WenQuanYi Zen Hei"/>
        <family val="2"/>
      </rPr>
      <t xml:space="preserve">측정→상담</t>
    </r>
    <r>
      <rPr>
        <b val="true"/>
        <sz val="10"/>
        <color rgb="FFFFFFFF"/>
        <rFont val="맑은 고딕"/>
        <family val="0"/>
        <charset val="1"/>
      </rPr>
      <t xml:space="preserve">(</t>
    </r>
    <r>
      <rPr>
        <b val="true"/>
        <sz val="10"/>
        <color rgb="FFFFFFFF"/>
        <rFont val="WenQuanYi Zen Hei"/>
        <family val="2"/>
      </rPr>
      <t xml:space="preserve">분</t>
    </r>
    <r>
      <rPr>
        <b val="true"/>
        <sz val="10"/>
        <color rgb="FFFFFFFF"/>
        <rFont val="맑은 고딕"/>
        <family val="0"/>
        <charset val="1"/>
      </rPr>
      <t xml:space="preserve">)</t>
    </r>
  </si>
  <si>
    <r>
      <rPr>
        <b val="true"/>
        <sz val="10"/>
        <color rgb="FFFFFFFF"/>
        <rFont val="WenQuanYi Zen Hei"/>
        <family val="2"/>
      </rPr>
      <t xml:space="preserve">상담→추가상담</t>
    </r>
    <r>
      <rPr>
        <b val="true"/>
        <sz val="10"/>
        <color rgb="FFFFFFFF"/>
        <rFont val="맑은 고딕"/>
        <family val="0"/>
        <charset val="1"/>
      </rPr>
      <t xml:space="preserve">(</t>
    </r>
    <r>
      <rPr>
        <b val="true"/>
        <sz val="10"/>
        <color rgb="FFFFFFFF"/>
        <rFont val="WenQuanYi Zen Hei"/>
        <family val="2"/>
      </rPr>
      <t xml:space="preserve">분</t>
    </r>
    <r>
      <rPr>
        <b val="true"/>
        <sz val="10"/>
        <color rgb="FFFFFFFF"/>
        <rFont val="맑은 고딕"/>
        <family val="0"/>
        <charset val="1"/>
      </rPr>
      <t xml:space="preserve">)</t>
    </r>
  </si>
  <si>
    <r>
      <rPr>
        <b val="true"/>
        <sz val="10"/>
        <color rgb="FFFFFFFF"/>
        <rFont val="WenQuanYi Zen Hei"/>
        <family val="2"/>
      </rPr>
      <t xml:space="preserve">접수→최종완료</t>
    </r>
    <r>
      <rPr>
        <b val="true"/>
        <sz val="10"/>
        <color rgb="FFFFFFFF"/>
        <rFont val="맑은 고딕"/>
        <family val="0"/>
        <charset val="1"/>
      </rPr>
      <t xml:space="preserve">(</t>
    </r>
    <r>
      <rPr>
        <b val="true"/>
        <sz val="10"/>
        <color rgb="FFFFFFFF"/>
        <rFont val="WenQuanYi Zen Hei"/>
        <family val="2"/>
      </rPr>
      <t xml:space="preserve">분</t>
    </r>
    <r>
      <rPr>
        <b val="true"/>
        <sz val="10"/>
        <color rgb="FFFFFFFF"/>
        <rFont val="맑은 고딕"/>
        <family val="0"/>
        <charset val="1"/>
      </rPr>
      <t xml:space="preserve">)</t>
    </r>
  </si>
  <si>
    <r>
      <rPr>
        <b val="true"/>
        <sz val="14"/>
        <color rgb="FF1F3864"/>
        <rFont val="WenQuanYi Zen Hei"/>
        <family val="2"/>
      </rPr>
      <t xml:space="preserve">일정표 </t>
    </r>
    <r>
      <rPr>
        <b val="true"/>
        <sz val="14"/>
        <color rgb="FF1F3864"/>
        <rFont val="맑은 고딕"/>
        <family val="0"/>
        <charset val="1"/>
      </rPr>
      <t xml:space="preserve">(</t>
    </r>
    <r>
      <rPr>
        <b val="true"/>
        <sz val="14"/>
        <color rgb="FF1F3864"/>
        <rFont val="WenQuanYi Zen Hei"/>
        <family val="2"/>
      </rPr>
      <t xml:space="preserve">날짜 </t>
    </r>
    <r>
      <rPr>
        <b val="true"/>
        <sz val="14"/>
        <color rgb="FF1F3864"/>
        <rFont val="맑은 고딕"/>
        <family val="0"/>
        <charset val="1"/>
      </rPr>
      <t xml:space="preserve">× </t>
    </r>
    <r>
      <rPr>
        <b val="true"/>
        <sz val="14"/>
        <color rgb="FF1F3864"/>
        <rFont val="WenQuanYi Zen Hei"/>
        <family val="2"/>
      </rPr>
      <t xml:space="preserve">시간대 예약 인원</t>
    </r>
    <r>
      <rPr>
        <b val="true"/>
        <sz val="14"/>
        <color rgb="FF1F3864"/>
        <rFont val="맑은 고딕"/>
        <family val="0"/>
        <charset val="1"/>
      </rPr>
      <t xml:space="preserve">)</t>
    </r>
  </si>
  <si>
    <r>
      <rPr>
        <i val="true"/>
        <sz val="10"/>
        <color rgb="FF7F7F7F"/>
        <rFont val="WenQuanYi Zen Hei"/>
        <family val="2"/>
      </rPr>
      <t xml:space="preserve">명단의 예약일</t>
    </r>
    <r>
      <rPr>
        <i val="true"/>
        <sz val="10"/>
        <color rgb="FF7F7F7F"/>
        <rFont val="맑은 고딕"/>
        <family val="0"/>
        <charset val="1"/>
      </rPr>
      <t xml:space="preserve">·</t>
    </r>
    <r>
      <rPr>
        <i val="true"/>
        <sz val="10"/>
        <color rgb="FF7F7F7F"/>
        <rFont val="WenQuanYi Zen Hei"/>
        <family val="2"/>
      </rPr>
      <t xml:space="preserve">예약시간을 자동 집계합니다</t>
    </r>
    <r>
      <rPr>
        <i val="true"/>
        <sz val="10"/>
        <color rgb="FF7F7F7F"/>
        <rFont val="맑은 고딕"/>
        <family val="0"/>
        <charset val="1"/>
      </rPr>
      <t xml:space="preserve">. </t>
    </r>
    <r>
      <rPr>
        <i val="true"/>
        <sz val="10"/>
        <color rgb="FF7F7F7F"/>
        <rFont val="WenQuanYi Zen Hei"/>
        <family val="2"/>
      </rPr>
      <t xml:space="preserve">빨간 칸 </t>
    </r>
    <r>
      <rPr>
        <i val="true"/>
        <sz val="10"/>
        <color rgb="FF7F7F7F"/>
        <rFont val="맑은 고딕"/>
        <family val="0"/>
        <charset val="1"/>
      </rPr>
      <t xml:space="preserve">= </t>
    </r>
    <r>
      <rPr>
        <i val="true"/>
        <sz val="10"/>
        <color rgb="FF7F7F7F"/>
        <rFont val="WenQuanYi Zen Hei"/>
        <family val="2"/>
      </rPr>
      <t xml:space="preserve">정원 초과</t>
    </r>
    <r>
      <rPr>
        <i val="true"/>
        <sz val="10"/>
        <color rgb="FF7F7F7F"/>
        <rFont val="맑은 고딕"/>
        <family val="0"/>
        <charset val="1"/>
      </rPr>
      <t xml:space="preserve">, </t>
    </r>
    <r>
      <rPr>
        <i val="true"/>
        <sz val="10"/>
        <color rgb="FF7F7F7F"/>
        <rFont val="WenQuanYi Zen Hei"/>
        <family val="2"/>
      </rPr>
      <t xml:space="preserve">노란 칸 </t>
    </r>
    <r>
      <rPr>
        <i val="true"/>
        <sz val="10"/>
        <color rgb="FF7F7F7F"/>
        <rFont val="맑은 고딕"/>
        <family val="0"/>
        <charset val="1"/>
      </rPr>
      <t xml:space="preserve">= </t>
    </r>
    <r>
      <rPr>
        <i val="true"/>
        <sz val="10"/>
        <color rgb="FF7F7F7F"/>
        <rFont val="WenQuanYi Zen Hei"/>
        <family val="2"/>
      </rPr>
      <t xml:space="preserve">정원 가득</t>
    </r>
    <r>
      <rPr>
        <i val="true"/>
        <sz val="10"/>
        <color rgb="FF7F7F7F"/>
        <rFont val="맑은 고딕"/>
        <family val="0"/>
        <charset val="1"/>
      </rPr>
      <t xml:space="preserve">. </t>
    </r>
    <r>
      <rPr>
        <i val="true"/>
        <sz val="10"/>
        <color rgb="FF7F7F7F"/>
        <rFont val="WenQuanYi Zen Hei"/>
        <family val="2"/>
      </rPr>
      <t xml:space="preserve">날짜</t>
    </r>
    <r>
      <rPr>
        <i val="true"/>
        <sz val="10"/>
        <color rgb="FF7F7F7F"/>
        <rFont val="맑은 고딕"/>
        <family val="0"/>
        <charset val="1"/>
      </rPr>
      <t xml:space="preserve">·</t>
    </r>
    <r>
      <rPr>
        <i val="true"/>
        <sz val="10"/>
        <color rgb="FF7F7F7F"/>
        <rFont val="WenQuanYi Zen Hei"/>
        <family val="2"/>
      </rPr>
      <t xml:space="preserve">시간</t>
    </r>
    <r>
      <rPr>
        <i val="true"/>
        <sz val="10"/>
        <color rgb="FF7F7F7F"/>
        <rFont val="맑은 고딕"/>
        <family val="0"/>
        <charset val="1"/>
      </rPr>
      <t xml:space="preserve">·</t>
    </r>
    <r>
      <rPr>
        <i val="true"/>
        <sz val="10"/>
        <color rgb="FF7F7F7F"/>
        <rFont val="WenQuanYi Zen Hei"/>
        <family val="2"/>
      </rPr>
      <t xml:space="preserve">정원은 설정 시트에서 바꿉니다</t>
    </r>
    <r>
      <rPr>
        <i val="true"/>
        <sz val="10"/>
        <color rgb="FF7F7F7F"/>
        <rFont val="맑은 고딕"/>
        <family val="0"/>
        <charset val="1"/>
      </rPr>
      <t xml:space="preserve">.</t>
    </r>
  </si>
  <si>
    <t xml:space="preserve">시작 시각</t>
  </si>
  <si>
    <t xml:space="preserve">정원</t>
  </si>
  <si>
    <t xml:space="preserve">시간 미지정</t>
  </si>
  <si>
    <t xml:space="preserve">예약 합계</t>
  </si>
  <si>
    <t xml:space="preserve">하루 정원 합계</t>
  </si>
  <si>
    <r>
      <rPr>
        <b val="true"/>
        <sz val="10"/>
        <color rgb="FF000000"/>
        <rFont val="WenQuanYi Zen Hei"/>
        <family val="2"/>
      </rPr>
      <t xml:space="preserve">불참</t>
    </r>
    <r>
      <rPr>
        <b val="true"/>
        <sz val="10"/>
        <color rgb="FF000000"/>
        <rFont val="맑은 고딕"/>
        <family val="0"/>
        <charset val="1"/>
      </rPr>
      <t xml:space="preserve">·</t>
    </r>
    <r>
      <rPr>
        <b val="true"/>
        <sz val="10"/>
        <color rgb="FF000000"/>
        <rFont val="WenQuanYi Zen Hei"/>
        <family val="2"/>
      </rPr>
      <t xml:space="preserve">연기</t>
    </r>
  </si>
  <si>
    <r>
      <rPr>
        <b val="true"/>
        <sz val="10"/>
        <color rgb="FF000000"/>
        <rFont val="WenQuanYi Zen Hei"/>
        <family val="2"/>
      </rPr>
      <t xml:space="preserve">미완료</t>
    </r>
    <r>
      <rPr>
        <b val="true"/>
        <sz val="10"/>
        <color rgb="FF000000"/>
        <rFont val="맑은 고딕"/>
        <family val="0"/>
        <charset val="1"/>
      </rPr>
      <t xml:space="preserve">(</t>
    </r>
    <r>
      <rPr>
        <b val="true"/>
        <sz val="10"/>
        <color rgb="FF000000"/>
        <rFont val="WenQuanYi Zen Hei"/>
        <family val="2"/>
      </rPr>
      <t xml:space="preserve">남은 인원</t>
    </r>
    <r>
      <rPr>
        <b val="true"/>
        <sz val="10"/>
        <color rgb="FF000000"/>
        <rFont val="맑은 고딕"/>
        <family val="0"/>
        <charset val="1"/>
      </rPr>
      <t xml:space="preserve">)</t>
    </r>
  </si>
  <si>
    <t xml:space="preserve">완료율</t>
  </si>
  <si>
    <t xml:space="preserve">차트용 날짜</t>
  </si>
  <si>
    <r>
      <rPr>
        <i val="true"/>
        <sz val="10"/>
        <color rgb="FF7F7F7F"/>
        <rFont val="WenQuanYi Zen Hei"/>
        <family val="2"/>
      </rPr>
      <t xml:space="preserve">※ 정원 합계가 하루 목표 인원보다 작으면 슬롯</t>
    </r>
    <r>
      <rPr>
        <i val="true"/>
        <sz val="10"/>
        <color rgb="FF7F7F7F"/>
        <rFont val="맑은 고딕"/>
        <family val="0"/>
        <charset val="1"/>
      </rPr>
      <t xml:space="preserve">·</t>
    </r>
    <r>
      <rPr>
        <i val="true"/>
        <sz val="10"/>
        <color rgb="FF7F7F7F"/>
        <rFont val="WenQuanYi Zen Hei"/>
        <family val="2"/>
      </rPr>
      <t xml:space="preserve">정원을 늘리거나 운영일을 추가하세요</t>
    </r>
    <r>
      <rPr>
        <i val="true"/>
        <sz val="10"/>
        <color rgb="FF7F7F7F"/>
        <rFont val="맑은 고딕"/>
        <family val="0"/>
        <charset val="1"/>
      </rPr>
      <t xml:space="preserve">.</t>
    </r>
  </si>
  <si>
    <r>
      <rPr>
        <b val="true"/>
        <sz val="14"/>
        <color rgb="FF1F3864"/>
        <rFont val="WenQuanYi Zen Hei"/>
        <family val="2"/>
      </rPr>
      <t xml:space="preserve">병목 계산기 </t>
    </r>
    <r>
      <rPr>
        <b val="true"/>
        <sz val="14"/>
        <color rgb="FF1F3864"/>
        <rFont val="맑은 고딕"/>
        <family val="0"/>
        <charset val="1"/>
      </rPr>
      <t xml:space="preserve">(</t>
    </r>
    <r>
      <rPr>
        <b val="true"/>
        <sz val="14"/>
        <color rgb="FF1F3864"/>
        <rFont val="WenQuanYi Zen Hei"/>
        <family val="2"/>
      </rPr>
      <t xml:space="preserve">하루에 몇 명까지 처리 가능한가</t>
    </r>
    <r>
      <rPr>
        <b val="true"/>
        <sz val="14"/>
        <color rgb="FF1F3864"/>
        <rFont val="맑은 고딕"/>
        <family val="0"/>
        <charset val="1"/>
      </rPr>
      <t xml:space="preserve">?)</t>
    </r>
  </si>
  <si>
    <r>
      <rPr>
        <i val="true"/>
        <sz val="10"/>
        <color rgb="FF7F7F7F"/>
        <rFont val="WenQuanYi Zen Hei"/>
        <family val="2"/>
      </rPr>
      <t xml:space="preserve">노란 칸을 실제 값으로 바꾸세요</t>
    </r>
    <r>
      <rPr>
        <i val="true"/>
        <sz val="10"/>
        <color rgb="FF7F7F7F"/>
        <rFont val="맑은 고딕"/>
        <family val="0"/>
        <charset val="1"/>
      </rPr>
      <t xml:space="preserve">. </t>
    </r>
    <r>
      <rPr>
        <i val="true"/>
        <sz val="10"/>
        <color rgb="FF7F7F7F"/>
        <rFont val="WenQuanYi Zen Hei"/>
        <family val="2"/>
      </rPr>
      <t xml:space="preserve">아래 숫자는 모두 </t>
    </r>
    <r>
      <rPr>
        <i val="true"/>
        <sz val="10"/>
        <color rgb="FF7F7F7F"/>
        <rFont val="맑은 고딕"/>
        <family val="0"/>
        <charset val="1"/>
      </rPr>
      <t xml:space="preserve">'</t>
    </r>
    <r>
      <rPr>
        <i val="true"/>
        <sz val="10"/>
        <color rgb="FF7F7F7F"/>
        <rFont val="WenQuanYi Zen Hei"/>
        <family val="2"/>
      </rPr>
      <t xml:space="preserve">예시값</t>
    </r>
    <r>
      <rPr>
        <i val="true"/>
        <sz val="10"/>
        <color rgb="FF7F7F7F"/>
        <rFont val="맑은 고딕"/>
        <family val="0"/>
        <charset val="1"/>
      </rPr>
      <t xml:space="preserve">'</t>
    </r>
    <r>
      <rPr>
        <i val="true"/>
        <sz val="10"/>
        <color rgb="FF7F7F7F"/>
        <rFont val="WenQuanYi Zen Hei"/>
        <family val="2"/>
      </rPr>
      <t xml:space="preserve">입니다</t>
    </r>
    <r>
      <rPr>
        <i val="true"/>
        <sz val="10"/>
        <color rgb="FF7F7F7F"/>
        <rFont val="맑은 고딕"/>
        <family val="0"/>
        <charset val="1"/>
      </rPr>
      <t xml:space="preserve">(</t>
    </r>
    <r>
      <rPr>
        <i val="true"/>
        <sz val="10"/>
        <color rgb="FF7F7F7F"/>
        <rFont val="WenQuanYi Zen Hei"/>
        <family val="2"/>
      </rPr>
      <t xml:space="preserve">운동평가 </t>
    </r>
    <r>
      <rPr>
        <i val="true"/>
        <sz val="10"/>
        <color rgb="FF7F7F7F"/>
        <rFont val="맑은 고딕"/>
        <family val="0"/>
        <charset val="1"/>
      </rPr>
      <t xml:space="preserve">1</t>
    </r>
    <r>
      <rPr>
        <i val="true"/>
        <sz val="10"/>
        <color rgb="FF7F7F7F"/>
        <rFont val="WenQuanYi Zen Hei"/>
        <family val="2"/>
      </rPr>
      <t xml:space="preserve">명이 </t>
    </r>
    <r>
      <rPr>
        <i val="true"/>
        <sz val="10"/>
        <color rgb="FF7F7F7F"/>
        <rFont val="맑은 고딕"/>
        <family val="0"/>
        <charset val="1"/>
      </rPr>
      <t xml:space="preserve">15</t>
    </r>
    <r>
      <rPr>
        <i val="true"/>
        <sz val="10"/>
        <color rgb="FF7F7F7F"/>
        <rFont val="WenQuanYi Zen Hei"/>
        <family val="2"/>
      </rPr>
      <t xml:space="preserve">분씩 보는 상황 가정</t>
    </r>
    <r>
      <rPr>
        <i val="true"/>
        <sz val="10"/>
        <color rgb="FF7F7F7F"/>
        <rFont val="맑은 고딕"/>
        <family val="0"/>
        <charset val="1"/>
      </rPr>
      <t xml:space="preserve">).</t>
    </r>
  </si>
  <si>
    <r>
      <rPr>
        <sz val="10"/>
        <color rgb="FF000000"/>
        <rFont val="WenQuanYi Zen Hei"/>
        <family val="2"/>
      </rPr>
      <t xml:space="preserve">하루 운영 시간</t>
    </r>
    <r>
      <rPr>
        <sz val="10"/>
        <color rgb="FF000000"/>
        <rFont val="맑은 고딕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시간</t>
    </r>
    <r>
      <rPr>
        <sz val="10"/>
        <color rgb="FF000000"/>
        <rFont val="맑은 고딕"/>
        <family val="0"/>
        <charset val="1"/>
      </rPr>
      <t xml:space="preserve">)</t>
    </r>
  </si>
  <si>
    <r>
      <rPr>
        <sz val="10"/>
        <color rgb="FF000000"/>
        <rFont val="WenQuanYi Zen Hei"/>
        <family val="2"/>
      </rPr>
      <t xml:space="preserve">목표 인원</t>
    </r>
    <r>
      <rPr>
        <sz val="10"/>
        <color rgb="FF000000"/>
        <rFont val="맑은 고딕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명</t>
    </r>
    <r>
      <rPr>
        <sz val="10"/>
        <color rgb="FF000000"/>
        <rFont val="맑은 고딕"/>
        <family val="0"/>
        <charset val="1"/>
      </rPr>
      <t xml:space="preserve">)</t>
    </r>
  </si>
  <si>
    <r>
      <rPr>
        <sz val="10"/>
        <color rgb="FF000000"/>
        <rFont val="WenQuanYi Zen Hei"/>
        <family val="2"/>
      </rPr>
      <t xml:space="preserve">총 운영일 수</t>
    </r>
    <r>
      <rPr>
        <sz val="10"/>
        <color rgb="FF000000"/>
        <rFont val="맑은 고딕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일</t>
    </r>
    <r>
      <rPr>
        <sz val="10"/>
        <color rgb="FF000000"/>
        <rFont val="맑은 고딕"/>
        <family val="0"/>
        <charset val="1"/>
      </rPr>
      <t xml:space="preserve">)</t>
    </r>
  </si>
  <si>
    <r>
      <rPr>
        <sz val="10"/>
        <color rgb="FF000000"/>
        <rFont val="WenQuanYi Zen Hei"/>
        <family val="2"/>
      </rPr>
      <t xml:space="preserve">예비일</t>
    </r>
    <r>
      <rPr>
        <sz val="10"/>
        <color rgb="FF000000"/>
        <rFont val="맑은 고딕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보충 방문용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일</t>
    </r>
    <r>
      <rPr>
        <sz val="10"/>
        <color rgb="FF000000"/>
        <rFont val="맑은 고딕"/>
        <family val="0"/>
        <charset val="1"/>
      </rPr>
      <t xml:space="preserve">)</t>
    </r>
  </si>
  <si>
    <r>
      <rPr>
        <i val="true"/>
        <sz val="10"/>
        <color rgb="FF7F7F7F"/>
        <rFont val="WenQuanYi Zen Hei"/>
        <family val="2"/>
      </rPr>
      <t xml:space="preserve">※ 불참</t>
    </r>
    <r>
      <rPr>
        <i val="true"/>
        <sz val="10"/>
        <color rgb="FF7F7F7F"/>
        <rFont val="맑은 고딕"/>
        <family val="0"/>
        <charset val="1"/>
      </rPr>
      <t xml:space="preserve">·</t>
    </r>
    <r>
      <rPr>
        <i val="true"/>
        <sz val="10"/>
        <color rgb="FF7F7F7F"/>
        <rFont val="WenQuanYi Zen Hei"/>
        <family val="2"/>
      </rPr>
      <t xml:space="preserve">재방문에 대비해 마지막 </t>
    </r>
    <r>
      <rPr>
        <i val="true"/>
        <sz val="10"/>
        <color rgb="FF7F7F7F"/>
        <rFont val="맑은 고딕"/>
        <family val="0"/>
        <charset val="1"/>
      </rPr>
      <t xml:space="preserve">1~2</t>
    </r>
    <r>
      <rPr>
        <i val="true"/>
        <sz val="10"/>
        <color rgb="FF7F7F7F"/>
        <rFont val="WenQuanYi Zen Hei"/>
        <family val="2"/>
      </rPr>
      <t xml:space="preserve">일은 보충일로 비워 두는 것을 권장합니다</t>
    </r>
    <r>
      <rPr>
        <i val="true"/>
        <sz val="10"/>
        <color rgb="FF7F7F7F"/>
        <rFont val="맑은 고딕"/>
        <family val="0"/>
        <charset val="1"/>
      </rPr>
      <t xml:space="preserve">.</t>
    </r>
  </si>
  <si>
    <r>
      <rPr>
        <sz val="10"/>
        <color rgb="FF000000"/>
        <rFont val="WenQuanYi Zen Hei"/>
        <family val="2"/>
      </rPr>
      <t xml:space="preserve">본 일정 일수</t>
    </r>
    <r>
      <rPr>
        <sz val="10"/>
        <color rgb="FF000000"/>
        <rFont val="맑은 고딕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일</t>
    </r>
    <r>
      <rPr>
        <sz val="10"/>
        <color rgb="FF000000"/>
        <rFont val="맑은 고딕"/>
        <family val="0"/>
        <charset val="1"/>
      </rPr>
      <t xml:space="preserve">)</t>
    </r>
  </si>
  <si>
    <r>
      <rPr>
        <sz val="10"/>
        <color rgb="FF000000"/>
        <rFont val="WenQuanYi Zen Hei"/>
        <family val="2"/>
      </rPr>
      <t xml:space="preserve">하루 목표 인원</t>
    </r>
    <r>
      <rPr>
        <sz val="10"/>
        <color rgb="FF000000"/>
        <rFont val="맑은 고딕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명</t>
    </r>
    <r>
      <rPr>
        <sz val="10"/>
        <color rgb="FF000000"/>
        <rFont val="맑은 고딕"/>
        <family val="0"/>
        <charset val="1"/>
      </rPr>
      <t xml:space="preserve">)</t>
    </r>
  </si>
  <si>
    <t xml:space="preserve">단계</t>
  </si>
  <si>
    <r>
      <rPr>
        <b val="true"/>
        <sz val="10"/>
        <color rgb="FFFFFFFF"/>
        <rFont val="맑은 고딕"/>
        <family val="0"/>
        <charset val="1"/>
      </rPr>
      <t xml:space="preserve">1</t>
    </r>
    <r>
      <rPr>
        <b val="true"/>
        <sz val="10"/>
        <color rgb="FFFFFFFF"/>
        <rFont val="WenQuanYi Zen Hei"/>
        <family val="2"/>
      </rPr>
      <t xml:space="preserve">인당 소요</t>
    </r>
    <r>
      <rPr>
        <b val="true"/>
        <sz val="10"/>
        <color rgb="FFFFFFFF"/>
        <rFont val="맑은 고딕"/>
        <family val="0"/>
        <charset val="1"/>
      </rPr>
      <t xml:space="preserve">(</t>
    </r>
    <r>
      <rPr>
        <b val="true"/>
        <sz val="10"/>
        <color rgb="FFFFFFFF"/>
        <rFont val="WenQuanYi Zen Hei"/>
        <family val="2"/>
      </rPr>
      <t xml:space="preserve">분</t>
    </r>
    <r>
      <rPr>
        <b val="true"/>
        <sz val="10"/>
        <color rgb="FFFFFFFF"/>
        <rFont val="맑은 고딕"/>
        <family val="0"/>
        <charset val="1"/>
      </rPr>
      <t xml:space="preserve">)</t>
    </r>
  </si>
  <si>
    <r>
      <rPr>
        <b val="true"/>
        <sz val="10"/>
        <color rgb="FFFFFFFF"/>
        <rFont val="WenQuanYi Zen Hei"/>
        <family val="2"/>
      </rPr>
      <t xml:space="preserve">담당 인원</t>
    </r>
    <r>
      <rPr>
        <b val="true"/>
        <sz val="10"/>
        <color rgb="FFFFFFFF"/>
        <rFont val="맑은 고딕"/>
        <family val="0"/>
        <charset val="1"/>
      </rPr>
      <t xml:space="preserve">(</t>
    </r>
    <r>
      <rPr>
        <b val="true"/>
        <sz val="10"/>
        <color rgb="FFFFFFFF"/>
        <rFont val="WenQuanYi Zen Hei"/>
        <family val="2"/>
      </rPr>
      <t xml:space="preserve">명</t>
    </r>
    <r>
      <rPr>
        <b val="true"/>
        <sz val="10"/>
        <color rgb="FFFFFFFF"/>
        <rFont val="맑은 고딕"/>
        <family val="0"/>
        <charset val="1"/>
      </rPr>
      <t xml:space="preserve">)</t>
    </r>
  </si>
  <si>
    <t xml:space="preserve">이 단계를 거치는 비율</t>
  </si>
  <si>
    <r>
      <rPr>
        <b val="true"/>
        <sz val="10"/>
        <color rgb="FFFFFFFF"/>
        <rFont val="WenQuanYi Zen Hei"/>
        <family val="2"/>
      </rPr>
      <t xml:space="preserve">시간당 처리 가능</t>
    </r>
    <r>
      <rPr>
        <b val="true"/>
        <sz val="10"/>
        <color rgb="FFFFFFFF"/>
        <rFont val="맑은 고딕"/>
        <family val="0"/>
        <charset val="1"/>
      </rPr>
      <t xml:space="preserve">(</t>
    </r>
    <r>
      <rPr>
        <b val="true"/>
        <sz val="10"/>
        <color rgb="FFFFFFFF"/>
        <rFont val="WenQuanYi Zen Hei"/>
        <family val="2"/>
      </rPr>
      <t xml:space="preserve">명</t>
    </r>
    <r>
      <rPr>
        <b val="true"/>
        <sz val="10"/>
        <color rgb="FFFFFFFF"/>
        <rFont val="맑은 고딕"/>
        <family val="0"/>
        <charset val="1"/>
      </rPr>
      <t xml:space="preserve">)</t>
    </r>
  </si>
  <si>
    <r>
      <rPr>
        <b val="true"/>
        <sz val="10"/>
        <color rgb="FFFFFFFF"/>
        <rFont val="WenQuanYi Zen Hei"/>
        <family val="2"/>
      </rPr>
      <t xml:space="preserve">하루 처리 가능</t>
    </r>
    <r>
      <rPr>
        <b val="true"/>
        <sz val="10"/>
        <color rgb="FFFFFFFF"/>
        <rFont val="맑은 고딕"/>
        <family val="0"/>
        <charset val="1"/>
      </rPr>
      <t xml:space="preserve">(</t>
    </r>
    <r>
      <rPr>
        <b val="true"/>
        <sz val="10"/>
        <color rgb="FFFFFFFF"/>
        <rFont val="WenQuanYi Zen Hei"/>
        <family val="2"/>
      </rPr>
      <t xml:space="preserve">명</t>
    </r>
    <r>
      <rPr>
        <b val="true"/>
        <sz val="10"/>
        <color rgb="FFFFFFFF"/>
        <rFont val="맑은 고딕"/>
        <family val="0"/>
        <charset val="1"/>
      </rPr>
      <t xml:space="preserve">)</t>
    </r>
  </si>
  <si>
    <r>
      <rPr>
        <b val="true"/>
        <sz val="10"/>
        <color rgb="FFFFFFFF"/>
        <rFont val="WenQuanYi Zen Hei"/>
        <family val="2"/>
      </rPr>
      <t xml:space="preserve">목표 달성에 필요한 인원</t>
    </r>
    <r>
      <rPr>
        <b val="true"/>
        <sz val="10"/>
        <color rgb="FFFFFFFF"/>
        <rFont val="맑은 고딕"/>
        <family val="0"/>
        <charset val="1"/>
      </rPr>
      <t xml:space="preserve">(</t>
    </r>
    <r>
      <rPr>
        <b val="true"/>
        <sz val="10"/>
        <color rgb="FFFFFFFF"/>
        <rFont val="WenQuanYi Zen Hei"/>
        <family val="2"/>
      </rPr>
      <t xml:space="preserve">명</t>
    </r>
    <r>
      <rPr>
        <b val="true"/>
        <sz val="10"/>
        <color rgb="FFFFFFFF"/>
        <rFont val="맑은 고딕"/>
        <family val="0"/>
        <charset val="1"/>
      </rPr>
      <t xml:space="preserve">)</t>
    </r>
  </si>
  <si>
    <t xml:space="preserve">운동평가</t>
  </si>
  <si>
    <r>
      <rPr>
        <sz val="10"/>
        <color rgb="FF000000"/>
        <rFont val="WenQuanYi Zen Hei"/>
        <family val="2"/>
      </rPr>
      <t xml:space="preserve">혈압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혈당 측정</t>
    </r>
  </si>
  <si>
    <t xml:space="preserve">선생님 상담</t>
  </si>
  <si>
    <t xml:space="preserve">추가상담</t>
  </si>
  <si>
    <r>
      <rPr>
        <i val="true"/>
        <sz val="10"/>
        <color rgb="FF7F7F7F"/>
        <rFont val="WenQuanYi Zen Hei"/>
        <family val="2"/>
      </rPr>
      <t xml:space="preserve">※ 추가상담은 전체 중 일부</t>
    </r>
    <r>
      <rPr>
        <i val="true"/>
        <sz val="10"/>
        <color rgb="FF7F7F7F"/>
        <rFont val="맑은 고딕"/>
        <family val="0"/>
        <charset val="1"/>
      </rPr>
      <t xml:space="preserve">(</t>
    </r>
    <r>
      <rPr>
        <i val="true"/>
        <sz val="10"/>
        <color rgb="FF7F7F7F"/>
        <rFont val="WenQuanYi Zen Hei"/>
        <family val="2"/>
      </rPr>
      <t xml:space="preserve">예</t>
    </r>
    <r>
      <rPr>
        <i val="true"/>
        <sz val="10"/>
        <color rgb="FF7F7F7F"/>
        <rFont val="맑은 고딕"/>
        <family val="0"/>
        <charset val="1"/>
      </rPr>
      <t xml:space="preserve">: 20%)</t>
    </r>
    <r>
      <rPr>
        <i val="true"/>
        <sz val="10"/>
        <color rgb="FF7F7F7F"/>
        <rFont val="WenQuanYi Zen Hei"/>
        <family val="2"/>
      </rPr>
      <t xml:space="preserve">만 거치므로 </t>
    </r>
    <r>
      <rPr>
        <i val="true"/>
        <sz val="10"/>
        <color rgb="FF7F7F7F"/>
        <rFont val="맑은 고딕"/>
        <family val="0"/>
        <charset val="1"/>
      </rPr>
      <t xml:space="preserve">'</t>
    </r>
    <r>
      <rPr>
        <i val="true"/>
        <sz val="10"/>
        <color rgb="FF7F7F7F"/>
        <rFont val="WenQuanYi Zen Hei"/>
        <family val="2"/>
      </rPr>
      <t xml:space="preserve">비율</t>
    </r>
    <r>
      <rPr>
        <i val="true"/>
        <sz val="10"/>
        <color rgb="FF7F7F7F"/>
        <rFont val="맑은 고딕"/>
        <family val="0"/>
        <charset val="1"/>
      </rPr>
      <t xml:space="preserve">'</t>
    </r>
    <r>
      <rPr>
        <i val="true"/>
        <sz val="10"/>
        <color rgb="FF7F7F7F"/>
        <rFont val="WenQuanYi Zen Hei"/>
        <family val="2"/>
      </rPr>
      <t xml:space="preserve">을 입력하세요</t>
    </r>
    <r>
      <rPr>
        <i val="true"/>
        <sz val="10"/>
        <color rgb="FF7F7F7F"/>
        <rFont val="맑은 고딕"/>
        <family val="0"/>
        <charset val="1"/>
      </rPr>
      <t xml:space="preserve">. </t>
    </r>
    <r>
      <rPr>
        <i val="true"/>
        <sz val="10"/>
        <color rgb="FF7F7F7F"/>
        <rFont val="WenQuanYi Zen Hei"/>
        <family val="2"/>
      </rPr>
      <t xml:space="preserve">상담이 분야별 부스로 나뉘면 부스 수를 담당 인원에 합산하세요</t>
    </r>
    <r>
      <rPr>
        <i val="true"/>
        <sz val="10"/>
        <color rgb="FF7F7F7F"/>
        <rFont val="맑은 고딕"/>
        <family val="0"/>
        <charset val="1"/>
      </rPr>
      <t xml:space="preserve">.</t>
    </r>
  </si>
  <si>
    <t xml:space="preserve">결과</t>
  </si>
  <si>
    <r>
      <rPr>
        <sz val="10"/>
        <color rgb="FF000000"/>
        <rFont val="WenQuanYi Zen Hei"/>
        <family val="2"/>
      </rPr>
      <t xml:space="preserve">병목 단계</t>
    </r>
    <r>
      <rPr>
        <sz val="10"/>
        <color rgb="FF000000"/>
        <rFont val="맑은 고딕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가장 느린 곳</t>
    </r>
    <r>
      <rPr>
        <sz val="10"/>
        <color rgb="FF000000"/>
        <rFont val="맑은 고딕"/>
        <family val="0"/>
        <charset val="1"/>
      </rPr>
      <t xml:space="preserve">)</t>
    </r>
  </si>
  <si>
    <r>
      <rPr>
        <sz val="10"/>
        <color rgb="FF000000"/>
        <rFont val="WenQuanYi Zen Hei"/>
        <family val="2"/>
      </rPr>
      <t xml:space="preserve">전체 처리 속도</t>
    </r>
    <r>
      <rPr>
        <sz val="10"/>
        <color rgb="FF000000"/>
        <rFont val="맑은 고딕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명</t>
    </r>
    <r>
      <rPr>
        <sz val="10"/>
        <color rgb="FF000000"/>
        <rFont val="맑은 고딕"/>
        <family val="0"/>
        <charset val="1"/>
      </rPr>
      <t xml:space="preserve">/</t>
    </r>
    <r>
      <rPr>
        <sz val="10"/>
        <color rgb="FF000000"/>
        <rFont val="WenQuanYi Zen Hei"/>
        <family val="2"/>
      </rPr>
      <t xml:space="preserve">시간</t>
    </r>
    <r>
      <rPr>
        <sz val="10"/>
        <color rgb="FF000000"/>
        <rFont val="맑은 고딕"/>
        <family val="0"/>
        <charset val="1"/>
      </rPr>
      <t xml:space="preserve">)</t>
    </r>
  </si>
  <si>
    <r>
      <rPr>
        <sz val="10"/>
        <color rgb="FF000000"/>
        <rFont val="WenQuanYi Zen Hei"/>
        <family val="2"/>
      </rPr>
      <t xml:space="preserve">하루 최대 처리</t>
    </r>
    <r>
      <rPr>
        <sz val="10"/>
        <color rgb="FF000000"/>
        <rFont val="맑은 고딕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명</t>
    </r>
    <r>
      <rPr>
        <sz val="10"/>
        <color rgb="FF000000"/>
        <rFont val="맑은 고딕"/>
        <family val="0"/>
        <charset val="1"/>
      </rPr>
      <t xml:space="preserve">)</t>
    </r>
  </si>
  <si>
    <r>
      <rPr>
        <sz val="10"/>
        <color rgb="FF000000"/>
        <rFont val="WenQuanYi Zen Hei"/>
        <family val="2"/>
      </rPr>
      <t xml:space="preserve">목표 달성에 필요한 본 일정 일수</t>
    </r>
    <r>
      <rPr>
        <sz val="10"/>
        <color rgb="FF000000"/>
        <rFont val="맑은 고딕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일</t>
    </r>
    <r>
      <rPr>
        <sz val="10"/>
        <color rgb="FF000000"/>
        <rFont val="맑은 고딕"/>
        <family val="0"/>
        <charset val="1"/>
      </rPr>
      <t xml:space="preserve">)</t>
    </r>
  </si>
  <si>
    <t xml:space="preserve">판정</t>
  </si>
  <si>
    <r>
      <rPr>
        <i val="true"/>
        <sz val="10"/>
        <color rgb="FF7F7F7F"/>
        <rFont val="WenQuanYi Zen Hei"/>
        <family val="2"/>
      </rPr>
      <t xml:space="preserve">읽는 법</t>
    </r>
    <r>
      <rPr>
        <i val="true"/>
        <sz val="10"/>
        <color rgb="FF7F7F7F"/>
        <rFont val="맑은 고딕"/>
        <family val="0"/>
        <charset val="1"/>
      </rPr>
      <t xml:space="preserve">: </t>
    </r>
    <r>
      <rPr>
        <i val="true"/>
        <sz val="10"/>
        <color rgb="FF7F7F7F"/>
        <rFont val="WenQuanYi Zen Hei"/>
        <family val="2"/>
      </rPr>
      <t xml:space="preserve">병목 단계의 </t>
    </r>
    <r>
      <rPr>
        <i val="true"/>
        <sz val="10"/>
        <color rgb="FF7F7F7F"/>
        <rFont val="맑은 고딕"/>
        <family val="0"/>
        <charset val="1"/>
      </rPr>
      <t xml:space="preserve">'</t>
    </r>
    <r>
      <rPr>
        <i val="true"/>
        <sz val="10"/>
        <color rgb="FF7F7F7F"/>
        <rFont val="WenQuanYi Zen Hei"/>
        <family val="2"/>
      </rPr>
      <t xml:space="preserve">시간당 처리 가능</t>
    </r>
    <r>
      <rPr>
        <i val="true"/>
        <sz val="10"/>
        <color rgb="FF7F7F7F"/>
        <rFont val="맑은 고딕"/>
        <family val="0"/>
        <charset val="1"/>
      </rPr>
      <t xml:space="preserve">'</t>
    </r>
    <r>
      <rPr>
        <i val="true"/>
        <sz val="10"/>
        <color rgb="FF7F7F7F"/>
        <rFont val="WenQuanYi Zen Hei"/>
        <family val="2"/>
      </rPr>
      <t xml:space="preserve">이 전체 속도를 결정합니다</t>
    </r>
    <r>
      <rPr>
        <i val="true"/>
        <sz val="10"/>
        <color rgb="FF7F7F7F"/>
        <rFont val="맑은 고딕"/>
        <family val="0"/>
        <charset val="1"/>
      </rPr>
      <t xml:space="preserve">. </t>
    </r>
    <r>
      <rPr>
        <i val="true"/>
        <sz val="10"/>
        <color rgb="FF7F7F7F"/>
        <rFont val="WenQuanYi Zen Hei"/>
        <family val="2"/>
      </rPr>
      <t xml:space="preserve">목표 달성에 필요한 인원</t>
    </r>
    <r>
      <rPr>
        <i val="true"/>
        <sz val="10"/>
        <color rgb="FF7F7F7F"/>
        <rFont val="맑은 고딕"/>
        <family val="0"/>
        <charset val="1"/>
      </rPr>
      <t xml:space="preserve">(H</t>
    </r>
    <r>
      <rPr>
        <i val="true"/>
        <sz val="10"/>
        <color rgb="FF7F7F7F"/>
        <rFont val="WenQuanYi Zen Hei"/>
        <family val="2"/>
      </rPr>
      <t xml:space="preserve">열</t>
    </r>
    <r>
      <rPr>
        <i val="true"/>
        <sz val="10"/>
        <color rgb="FF7F7F7F"/>
        <rFont val="맑은 고딕"/>
        <family val="0"/>
        <charset val="1"/>
      </rPr>
      <t xml:space="preserve">)</t>
    </r>
    <r>
      <rPr>
        <i val="true"/>
        <sz val="10"/>
        <color rgb="FF7F7F7F"/>
        <rFont val="WenQuanYi Zen Hei"/>
        <family val="2"/>
      </rPr>
      <t xml:space="preserve">보다 담당 인원</t>
    </r>
    <r>
      <rPr>
        <i val="true"/>
        <sz val="10"/>
        <color rgb="FF7F7F7F"/>
        <rFont val="맑은 고딕"/>
        <family val="0"/>
        <charset val="1"/>
      </rPr>
      <t xml:space="preserve">(D</t>
    </r>
    <r>
      <rPr>
        <i val="true"/>
        <sz val="10"/>
        <color rgb="FF7F7F7F"/>
        <rFont val="WenQuanYi Zen Hei"/>
        <family val="2"/>
      </rPr>
      <t xml:space="preserve">열</t>
    </r>
    <r>
      <rPr>
        <i val="true"/>
        <sz val="10"/>
        <color rgb="FF7F7F7F"/>
        <rFont val="맑은 고딕"/>
        <family val="0"/>
        <charset val="1"/>
      </rPr>
      <t xml:space="preserve">)</t>
    </r>
    <r>
      <rPr>
        <i val="true"/>
        <sz val="10"/>
        <color rgb="FF7F7F7F"/>
        <rFont val="WenQuanYi Zen Hei"/>
        <family val="2"/>
      </rPr>
      <t xml:space="preserve">이 적은 단계에 사람을 더 배치하세요</t>
    </r>
    <r>
      <rPr>
        <i val="true"/>
        <sz val="10"/>
        <color rgb="FF7F7F7F"/>
        <rFont val="맑은 고딕"/>
        <family val="0"/>
        <charset val="1"/>
      </rPr>
      <t xml:space="preserve">.</t>
    </r>
  </si>
  <si>
    <r>
      <rPr>
        <b val="true"/>
        <sz val="14"/>
        <color rgb="FF1F3864"/>
        <rFont val="WenQuanYi Zen Hei"/>
        <family val="2"/>
      </rPr>
      <t xml:space="preserve">설정 </t>
    </r>
    <r>
      <rPr>
        <b val="true"/>
        <sz val="14"/>
        <color rgb="FF1F3864"/>
        <rFont val="맑은 고딕"/>
        <family val="0"/>
        <charset val="1"/>
      </rPr>
      <t xml:space="preserve">(</t>
    </r>
    <r>
      <rPr>
        <b val="true"/>
        <sz val="14"/>
        <color rgb="FF1F3864"/>
        <rFont val="WenQuanYi Zen Hei"/>
        <family val="2"/>
      </rPr>
      <t xml:space="preserve">노란 칸만 수정하세요</t>
    </r>
    <r>
      <rPr>
        <b val="true"/>
        <sz val="14"/>
        <color rgb="FF1F3864"/>
        <rFont val="맑은 고딕"/>
        <family val="0"/>
        <charset val="1"/>
      </rPr>
      <t xml:space="preserve">)</t>
    </r>
  </si>
  <si>
    <r>
      <rPr>
        <i val="true"/>
        <sz val="10"/>
        <color rgb="FF7F7F7F"/>
        <rFont val="WenQuanYi Zen Hei"/>
        <family val="2"/>
      </rPr>
      <t xml:space="preserve">파란 글씨 </t>
    </r>
    <r>
      <rPr>
        <i val="true"/>
        <sz val="10"/>
        <color rgb="FF7F7F7F"/>
        <rFont val="맑은 고딕"/>
        <family val="0"/>
        <charset val="1"/>
      </rPr>
      <t xml:space="preserve">+ </t>
    </r>
    <r>
      <rPr>
        <i val="true"/>
        <sz val="10"/>
        <color rgb="FF7F7F7F"/>
        <rFont val="WenQuanYi Zen Hei"/>
        <family val="2"/>
      </rPr>
      <t xml:space="preserve">노란 칸 </t>
    </r>
    <r>
      <rPr>
        <i val="true"/>
        <sz val="10"/>
        <color rgb="FF7F7F7F"/>
        <rFont val="맑은 고딕"/>
        <family val="0"/>
        <charset val="1"/>
      </rPr>
      <t xml:space="preserve">= </t>
    </r>
    <r>
      <rPr>
        <i val="true"/>
        <sz val="10"/>
        <color rgb="FF7F7F7F"/>
        <rFont val="WenQuanYi Zen Hei"/>
        <family val="2"/>
      </rPr>
      <t xml:space="preserve">직접 입력하는 값</t>
    </r>
    <r>
      <rPr>
        <i val="true"/>
        <sz val="10"/>
        <color rgb="FF7F7F7F"/>
        <rFont val="맑은 고딕"/>
        <family val="0"/>
        <charset val="1"/>
      </rPr>
      <t xml:space="preserve">. </t>
    </r>
    <r>
      <rPr>
        <i val="true"/>
        <sz val="10"/>
        <color rgb="FF7F7F7F"/>
        <rFont val="WenQuanYi Zen Hei"/>
        <family val="2"/>
      </rPr>
      <t xml:space="preserve">아래 숫자는 모두 </t>
    </r>
    <r>
      <rPr>
        <i val="true"/>
        <sz val="10"/>
        <color rgb="FF7F7F7F"/>
        <rFont val="맑은 고딕"/>
        <family val="0"/>
        <charset val="1"/>
      </rPr>
      <t xml:space="preserve">'</t>
    </r>
    <r>
      <rPr>
        <i val="true"/>
        <sz val="10"/>
        <color rgb="FF7F7F7F"/>
        <rFont val="WenQuanYi Zen Hei"/>
        <family val="2"/>
      </rPr>
      <t xml:space="preserve">예시값</t>
    </r>
    <r>
      <rPr>
        <i val="true"/>
        <sz val="10"/>
        <color rgb="FF7F7F7F"/>
        <rFont val="맑은 고딕"/>
        <family val="0"/>
        <charset val="1"/>
      </rPr>
      <t xml:space="preserve">'</t>
    </r>
    <r>
      <rPr>
        <i val="true"/>
        <sz val="10"/>
        <color rgb="FF7F7F7F"/>
        <rFont val="WenQuanYi Zen Hei"/>
        <family val="2"/>
      </rPr>
      <t xml:space="preserve">이므로 실제 값으로 바꾸세요</t>
    </r>
    <r>
      <rPr>
        <i val="true"/>
        <sz val="10"/>
        <color rgb="FF7F7F7F"/>
        <rFont val="맑은 고딕"/>
        <family val="0"/>
        <charset val="1"/>
      </rPr>
      <t xml:space="preserve">.</t>
    </r>
  </si>
  <si>
    <r>
      <rPr>
        <i val="true"/>
        <sz val="10"/>
        <color rgb="FF7F7F7F"/>
        <rFont val="WenQuanYi Zen Hei"/>
        <family val="2"/>
      </rPr>
      <t xml:space="preserve">사용자 제공</t>
    </r>
    <r>
      <rPr>
        <i val="true"/>
        <sz val="10"/>
        <color rgb="FF7F7F7F"/>
        <rFont val="맑은 고딕"/>
        <family val="0"/>
        <charset val="1"/>
      </rPr>
      <t xml:space="preserve">: 2</t>
    </r>
    <r>
      <rPr>
        <i val="true"/>
        <sz val="10"/>
        <color rgb="FF7F7F7F"/>
        <rFont val="WenQuanYi Zen Hei"/>
        <family val="2"/>
      </rPr>
      <t xml:space="preserve">주간 </t>
    </r>
    <r>
      <rPr>
        <i val="true"/>
        <sz val="10"/>
        <color rgb="FF7F7F7F"/>
        <rFont val="맑은 고딕"/>
        <family val="0"/>
        <charset val="1"/>
      </rPr>
      <t xml:space="preserve">350</t>
    </r>
    <r>
      <rPr>
        <i val="true"/>
        <sz val="10"/>
        <color rgb="FF7F7F7F"/>
        <rFont val="WenQuanYi Zen Hei"/>
        <family val="2"/>
      </rPr>
      <t xml:space="preserve">명 방문 예정</t>
    </r>
  </si>
  <si>
    <r>
      <rPr>
        <b val="true"/>
        <sz val="10"/>
        <color rgb="FFFFFFFF"/>
        <rFont val="WenQuanYi Zen Hei"/>
        <family val="2"/>
      </rPr>
      <t xml:space="preserve">혈압 판정 기준 </t>
    </r>
    <r>
      <rPr>
        <b val="true"/>
        <sz val="10"/>
        <color rgb="FFFFFFFF"/>
        <rFont val="맑은 고딕"/>
        <family val="0"/>
        <charset val="1"/>
      </rPr>
      <t xml:space="preserve">(mmHg)</t>
    </r>
  </si>
  <si>
    <r>
      <rPr>
        <sz val="10"/>
        <color rgb="FF000000"/>
        <rFont val="WenQuanYi Zen Hei"/>
        <family val="2"/>
      </rPr>
      <t xml:space="preserve">수축기 </t>
    </r>
    <r>
      <rPr>
        <sz val="10"/>
        <color rgb="FF000000"/>
        <rFont val="맑은 고딕"/>
        <family val="0"/>
        <charset val="1"/>
      </rPr>
      <t xml:space="preserve">'</t>
    </r>
    <r>
      <rPr>
        <sz val="10"/>
        <color rgb="FF000000"/>
        <rFont val="WenQuanYi Zen Hei"/>
        <family val="2"/>
      </rPr>
      <t xml:space="preserve">주의</t>
    </r>
    <r>
      <rPr>
        <sz val="10"/>
        <color rgb="FF000000"/>
        <rFont val="맑은 고딕"/>
        <family val="0"/>
        <charset val="1"/>
      </rPr>
      <t xml:space="preserve">' (</t>
    </r>
    <r>
      <rPr>
        <sz val="10"/>
        <color rgb="FF000000"/>
        <rFont val="WenQuanYi Zen Hei"/>
        <family val="2"/>
      </rPr>
      <t xml:space="preserve">이상</t>
    </r>
    <r>
      <rPr>
        <sz val="10"/>
        <color rgb="FF000000"/>
        <rFont val="맑은 고딕"/>
        <family val="0"/>
        <charset val="1"/>
      </rPr>
      <t xml:space="preserve">)</t>
    </r>
  </si>
  <si>
    <r>
      <rPr>
        <i val="true"/>
        <sz val="10"/>
        <color rgb="FF7F7F7F"/>
        <rFont val="WenQuanYi Zen Hei"/>
        <family val="2"/>
      </rPr>
      <t xml:space="preserve">일반적으로 쓰는 고혈압 진단 기준</t>
    </r>
    <r>
      <rPr>
        <i val="true"/>
        <sz val="10"/>
        <color rgb="FF7F7F7F"/>
        <rFont val="맑은 고딕"/>
        <family val="0"/>
        <charset val="1"/>
      </rPr>
      <t xml:space="preserve">(140/90)</t>
    </r>
    <r>
      <rPr>
        <i val="true"/>
        <sz val="10"/>
        <color rgb="FF7F7F7F"/>
        <rFont val="WenQuanYi Zen Hei"/>
        <family val="2"/>
      </rPr>
      <t xml:space="preserve">을 예시로 사용</t>
    </r>
  </si>
  <si>
    <r>
      <rPr>
        <sz val="10"/>
        <color rgb="FF000000"/>
        <rFont val="WenQuanYi Zen Hei"/>
        <family val="2"/>
      </rPr>
      <t xml:space="preserve">이완기 </t>
    </r>
    <r>
      <rPr>
        <sz val="10"/>
        <color rgb="FF000000"/>
        <rFont val="맑은 고딕"/>
        <family val="0"/>
        <charset val="1"/>
      </rPr>
      <t xml:space="preserve">'</t>
    </r>
    <r>
      <rPr>
        <sz val="10"/>
        <color rgb="FF000000"/>
        <rFont val="WenQuanYi Zen Hei"/>
        <family val="2"/>
      </rPr>
      <t xml:space="preserve">주의</t>
    </r>
    <r>
      <rPr>
        <sz val="10"/>
        <color rgb="FF000000"/>
        <rFont val="맑은 고딕"/>
        <family val="0"/>
        <charset val="1"/>
      </rPr>
      <t xml:space="preserve">' (</t>
    </r>
    <r>
      <rPr>
        <sz val="10"/>
        <color rgb="FF000000"/>
        <rFont val="WenQuanYi Zen Hei"/>
        <family val="2"/>
      </rPr>
      <t xml:space="preserve">이상</t>
    </r>
    <r>
      <rPr>
        <sz val="10"/>
        <color rgb="FF000000"/>
        <rFont val="맑은 고딕"/>
        <family val="0"/>
        <charset val="1"/>
      </rPr>
      <t xml:space="preserve">)</t>
    </r>
  </si>
  <si>
    <r>
      <rPr>
        <sz val="10"/>
        <color rgb="FF000000"/>
        <rFont val="WenQuanYi Zen Hei"/>
        <family val="2"/>
      </rPr>
      <t xml:space="preserve">수축기 </t>
    </r>
    <r>
      <rPr>
        <sz val="10"/>
        <color rgb="FF000000"/>
        <rFont val="맑은 고딕"/>
        <family val="0"/>
        <charset val="1"/>
      </rPr>
      <t xml:space="preserve">'</t>
    </r>
    <r>
      <rPr>
        <sz val="10"/>
        <color rgb="FF000000"/>
        <rFont val="WenQuanYi Zen Hei"/>
        <family val="2"/>
      </rPr>
      <t xml:space="preserve">긴급</t>
    </r>
    <r>
      <rPr>
        <sz val="10"/>
        <color rgb="FF000000"/>
        <rFont val="맑은 고딕"/>
        <family val="0"/>
        <charset val="1"/>
      </rPr>
      <t xml:space="preserve">' (</t>
    </r>
    <r>
      <rPr>
        <sz val="10"/>
        <color rgb="FF000000"/>
        <rFont val="WenQuanYi Zen Hei"/>
        <family val="2"/>
      </rPr>
      <t xml:space="preserve">이상</t>
    </r>
    <r>
      <rPr>
        <sz val="10"/>
        <color rgb="FF000000"/>
        <rFont val="맑은 고딕"/>
        <family val="0"/>
        <charset val="1"/>
      </rPr>
      <t xml:space="preserve">)</t>
    </r>
  </si>
  <si>
    <r>
      <rPr>
        <i val="true"/>
        <sz val="10"/>
        <color rgb="FF7F7F7F"/>
        <rFont val="WenQuanYi Zen Hei"/>
        <family val="2"/>
      </rPr>
      <t xml:space="preserve">즉시 선생님 호출</t>
    </r>
    <r>
      <rPr>
        <i val="true"/>
        <sz val="10"/>
        <color rgb="FF7F7F7F"/>
        <rFont val="맑은 고딕"/>
        <family val="0"/>
        <charset val="1"/>
      </rPr>
      <t xml:space="preserve">·</t>
    </r>
    <r>
      <rPr>
        <i val="true"/>
        <sz val="10"/>
        <color rgb="FF7F7F7F"/>
        <rFont val="WenQuanYi Zen Hei"/>
        <family val="2"/>
      </rPr>
      <t xml:space="preserve">운동 중단 판단용 예시값</t>
    </r>
  </si>
  <si>
    <r>
      <rPr>
        <sz val="10"/>
        <color rgb="FF000000"/>
        <rFont val="WenQuanYi Zen Hei"/>
        <family val="2"/>
      </rPr>
      <t xml:space="preserve">이완기 </t>
    </r>
    <r>
      <rPr>
        <sz val="10"/>
        <color rgb="FF000000"/>
        <rFont val="맑은 고딕"/>
        <family val="0"/>
        <charset val="1"/>
      </rPr>
      <t xml:space="preserve">'</t>
    </r>
    <r>
      <rPr>
        <sz val="10"/>
        <color rgb="FF000000"/>
        <rFont val="WenQuanYi Zen Hei"/>
        <family val="2"/>
      </rPr>
      <t xml:space="preserve">긴급</t>
    </r>
    <r>
      <rPr>
        <sz val="10"/>
        <color rgb="FF000000"/>
        <rFont val="맑은 고딕"/>
        <family val="0"/>
        <charset val="1"/>
      </rPr>
      <t xml:space="preserve">' (</t>
    </r>
    <r>
      <rPr>
        <sz val="10"/>
        <color rgb="FF000000"/>
        <rFont val="WenQuanYi Zen Hei"/>
        <family val="2"/>
      </rPr>
      <t xml:space="preserve">이상</t>
    </r>
    <r>
      <rPr>
        <sz val="10"/>
        <color rgb="FF000000"/>
        <rFont val="맑은 고딕"/>
        <family val="0"/>
        <charset val="1"/>
      </rPr>
      <t xml:space="preserve">)</t>
    </r>
  </si>
  <si>
    <r>
      <rPr>
        <sz val="10"/>
        <color rgb="FF000000"/>
        <rFont val="WenQuanYi Zen Hei"/>
        <family val="2"/>
      </rPr>
      <t xml:space="preserve">수축기 저혈압 </t>
    </r>
    <r>
      <rPr>
        <sz val="10"/>
        <color rgb="FF000000"/>
        <rFont val="맑은 고딕"/>
        <family val="0"/>
        <charset val="1"/>
      </rPr>
      <t xml:space="preserve">'</t>
    </r>
    <r>
      <rPr>
        <sz val="10"/>
        <color rgb="FF000000"/>
        <rFont val="WenQuanYi Zen Hei"/>
        <family val="2"/>
      </rPr>
      <t xml:space="preserve">주의</t>
    </r>
    <r>
      <rPr>
        <sz val="10"/>
        <color rgb="FF000000"/>
        <rFont val="맑은 고딕"/>
        <family val="0"/>
        <charset val="1"/>
      </rPr>
      <t xml:space="preserve">' (</t>
    </r>
    <r>
      <rPr>
        <sz val="10"/>
        <color rgb="FF000000"/>
        <rFont val="WenQuanYi Zen Hei"/>
        <family val="2"/>
      </rPr>
      <t xml:space="preserve">미만</t>
    </r>
    <r>
      <rPr>
        <sz val="10"/>
        <color rgb="FF000000"/>
        <rFont val="맑은 고딕"/>
        <family val="0"/>
        <charset val="1"/>
      </rPr>
      <t xml:space="preserve">)</t>
    </r>
  </si>
  <si>
    <t xml:space="preserve">어지럼 확인용 예시값</t>
  </si>
  <si>
    <r>
      <rPr>
        <b val="true"/>
        <sz val="10"/>
        <color rgb="FFFFFFFF"/>
        <rFont val="WenQuanYi Zen Hei"/>
        <family val="2"/>
      </rPr>
      <t xml:space="preserve">혈당 판정 기준 </t>
    </r>
    <r>
      <rPr>
        <b val="true"/>
        <sz val="10"/>
        <color rgb="FFFFFFFF"/>
        <rFont val="맑은 고딕"/>
        <family val="0"/>
        <charset val="1"/>
      </rPr>
      <t xml:space="preserve">(mg/dL)</t>
    </r>
  </si>
  <si>
    <r>
      <rPr>
        <sz val="10"/>
        <color rgb="FF000000"/>
        <rFont val="WenQuanYi Zen Hei"/>
        <family val="2"/>
      </rPr>
      <t xml:space="preserve">공복 </t>
    </r>
    <r>
      <rPr>
        <sz val="10"/>
        <color rgb="FF000000"/>
        <rFont val="맑은 고딕"/>
        <family val="0"/>
        <charset val="1"/>
      </rPr>
      <t xml:space="preserve">'</t>
    </r>
    <r>
      <rPr>
        <sz val="10"/>
        <color rgb="FF000000"/>
        <rFont val="WenQuanYi Zen Hei"/>
        <family val="2"/>
      </rPr>
      <t xml:space="preserve">주의</t>
    </r>
    <r>
      <rPr>
        <sz val="10"/>
        <color rgb="FF000000"/>
        <rFont val="맑은 고딕"/>
        <family val="0"/>
        <charset val="1"/>
      </rPr>
      <t xml:space="preserve">' (</t>
    </r>
    <r>
      <rPr>
        <sz val="10"/>
        <color rgb="FF000000"/>
        <rFont val="WenQuanYi Zen Hei"/>
        <family val="2"/>
      </rPr>
      <t xml:space="preserve">이상</t>
    </r>
    <r>
      <rPr>
        <sz val="10"/>
        <color rgb="FF000000"/>
        <rFont val="맑은 고딕"/>
        <family val="0"/>
        <charset val="1"/>
      </rPr>
      <t xml:space="preserve">)</t>
    </r>
  </si>
  <si>
    <r>
      <rPr>
        <i val="true"/>
        <sz val="10"/>
        <color rgb="FF7F7F7F"/>
        <rFont val="WenQuanYi Zen Hei"/>
        <family val="2"/>
      </rPr>
      <t xml:space="preserve">공복혈당 </t>
    </r>
    <r>
      <rPr>
        <i val="true"/>
        <sz val="10"/>
        <color rgb="FF7F7F7F"/>
        <rFont val="맑은 고딕"/>
        <family val="0"/>
        <charset val="1"/>
      </rPr>
      <t xml:space="preserve">126 </t>
    </r>
    <r>
      <rPr>
        <i val="true"/>
        <sz val="10"/>
        <color rgb="FF7F7F7F"/>
        <rFont val="WenQuanYi Zen Hei"/>
        <family val="2"/>
      </rPr>
      <t xml:space="preserve">이상</t>
    </r>
    <r>
      <rPr>
        <i val="true"/>
        <sz val="10"/>
        <color rgb="FF7F7F7F"/>
        <rFont val="맑은 고딕"/>
        <family val="0"/>
        <charset val="1"/>
      </rPr>
      <t xml:space="preserve">(</t>
    </r>
    <r>
      <rPr>
        <i val="true"/>
        <sz val="10"/>
        <color rgb="FF7F7F7F"/>
        <rFont val="WenQuanYi Zen Hei"/>
        <family val="2"/>
      </rPr>
      <t xml:space="preserve">당뇨 진단 기준</t>
    </r>
    <r>
      <rPr>
        <i val="true"/>
        <sz val="10"/>
        <color rgb="FF7F7F7F"/>
        <rFont val="맑은 고딕"/>
        <family val="0"/>
        <charset val="1"/>
      </rPr>
      <t xml:space="preserve">)</t>
    </r>
    <r>
      <rPr>
        <i val="true"/>
        <sz val="10"/>
        <color rgb="FF7F7F7F"/>
        <rFont val="WenQuanYi Zen Hei"/>
        <family val="2"/>
      </rPr>
      <t xml:space="preserve">을 예시로 사용</t>
    </r>
  </si>
  <si>
    <r>
      <rPr>
        <sz val="10"/>
        <color rgb="FF000000"/>
        <rFont val="WenQuanYi Zen Hei"/>
        <family val="2"/>
      </rPr>
      <t xml:space="preserve">식후 </t>
    </r>
    <r>
      <rPr>
        <sz val="10"/>
        <color rgb="FF000000"/>
        <rFont val="맑은 고딕"/>
        <family val="0"/>
        <charset val="1"/>
      </rPr>
      <t xml:space="preserve">'</t>
    </r>
    <r>
      <rPr>
        <sz val="10"/>
        <color rgb="FF000000"/>
        <rFont val="WenQuanYi Zen Hei"/>
        <family val="2"/>
      </rPr>
      <t xml:space="preserve">주의</t>
    </r>
    <r>
      <rPr>
        <sz val="10"/>
        <color rgb="FF000000"/>
        <rFont val="맑은 고딕"/>
        <family val="0"/>
        <charset val="1"/>
      </rPr>
      <t xml:space="preserve">' (</t>
    </r>
    <r>
      <rPr>
        <sz val="10"/>
        <color rgb="FF000000"/>
        <rFont val="WenQuanYi Zen Hei"/>
        <family val="2"/>
      </rPr>
      <t xml:space="preserve">이상</t>
    </r>
    <r>
      <rPr>
        <sz val="10"/>
        <color rgb="FF000000"/>
        <rFont val="맑은 고딕"/>
        <family val="0"/>
        <charset val="1"/>
      </rPr>
      <t xml:space="preserve">)</t>
    </r>
  </si>
  <si>
    <r>
      <rPr>
        <i val="true"/>
        <sz val="10"/>
        <color rgb="FF7F7F7F"/>
        <rFont val="WenQuanYi Zen Hei"/>
        <family val="2"/>
      </rPr>
      <t xml:space="preserve">식후</t>
    </r>
    <r>
      <rPr>
        <i val="true"/>
        <sz val="10"/>
        <color rgb="FF7F7F7F"/>
        <rFont val="맑은 고딕"/>
        <family val="0"/>
        <charset val="1"/>
      </rPr>
      <t xml:space="preserve">/</t>
    </r>
    <r>
      <rPr>
        <i val="true"/>
        <sz val="10"/>
        <color rgb="FF7F7F7F"/>
        <rFont val="WenQuanYi Zen Hei"/>
        <family val="2"/>
      </rPr>
      <t xml:space="preserve">무작위 혈당 </t>
    </r>
    <r>
      <rPr>
        <i val="true"/>
        <sz val="10"/>
        <color rgb="FF7F7F7F"/>
        <rFont val="맑은 고딕"/>
        <family val="0"/>
        <charset val="1"/>
      </rPr>
      <t xml:space="preserve">200 </t>
    </r>
    <r>
      <rPr>
        <i val="true"/>
        <sz val="10"/>
        <color rgb="FF7F7F7F"/>
        <rFont val="WenQuanYi Zen Hei"/>
        <family val="2"/>
      </rPr>
      <t xml:space="preserve">이상을 예시로 사용</t>
    </r>
  </si>
  <si>
    <r>
      <rPr>
        <sz val="10"/>
        <color rgb="FF000000"/>
        <rFont val="WenQuanYi Zen Hei"/>
        <family val="2"/>
      </rPr>
      <t xml:space="preserve">저혈당 </t>
    </r>
    <r>
      <rPr>
        <sz val="10"/>
        <color rgb="FF000000"/>
        <rFont val="맑은 고딕"/>
        <family val="0"/>
        <charset val="1"/>
      </rPr>
      <t xml:space="preserve">'</t>
    </r>
    <r>
      <rPr>
        <sz val="10"/>
        <color rgb="FF000000"/>
        <rFont val="WenQuanYi Zen Hei"/>
        <family val="2"/>
      </rPr>
      <t xml:space="preserve">긴급</t>
    </r>
    <r>
      <rPr>
        <sz val="10"/>
        <color rgb="FF000000"/>
        <rFont val="맑은 고딕"/>
        <family val="0"/>
        <charset val="1"/>
      </rPr>
      <t xml:space="preserve">' (</t>
    </r>
    <r>
      <rPr>
        <sz val="10"/>
        <color rgb="FF000000"/>
        <rFont val="WenQuanYi Zen Hei"/>
        <family val="2"/>
      </rPr>
      <t xml:space="preserve">미만</t>
    </r>
    <r>
      <rPr>
        <sz val="10"/>
        <color rgb="FF000000"/>
        <rFont val="맑은 고딕"/>
        <family val="0"/>
        <charset val="1"/>
      </rPr>
      <t xml:space="preserve">)</t>
    </r>
  </si>
  <si>
    <r>
      <rPr>
        <i val="true"/>
        <sz val="10"/>
        <color rgb="FF7F7F7F"/>
        <rFont val="WenQuanYi Zen Hei"/>
        <family val="2"/>
      </rPr>
      <t xml:space="preserve">즉시 당 섭취</t>
    </r>
    <r>
      <rPr>
        <i val="true"/>
        <sz val="10"/>
        <color rgb="FF7F7F7F"/>
        <rFont val="맑은 고딕"/>
        <family val="0"/>
        <charset val="1"/>
      </rPr>
      <t xml:space="preserve">·</t>
    </r>
    <r>
      <rPr>
        <i val="true"/>
        <sz val="10"/>
        <color rgb="FF7F7F7F"/>
        <rFont val="WenQuanYi Zen Hei"/>
        <family val="2"/>
      </rPr>
      <t xml:space="preserve">선생님 호출용 예시값</t>
    </r>
  </si>
  <si>
    <r>
      <rPr>
        <sz val="10"/>
        <color rgb="FF000000"/>
        <rFont val="WenQuanYi Zen Hei"/>
        <family val="2"/>
      </rPr>
      <t xml:space="preserve">고혈당 </t>
    </r>
    <r>
      <rPr>
        <sz val="10"/>
        <color rgb="FF000000"/>
        <rFont val="맑은 고딕"/>
        <family val="0"/>
        <charset val="1"/>
      </rPr>
      <t xml:space="preserve">'</t>
    </r>
    <r>
      <rPr>
        <sz val="10"/>
        <color rgb="FF000000"/>
        <rFont val="WenQuanYi Zen Hei"/>
        <family val="2"/>
      </rPr>
      <t xml:space="preserve">긴급</t>
    </r>
    <r>
      <rPr>
        <sz val="10"/>
        <color rgb="FF000000"/>
        <rFont val="맑은 고딕"/>
        <family val="0"/>
        <charset val="1"/>
      </rPr>
      <t xml:space="preserve">' (</t>
    </r>
    <r>
      <rPr>
        <sz val="10"/>
        <color rgb="FF000000"/>
        <rFont val="WenQuanYi Zen Hei"/>
        <family val="2"/>
      </rPr>
      <t xml:space="preserve">이상</t>
    </r>
    <r>
      <rPr>
        <sz val="10"/>
        <color rgb="FF000000"/>
        <rFont val="맑은 고딕"/>
        <family val="0"/>
        <charset val="1"/>
      </rPr>
      <t xml:space="preserve">)</t>
    </r>
  </si>
  <si>
    <t xml:space="preserve">예시값</t>
  </si>
  <si>
    <r>
      <rPr>
        <i val="true"/>
        <sz val="10"/>
        <color rgb="FF7F7F7F"/>
        <rFont val="WenQuanYi Zen Hei"/>
        <family val="2"/>
      </rPr>
      <t xml:space="preserve">※ 위 기준은 예시입니다</t>
    </r>
    <r>
      <rPr>
        <i val="true"/>
        <sz val="10"/>
        <color rgb="FF7F7F7F"/>
        <rFont val="맑은 고딕"/>
        <family val="0"/>
        <charset val="1"/>
      </rPr>
      <t xml:space="preserve">. </t>
    </r>
    <r>
      <rPr>
        <i val="true"/>
        <sz val="10"/>
        <color rgb="FF7F7F7F"/>
        <rFont val="WenQuanYi Zen Hei"/>
        <family val="2"/>
      </rPr>
      <t xml:space="preserve">반드시 기관 프로토콜</t>
    </r>
    <r>
      <rPr>
        <i val="true"/>
        <sz val="10"/>
        <color rgb="FF7F7F7F"/>
        <rFont val="맑은 고딕"/>
        <family val="0"/>
        <charset val="1"/>
      </rPr>
      <t xml:space="preserve">·</t>
    </r>
    <r>
      <rPr>
        <i val="true"/>
        <sz val="10"/>
        <color rgb="FF7F7F7F"/>
        <rFont val="WenQuanYi Zen Hei"/>
        <family val="2"/>
      </rPr>
      <t xml:space="preserve">지도 선생님</t>
    </r>
    <r>
      <rPr>
        <i val="true"/>
        <sz val="10"/>
        <color rgb="FF7F7F7F"/>
        <rFont val="맑은 고딕"/>
        <family val="0"/>
        <charset val="1"/>
      </rPr>
      <t xml:space="preserve">(</t>
    </r>
    <r>
      <rPr>
        <i val="true"/>
        <sz val="10"/>
        <color rgb="FF7F7F7F"/>
        <rFont val="WenQuanYi Zen Hei"/>
        <family val="2"/>
      </rPr>
      <t xml:space="preserve">간호교수</t>
    </r>
    <r>
      <rPr>
        <i val="true"/>
        <sz val="10"/>
        <color rgb="FF7F7F7F"/>
        <rFont val="맑은 고딕"/>
        <family val="0"/>
        <charset val="1"/>
      </rPr>
      <t xml:space="preserve">)</t>
    </r>
    <r>
      <rPr>
        <i val="true"/>
        <sz val="10"/>
        <color rgb="FF7F7F7F"/>
        <rFont val="WenQuanYi Zen Hei"/>
        <family val="2"/>
      </rPr>
      <t xml:space="preserve">과 확인한 뒤 수정하세요</t>
    </r>
    <r>
      <rPr>
        <i val="true"/>
        <sz val="10"/>
        <color rgb="FF7F7F7F"/>
        <rFont val="맑은 고딕"/>
        <family val="0"/>
        <charset val="1"/>
      </rPr>
      <t xml:space="preserve">.</t>
    </r>
  </si>
  <si>
    <r>
      <rPr>
        <b val="true"/>
        <sz val="10"/>
        <color rgb="FFFFFFFF"/>
        <rFont val="WenQuanYi Zen Hei"/>
        <family val="2"/>
      </rPr>
      <t xml:space="preserve">운영일 </t>
    </r>
    <r>
      <rPr>
        <b val="true"/>
        <sz val="10"/>
        <color rgb="FFFFFFFF"/>
        <rFont val="맑은 고딕"/>
        <family val="0"/>
        <charset val="1"/>
      </rPr>
      <t xml:space="preserve">(</t>
    </r>
    <r>
      <rPr>
        <b val="true"/>
        <sz val="10"/>
        <color rgb="FFFFFFFF"/>
        <rFont val="WenQuanYi Zen Hei"/>
        <family val="2"/>
      </rPr>
      <t xml:space="preserve">일차</t>
    </r>
    <r>
      <rPr>
        <b val="true"/>
        <sz val="10"/>
        <color rgb="FFFFFFFF"/>
        <rFont val="맑은 고딕"/>
        <family val="0"/>
        <charset val="1"/>
      </rPr>
      <t xml:space="preserve">)</t>
    </r>
  </si>
  <si>
    <t xml:space="preserve">날짜</t>
  </si>
  <si>
    <r>
      <rPr>
        <sz val="10"/>
        <color rgb="FF000000"/>
        <rFont val="맑은 고딕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일차</t>
    </r>
  </si>
  <si>
    <r>
      <rPr>
        <i val="true"/>
        <sz val="10"/>
        <color rgb="FF7F7F7F"/>
        <rFont val="WenQuanYi Zen Hei"/>
        <family val="2"/>
      </rPr>
      <t xml:space="preserve">예시</t>
    </r>
    <r>
      <rPr>
        <i val="true"/>
        <sz val="10"/>
        <color rgb="FF7F7F7F"/>
        <rFont val="맑은 고딕"/>
        <family val="0"/>
        <charset val="1"/>
      </rPr>
      <t xml:space="preserve">: 2026-10-19(</t>
    </r>
    <r>
      <rPr>
        <i val="true"/>
        <sz val="10"/>
        <color rgb="FF7F7F7F"/>
        <rFont val="WenQuanYi Zen Hei"/>
        <family val="2"/>
      </rPr>
      <t xml:space="preserve">월</t>
    </r>
    <r>
      <rPr>
        <i val="true"/>
        <sz val="10"/>
        <color rgb="FF7F7F7F"/>
        <rFont val="맑은 고딕"/>
        <family val="0"/>
        <charset val="1"/>
      </rPr>
      <t xml:space="preserve">) </t>
    </r>
    <r>
      <rPr>
        <i val="true"/>
        <sz val="10"/>
        <color rgb="FF7F7F7F"/>
        <rFont val="WenQuanYi Zen Hei"/>
        <family val="2"/>
      </rPr>
      <t xml:space="preserve">시작 평일 </t>
    </r>
    <r>
      <rPr>
        <i val="true"/>
        <sz val="10"/>
        <color rgb="FF7F7F7F"/>
        <rFont val="맑은 고딕"/>
        <family val="0"/>
        <charset val="1"/>
      </rPr>
      <t xml:space="preserve">10</t>
    </r>
    <r>
      <rPr>
        <i val="true"/>
        <sz val="10"/>
        <color rgb="FF7F7F7F"/>
        <rFont val="WenQuanYi Zen Hei"/>
        <family val="2"/>
      </rPr>
      <t xml:space="preserve">일</t>
    </r>
    <r>
      <rPr>
        <i val="true"/>
        <sz val="10"/>
        <color rgb="FF7F7F7F"/>
        <rFont val="맑은 고딕"/>
        <family val="0"/>
        <charset val="1"/>
      </rPr>
      <t xml:space="preserve">. </t>
    </r>
    <r>
      <rPr>
        <i val="true"/>
        <sz val="10"/>
        <color rgb="FF7F7F7F"/>
        <rFont val="WenQuanYi Zen Hei"/>
        <family val="2"/>
      </rPr>
      <t xml:space="preserve">실제 운영일로 바꾸세요</t>
    </r>
    <r>
      <rPr>
        <i val="true"/>
        <sz val="10"/>
        <color rgb="FF7F7F7F"/>
        <rFont val="맑은 고딕"/>
        <family val="0"/>
        <charset val="1"/>
      </rPr>
      <t xml:space="preserve">. </t>
    </r>
    <r>
      <rPr>
        <i val="true"/>
        <sz val="10"/>
        <color rgb="FF7F7F7F"/>
        <rFont val="WenQuanYi Zen Hei"/>
        <family val="2"/>
      </rPr>
      <t xml:space="preserve">일수가 다르면 남는 칸은 비워 두세요</t>
    </r>
    <r>
      <rPr>
        <i val="true"/>
        <sz val="10"/>
        <color rgb="FF7F7F7F"/>
        <rFont val="맑은 고딕"/>
        <family val="0"/>
        <charset val="1"/>
      </rPr>
      <t xml:space="preserve">.</t>
    </r>
  </si>
  <si>
    <r>
      <rPr>
        <sz val="10"/>
        <color rgb="FF000000"/>
        <rFont val="맑은 고딕"/>
        <family val="0"/>
        <charset val="1"/>
      </rPr>
      <t xml:space="preserve">2</t>
    </r>
    <r>
      <rPr>
        <sz val="10"/>
        <color rgb="FF000000"/>
        <rFont val="WenQuanYi Zen Hei"/>
        <family val="2"/>
      </rPr>
      <t xml:space="preserve">일차</t>
    </r>
  </si>
  <si>
    <r>
      <rPr>
        <sz val="10"/>
        <color rgb="FF000000"/>
        <rFont val="맑은 고딕"/>
        <family val="0"/>
        <charset val="1"/>
      </rPr>
      <t xml:space="preserve">3</t>
    </r>
    <r>
      <rPr>
        <sz val="10"/>
        <color rgb="FF000000"/>
        <rFont val="WenQuanYi Zen Hei"/>
        <family val="2"/>
      </rPr>
      <t xml:space="preserve">일차</t>
    </r>
  </si>
  <si>
    <r>
      <rPr>
        <sz val="10"/>
        <color rgb="FF000000"/>
        <rFont val="맑은 고딕"/>
        <family val="0"/>
        <charset val="1"/>
      </rPr>
      <t xml:space="preserve">4</t>
    </r>
    <r>
      <rPr>
        <sz val="10"/>
        <color rgb="FF000000"/>
        <rFont val="WenQuanYi Zen Hei"/>
        <family val="2"/>
      </rPr>
      <t xml:space="preserve">일차</t>
    </r>
  </si>
  <si>
    <r>
      <rPr>
        <sz val="10"/>
        <color rgb="FF000000"/>
        <rFont val="맑은 고딕"/>
        <family val="0"/>
        <charset val="1"/>
      </rPr>
      <t xml:space="preserve">5</t>
    </r>
    <r>
      <rPr>
        <sz val="10"/>
        <color rgb="FF000000"/>
        <rFont val="WenQuanYi Zen Hei"/>
        <family val="2"/>
      </rPr>
      <t xml:space="preserve">일차</t>
    </r>
  </si>
  <si>
    <r>
      <rPr>
        <sz val="10"/>
        <color rgb="FF000000"/>
        <rFont val="맑은 고딕"/>
        <family val="0"/>
        <charset val="1"/>
      </rPr>
      <t xml:space="preserve">6</t>
    </r>
    <r>
      <rPr>
        <sz val="10"/>
        <color rgb="FF000000"/>
        <rFont val="WenQuanYi Zen Hei"/>
        <family val="2"/>
      </rPr>
      <t xml:space="preserve">일차</t>
    </r>
  </si>
  <si>
    <r>
      <rPr>
        <sz val="10"/>
        <color rgb="FF000000"/>
        <rFont val="맑은 고딕"/>
        <family val="0"/>
        <charset val="1"/>
      </rPr>
      <t xml:space="preserve">7</t>
    </r>
    <r>
      <rPr>
        <sz val="10"/>
        <color rgb="FF000000"/>
        <rFont val="WenQuanYi Zen Hei"/>
        <family val="2"/>
      </rPr>
      <t xml:space="preserve">일차</t>
    </r>
  </si>
  <si>
    <r>
      <rPr>
        <sz val="10"/>
        <color rgb="FF000000"/>
        <rFont val="맑은 고딕"/>
        <family val="0"/>
        <charset val="1"/>
      </rPr>
      <t xml:space="preserve">8</t>
    </r>
    <r>
      <rPr>
        <sz val="10"/>
        <color rgb="FF000000"/>
        <rFont val="WenQuanYi Zen Hei"/>
        <family val="2"/>
      </rPr>
      <t xml:space="preserve">일차</t>
    </r>
  </si>
  <si>
    <r>
      <rPr>
        <sz val="10"/>
        <color rgb="FF000000"/>
        <rFont val="맑은 고딕"/>
        <family val="0"/>
        <charset val="1"/>
      </rPr>
      <t xml:space="preserve">9</t>
    </r>
    <r>
      <rPr>
        <sz val="10"/>
        <color rgb="FF000000"/>
        <rFont val="WenQuanYi Zen Hei"/>
        <family val="2"/>
      </rPr>
      <t xml:space="preserve">일차</t>
    </r>
  </si>
  <si>
    <r>
      <rPr>
        <sz val="10"/>
        <color rgb="FF000000"/>
        <rFont val="맑은 고딕"/>
        <family val="0"/>
        <charset val="1"/>
      </rPr>
      <t xml:space="preserve">10</t>
    </r>
    <r>
      <rPr>
        <sz val="10"/>
        <color rgb="FF000000"/>
        <rFont val="WenQuanYi Zen Hei"/>
        <family val="2"/>
      </rPr>
      <t xml:space="preserve">일차</t>
    </r>
  </si>
  <si>
    <t xml:space="preserve">시간대 슬롯</t>
  </si>
  <si>
    <r>
      <rPr>
        <b val="true"/>
        <sz val="10"/>
        <color rgb="FFFFFFFF"/>
        <rFont val="WenQuanYi Zen Hei"/>
        <family val="2"/>
      </rPr>
      <t xml:space="preserve">정원</t>
    </r>
    <r>
      <rPr>
        <b val="true"/>
        <sz val="10"/>
        <color rgb="FFFFFFFF"/>
        <rFont val="맑은 고딕"/>
        <family val="0"/>
        <charset val="1"/>
      </rPr>
      <t xml:space="preserve">(</t>
    </r>
    <r>
      <rPr>
        <b val="true"/>
        <sz val="10"/>
        <color rgb="FFFFFFFF"/>
        <rFont val="WenQuanYi Zen Hei"/>
        <family val="2"/>
      </rPr>
      <t xml:space="preserve">명</t>
    </r>
    <r>
      <rPr>
        <b val="true"/>
        <sz val="10"/>
        <color rgb="FFFFFFFF"/>
        <rFont val="맑은 고딕"/>
        <family val="0"/>
        <charset val="1"/>
      </rPr>
      <t xml:space="preserve">)</t>
    </r>
  </si>
  <si>
    <r>
      <rPr>
        <sz val="10"/>
        <color rgb="FF000000"/>
        <rFont val="WenQuanYi Zen Hei"/>
        <family val="2"/>
      </rPr>
      <t xml:space="preserve">슬롯 </t>
    </r>
    <r>
      <rPr>
        <sz val="10"/>
        <color rgb="FF000000"/>
        <rFont val="맑은 고딕"/>
        <family val="0"/>
        <charset val="1"/>
      </rPr>
      <t xml:space="preserve">1</t>
    </r>
  </si>
  <si>
    <r>
      <rPr>
        <i val="true"/>
        <sz val="10"/>
        <color rgb="FF7F7F7F"/>
        <rFont val="WenQuanYi Zen Hei"/>
        <family val="2"/>
      </rPr>
      <t xml:space="preserve">예시</t>
    </r>
    <r>
      <rPr>
        <i val="true"/>
        <sz val="10"/>
        <color rgb="FF7F7F7F"/>
        <rFont val="맑은 고딕"/>
        <family val="0"/>
        <charset val="1"/>
      </rPr>
      <t xml:space="preserve">: 30</t>
    </r>
    <r>
      <rPr>
        <i val="true"/>
        <sz val="10"/>
        <color rgb="FF7F7F7F"/>
        <rFont val="WenQuanYi Zen Hei"/>
        <family val="2"/>
      </rPr>
      <t xml:space="preserve">분 간격 </t>
    </r>
    <r>
      <rPr>
        <i val="true"/>
        <sz val="10"/>
        <color rgb="FF7F7F7F"/>
        <rFont val="맑은 고딕"/>
        <family val="0"/>
        <charset val="1"/>
      </rPr>
      <t xml:space="preserve">12</t>
    </r>
    <r>
      <rPr>
        <i val="true"/>
        <sz val="10"/>
        <color rgb="FF7F7F7F"/>
        <rFont val="WenQuanYi Zen Hei"/>
        <family val="2"/>
      </rPr>
      <t xml:space="preserve">슬롯</t>
    </r>
    <r>
      <rPr>
        <i val="true"/>
        <sz val="10"/>
        <color rgb="FF7F7F7F"/>
        <rFont val="맑은 고딕"/>
        <family val="0"/>
        <charset val="1"/>
      </rPr>
      <t xml:space="preserve">, </t>
    </r>
    <r>
      <rPr>
        <i val="true"/>
        <sz val="10"/>
        <color rgb="FF7F7F7F"/>
        <rFont val="WenQuanYi Zen Hei"/>
        <family val="2"/>
      </rPr>
      <t xml:space="preserve">슬롯당 </t>
    </r>
    <r>
      <rPr>
        <i val="true"/>
        <sz val="10"/>
        <color rgb="FF7F7F7F"/>
        <rFont val="맑은 고딕"/>
        <family val="0"/>
        <charset val="1"/>
      </rPr>
      <t xml:space="preserve">4</t>
    </r>
    <r>
      <rPr>
        <i val="true"/>
        <sz val="10"/>
        <color rgb="FF7F7F7F"/>
        <rFont val="WenQuanYi Zen Hei"/>
        <family val="2"/>
      </rPr>
      <t xml:space="preserve">명</t>
    </r>
    <r>
      <rPr>
        <i val="true"/>
        <sz val="10"/>
        <color rgb="FF7F7F7F"/>
        <rFont val="맑은 고딕"/>
        <family val="0"/>
        <charset val="1"/>
      </rPr>
      <t xml:space="preserve">. </t>
    </r>
    <r>
      <rPr>
        <i val="true"/>
        <sz val="10"/>
        <color rgb="FF7F7F7F"/>
        <rFont val="WenQuanYi Zen Hei"/>
        <family val="2"/>
      </rPr>
      <t xml:space="preserve">병목계산 시트 결과</t>
    </r>
    <r>
      <rPr>
        <i val="true"/>
        <sz val="10"/>
        <color rgb="FF7F7F7F"/>
        <rFont val="맑은 고딕"/>
        <family val="0"/>
        <charset val="1"/>
      </rPr>
      <t xml:space="preserve">(</t>
    </r>
    <r>
      <rPr>
        <i val="true"/>
        <sz val="10"/>
        <color rgb="FF7F7F7F"/>
        <rFont val="WenQuanYi Zen Hei"/>
        <family val="2"/>
      </rPr>
      <t xml:space="preserve">하루 처리 가능 인원</t>
    </r>
    <r>
      <rPr>
        <i val="true"/>
        <sz val="10"/>
        <color rgb="FF7F7F7F"/>
        <rFont val="맑은 고딕"/>
        <family val="0"/>
        <charset val="1"/>
      </rPr>
      <t xml:space="preserve">)</t>
    </r>
    <r>
      <rPr>
        <i val="true"/>
        <sz val="10"/>
        <color rgb="FF7F7F7F"/>
        <rFont val="WenQuanYi Zen Hei"/>
        <family val="2"/>
      </rPr>
      <t xml:space="preserve">에 맞춰 정원을 조정하세요</t>
    </r>
    <r>
      <rPr>
        <i val="true"/>
        <sz val="10"/>
        <color rgb="FF7F7F7F"/>
        <rFont val="맑은 고딕"/>
        <family val="0"/>
        <charset val="1"/>
      </rPr>
      <t xml:space="preserve">.</t>
    </r>
  </si>
  <si>
    <r>
      <rPr>
        <sz val="10"/>
        <color rgb="FF000000"/>
        <rFont val="WenQuanYi Zen Hei"/>
        <family val="2"/>
      </rPr>
      <t xml:space="preserve">슬롯 </t>
    </r>
    <r>
      <rPr>
        <sz val="10"/>
        <color rgb="FF000000"/>
        <rFont val="맑은 고딕"/>
        <family val="0"/>
        <charset val="1"/>
      </rPr>
      <t xml:space="preserve">2</t>
    </r>
  </si>
  <si>
    <r>
      <rPr>
        <i val="true"/>
        <sz val="10"/>
        <color rgb="FF7F7F7F"/>
        <rFont val="WenQuanYi Zen Hei"/>
        <family val="2"/>
      </rPr>
      <t xml:space="preserve">점심시간 등 쉬는 구간은 슬롯 시각을 비우면 됩니다</t>
    </r>
    <r>
      <rPr>
        <i val="true"/>
        <sz val="10"/>
        <color rgb="FF7F7F7F"/>
        <rFont val="맑은 고딕"/>
        <family val="0"/>
        <charset val="1"/>
      </rPr>
      <t xml:space="preserve">(</t>
    </r>
    <r>
      <rPr>
        <i val="true"/>
        <sz val="10"/>
        <color rgb="FF7F7F7F"/>
        <rFont val="WenQuanYi Zen Hei"/>
        <family val="2"/>
      </rPr>
      <t xml:space="preserve">정원 칸도 비우세요</t>
    </r>
    <r>
      <rPr>
        <i val="true"/>
        <sz val="10"/>
        <color rgb="FF7F7F7F"/>
        <rFont val="맑은 고딕"/>
        <family val="0"/>
        <charset val="1"/>
      </rPr>
      <t xml:space="preserve">).</t>
    </r>
  </si>
  <si>
    <r>
      <rPr>
        <sz val="10"/>
        <color rgb="FF000000"/>
        <rFont val="WenQuanYi Zen Hei"/>
        <family val="2"/>
      </rPr>
      <t xml:space="preserve">슬롯 </t>
    </r>
    <r>
      <rPr>
        <sz val="10"/>
        <color rgb="FF000000"/>
        <rFont val="맑은 고딕"/>
        <family val="0"/>
        <charset val="1"/>
      </rPr>
      <t xml:space="preserve">3</t>
    </r>
  </si>
  <si>
    <r>
      <rPr>
        <sz val="10"/>
        <color rgb="FF000000"/>
        <rFont val="WenQuanYi Zen Hei"/>
        <family val="2"/>
      </rPr>
      <t xml:space="preserve">슬롯 </t>
    </r>
    <r>
      <rPr>
        <sz val="10"/>
        <color rgb="FF000000"/>
        <rFont val="맑은 고딕"/>
        <family val="0"/>
        <charset val="1"/>
      </rPr>
      <t xml:space="preserve">4</t>
    </r>
  </si>
  <si>
    <r>
      <rPr>
        <sz val="10"/>
        <color rgb="FF000000"/>
        <rFont val="WenQuanYi Zen Hei"/>
        <family val="2"/>
      </rPr>
      <t xml:space="preserve">슬롯 </t>
    </r>
    <r>
      <rPr>
        <sz val="10"/>
        <color rgb="FF000000"/>
        <rFont val="맑은 고딕"/>
        <family val="0"/>
        <charset val="1"/>
      </rPr>
      <t xml:space="preserve">5</t>
    </r>
  </si>
  <si>
    <r>
      <rPr>
        <sz val="10"/>
        <color rgb="FF000000"/>
        <rFont val="WenQuanYi Zen Hei"/>
        <family val="2"/>
      </rPr>
      <t xml:space="preserve">슬롯 </t>
    </r>
    <r>
      <rPr>
        <sz val="10"/>
        <color rgb="FF000000"/>
        <rFont val="맑은 고딕"/>
        <family val="0"/>
        <charset val="1"/>
      </rPr>
      <t xml:space="preserve">6</t>
    </r>
  </si>
  <si>
    <r>
      <rPr>
        <sz val="10"/>
        <color rgb="FF000000"/>
        <rFont val="WenQuanYi Zen Hei"/>
        <family val="2"/>
      </rPr>
      <t xml:space="preserve">슬롯 </t>
    </r>
    <r>
      <rPr>
        <sz val="10"/>
        <color rgb="FF000000"/>
        <rFont val="맑은 고딕"/>
        <family val="0"/>
        <charset val="1"/>
      </rPr>
      <t xml:space="preserve">7</t>
    </r>
  </si>
  <si>
    <r>
      <rPr>
        <sz val="10"/>
        <color rgb="FF000000"/>
        <rFont val="WenQuanYi Zen Hei"/>
        <family val="2"/>
      </rPr>
      <t xml:space="preserve">슬롯 </t>
    </r>
    <r>
      <rPr>
        <sz val="10"/>
        <color rgb="FF000000"/>
        <rFont val="맑은 고딕"/>
        <family val="0"/>
        <charset val="1"/>
      </rPr>
      <t xml:space="preserve">8</t>
    </r>
  </si>
  <si>
    <r>
      <rPr>
        <sz val="10"/>
        <color rgb="FF000000"/>
        <rFont val="WenQuanYi Zen Hei"/>
        <family val="2"/>
      </rPr>
      <t xml:space="preserve">슬롯 </t>
    </r>
    <r>
      <rPr>
        <sz val="10"/>
        <color rgb="FF000000"/>
        <rFont val="맑은 고딕"/>
        <family val="0"/>
        <charset val="1"/>
      </rPr>
      <t xml:space="preserve">9</t>
    </r>
  </si>
  <si>
    <r>
      <rPr>
        <sz val="10"/>
        <color rgb="FF000000"/>
        <rFont val="WenQuanYi Zen Hei"/>
        <family val="2"/>
      </rPr>
      <t xml:space="preserve">슬롯 </t>
    </r>
    <r>
      <rPr>
        <sz val="10"/>
        <color rgb="FF000000"/>
        <rFont val="맑은 고딕"/>
        <family val="0"/>
        <charset val="1"/>
      </rPr>
      <t xml:space="preserve">10</t>
    </r>
  </si>
  <si>
    <r>
      <rPr>
        <sz val="10"/>
        <color rgb="FF000000"/>
        <rFont val="WenQuanYi Zen Hei"/>
        <family val="2"/>
      </rPr>
      <t xml:space="preserve">슬롯 </t>
    </r>
    <r>
      <rPr>
        <sz val="10"/>
        <color rgb="FF000000"/>
        <rFont val="맑은 고딕"/>
        <family val="0"/>
        <charset val="1"/>
      </rPr>
      <t xml:space="preserve">11</t>
    </r>
  </si>
  <si>
    <r>
      <rPr>
        <sz val="10"/>
        <color rgb="FF000000"/>
        <rFont val="WenQuanYi Zen Hei"/>
        <family val="2"/>
      </rPr>
      <t xml:space="preserve">슬롯 </t>
    </r>
    <r>
      <rPr>
        <sz val="10"/>
        <color rgb="FF000000"/>
        <rFont val="맑은 고딕"/>
        <family val="0"/>
        <charset val="1"/>
      </rPr>
      <t xml:space="preserve">12</t>
    </r>
  </si>
</sst>
</file>

<file path=xl/styles.xml><?xml version="1.0" encoding="utf-8"?>
<styleSheet xmlns="http://schemas.openxmlformats.org/spreadsheetml/2006/main">
  <numFmts count="11">
    <numFmt numFmtId="164" formatCode="General"/>
    <numFmt numFmtId="165" formatCode="yyyy\-mm\-dd"/>
    <numFmt numFmtId="166" formatCode="General"/>
    <numFmt numFmtId="167" formatCode="0.0%"/>
    <numFmt numFmtId="168" formatCode="000"/>
    <numFmt numFmtId="169" formatCode="hh:mm"/>
    <numFmt numFmtId="170" formatCode="mm\-dd\ hh:mm:ss"/>
    <numFmt numFmtId="171" formatCode="m/d"/>
    <numFmt numFmtId="172" formatCode="0%"/>
    <numFmt numFmtId="173" formatCode="0.0"/>
    <numFmt numFmtId="174" formatCode="0"/>
  </numFmts>
  <fonts count="2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3864"/>
      <name val="맑은 고딕"/>
      <family val="2"/>
    </font>
    <font>
      <b val="true"/>
      <sz val="16"/>
      <color rgb="FF1F3864"/>
      <name val="맑은 고딕"/>
      <family val="0"/>
      <charset val="1"/>
    </font>
    <font>
      <i val="true"/>
      <sz val="10"/>
      <color rgb="FF7F7F7F"/>
      <name val="맑은 고딕"/>
      <family val="2"/>
    </font>
    <font>
      <i val="true"/>
      <sz val="10"/>
      <color rgb="FF7F7F7F"/>
      <name val="맑은 고딕"/>
      <family val="0"/>
      <charset val="1"/>
    </font>
    <font>
      <b val="true"/>
      <sz val="10"/>
      <color rgb="FFFFFFFF"/>
      <name val="맑은 고딕"/>
      <family val="0"/>
      <charset val="1"/>
    </font>
    <font>
      <b val="true"/>
      <sz val="10"/>
      <color rgb="FFFFFFFF"/>
      <name val="맑은 고딕"/>
      <family val="2"/>
    </font>
    <font>
      <b val="true"/>
      <sz val="10"/>
      <color rgb="FF000000"/>
      <name val="맑은 고딕"/>
      <family val="2"/>
    </font>
    <font>
      <sz val="10"/>
      <color rgb="FF000000"/>
      <name val="맑은 고딕"/>
      <family val="2"/>
    </font>
    <font>
      <sz val="10"/>
      <color rgb="FF000000"/>
      <name val="맑은 고딕"/>
      <family val="0"/>
      <charset val="1"/>
    </font>
    <font>
      <b val="true"/>
      <sz val="10"/>
      <color rgb="FF0000FF"/>
      <name val="맑은 고딕"/>
      <family val="2"/>
    </font>
    <font>
      <b val="true"/>
      <sz val="10"/>
      <color rgb="FF0000FF"/>
      <name val="맑은 고딕"/>
      <family val="0"/>
      <charset val="1"/>
    </font>
    <font>
      <b val="true"/>
      <sz val="10"/>
      <color rgb="FF000000"/>
      <name val="맑은 고딕"/>
      <family val="0"/>
      <charset val="1"/>
    </font>
    <font>
      <b val="true"/>
      <sz val="11"/>
      <color rgb="FF000000"/>
      <name val="맑은 고딕"/>
      <family val="0"/>
      <charset val="1"/>
    </font>
    <font>
      <sz val="11"/>
      <color rgb="FF000000"/>
      <name val="맑은 고딕"/>
      <family val="0"/>
      <charset val="1"/>
    </font>
    <font>
      <b val="true"/>
      <sz val="10"/>
      <color rgb="FFC00000"/>
      <name val="맑은 고딕"/>
      <family val="0"/>
      <charset val="1"/>
    </font>
    <font>
      <b val="true"/>
      <sz val="18"/>
      <color rgb="FF000000"/>
      <name val="맑은 고딕"/>
      <family val="2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4"/>
      <color rgb="FF1F3864"/>
      <name val="맑은 고딕"/>
      <family val="2"/>
    </font>
    <font>
      <b val="true"/>
      <sz val="14"/>
      <color rgb="FF1F3864"/>
      <name val="맑은 고딕"/>
      <family val="0"/>
      <charset val="1"/>
    </font>
    <font>
      <sz val="10"/>
      <name val="맑은 고딕"/>
      <family val="2"/>
    </font>
    <font>
      <sz val="10"/>
      <name val="Arial"/>
      <family val="2"/>
    </font>
    <font>
      <b val="true"/>
      <sz val="10"/>
      <color rgb="FF1F3864"/>
      <name val="맑은 고딕"/>
      <family val="2"/>
    </font>
    <font>
      <sz val="10"/>
      <color rgb="FF0000FF"/>
      <name val="맑은 고딕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2F5597"/>
        <bgColor rgb="FF1F3864"/>
      </patternFill>
    </fill>
    <fill>
      <patternFill patternType="solid">
        <fgColor rgb="FFF2F2F2"/>
        <bgColor rgb="FFDDEBF7"/>
      </patternFill>
    </fill>
    <fill>
      <patternFill patternType="solid">
        <fgColor rgb="FFFFF2CC"/>
        <bgColor rgb="FFF2F2F2"/>
      </patternFill>
    </fill>
    <fill>
      <patternFill patternType="solid">
        <fgColor rgb="FFD9D9D9"/>
        <bgColor rgb="FFC6E0B4"/>
      </patternFill>
    </fill>
    <fill>
      <patternFill patternType="solid">
        <fgColor rgb="FF1F3864"/>
        <bgColor rgb="FF2F5597"/>
      </patternFill>
    </fill>
    <fill>
      <patternFill patternType="solid">
        <fgColor rgb="FF3B7D3B"/>
        <bgColor rgb="FF548235"/>
      </patternFill>
    </fill>
    <fill>
      <patternFill patternType="solid">
        <fgColor rgb="FF1F7A7A"/>
        <bgColor rgb="FF008080"/>
      </patternFill>
    </fill>
    <fill>
      <patternFill patternType="solid">
        <fgColor rgb="FF7F7F7F"/>
        <bgColor rgb="FF878787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4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6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7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8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9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2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2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7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71" fontId="8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12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2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2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2" fontId="12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2" fontId="2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3" fontId="12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4" fontId="12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3" fontId="1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4" fontId="1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9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2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2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1">
    <dxf>
      <font>
        <name val="맑은 고딕"/>
        <charset val="1"/>
        <family val="0"/>
        <b val="1"/>
        <sz val="11"/>
      </font>
      <fill>
        <patternFill>
          <bgColor rgb="FFF4B183"/>
        </patternFill>
      </fill>
    </dxf>
    <dxf>
      <fill>
        <patternFill>
          <bgColor rgb="FFFF7C80"/>
        </patternFill>
      </fill>
    </dxf>
    <dxf>
      <font>
        <name val="맑은 고딕"/>
        <charset val="1"/>
        <family val="0"/>
        <b val="1"/>
        <sz val="11"/>
      </font>
      <fill>
        <patternFill>
          <bgColor rgb="FFFF7C80"/>
        </patternFill>
      </fill>
    </dxf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3B7D3B"/>
          <bgColor rgb="FF000000"/>
        </patternFill>
      </fill>
    </dxf>
    <dxf>
      <fill>
        <patternFill patternType="solid">
          <fgColor rgb="FF1F7A7A"/>
          <bgColor rgb="FF000000"/>
        </patternFill>
      </fill>
    </dxf>
    <dxf>
      <fill>
        <patternFill patternType="solid">
          <fgColor rgb="FF7F7F7F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ont>
        <name val="맑은 고딕"/>
        <charset val="1"/>
        <family val="0"/>
        <b val="1"/>
        <color rgb="FFFFFFFF"/>
      </font>
      <fill>
        <patternFill>
          <bgColor rgb="FFC00000"/>
        </patternFill>
      </fill>
    </dxf>
    <dxf>
      <fill>
        <patternFill>
          <bgColor rgb="FFF4B183"/>
        </patternFill>
      </fill>
    </dxf>
    <dxf>
      <fill>
        <patternFill>
          <bgColor rgb="FFFFE699"/>
        </patternFill>
      </fill>
    </dxf>
    <dxf>
      <font>
        <name val="맑은 고딕"/>
        <charset val="1"/>
        <family val="0"/>
        <b val="1"/>
        <color rgb="FFC00000"/>
      </font>
      <fill>
        <patternFill>
          <bgColor rgb="FFF8CBAD"/>
        </patternFill>
      </fill>
    </dxf>
    <dxf>
      <fill>
        <patternFill>
          <bgColor rgb="FFC6E0B4"/>
        </patternFill>
      </fill>
    </dxf>
    <dxf>
      <font>
        <name val="맑은 고딕"/>
        <charset val="1"/>
        <family val="0"/>
        <b val="1"/>
        <color rgb="FF375623"/>
      </font>
      <fill>
        <patternFill>
          <bgColor rgb="FFA9D08E"/>
        </patternFill>
      </fill>
    </dxf>
    <dxf>
      <font>
        <name val="맑은 고딕"/>
        <charset val="1"/>
        <family val="0"/>
        <b val="1"/>
      </font>
      <fill>
        <patternFill>
          <bgColor rgb="FFF4B183"/>
        </patternFill>
      </fill>
    </dxf>
    <dxf>
      <font>
        <name val="맑은 고딕"/>
        <charset val="1"/>
        <family val="0"/>
        <color rgb="FFC00000"/>
      </font>
      <fill>
        <patternFill>
          <bgColor rgb="FFD9D9D9"/>
        </patternFill>
      </fill>
    </dxf>
    <dxf>
      <fill>
        <patternFill>
          <bgColor rgb="FFDDEBF7"/>
        </patternFill>
      </fill>
    </dxf>
    <dxf>
      <font>
        <name val="맑은 고딕"/>
        <charset val="1"/>
        <family val="0"/>
        <b val="1"/>
      </font>
      <fill>
        <patternFill>
          <bgColor rgb="FFFF7C80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1F7A7A"/>
      <rgbColor rgb="FFBFBFBF"/>
      <rgbColor rgb="FF7F7F7F"/>
      <rgbColor rgb="FF8EA9DB"/>
      <rgbColor rgb="FF993366"/>
      <rgbColor rgb="FFFFF2CC"/>
      <rgbColor rgb="FFDDEBF7"/>
      <rgbColor rgb="FF660066"/>
      <rgbColor rgb="FFFF7C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C6E0B4"/>
      <rgbColor rgb="FFFFE699"/>
      <rgbColor rgb="FFA9D08E"/>
      <rgbColor rgb="FFF4B183"/>
      <rgbColor rgb="FFCC99FF"/>
      <rgbColor rgb="FFF8CBAD"/>
      <rgbColor rgb="FF3366FF"/>
      <rgbColor rgb="FF33CCCC"/>
      <rgbColor rgb="FF99CC00"/>
      <rgbColor rgb="FFFFCC00"/>
      <rgbColor rgb="FFBF9000"/>
      <rgbColor rgb="FFC55A11"/>
      <rgbColor rgb="FF666699"/>
      <rgbColor rgb="FF878787"/>
      <rgbColor rgb="FF1F3864"/>
      <rgbColor rgb="FF3B7D3B"/>
      <rgbColor rgb="FF003300"/>
      <rgbColor rgb="FF333300"/>
      <rgbColor rgb="FF993300"/>
      <rgbColor rgb="FF993366"/>
      <rgbColor rgb="FF2F5597"/>
      <rgbColor rgb="FF37562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일별 예약 vs 완료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"예약"</c:f>
              <c:strCache>
                <c:ptCount val="1"/>
                <c:pt idx="0">
                  <c:v>예약</c:v>
                </c:pt>
              </c:strCache>
            </c:strRef>
          </c:tx>
          <c:spPr>
            <a:solidFill>
              <a:srgbClr val="8ea9db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일정표!$D$24:$M$24</c:f>
              <c:multiLvlStrCache>
                <c:ptCount val="1"/>
                <c:lvl>
                  <c:pt idx="0">
                    <c:v>10/30</c:v>
                  </c:pt>
                </c:lvl>
                <c:lvl>
                  <c:pt idx="0">
                    <c:v>10/29</c:v>
                  </c:pt>
                </c:lvl>
                <c:lvl>
                  <c:pt idx="0">
                    <c:v>10/28</c:v>
                  </c:pt>
                </c:lvl>
                <c:lvl>
                  <c:pt idx="0">
                    <c:v>10/27</c:v>
                  </c:pt>
                </c:lvl>
                <c:lvl>
                  <c:pt idx="0">
                    <c:v>10/26</c:v>
                  </c:pt>
                </c:lvl>
                <c:lvl>
                  <c:pt idx="0">
                    <c:v>10/23</c:v>
                  </c:pt>
                </c:lvl>
                <c:lvl>
                  <c:pt idx="0">
                    <c:v>10/22</c:v>
                  </c:pt>
                </c:lvl>
                <c:lvl>
                  <c:pt idx="0">
                    <c:v>10/21</c:v>
                  </c:pt>
                </c:lvl>
                <c:lvl>
                  <c:pt idx="0">
                    <c:v>10/20</c:v>
                  </c:pt>
                </c:lvl>
                <c:lvl>
                  <c:pt idx="0">
                    <c:v>10/19</c:v>
                  </c:pt>
                </c:lvl>
              </c:multiLvlStrCache>
            </c:multiLvlStrRef>
          </c:cat>
          <c:val>
            <c:numRef>
              <c:f>일정표!$D$18:$M$18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</c:ser>
        <c:ser>
          <c:idx val="1"/>
          <c:order val="1"/>
          <c:tx>
            <c:strRef>
              <c:f>"완료"</c:f>
              <c:strCache>
                <c:ptCount val="1"/>
                <c:pt idx="0">
                  <c:v>완료</c:v>
                </c:pt>
              </c:strCache>
            </c:strRef>
          </c:tx>
          <c:spPr>
            <a:solidFill>
              <a:srgbClr val="548235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일정표!$D$24:$M$24</c:f>
              <c:multiLvlStrCache>
                <c:ptCount val="1"/>
                <c:lvl>
                  <c:pt idx="0">
                    <c:v>10/30</c:v>
                  </c:pt>
                </c:lvl>
                <c:lvl>
                  <c:pt idx="0">
                    <c:v>10/29</c:v>
                  </c:pt>
                </c:lvl>
                <c:lvl>
                  <c:pt idx="0">
                    <c:v>10/28</c:v>
                  </c:pt>
                </c:lvl>
                <c:lvl>
                  <c:pt idx="0">
                    <c:v>10/27</c:v>
                  </c:pt>
                </c:lvl>
                <c:lvl>
                  <c:pt idx="0">
                    <c:v>10/26</c:v>
                  </c:pt>
                </c:lvl>
                <c:lvl>
                  <c:pt idx="0">
                    <c:v>10/23</c:v>
                  </c:pt>
                </c:lvl>
                <c:lvl>
                  <c:pt idx="0">
                    <c:v>10/22</c:v>
                  </c:pt>
                </c:lvl>
                <c:lvl>
                  <c:pt idx="0">
                    <c:v>10/21</c:v>
                  </c:pt>
                </c:lvl>
                <c:lvl>
                  <c:pt idx="0">
                    <c:v>10/20</c:v>
                  </c:pt>
                </c:lvl>
                <c:lvl>
                  <c:pt idx="0">
                    <c:v>10/19</c:v>
                  </c:pt>
                </c:lvl>
              </c:multiLvlStrCache>
            </c:multiLvlStrRef>
          </c:cat>
          <c:val>
            <c:numRef>
              <c:f>일정표!$D$20:$M$20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</c:ser>
        <c:gapWidth val="150"/>
        <c:overlap val="0"/>
        <c:axId val="86411918"/>
        <c:axId val="21670544"/>
      </c:barChart>
      <c:catAx>
        <c:axId val="8641191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1670544"/>
        <c:crosses val="autoZero"/>
        <c:auto val="1"/>
        <c:lblAlgn val="ctr"/>
        <c:lblOffset val="100"/>
        <c:noMultiLvlLbl val="0"/>
      </c:catAx>
      <c:valAx>
        <c:axId val="2167054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인원(명)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641191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</xdr:col>
      <xdr:colOff>0</xdr:colOff>
      <xdr:row>4</xdr:row>
      <xdr:rowOff>131040</xdr:rowOff>
    </xdr:from>
    <xdr:to>
      <xdr:col>17</xdr:col>
      <xdr:colOff>4680</xdr:colOff>
      <xdr:row>20</xdr:row>
      <xdr:rowOff>142560</xdr:rowOff>
    </xdr:to>
    <xdr:graphicFrame>
      <xdr:nvGraphicFramePr>
        <xdr:cNvPr id="0" name="Chart 1"/>
        <xdr:cNvGraphicFramePr/>
      </xdr:nvGraphicFramePr>
      <xdr:xfrm>
        <a:off x="6907680" y="952560"/>
        <a:ext cx="611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true"/>
  </sheetPr>
  <dimension ref="B1:C5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4"/>
    <col collapsed="false" customWidth="true" hidden="false" outlineLevel="0" max="3" min="3" style="0" width="105"/>
  </cols>
  <sheetData>
    <row r="1" customFormat="false" ht="20.85" hidden="false" customHeight="false" outlineLevel="0" collapsed="false">
      <c r="B1" s="1" t="s">
        <v>0</v>
      </c>
    </row>
    <row r="2" customFormat="false" ht="15" hidden="false" customHeight="false" outlineLevel="0" collapsed="false">
      <c r="B2" s="2" t="s">
        <v>1</v>
      </c>
    </row>
    <row r="4" customFormat="false" ht="15" hidden="false" customHeight="false" outlineLevel="0" collapsed="false">
      <c r="B4" s="3" t="s">
        <v>2</v>
      </c>
      <c r="C4" s="4"/>
    </row>
    <row r="5" customFormat="false" ht="15" hidden="false" customHeight="false" outlineLevel="0" collapsed="false">
      <c r="B5" s="5" t="s">
        <v>3</v>
      </c>
      <c r="C5" s="6" t="s">
        <v>4</v>
      </c>
    </row>
    <row r="6" customFormat="false" ht="15" hidden="false" customHeight="false" outlineLevel="0" collapsed="false">
      <c r="B6" s="5" t="s">
        <v>5</v>
      </c>
      <c r="C6" s="6" t="s">
        <v>6</v>
      </c>
    </row>
    <row r="7" customFormat="false" ht="15" hidden="false" customHeight="false" outlineLevel="0" collapsed="false">
      <c r="B7" s="5" t="s">
        <v>7</v>
      </c>
      <c r="C7" s="6" t="s">
        <v>8</v>
      </c>
    </row>
    <row r="8" customFormat="false" ht="15" hidden="false" customHeight="false" outlineLevel="0" collapsed="false">
      <c r="B8" s="5" t="s">
        <v>9</v>
      </c>
      <c r="C8" s="6" t="s">
        <v>10</v>
      </c>
    </row>
    <row r="9" customFormat="false" ht="15" hidden="false" customHeight="false" outlineLevel="0" collapsed="false">
      <c r="B9" s="5" t="s">
        <v>11</v>
      </c>
      <c r="C9" s="6" t="s">
        <v>12</v>
      </c>
    </row>
    <row r="11" customFormat="false" ht="15" hidden="false" customHeight="false" outlineLevel="0" collapsed="false">
      <c r="B11" s="3" t="s">
        <v>13</v>
      </c>
      <c r="C11" s="4"/>
    </row>
    <row r="12" customFormat="false" ht="15" hidden="false" customHeight="false" outlineLevel="0" collapsed="false">
      <c r="B12" s="7" t="s">
        <v>14</v>
      </c>
      <c r="C12" s="6" t="s">
        <v>15</v>
      </c>
    </row>
    <row r="13" customFormat="false" ht="15" hidden="false" customHeight="false" outlineLevel="0" collapsed="false">
      <c r="B13" s="8" t="s">
        <v>16</v>
      </c>
      <c r="C13" s="6" t="s">
        <v>17</v>
      </c>
    </row>
    <row r="14" customFormat="false" ht="15" hidden="false" customHeight="false" outlineLevel="0" collapsed="false">
      <c r="B14" s="5" t="s">
        <v>18</v>
      </c>
      <c r="C14" s="6" t="s">
        <v>19</v>
      </c>
    </row>
    <row r="15" customFormat="false" ht="15" hidden="false" customHeight="false" outlineLevel="0" collapsed="false">
      <c r="B15" s="5" t="s">
        <v>20</v>
      </c>
      <c r="C15" s="6" t="s">
        <v>21</v>
      </c>
    </row>
    <row r="17" customFormat="false" ht="15" hidden="false" customHeight="false" outlineLevel="0" collapsed="false">
      <c r="B17" s="3" t="s">
        <v>22</v>
      </c>
      <c r="C17" s="4"/>
    </row>
    <row r="18" customFormat="false" ht="15" hidden="false" customHeight="false" outlineLevel="0" collapsed="false">
      <c r="B18" s="5" t="s">
        <v>23</v>
      </c>
      <c r="C18" s="6" t="s">
        <v>24</v>
      </c>
    </row>
    <row r="19" customFormat="false" ht="15" hidden="false" customHeight="false" outlineLevel="0" collapsed="false">
      <c r="B19" s="5" t="s">
        <v>25</v>
      </c>
      <c r="C19" s="6" t="s">
        <v>26</v>
      </c>
    </row>
    <row r="20" customFormat="false" ht="15" hidden="false" customHeight="false" outlineLevel="0" collapsed="false">
      <c r="B20" s="5" t="s">
        <v>27</v>
      </c>
      <c r="C20" s="6" t="s">
        <v>28</v>
      </c>
    </row>
    <row r="21" customFormat="false" ht="15" hidden="false" customHeight="false" outlineLevel="0" collapsed="false">
      <c r="B21" s="5" t="s">
        <v>29</v>
      </c>
      <c r="C21" s="6" t="s">
        <v>30</v>
      </c>
    </row>
    <row r="22" customFormat="false" ht="15" hidden="false" customHeight="false" outlineLevel="0" collapsed="false">
      <c r="B22" s="5" t="s">
        <v>31</v>
      </c>
      <c r="C22" s="9" t="s">
        <v>32</v>
      </c>
    </row>
    <row r="24" customFormat="false" ht="15" hidden="false" customHeight="false" outlineLevel="0" collapsed="false">
      <c r="B24" s="3" t="s">
        <v>33</v>
      </c>
      <c r="C24" s="4"/>
    </row>
    <row r="25" customFormat="false" ht="15" hidden="false" customHeight="false" outlineLevel="0" collapsed="false">
      <c r="B25" s="5" t="s">
        <v>34</v>
      </c>
      <c r="C25" s="6" t="s">
        <v>35</v>
      </c>
    </row>
    <row r="26" customFormat="false" ht="15" hidden="false" customHeight="false" outlineLevel="0" collapsed="false">
      <c r="B26" s="5" t="s">
        <v>36</v>
      </c>
      <c r="C26" s="6" t="s">
        <v>37</v>
      </c>
    </row>
    <row r="27" customFormat="false" ht="15" hidden="false" customHeight="false" outlineLevel="0" collapsed="false">
      <c r="B27" s="5" t="s">
        <v>38</v>
      </c>
      <c r="C27" s="6" t="s">
        <v>39</v>
      </c>
    </row>
    <row r="28" customFormat="false" ht="15" hidden="false" customHeight="false" outlineLevel="0" collapsed="false">
      <c r="B28" s="5" t="s">
        <v>40</v>
      </c>
      <c r="C28" s="6" t="s">
        <v>41</v>
      </c>
    </row>
    <row r="29" customFormat="false" ht="15" hidden="false" customHeight="false" outlineLevel="0" collapsed="false">
      <c r="B29" s="5" t="s">
        <v>42</v>
      </c>
      <c r="C29" s="6" t="s">
        <v>43</v>
      </c>
    </row>
    <row r="30" customFormat="false" ht="15" hidden="false" customHeight="false" outlineLevel="0" collapsed="false">
      <c r="B30" s="5" t="s">
        <v>44</v>
      </c>
      <c r="C30" s="6" t="s">
        <v>45</v>
      </c>
    </row>
    <row r="32" customFormat="false" ht="15" hidden="false" customHeight="false" outlineLevel="0" collapsed="false">
      <c r="B32" s="3" t="s">
        <v>46</v>
      </c>
      <c r="C32" s="4"/>
    </row>
    <row r="33" customFormat="false" ht="15" hidden="false" customHeight="false" outlineLevel="0" collapsed="false">
      <c r="B33" s="5" t="s">
        <v>47</v>
      </c>
      <c r="C33" s="6" t="s">
        <v>48</v>
      </c>
    </row>
    <row r="34" customFormat="false" ht="15" hidden="false" customHeight="false" outlineLevel="0" collapsed="false">
      <c r="B34" s="5" t="s">
        <v>49</v>
      </c>
      <c r="C34" s="6" t="s">
        <v>50</v>
      </c>
    </row>
    <row r="35" customFormat="false" ht="15" hidden="false" customHeight="false" outlineLevel="0" collapsed="false">
      <c r="B35" s="5" t="s">
        <v>51</v>
      </c>
      <c r="C35" s="9" t="s">
        <v>52</v>
      </c>
    </row>
    <row r="36" customFormat="false" ht="15" hidden="false" customHeight="false" outlineLevel="0" collapsed="false">
      <c r="B36" s="5" t="s">
        <v>53</v>
      </c>
      <c r="C36" s="6" t="s">
        <v>54</v>
      </c>
    </row>
    <row r="38" customFormat="false" ht="15" hidden="false" customHeight="false" outlineLevel="0" collapsed="false">
      <c r="B38" s="3" t="s">
        <v>55</v>
      </c>
      <c r="C38" s="4"/>
    </row>
    <row r="39" customFormat="false" ht="15" hidden="false" customHeight="false" outlineLevel="0" collapsed="false">
      <c r="B39" s="5" t="s">
        <v>56</v>
      </c>
      <c r="C39" s="9" t="s">
        <v>57</v>
      </c>
    </row>
    <row r="40" customFormat="false" ht="15" hidden="false" customHeight="false" outlineLevel="0" collapsed="false">
      <c r="B40" s="5" t="s">
        <v>58</v>
      </c>
      <c r="C40" s="9" t="s">
        <v>59</v>
      </c>
    </row>
    <row r="41" customFormat="false" ht="15" hidden="false" customHeight="false" outlineLevel="0" collapsed="false">
      <c r="B41" s="5" t="s">
        <v>60</v>
      </c>
      <c r="C41" s="6" t="s">
        <v>61</v>
      </c>
    </row>
    <row r="42" customFormat="false" ht="15" hidden="false" customHeight="false" outlineLevel="0" collapsed="false">
      <c r="B42" s="5" t="s">
        <v>62</v>
      </c>
      <c r="C42" s="9" t="s">
        <v>63</v>
      </c>
    </row>
    <row r="43" customFormat="false" ht="26.85" hidden="false" customHeight="false" outlineLevel="0" collapsed="false">
      <c r="B43" s="5" t="s">
        <v>64</v>
      </c>
      <c r="C43" s="9" t="s">
        <v>65</v>
      </c>
    </row>
    <row r="44" customFormat="false" ht="15" hidden="false" customHeight="false" outlineLevel="0" collapsed="false">
      <c r="B44" s="5" t="s">
        <v>66</v>
      </c>
      <c r="C44" s="9" t="s">
        <v>67</v>
      </c>
    </row>
    <row r="45" customFormat="false" ht="15" hidden="false" customHeight="false" outlineLevel="0" collapsed="false">
      <c r="B45" s="5" t="s">
        <v>68</v>
      </c>
      <c r="C45" s="6" t="s">
        <v>69</v>
      </c>
    </row>
    <row r="47" customFormat="false" ht="15" hidden="false" customHeight="false" outlineLevel="0" collapsed="false">
      <c r="B47" s="3" t="s">
        <v>70</v>
      </c>
      <c r="C47" s="4"/>
    </row>
    <row r="48" customFormat="false" ht="15" hidden="false" customHeight="false" outlineLevel="0" collapsed="false">
      <c r="B48" s="5" t="s">
        <v>71</v>
      </c>
      <c r="C48" s="6" t="s">
        <v>72</v>
      </c>
    </row>
    <row r="49" customFormat="false" ht="15" hidden="false" customHeight="false" outlineLevel="0" collapsed="false">
      <c r="B49" s="5" t="s">
        <v>73</v>
      </c>
      <c r="C49" s="9" t="s">
        <v>74</v>
      </c>
    </row>
    <row r="50" customFormat="false" ht="15" hidden="false" customHeight="false" outlineLevel="0" collapsed="false">
      <c r="B50" s="5" t="s">
        <v>75</v>
      </c>
      <c r="C50" s="6" t="s">
        <v>76</v>
      </c>
    </row>
    <row r="52" customFormat="false" ht="15" hidden="false" customHeight="false" outlineLevel="0" collapsed="false">
      <c r="B52" s="3" t="s">
        <v>77</v>
      </c>
      <c r="C52" s="4"/>
    </row>
    <row r="53" customFormat="false" ht="15" hidden="false" customHeight="false" outlineLevel="0" collapsed="false">
      <c r="B53" s="5" t="s">
        <v>78</v>
      </c>
      <c r="C53" s="6" t="s">
        <v>79</v>
      </c>
    </row>
    <row r="54" customFormat="false" ht="26.85" hidden="false" customHeight="false" outlineLevel="0" collapsed="false">
      <c r="B54" s="5" t="s">
        <v>80</v>
      </c>
      <c r="C54" s="6" t="s">
        <v>81</v>
      </c>
    </row>
    <row r="55" customFormat="false" ht="15" hidden="false" customHeight="false" outlineLevel="0" collapsed="false">
      <c r="B55" s="5" t="s">
        <v>82</v>
      </c>
      <c r="C55" s="6" t="s">
        <v>83</v>
      </c>
    </row>
    <row r="57" customFormat="false" ht="15" hidden="false" customHeight="false" outlineLevel="0" collapsed="false">
      <c r="B57" s="3" t="s">
        <v>84</v>
      </c>
      <c r="C57" s="4"/>
    </row>
    <row r="58" customFormat="false" ht="26.85" hidden="false" customHeight="false" outlineLevel="0" collapsed="false">
      <c r="B58" s="5" t="s">
        <v>85</v>
      </c>
      <c r="C58" s="9" t="s">
        <v>86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0000"/>
    <pageSetUpPr fitToPage="true"/>
  </sheetPr>
  <dimension ref="B1:F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0"/>
    <col collapsed="false" customWidth="true" hidden="false" outlineLevel="0" max="3" min="3" style="0" width="12"/>
    <col collapsed="false" customWidth="true" hidden="false" outlineLevel="0" max="4" min="4" style="0" width="3"/>
    <col collapsed="false" customWidth="true" hidden="false" outlineLevel="0" max="5" min="5" style="0" width="34"/>
    <col collapsed="false" customWidth="true" hidden="false" outlineLevel="0" max="6" min="6" style="0" width="14"/>
    <col collapsed="false" customWidth="true" hidden="false" outlineLevel="0" max="7" min="7" style="0" width="3"/>
  </cols>
  <sheetData>
    <row r="1" customFormat="false" ht="19.7" hidden="false" customHeight="false" outlineLevel="0" collapsed="false">
      <c r="B1" s="1" t="s">
        <v>87</v>
      </c>
    </row>
    <row r="2" customFormat="false" ht="15" hidden="false" customHeight="false" outlineLevel="0" collapsed="false">
      <c r="B2" s="2" t="s">
        <v>88</v>
      </c>
    </row>
    <row r="4" customFormat="false" ht="15" hidden="false" customHeight="false" outlineLevel="0" collapsed="false">
      <c r="B4" s="10" t="s">
        <v>89</v>
      </c>
      <c r="C4" s="11" t="n">
        <f aca="true">TODAY()</f>
        <v>46307</v>
      </c>
      <c r="E4" s="2" t="s">
        <v>90</v>
      </c>
    </row>
    <row r="6" customFormat="false" ht="15" hidden="false" customHeight="false" outlineLevel="0" collapsed="false">
      <c r="B6" s="12" t="s">
        <v>91</v>
      </c>
      <c r="C6" s="4"/>
      <c r="E6" s="12" t="s">
        <v>92</v>
      </c>
      <c r="F6" s="4"/>
    </row>
    <row r="7" customFormat="false" ht="15" hidden="false" customHeight="false" outlineLevel="0" collapsed="false">
      <c r="B7" s="6" t="s">
        <v>93</v>
      </c>
      <c r="C7" s="13" t="n">
        <f aca="false">COUNTIFS(명단!$F$5:$F$404,$C$4)</f>
        <v>0</v>
      </c>
      <c r="E7" s="6" t="s">
        <v>94</v>
      </c>
      <c r="F7" s="14" t="n">
        <f aca="false">설정!C4</f>
        <v>350</v>
      </c>
    </row>
    <row r="8" customFormat="false" ht="15" hidden="false" customHeight="false" outlineLevel="0" collapsed="false">
      <c r="B8" s="6" t="s">
        <v>95</v>
      </c>
      <c r="C8" s="14" t="n">
        <f aca="false">COUNTIFS(명단!$F$5:$F$404,$C$4,명단!$W$5:$W$404,"미방문")</f>
        <v>0</v>
      </c>
      <c r="E8" s="6" t="s">
        <v>96</v>
      </c>
      <c r="F8" s="14" t="n">
        <f aca="false">COUNTA(명단!$B$5:$B$404)</f>
        <v>0</v>
      </c>
    </row>
    <row r="9" customFormat="false" ht="15" hidden="false" customHeight="false" outlineLevel="0" collapsed="false">
      <c r="B9" s="6" t="s">
        <v>97</v>
      </c>
      <c r="C9" s="14" t="n">
        <f aca="false">COUNTIFS(명단!$F$5:$F$404,$C$4,명단!$W$5:$W$404,"운동평가 대기")</f>
        <v>0</v>
      </c>
      <c r="E9" s="6" t="s">
        <v>98</v>
      </c>
      <c r="F9" s="13" t="n">
        <f aca="false">COUNTIF(명단!$W$5:$W$404,"완료")</f>
        <v>0</v>
      </c>
    </row>
    <row r="10" customFormat="false" ht="15" hidden="false" customHeight="false" outlineLevel="0" collapsed="false">
      <c r="B10" s="6" t="s">
        <v>99</v>
      </c>
      <c r="C10" s="14" t="n">
        <f aca="false">COUNTIFS(명단!$F$5:$F$404,$C$4,명단!$W$5:$W$404,"측정 대기")</f>
        <v>0</v>
      </c>
      <c r="E10" s="6" t="s">
        <v>100</v>
      </c>
      <c r="F10" s="15" t="n">
        <f aca="false">IFERROR(F9/F7,0)</f>
        <v>0</v>
      </c>
    </row>
    <row r="11" customFormat="false" ht="15" hidden="false" customHeight="false" outlineLevel="0" collapsed="false">
      <c r="B11" s="6" t="s">
        <v>101</v>
      </c>
      <c r="C11" s="14" t="n">
        <f aca="false">COUNTIFS(명단!$F$5:$F$404,$C$4,명단!$W$5:$W$404,"상담 대기")</f>
        <v>0</v>
      </c>
      <c r="E11" s="6" t="s">
        <v>102</v>
      </c>
      <c r="F11" s="14" t="n">
        <f aca="false">MAX(F7-F9,0)</f>
        <v>350</v>
      </c>
    </row>
    <row r="12" customFormat="false" ht="15" hidden="false" customHeight="false" outlineLevel="0" collapsed="false">
      <c r="B12" s="6" t="s">
        <v>103</v>
      </c>
      <c r="C12" s="14" t="n">
        <f aca="false">COUNTIFS(명단!$F$5:$F$404,$C$4,명단!$W$5:$W$404,"추가상담 대기")</f>
        <v>0</v>
      </c>
      <c r="E12" s="6" t="s">
        <v>104</v>
      </c>
      <c r="F12" s="14" t="n">
        <f aca="false">COUNTIF(설정!C19:C28,"&gt;="&amp;C4)</f>
        <v>10</v>
      </c>
    </row>
    <row r="13" customFormat="false" ht="15" hidden="false" customHeight="false" outlineLevel="0" collapsed="false">
      <c r="B13" s="6" t="s">
        <v>105</v>
      </c>
      <c r="C13" s="13" t="n">
        <f aca="false">COUNTIFS(명단!$F$5:$F$404,$C$4,명단!$W$5:$W$404,"완료")</f>
        <v>0</v>
      </c>
      <c r="E13" s="6" t="s">
        <v>106</v>
      </c>
      <c r="F13" s="14" t="n">
        <f aca="false">IF(F12=0,"-",ROUNDUP(F11/F12,0))</f>
        <v>35</v>
      </c>
    </row>
    <row r="14" customFormat="false" ht="15" hidden="false" customHeight="false" outlineLevel="0" collapsed="false">
      <c r="B14" s="6" t="s">
        <v>107</v>
      </c>
      <c r="C14" s="14" t="n">
        <f aca="false">COUNTIFS(명단!$F$5:$F$404,$C$4,명단!$W$5:$W$404,"불참")+COUNTIFS(명단!$F$5:$F$404,$C$4,명단!$W$5:$W$404,"연기")</f>
        <v>0</v>
      </c>
      <c r="E14" s="6" t="s">
        <v>108</v>
      </c>
      <c r="F14" s="14" t="n">
        <f aca="false">COUNTIF(명단!$W$5:$W$404,"불참")+COUNTIF(명단!$W$5:$W$404,"연기")</f>
        <v>0</v>
      </c>
    </row>
    <row r="15" customFormat="false" ht="15" hidden="false" customHeight="false" outlineLevel="0" collapsed="false">
      <c r="B15" s="6" t="s">
        <v>109</v>
      </c>
      <c r="C15" s="13" t="n">
        <f aca="false">SUM(C9:C12)</f>
        <v>0</v>
      </c>
      <c r="E15" s="6" t="s">
        <v>110</v>
      </c>
      <c r="F15" s="14" t="str">
        <f aca="false">COUNTIF(명단!$V$5:$V$404,"대상")&amp;" / "&amp;COUNTIF(명단!$W$5:$W$404,"추가상담 대기")</f>
        <v>0 / 0</v>
      </c>
    </row>
    <row r="16" customFormat="false" ht="15" hidden="false" customHeight="false" outlineLevel="0" collapsed="false">
      <c r="B16" s="6" t="s">
        <v>111</v>
      </c>
      <c r="C16" s="16" t="str">
        <f aca="false">IF(SUM(C8:C14)=C7,"OK","불일치: 예약일/상태 확인")</f>
        <v>OK</v>
      </c>
    </row>
    <row r="19" customFormat="false" ht="15" hidden="false" customHeight="false" outlineLevel="0" collapsed="false">
      <c r="B19" s="12" t="s">
        <v>112</v>
      </c>
      <c r="C19" s="4"/>
      <c r="E19" s="12" t="s">
        <v>113</v>
      </c>
      <c r="F19" s="4"/>
    </row>
    <row r="20" customFormat="false" ht="15" hidden="false" customHeight="false" outlineLevel="0" collapsed="false">
      <c r="B20" s="6" t="s">
        <v>114</v>
      </c>
      <c r="C20" s="14" t="n">
        <f aca="false">COUNTIF(명단!$T$5:$T$404,"긴급")</f>
        <v>0</v>
      </c>
      <c r="E20" s="6" t="s">
        <v>115</v>
      </c>
      <c r="F20" s="14" t="str">
        <f aca="false">IFERROR(ROUND(AVERAGE(명단!$AC$5:$AC$404),0),"-")</f>
        <v>-</v>
      </c>
    </row>
    <row r="21" customFormat="false" ht="15" hidden="false" customHeight="false" outlineLevel="0" collapsed="false">
      <c r="B21" s="6" t="s">
        <v>116</v>
      </c>
      <c r="C21" s="14" t="n">
        <f aca="false">COUNTIF(명단!$T$5:$T$404,"주의")</f>
        <v>0</v>
      </c>
      <c r="E21" s="6" t="s">
        <v>117</v>
      </c>
      <c r="F21" s="14" t="str">
        <f aca="false">IFERROR(ROUND(AVERAGE(명단!$AD$5:$AD$404),0),"-")</f>
        <v>-</v>
      </c>
    </row>
    <row r="22" customFormat="false" ht="15" hidden="false" customHeight="false" outlineLevel="0" collapsed="false">
      <c r="B22" s="6" t="s">
        <v>118</v>
      </c>
      <c r="C22" s="14" t="n">
        <f aca="false">SUMPRODUCT(--(LEFT(명단!$U$5:$U$404,2)="긴급"))</f>
        <v>0</v>
      </c>
      <c r="E22" s="6" t="s">
        <v>119</v>
      </c>
      <c r="F22" s="14" t="str">
        <f aca="false">IFERROR(ROUND(AVERAGE(명단!$AE$5:$AE$404),0),"-")</f>
        <v>-</v>
      </c>
    </row>
    <row r="23" customFormat="false" ht="15" hidden="false" customHeight="false" outlineLevel="0" collapsed="false">
      <c r="B23" s="6" t="s">
        <v>120</v>
      </c>
      <c r="C23" s="14" t="n">
        <f aca="false">COUNTIF(명단!$U$5:$U$404,"주의")</f>
        <v>0</v>
      </c>
      <c r="E23" s="6" t="s">
        <v>121</v>
      </c>
      <c r="F23" s="14" t="str">
        <f aca="false">IFERROR(ROUND(AVERAGE(명단!$AF$5:$AF$404),0),"-")</f>
        <v>-</v>
      </c>
    </row>
    <row r="24" customFormat="false" ht="15" hidden="false" customHeight="false" outlineLevel="0" collapsed="false">
      <c r="B24" s="6" t="s">
        <v>122</v>
      </c>
      <c r="C24" s="14" t="n">
        <f aca="false">COUNTIF(명단!$U$5:$U$404,"조건확인")</f>
        <v>0</v>
      </c>
      <c r="E24" s="6" t="s">
        <v>123</v>
      </c>
      <c r="F24" s="14" t="str">
        <f aca="false">IFERROR(ROUND(AVERAGE(명단!$AG$5:$AG$404),0),"-")</f>
        <v>-</v>
      </c>
    </row>
    <row r="25" customFormat="false" ht="15" hidden="false" customHeight="false" outlineLevel="0" collapsed="false">
      <c r="E25" s="6" t="s">
        <v>124</v>
      </c>
      <c r="F25" s="17" t="str">
        <f aca="false">IFERROR(INDEX(E20:E23,MATCH(MAX(F20:F23),F20:F23,0)),"-")</f>
        <v>-</v>
      </c>
    </row>
    <row r="26" customFormat="false" ht="15" hidden="false" customHeight="false" outlineLevel="0" collapsed="false">
      <c r="E26" s="2" t="s">
        <v>125</v>
      </c>
    </row>
  </sheetData>
  <conditionalFormatting sqref="C12">
    <cfRule type="cellIs" priority="2" operator="greaterThan" aboveAverage="0" equalAverage="0" bottom="0" percent="0" rank="0" text="" dxfId="0">
      <formula>0</formula>
    </cfRule>
  </conditionalFormatting>
  <conditionalFormatting sqref="C16">
    <cfRule type="expression" priority="3" aboveAverage="0" equalAverage="0" bottom="0" percent="0" rank="0" text="" dxfId="1">
      <formula>C16&lt;&gt;"OK"</formula>
    </cfRule>
  </conditionalFormatting>
  <conditionalFormatting sqref="C20">
    <cfRule type="cellIs" priority="4" operator="greaterThan" aboveAverage="0" equalAverage="0" bottom="0" percent="0" rank="0" text="" dxfId="2">
      <formula>0</formula>
    </cfRule>
  </conditionalFormatting>
  <conditionalFormatting sqref="C22">
    <cfRule type="cellIs" priority="5" operator="greaterThan" aboveAverage="0" equalAverage="0" bottom="0" percent="0" rank="0" text="" dxfId="2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F5597"/>
    <pageSetUpPr fitToPage="true"/>
  </sheetPr>
  <dimension ref="A1:AG40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1"/>
  <cols>
    <col collapsed="false" customWidth="true" hidden="false" outlineLevel="0" max="1" min="1" style="0" width="6"/>
    <col collapsed="false" customWidth="true" hidden="false" outlineLevel="0" max="2" min="2" style="0" width="10"/>
    <col collapsed="false" customWidth="true" hidden="false" outlineLevel="0" max="4" min="3" style="0" width="6"/>
    <col collapsed="false" customWidth="true" hidden="false" outlineLevel="0" max="5" min="5" style="0" width="14"/>
    <col collapsed="false" customWidth="true" hidden="false" outlineLevel="0" max="6" min="6" style="0" width="11"/>
    <col collapsed="false" customWidth="true" hidden="false" outlineLevel="0" max="7" min="7" style="0" width="8"/>
    <col collapsed="false" customWidth="true" hidden="false" outlineLevel="0" max="8" min="8" style="0" width="16"/>
    <col collapsed="false" customWidth="true" hidden="false" outlineLevel="0" max="9" min="9" style="0" width="6"/>
    <col collapsed="false" customWidth="true" hidden="false" outlineLevel="0" max="10" min="10" style="0" width="9"/>
    <col collapsed="false" customWidth="true" hidden="false" outlineLevel="0" max="13" min="11" style="0" width="8"/>
    <col collapsed="false" customWidth="true" hidden="false" outlineLevel="0" max="14" min="14" style="0" width="9"/>
    <col collapsed="false" customWidth="true" hidden="false" outlineLevel="0" max="15" min="15" style="0" width="10"/>
    <col collapsed="false" customWidth="true" hidden="false" outlineLevel="0" max="17" min="16" style="0" width="9"/>
    <col collapsed="false" customWidth="true" hidden="false" outlineLevel="0" max="18" min="18" style="0" width="8"/>
    <col collapsed="false" customWidth="true" hidden="false" outlineLevel="0" max="19" min="19" style="0" width="22"/>
    <col collapsed="false" customWidth="true" hidden="false" outlineLevel="0" max="20" min="20" style="0" width="9"/>
    <col collapsed="false" customWidth="true" hidden="false" outlineLevel="0" max="21" min="21" style="0" width="13"/>
    <col collapsed="false" customWidth="true" hidden="false" outlineLevel="0" max="22" min="22" style="0" width="9"/>
    <col collapsed="false" customWidth="true" hidden="false" outlineLevel="0" max="23" min="23" style="0" width="14"/>
    <col collapsed="false" customWidth="true" hidden="false" outlineLevel="0" max="28" min="24" style="0" width="15"/>
    <col collapsed="false" customWidth="true" hidden="true" outlineLevel="1" max="33" min="29" style="0" width="11"/>
  </cols>
  <sheetData>
    <row r="1" customFormat="false" ht="19.4" hidden="false" customHeight="false" outlineLevel="0" collapsed="false">
      <c r="A1" s="18" t="s">
        <v>126</v>
      </c>
    </row>
    <row r="2" customFormat="false" ht="15" hidden="false" customHeight="false" outlineLevel="0" collapsed="false">
      <c r="A2" s="2" t="s">
        <v>127</v>
      </c>
    </row>
    <row r="3" customFormat="false" ht="39.55" hidden="false" customHeight="true" outlineLevel="0" collapsed="false">
      <c r="A3" s="19" t="s">
        <v>128</v>
      </c>
      <c r="B3" s="19"/>
      <c r="C3" s="19"/>
      <c r="D3" s="19"/>
      <c r="E3" s="19"/>
      <c r="F3" s="19"/>
      <c r="G3" s="19"/>
      <c r="H3" s="19"/>
      <c r="I3" s="20" t="s">
        <v>129</v>
      </c>
      <c r="J3" s="20"/>
      <c r="K3" s="21" t="s">
        <v>130</v>
      </c>
      <c r="L3" s="21"/>
      <c r="M3" s="21"/>
      <c r="N3" s="21"/>
      <c r="O3" s="20" t="s">
        <v>131</v>
      </c>
      <c r="P3" s="20"/>
      <c r="Q3" s="20"/>
      <c r="R3" s="20" t="s">
        <v>132</v>
      </c>
      <c r="S3" s="20"/>
      <c r="T3" s="22" t="s">
        <v>133</v>
      </c>
      <c r="U3" s="22"/>
      <c r="V3" s="22"/>
      <c r="W3" s="22"/>
      <c r="X3" s="22" t="s">
        <v>134</v>
      </c>
      <c r="Y3" s="22"/>
      <c r="Z3" s="22"/>
      <c r="AA3" s="22"/>
      <c r="AB3" s="22"/>
      <c r="AC3" s="22" t="s">
        <v>135</v>
      </c>
      <c r="AD3" s="22"/>
      <c r="AE3" s="22"/>
      <c r="AF3" s="22"/>
      <c r="AG3" s="22"/>
    </row>
    <row r="4" customFormat="false" ht="33.75" hidden="false" customHeight="true" outlineLevel="0" collapsed="false">
      <c r="A4" s="23" t="s">
        <v>136</v>
      </c>
      <c r="B4" s="23" t="s">
        <v>137</v>
      </c>
      <c r="C4" s="23" t="s">
        <v>138</v>
      </c>
      <c r="D4" s="23" t="s">
        <v>139</v>
      </c>
      <c r="E4" s="23" t="s">
        <v>140</v>
      </c>
      <c r="F4" s="23" t="s">
        <v>141</v>
      </c>
      <c r="G4" s="23" t="s">
        <v>142</v>
      </c>
      <c r="H4" s="23" t="s">
        <v>60</v>
      </c>
      <c r="I4" s="24" t="s">
        <v>143</v>
      </c>
      <c r="J4" s="24" t="s">
        <v>144</v>
      </c>
      <c r="K4" s="25" t="s">
        <v>145</v>
      </c>
      <c r="L4" s="25" t="s">
        <v>146</v>
      </c>
      <c r="M4" s="25" t="s">
        <v>147</v>
      </c>
      <c r="N4" s="25" t="s">
        <v>148</v>
      </c>
      <c r="O4" s="24" t="s">
        <v>66</v>
      </c>
      <c r="P4" s="24" t="s">
        <v>149</v>
      </c>
      <c r="Q4" s="24" t="s">
        <v>150</v>
      </c>
      <c r="R4" s="24" t="s">
        <v>151</v>
      </c>
      <c r="S4" s="24" t="s">
        <v>68</v>
      </c>
      <c r="T4" s="26" t="s">
        <v>152</v>
      </c>
      <c r="U4" s="26" t="s">
        <v>153</v>
      </c>
      <c r="V4" s="26" t="s">
        <v>154</v>
      </c>
      <c r="W4" s="26" t="s">
        <v>155</v>
      </c>
      <c r="X4" s="26" t="s">
        <v>156</v>
      </c>
      <c r="Y4" s="26" t="s">
        <v>157</v>
      </c>
      <c r="Z4" s="26" t="s">
        <v>158</v>
      </c>
      <c r="AA4" s="26" t="s">
        <v>159</v>
      </c>
      <c r="AB4" s="26" t="s">
        <v>160</v>
      </c>
      <c r="AC4" s="26" t="s">
        <v>161</v>
      </c>
      <c r="AD4" s="26" t="s">
        <v>162</v>
      </c>
      <c r="AE4" s="26" t="s">
        <v>163</v>
      </c>
      <c r="AF4" s="26" t="s">
        <v>164</v>
      </c>
      <c r="AG4" s="26" t="s">
        <v>165</v>
      </c>
    </row>
    <row r="5" customFormat="false" ht="15" hidden="false" customHeight="false" outlineLevel="0" collapsed="false">
      <c r="A5" s="27" t="n">
        <v>1</v>
      </c>
      <c r="B5" s="28"/>
      <c r="C5" s="29"/>
      <c r="D5" s="29"/>
      <c r="E5" s="28"/>
      <c r="F5" s="30"/>
      <c r="G5" s="31"/>
      <c r="H5" s="28"/>
      <c r="I5" s="29"/>
      <c r="J5" s="29"/>
      <c r="K5" s="29"/>
      <c r="L5" s="29"/>
      <c r="M5" s="29"/>
      <c r="N5" s="29"/>
      <c r="O5" s="29"/>
      <c r="P5" s="29"/>
      <c r="Q5" s="29"/>
      <c r="R5" s="29"/>
      <c r="S5" s="28"/>
      <c r="T5" s="32" t="str">
        <f aca="false">IF(AND(K5="",L5=""),"",IF(OR(K5="-",L5="-"),"측정불가",IF(AND(ISNUMBER(K5),ISNUMBER(L5)),IF(OR(K5&gt;=설정!$C$9,L5&gt;=설정!$C$10),"긴급",IF(OR(K5&gt;=설정!$C$7,L5&gt;=설정!$C$8,K5&lt;설정!$C$11),"주의","정상")),"확인필요")))</f>
        <v/>
      </c>
      <c r="U5" s="32" t="str">
        <f aca="false">IF(M5="","",IF(M5="-","측정불가",IF(NOT(ISNUMBER(M5)),"확인필요",IF(M5&lt;설정!$C$15,"긴급(저혈당)",IF(M5&gt;=설정!$C$16,"긴급(고혈당)",IF(N5="공복",IF(M5&gt;=설정!$C$13,"주의","정상"),IF(N5="식후",IF(M5&gt;=설정!$C$14,"주의","정상"),"조건확인")))))))</f>
        <v/>
      </c>
      <c r="V5" s="32" t="str">
        <f aca="false">IF(OR(T5="긴급",LEFT(U5,2)="긴급",P5="O"),"대상","")</f>
        <v/>
      </c>
      <c r="W5" s="33" t="str">
        <f aca="false">IF(R5&lt;&gt;"",R5,IF(O5="O",IF(V5="대상",IF(Q5="O","완료","추가상담 대기"),"완료"),IF(COUNTA(K5:M5)=3,"상담 대기",IF(J5="O","측정 대기",IF(I5="O","운동평가 대기","미방문")))))</f>
        <v>미방문</v>
      </c>
      <c r="X5" s="34"/>
      <c r="Y5" s="34"/>
      <c r="Z5" s="34"/>
      <c r="AA5" s="34"/>
      <c r="AB5" s="34"/>
      <c r="AC5" s="35" t="str">
        <f aca="false">IF(AND(ISNUMBER(X5),ISNUMBER(Y5)),IF(Y5&gt;=X5,ROUND((Y5-X5)*1440,0),""),"")</f>
        <v/>
      </c>
      <c r="AD5" s="35" t="str">
        <f aca="false">IF(AND(ISNUMBER(Y5),ISNUMBER(Z5)),IF(Z5&gt;=Y5,ROUND((Z5-Y5)*1440,0),""),"")</f>
        <v/>
      </c>
      <c r="AE5" s="35" t="str">
        <f aca="false">IF(AND(ISNUMBER(Z5),ISNUMBER(AA5)),IF(AA5&gt;=Z5,ROUND((AA5-Z5)*1440,0),""),"")</f>
        <v/>
      </c>
      <c r="AF5" s="35" t="str">
        <f aca="false">IF(AND(ISNUMBER(AA5),ISNUMBER(AB5)),IF(AB5&gt;=AA5,ROUND((AB5-AA5)*1440,0),""),"")</f>
        <v/>
      </c>
      <c r="AG5" s="35" t="str">
        <f aca="false">IF(AND(W5="완료",ISNUMBER(X5)),IF(MAX(Y5:AB5)&gt;=X5,ROUND((MAX(Y5:AB5)-X5)*1440,0),""),"")</f>
        <v/>
      </c>
    </row>
    <row r="6" customFormat="false" ht="15" hidden="false" customHeight="false" outlineLevel="0" collapsed="false">
      <c r="A6" s="27" t="n">
        <v>2</v>
      </c>
      <c r="B6" s="28"/>
      <c r="C6" s="29"/>
      <c r="D6" s="29"/>
      <c r="E6" s="28"/>
      <c r="F6" s="30"/>
      <c r="G6" s="31"/>
      <c r="H6" s="28"/>
      <c r="I6" s="29"/>
      <c r="J6" s="29"/>
      <c r="K6" s="29"/>
      <c r="L6" s="29"/>
      <c r="M6" s="29"/>
      <c r="N6" s="29"/>
      <c r="O6" s="29"/>
      <c r="P6" s="29"/>
      <c r="Q6" s="29"/>
      <c r="R6" s="29"/>
      <c r="S6" s="28"/>
      <c r="T6" s="32" t="str">
        <f aca="false">IF(AND(K6="",L6=""),"",IF(OR(K6="-",L6="-"),"측정불가",IF(AND(ISNUMBER(K6),ISNUMBER(L6)),IF(OR(K6&gt;=설정!$C$9,L6&gt;=설정!$C$10),"긴급",IF(OR(K6&gt;=설정!$C$7,L6&gt;=설정!$C$8,K6&lt;설정!$C$11),"주의","정상")),"확인필요")))</f>
        <v/>
      </c>
      <c r="U6" s="32" t="str">
        <f aca="false">IF(M6="","",IF(M6="-","측정불가",IF(NOT(ISNUMBER(M6)),"확인필요",IF(M6&lt;설정!$C$15,"긴급(저혈당)",IF(M6&gt;=설정!$C$16,"긴급(고혈당)",IF(N6="공복",IF(M6&gt;=설정!$C$13,"주의","정상"),IF(N6="식후",IF(M6&gt;=설정!$C$14,"주의","정상"),"조건확인")))))))</f>
        <v/>
      </c>
      <c r="V6" s="32" t="str">
        <f aca="false">IF(OR(T6="긴급",LEFT(U6,2)="긴급",P6="O"),"대상","")</f>
        <v/>
      </c>
      <c r="W6" s="33" t="str">
        <f aca="false">IF(R6&lt;&gt;"",R6,IF(O6="O",IF(V6="대상",IF(Q6="O","완료","추가상담 대기"),"완료"),IF(COUNTA(K6:M6)=3,"상담 대기",IF(J6="O","측정 대기",IF(I6="O","운동평가 대기","미방문")))))</f>
        <v>미방문</v>
      </c>
      <c r="X6" s="34"/>
      <c r="Y6" s="34"/>
      <c r="Z6" s="34"/>
      <c r="AA6" s="34"/>
      <c r="AB6" s="34"/>
      <c r="AC6" s="35" t="str">
        <f aca="false">IF(AND(ISNUMBER(X6),ISNUMBER(Y6)),IF(Y6&gt;=X6,ROUND((Y6-X6)*1440,0),""),"")</f>
        <v/>
      </c>
      <c r="AD6" s="35" t="str">
        <f aca="false">IF(AND(ISNUMBER(Y6),ISNUMBER(Z6)),IF(Z6&gt;=Y6,ROUND((Z6-Y6)*1440,0),""),"")</f>
        <v/>
      </c>
      <c r="AE6" s="35" t="str">
        <f aca="false">IF(AND(ISNUMBER(Z6),ISNUMBER(AA6)),IF(AA6&gt;=Z6,ROUND((AA6-Z6)*1440,0),""),"")</f>
        <v/>
      </c>
      <c r="AF6" s="35" t="str">
        <f aca="false">IF(AND(ISNUMBER(AA6),ISNUMBER(AB6)),IF(AB6&gt;=AA6,ROUND((AB6-AA6)*1440,0),""),"")</f>
        <v/>
      </c>
      <c r="AG6" s="35" t="str">
        <f aca="false">IF(AND(W6="완료",ISNUMBER(X6)),IF(MAX(Y6:AB6)&gt;=X6,ROUND((MAX(Y6:AB6)-X6)*1440,0),""),"")</f>
        <v/>
      </c>
    </row>
    <row r="7" customFormat="false" ht="15" hidden="false" customHeight="false" outlineLevel="0" collapsed="false">
      <c r="A7" s="27" t="n">
        <v>3</v>
      </c>
      <c r="B7" s="28"/>
      <c r="C7" s="29"/>
      <c r="D7" s="29"/>
      <c r="E7" s="28"/>
      <c r="F7" s="30"/>
      <c r="G7" s="31"/>
      <c r="H7" s="28"/>
      <c r="I7" s="29"/>
      <c r="J7" s="29"/>
      <c r="K7" s="29"/>
      <c r="L7" s="29"/>
      <c r="M7" s="29"/>
      <c r="N7" s="29"/>
      <c r="O7" s="29"/>
      <c r="P7" s="29"/>
      <c r="Q7" s="29"/>
      <c r="R7" s="29"/>
      <c r="S7" s="28"/>
      <c r="T7" s="32" t="str">
        <f aca="false">IF(AND(K7="",L7=""),"",IF(OR(K7="-",L7="-"),"측정불가",IF(AND(ISNUMBER(K7),ISNUMBER(L7)),IF(OR(K7&gt;=설정!$C$9,L7&gt;=설정!$C$10),"긴급",IF(OR(K7&gt;=설정!$C$7,L7&gt;=설정!$C$8,K7&lt;설정!$C$11),"주의","정상")),"확인필요")))</f>
        <v/>
      </c>
      <c r="U7" s="32" t="str">
        <f aca="false">IF(M7="","",IF(M7="-","측정불가",IF(NOT(ISNUMBER(M7)),"확인필요",IF(M7&lt;설정!$C$15,"긴급(저혈당)",IF(M7&gt;=설정!$C$16,"긴급(고혈당)",IF(N7="공복",IF(M7&gt;=설정!$C$13,"주의","정상"),IF(N7="식후",IF(M7&gt;=설정!$C$14,"주의","정상"),"조건확인")))))))</f>
        <v/>
      </c>
      <c r="V7" s="32" t="str">
        <f aca="false">IF(OR(T7="긴급",LEFT(U7,2)="긴급",P7="O"),"대상","")</f>
        <v/>
      </c>
      <c r="W7" s="33" t="str">
        <f aca="false">IF(R7&lt;&gt;"",R7,IF(O7="O",IF(V7="대상",IF(Q7="O","완료","추가상담 대기"),"완료"),IF(COUNTA(K7:M7)=3,"상담 대기",IF(J7="O","측정 대기",IF(I7="O","운동평가 대기","미방문")))))</f>
        <v>미방문</v>
      </c>
      <c r="X7" s="34"/>
      <c r="Y7" s="34"/>
      <c r="Z7" s="34"/>
      <c r="AA7" s="34"/>
      <c r="AB7" s="34"/>
      <c r="AC7" s="35" t="str">
        <f aca="false">IF(AND(ISNUMBER(X7),ISNUMBER(Y7)),IF(Y7&gt;=X7,ROUND((Y7-X7)*1440,0),""),"")</f>
        <v/>
      </c>
      <c r="AD7" s="35" t="str">
        <f aca="false">IF(AND(ISNUMBER(Y7),ISNUMBER(Z7)),IF(Z7&gt;=Y7,ROUND((Z7-Y7)*1440,0),""),"")</f>
        <v/>
      </c>
      <c r="AE7" s="35" t="str">
        <f aca="false">IF(AND(ISNUMBER(Z7),ISNUMBER(AA7)),IF(AA7&gt;=Z7,ROUND((AA7-Z7)*1440,0),""),"")</f>
        <v/>
      </c>
      <c r="AF7" s="35" t="str">
        <f aca="false">IF(AND(ISNUMBER(AA7),ISNUMBER(AB7)),IF(AB7&gt;=AA7,ROUND((AB7-AA7)*1440,0),""),"")</f>
        <v/>
      </c>
      <c r="AG7" s="35" t="str">
        <f aca="false">IF(AND(W7="완료",ISNUMBER(X7)),IF(MAX(Y7:AB7)&gt;=X7,ROUND((MAX(Y7:AB7)-X7)*1440,0),""),"")</f>
        <v/>
      </c>
    </row>
    <row r="8" customFormat="false" ht="15" hidden="false" customHeight="false" outlineLevel="0" collapsed="false">
      <c r="A8" s="27" t="n">
        <v>4</v>
      </c>
      <c r="B8" s="28"/>
      <c r="C8" s="29"/>
      <c r="D8" s="29"/>
      <c r="E8" s="28"/>
      <c r="F8" s="30"/>
      <c r="G8" s="31"/>
      <c r="H8" s="28"/>
      <c r="I8" s="29"/>
      <c r="J8" s="29"/>
      <c r="K8" s="29"/>
      <c r="L8" s="29"/>
      <c r="M8" s="29"/>
      <c r="N8" s="29"/>
      <c r="O8" s="29"/>
      <c r="P8" s="29"/>
      <c r="Q8" s="29"/>
      <c r="R8" s="29"/>
      <c r="S8" s="28"/>
      <c r="T8" s="32" t="str">
        <f aca="false">IF(AND(K8="",L8=""),"",IF(OR(K8="-",L8="-"),"측정불가",IF(AND(ISNUMBER(K8),ISNUMBER(L8)),IF(OR(K8&gt;=설정!$C$9,L8&gt;=설정!$C$10),"긴급",IF(OR(K8&gt;=설정!$C$7,L8&gt;=설정!$C$8,K8&lt;설정!$C$11),"주의","정상")),"확인필요")))</f>
        <v/>
      </c>
      <c r="U8" s="32" t="str">
        <f aca="false">IF(M8="","",IF(M8="-","측정불가",IF(NOT(ISNUMBER(M8)),"확인필요",IF(M8&lt;설정!$C$15,"긴급(저혈당)",IF(M8&gt;=설정!$C$16,"긴급(고혈당)",IF(N8="공복",IF(M8&gt;=설정!$C$13,"주의","정상"),IF(N8="식후",IF(M8&gt;=설정!$C$14,"주의","정상"),"조건확인")))))))</f>
        <v/>
      </c>
      <c r="V8" s="32" t="str">
        <f aca="false">IF(OR(T8="긴급",LEFT(U8,2)="긴급",P8="O"),"대상","")</f>
        <v/>
      </c>
      <c r="W8" s="33" t="str">
        <f aca="false">IF(R8&lt;&gt;"",R8,IF(O8="O",IF(V8="대상",IF(Q8="O","완료","추가상담 대기"),"완료"),IF(COUNTA(K8:M8)=3,"상담 대기",IF(J8="O","측정 대기",IF(I8="O","운동평가 대기","미방문")))))</f>
        <v>미방문</v>
      </c>
      <c r="X8" s="34"/>
      <c r="Y8" s="34"/>
      <c r="Z8" s="34"/>
      <c r="AA8" s="34"/>
      <c r="AB8" s="34"/>
      <c r="AC8" s="35" t="str">
        <f aca="false">IF(AND(ISNUMBER(X8),ISNUMBER(Y8)),IF(Y8&gt;=X8,ROUND((Y8-X8)*1440,0),""),"")</f>
        <v/>
      </c>
      <c r="AD8" s="35" t="str">
        <f aca="false">IF(AND(ISNUMBER(Y8),ISNUMBER(Z8)),IF(Z8&gt;=Y8,ROUND((Z8-Y8)*1440,0),""),"")</f>
        <v/>
      </c>
      <c r="AE8" s="35" t="str">
        <f aca="false">IF(AND(ISNUMBER(Z8),ISNUMBER(AA8)),IF(AA8&gt;=Z8,ROUND((AA8-Z8)*1440,0),""),"")</f>
        <v/>
      </c>
      <c r="AF8" s="35" t="str">
        <f aca="false">IF(AND(ISNUMBER(AA8),ISNUMBER(AB8)),IF(AB8&gt;=AA8,ROUND((AB8-AA8)*1440,0),""),"")</f>
        <v/>
      </c>
      <c r="AG8" s="35" t="str">
        <f aca="false">IF(AND(W8="완료",ISNUMBER(X8)),IF(MAX(Y8:AB8)&gt;=X8,ROUND((MAX(Y8:AB8)-X8)*1440,0),""),"")</f>
        <v/>
      </c>
    </row>
    <row r="9" customFormat="false" ht="15" hidden="false" customHeight="false" outlineLevel="0" collapsed="false">
      <c r="A9" s="27" t="n">
        <v>5</v>
      </c>
      <c r="B9" s="28"/>
      <c r="C9" s="29"/>
      <c r="D9" s="29"/>
      <c r="E9" s="28"/>
      <c r="F9" s="30"/>
      <c r="G9" s="31"/>
      <c r="H9" s="28"/>
      <c r="I9" s="29"/>
      <c r="J9" s="29"/>
      <c r="K9" s="29"/>
      <c r="L9" s="29"/>
      <c r="M9" s="29"/>
      <c r="N9" s="29"/>
      <c r="O9" s="29"/>
      <c r="P9" s="29"/>
      <c r="Q9" s="29"/>
      <c r="R9" s="29"/>
      <c r="S9" s="28"/>
      <c r="T9" s="32" t="str">
        <f aca="false">IF(AND(K9="",L9=""),"",IF(OR(K9="-",L9="-"),"측정불가",IF(AND(ISNUMBER(K9),ISNUMBER(L9)),IF(OR(K9&gt;=설정!$C$9,L9&gt;=설정!$C$10),"긴급",IF(OR(K9&gt;=설정!$C$7,L9&gt;=설정!$C$8,K9&lt;설정!$C$11),"주의","정상")),"확인필요")))</f>
        <v/>
      </c>
      <c r="U9" s="32" t="str">
        <f aca="false">IF(M9="","",IF(M9="-","측정불가",IF(NOT(ISNUMBER(M9)),"확인필요",IF(M9&lt;설정!$C$15,"긴급(저혈당)",IF(M9&gt;=설정!$C$16,"긴급(고혈당)",IF(N9="공복",IF(M9&gt;=설정!$C$13,"주의","정상"),IF(N9="식후",IF(M9&gt;=설정!$C$14,"주의","정상"),"조건확인")))))))</f>
        <v/>
      </c>
      <c r="V9" s="32" t="str">
        <f aca="false">IF(OR(T9="긴급",LEFT(U9,2)="긴급",P9="O"),"대상","")</f>
        <v/>
      </c>
      <c r="W9" s="33" t="str">
        <f aca="false">IF(R9&lt;&gt;"",R9,IF(O9="O",IF(V9="대상",IF(Q9="O","완료","추가상담 대기"),"완료"),IF(COUNTA(K9:M9)=3,"상담 대기",IF(J9="O","측정 대기",IF(I9="O","운동평가 대기","미방문")))))</f>
        <v>미방문</v>
      </c>
      <c r="X9" s="34"/>
      <c r="Y9" s="34"/>
      <c r="Z9" s="34"/>
      <c r="AA9" s="34"/>
      <c r="AB9" s="34"/>
      <c r="AC9" s="35" t="str">
        <f aca="false">IF(AND(ISNUMBER(X9),ISNUMBER(Y9)),IF(Y9&gt;=X9,ROUND((Y9-X9)*1440,0),""),"")</f>
        <v/>
      </c>
      <c r="AD9" s="35" t="str">
        <f aca="false">IF(AND(ISNUMBER(Y9),ISNUMBER(Z9)),IF(Z9&gt;=Y9,ROUND((Z9-Y9)*1440,0),""),"")</f>
        <v/>
      </c>
      <c r="AE9" s="35" t="str">
        <f aca="false">IF(AND(ISNUMBER(Z9),ISNUMBER(AA9)),IF(AA9&gt;=Z9,ROUND((AA9-Z9)*1440,0),""),"")</f>
        <v/>
      </c>
      <c r="AF9" s="35" t="str">
        <f aca="false">IF(AND(ISNUMBER(AA9),ISNUMBER(AB9)),IF(AB9&gt;=AA9,ROUND((AB9-AA9)*1440,0),""),"")</f>
        <v/>
      </c>
      <c r="AG9" s="35" t="str">
        <f aca="false">IF(AND(W9="완료",ISNUMBER(X9)),IF(MAX(Y9:AB9)&gt;=X9,ROUND((MAX(Y9:AB9)-X9)*1440,0),""),"")</f>
        <v/>
      </c>
    </row>
    <row r="10" customFormat="false" ht="15" hidden="false" customHeight="false" outlineLevel="0" collapsed="false">
      <c r="A10" s="27" t="n">
        <v>6</v>
      </c>
      <c r="B10" s="28"/>
      <c r="C10" s="29"/>
      <c r="D10" s="29"/>
      <c r="E10" s="28"/>
      <c r="F10" s="30"/>
      <c r="G10" s="31"/>
      <c r="H10" s="28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8"/>
      <c r="T10" s="32" t="str">
        <f aca="false">IF(AND(K10="",L10=""),"",IF(OR(K10="-",L10="-"),"측정불가",IF(AND(ISNUMBER(K10),ISNUMBER(L10)),IF(OR(K10&gt;=설정!$C$9,L10&gt;=설정!$C$10),"긴급",IF(OR(K10&gt;=설정!$C$7,L10&gt;=설정!$C$8,K10&lt;설정!$C$11),"주의","정상")),"확인필요")))</f>
        <v/>
      </c>
      <c r="U10" s="32" t="str">
        <f aca="false">IF(M10="","",IF(M10="-","측정불가",IF(NOT(ISNUMBER(M10)),"확인필요",IF(M10&lt;설정!$C$15,"긴급(저혈당)",IF(M10&gt;=설정!$C$16,"긴급(고혈당)",IF(N10="공복",IF(M10&gt;=설정!$C$13,"주의","정상"),IF(N10="식후",IF(M10&gt;=설정!$C$14,"주의","정상"),"조건확인")))))))</f>
        <v/>
      </c>
      <c r="V10" s="32" t="str">
        <f aca="false">IF(OR(T10="긴급",LEFT(U10,2)="긴급",P10="O"),"대상","")</f>
        <v/>
      </c>
      <c r="W10" s="33" t="str">
        <f aca="false">IF(R10&lt;&gt;"",R10,IF(O10="O",IF(V10="대상",IF(Q10="O","완료","추가상담 대기"),"완료"),IF(COUNTA(K10:M10)=3,"상담 대기",IF(J10="O","측정 대기",IF(I10="O","운동평가 대기","미방문")))))</f>
        <v>미방문</v>
      </c>
      <c r="X10" s="34"/>
      <c r="Y10" s="34"/>
      <c r="Z10" s="34"/>
      <c r="AA10" s="34"/>
      <c r="AB10" s="34"/>
      <c r="AC10" s="35" t="str">
        <f aca="false">IF(AND(ISNUMBER(X10),ISNUMBER(Y10)),IF(Y10&gt;=X10,ROUND((Y10-X10)*1440,0),""),"")</f>
        <v/>
      </c>
      <c r="AD10" s="35" t="str">
        <f aca="false">IF(AND(ISNUMBER(Y10),ISNUMBER(Z10)),IF(Z10&gt;=Y10,ROUND((Z10-Y10)*1440,0),""),"")</f>
        <v/>
      </c>
      <c r="AE10" s="35" t="str">
        <f aca="false">IF(AND(ISNUMBER(Z10),ISNUMBER(AA10)),IF(AA10&gt;=Z10,ROUND((AA10-Z10)*1440,0),""),"")</f>
        <v/>
      </c>
      <c r="AF10" s="35" t="str">
        <f aca="false">IF(AND(ISNUMBER(AA10),ISNUMBER(AB10)),IF(AB10&gt;=AA10,ROUND((AB10-AA10)*1440,0),""),"")</f>
        <v/>
      </c>
      <c r="AG10" s="35" t="str">
        <f aca="false">IF(AND(W10="완료",ISNUMBER(X10)),IF(MAX(Y10:AB10)&gt;=X10,ROUND((MAX(Y10:AB10)-X10)*1440,0),""),"")</f>
        <v/>
      </c>
    </row>
    <row r="11" customFormat="false" ht="15" hidden="false" customHeight="false" outlineLevel="0" collapsed="false">
      <c r="A11" s="27" t="n">
        <v>7</v>
      </c>
      <c r="B11" s="28"/>
      <c r="C11" s="29"/>
      <c r="D11" s="29"/>
      <c r="E11" s="28"/>
      <c r="F11" s="30"/>
      <c r="G11" s="31"/>
      <c r="H11" s="28"/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8"/>
      <c r="T11" s="32" t="str">
        <f aca="false">IF(AND(K11="",L11=""),"",IF(OR(K11="-",L11="-"),"측정불가",IF(AND(ISNUMBER(K11),ISNUMBER(L11)),IF(OR(K11&gt;=설정!$C$9,L11&gt;=설정!$C$10),"긴급",IF(OR(K11&gt;=설정!$C$7,L11&gt;=설정!$C$8,K11&lt;설정!$C$11),"주의","정상")),"확인필요")))</f>
        <v/>
      </c>
      <c r="U11" s="32" t="str">
        <f aca="false">IF(M11="","",IF(M11="-","측정불가",IF(NOT(ISNUMBER(M11)),"확인필요",IF(M11&lt;설정!$C$15,"긴급(저혈당)",IF(M11&gt;=설정!$C$16,"긴급(고혈당)",IF(N11="공복",IF(M11&gt;=설정!$C$13,"주의","정상"),IF(N11="식후",IF(M11&gt;=설정!$C$14,"주의","정상"),"조건확인")))))))</f>
        <v/>
      </c>
      <c r="V11" s="32" t="str">
        <f aca="false">IF(OR(T11="긴급",LEFT(U11,2)="긴급",P11="O"),"대상","")</f>
        <v/>
      </c>
      <c r="W11" s="33" t="str">
        <f aca="false">IF(R11&lt;&gt;"",R11,IF(O11="O",IF(V11="대상",IF(Q11="O","완료","추가상담 대기"),"완료"),IF(COUNTA(K11:M11)=3,"상담 대기",IF(J11="O","측정 대기",IF(I11="O","운동평가 대기","미방문")))))</f>
        <v>미방문</v>
      </c>
      <c r="X11" s="34"/>
      <c r="Y11" s="34"/>
      <c r="Z11" s="34"/>
      <c r="AA11" s="34"/>
      <c r="AB11" s="34"/>
      <c r="AC11" s="35" t="str">
        <f aca="false">IF(AND(ISNUMBER(X11),ISNUMBER(Y11)),IF(Y11&gt;=X11,ROUND((Y11-X11)*1440,0),""),"")</f>
        <v/>
      </c>
      <c r="AD11" s="35" t="str">
        <f aca="false">IF(AND(ISNUMBER(Y11),ISNUMBER(Z11)),IF(Z11&gt;=Y11,ROUND((Z11-Y11)*1440,0),""),"")</f>
        <v/>
      </c>
      <c r="AE11" s="35" t="str">
        <f aca="false">IF(AND(ISNUMBER(Z11),ISNUMBER(AA11)),IF(AA11&gt;=Z11,ROUND((AA11-Z11)*1440,0),""),"")</f>
        <v/>
      </c>
      <c r="AF11" s="35" t="str">
        <f aca="false">IF(AND(ISNUMBER(AA11),ISNUMBER(AB11)),IF(AB11&gt;=AA11,ROUND((AB11-AA11)*1440,0),""),"")</f>
        <v/>
      </c>
      <c r="AG11" s="35" t="str">
        <f aca="false">IF(AND(W11="완료",ISNUMBER(X11)),IF(MAX(Y11:AB11)&gt;=X11,ROUND((MAX(Y11:AB11)-X11)*1440,0),""),"")</f>
        <v/>
      </c>
    </row>
    <row r="12" customFormat="false" ht="15" hidden="false" customHeight="false" outlineLevel="0" collapsed="false">
      <c r="A12" s="27" t="n">
        <v>8</v>
      </c>
      <c r="B12" s="28"/>
      <c r="C12" s="29"/>
      <c r="D12" s="29"/>
      <c r="E12" s="28"/>
      <c r="F12" s="30"/>
      <c r="G12" s="31"/>
      <c r="H12" s="28"/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8"/>
      <c r="T12" s="32" t="str">
        <f aca="false">IF(AND(K12="",L12=""),"",IF(OR(K12="-",L12="-"),"측정불가",IF(AND(ISNUMBER(K12),ISNUMBER(L12)),IF(OR(K12&gt;=설정!$C$9,L12&gt;=설정!$C$10),"긴급",IF(OR(K12&gt;=설정!$C$7,L12&gt;=설정!$C$8,K12&lt;설정!$C$11),"주의","정상")),"확인필요")))</f>
        <v/>
      </c>
      <c r="U12" s="32" t="str">
        <f aca="false">IF(M12="","",IF(M12="-","측정불가",IF(NOT(ISNUMBER(M12)),"확인필요",IF(M12&lt;설정!$C$15,"긴급(저혈당)",IF(M12&gt;=설정!$C$16,"긴급(고혈당)",IF(N12="공복",IF(M12&gt;=설정!$C$13,"주의","정상"),IF(N12="식후",IF(M12&gt;=설정!$C$14,"주의","정상"),"조건확인")))))))</f>
        <v/>
      </c>
      <c r="V12" s="32" t="str">
        <f aca="false">IF(OR(T12="긴급",LEFT(U12,2)="긴급",P12="O"),"대상","")</f>
        <v/>
      </c>
      <c r="W12" s="33" t="str">
        <f aca="false">IF(R12&lt;&gt;"",R12,IF(O12="O",IF(V12="대상",IF(Q12="O","완료","추가상담 대기"),"완료"),IF(COUNTA(K12:M12)=3,"상담 대기",IF(J12="O","측정 대기",IF(I12="O","운동평가 대기","미방문")))))</f>
        <v>미방문</v>
      </c>
      <c r="X12" s="34"/>
      <c r="Y12" s="34"/>
      <c r="Z12" s="34"/>
      <c r="AA12" s="34"/>
      <c r="AB12" s="34"/>
      <c r="AC12" s="35" t="str">
        <f aca="false">IF(AND(ISNUMBER(X12),ISNUMBER(Y12)),IF(Y12&gt;=X12,ROUND((Y12-X12)*1440,0),""),"")</f>
        <v/>
      </c>
      <c r="AD12" s="35" t="str">
        <f aca="false">IF(AND(ISNUMBER(Y12),ISNUMBER(Z12)),IF(Z12&gt;=Y12,ROUND((Z12-Y12)*1440,0),""),"")</f>
        <v/>
      </c>
      <c r="AE12" s="35" t="str">
        <f aca="false">IF(AND(ISNUMBER(Z12),ISNUMBER(AA12)),IF(AA12&gt;=Z12,ROUND((AA12-Z12)*1440,0),""),"")</f>
        <v/>
      </c>
      <c r="AF12" s="35" t="str">
        <f aca="false">IF(AND(ISNUMBER(AA12),ISNUMBER(AB12)),IF(AB12&gt;=AA12,ROUND((AB12-AA12)*1440,0),""),"")</f>
        <v/>
      </c>
      <c r="AG12" s="35" t="str">
        <f aca="false">IF(AND(W12="완료",ISNUMBER(X12)),IF(MAX(Y12:AB12)&gt;=X12,ROUND((MAX(Y12:AB12)-X12)*1440,0),""),"")</f>
        <v/>
      </c>
    </row>
    <row r="13" customFormat="false" ht="15" hidden="false" customHeight="false" outlineLevel="0" collapsed="false">
      <c r="A13" s="27" t="n">
        <v>9</v>
      </c>
      <c r="B13" s="28"/>
      <c r="C13" s="29"/>
      <c r="D13" s="29"/>
      <c r="E13" s="28"/>
      <c r="F13" s="30"/>
      <c r="G13" s="31"/>
      <c r="H13" s="28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8"/>
      <c r="T13" s="32" t="str">
        <f aca="false">IF(AND(K13="",L13=""),"",IF(OR(K13="-",L13="-"),"측정불가",IF(AND(ISNUMBER(K13),ISNUMBER(L13)),IF(OR(K13&gt;=설정!$C$9,L13&gt;=설정!$C$10),"긴급",IF(OR(K13&gt;=설정!$C$7,L13&gt;=설정!$C$8,K13&lt;설정!$C$11),"주의","정상")),"확인필요")))</f>
        <v/>
      </c>
      <c r="U13" s="32" t="str">
        <f aca="false">IF(M13="","",IF(M13="-","측정불가",IF(NOT(ISNUMBER(M13)),"확인필요",IF(M13&lt;설정!$C$15,"긴급(저혈당)",IF(M13&gt;=설정!$C$16,"긴급(고혈당)",IF(N13="공복",IF(M13&gt;=설정!$C$13,"주의","정상"),IF(N13="식후",IF(M13&gt;=설정!$C$14,"주의","정상"),"조건확인")))))))</f>
        <v/>
      </c>
      <c r="V13" s="32" t="str">
        <f aca="false">IF(OR(T13="긴급",LEFT(U13,2)="긴급",P13="O"),"대상","")</f>
        <v/>
      </c>
      <c r="W13" s="33" t="str">
        <f aca="false">IF(R13&lt;&gt;"",R13,IF(O13="O",IF(V13="대상",IF(Q13="O","완료","추가상담 대기"),"완료"),IF(COUNTA(K13:M13)=3,"상담 대기",IF(J13="O","측정 대기",IF(I13="O","운동평가 대기","미방문")))))</f>
        <v>미방문</v>
      </c>
      <c r="X13" s="34"/>
      <c r="Y13" s="34"/>
      <c r="Z13" s="34"/>
      <c r="AA13" s="34"/>
      <c r="AB13" s="34"/>
      <c r="AC13" s="35" t="str">
        <f aca="false">IF(AND(ISNUMBER(X13),ISNUMBER(Y13)),IF(Y13&gt;=X13,ROUND((Y13-X13)*1440,0),""),"")</f>
        <v/>
      </c>
      <c r="AD13" s="35" t="str">
        <f aca="false">IF(AND(ISNUMBER(Y13),ISNUMBER(Z13)),IF(Z13&gt;=Y13,ROUND((Z13-Y13)*1440,0),""),"")</f>
        <v/>
      </c>
      <c r="AE13" s="35" t="str">
        <f aca="false">IF(AND(ISNUMBER(Z13),ISNUMBER(AA13)),IF(AA13&gt;=Z13,ROUND((AA13-Z13)*1440,0),""),"")</f>
        <v/>
      </c>
      <c r="AF13" s="35" t="str">
        <f aca="false">IF(AND(ISNUMBER(AA13),ISNUMBER(AB13)),IF(AB13&gt;=AA13,ROUND((AB13-AA13)*1440,0),""),"")</f>
        <v/>
      </c>
      <c r="AG13" s="35" t="str">
        <f aca="false">IF(AND(W13="완료",ISNUMBER(X13)),IF(MAX(Y13:AB13)&gt;=X13,ROUND((MAX(Y13:AB13)-X13)*1440,0),""),"")</f>
        <v/>
      </c>
    </row>
    <row r="14" customFormat="false" ht="15" hidden="false" customHeight="false" outlineLevel="0" collapsed="false">
      <c r="A14" s="27" t="n">
        <v>10</v>
      </c>
      <c r="B14" s="28"/>
      <c r="C14" s="29"/>
      <c r="D14" s="29"/>
      <c r="E14" s="28"/>
      <c r="F14" s="30"/>
      <c r="G14" s="31"/>
      <c r="H14" s="28"/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8"/>
      <c r="T14" s="32" t="str">
        <f aca="false">IF(AND(K14="",L14=""),"",IF(OR(K14="-",L14="-"),"측정불가",IF(AND(ISNUMBER(K14),ISNUMBER(L14)),IF(OR(K14&gt;=설정!$C$9,L14&gt;=설정!$C$10),"긴급",IF(OR(K14&gt;=설정!$C$7,L14&gt;=설정!$C$8,K14&lt;설정!$C$11),"주의","정상")),"확인필요")))</f>
        <v/>
      </c>
      <c r="U14" s="32" t="str">
        <f aca="false">IF(M14="","",IF(M14="-","측정불가",IF(NOT(ISNUMBER(M14)),"확인필요",IF(M14&lt;설정!$C$15,"긴급(저혈당)",IF(M14&gt;=설정!$C$16,"긴급(고혈당)",IF(N14="공복",IF(M14&gt;=설정!$C$13,"주의","정상"),IF(N14="식후",IF(M14&gt;=설정!$C$14,"주의","정상"),"조건확인")))))))</f>
        <v/>
      </c>
      <c r="V14" s="32" t="str">
        <f aca="false">IF(OR(T14="긴급",LEFT(U14,2)="긴급",P14="O"),"대상","")</f>
        <v/>
      </c>
      <c r="W14" s="33" t="str">
        <f aca="false">IF(R14&lt;&gt;"",R14,IF(O14="O",IF(V14="대상",IF(Q14="O","완료","추가상담 대기"),"완료"),IF(COUNTA(K14:M14)=3,"상담 대기",IF(J14="O","측정 대기",IF(I14="O","운동평가 대기","미방문")))))</f>
        <v>미방문</v>
      </c>
      <c r="X14" s="34"/>
      <c r="Y14" s="34"/>
      <c r="Z14" s="34"/>
      <c r="AA14" s="34"/>
      <c r="AB14" s="34"/>
      <c r="AC14" s="35" t="str">
        <f aca="false">IF(AND(ISNUMBER(X14),ISNUMBER(Y14)),IF(Y14&gt;=X14,ROUND((Y14-X14)*1440,0),""),"")</f>
        <v/>
      </c>
      <c r="AD14" s="35" t="str">
        <f aca="false">IF(AND(ISNUMBER(Y14),ISNUMBER(Z14)),IF(Z14&gt;=Y14,ROUND((Z14-Y14)*1440,0),""),"")</f>
        <v/>
      </c>
      <c r="AE14" s="35" t="str">
        <f aca="false">IF(AND(ISNUMBER(Z14),ISNUMBER(AA14)),IF(AA14&gt;=Z14,ROUND((AA14-Z14)*1440,0),""),"")</f>
        <v/>
      </c>
      <c r="AF14" s="35" t="str">
        <f aca="false">IF(AND(ISNUMBER(AA14),ISNUMBER(AB14)),IF(AB14&gt;=AA14,ROUND((AB14-AA14)*1440,0),""),"")</f>
        <v/>
      </c>
      <c r="AG14" s="35" t="str">
        <f aca="false">IF(AND(W14="완료",ISNUMBER(X14)),IF(MAX(Y14:AB14)&gt;=X14,ROUND((MAX(Y14:AB14)-X14)*1440,0),""),"")</f>
        <v/>
      </c>
    </row>
    <row r="15" customFormat="false" ht="15" hidden="false" customHeight="false" outlineLevel="0" collapsed="false">
      <c r="A15" s="27" t="n">
        <v>11</v>
      </c>
      <c r="B15" s="28"/>
      <c r="C15" s="29"/>
      <c r="D15" s="29"/>
      <c r="E15" s="28"/>
      <c r="F15" s="30"/>
      <c r="G15" s="31"/>
      <c r="H15" s="28"/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8"/>
      <c r="T15" s="32" t="str">
        <f aca="false">IF(AND(K15="",L15=""),"",IF(OR(K15="-",L15="-"),"측정불가",IF(AND(ISNUMBER(K15),ISNUMBER(L15)),IF(OR(K15&gt;=설정!$C$9,L15&gt;=설정!$C$10),"긴급",IF(OR(K15&gt;=설정!$C$7,L15&gt;=설정!$C$8,K15&lt;설정!$C$11),"주의","정상")),"확인필요")))</f>
        <v/>
      </c>
      <c r="U15" s="32" t="str">
        <f aca="false">IF(M15="","",IF(M15="-","측정불가",IF(NOT(ISNUMBER(M15)),"확인필요",IF(M15&lt;설정!$C$15,"긴급(저혈당)",IF(M15&gt;=설정!$C$16,"긴급(고혈당)",IF(N15="공복",IF(M15&gt;=설정!$C$13,"주의","정상"),IF(N15="식후",IF(M15&gt;=설정!$C$14,"주의","정상"),"조건확인")))))))</f>
        <v/>
      </c>
      <c r="V15" s="32" t="str">
        <f aca="false">IF(OR(T15="긴급",LEFT(U15,2)="긴급",P15="O"),"대상","")</f>
        <v/>
      </c>
      <c r="W15" s="33" t="str">
        <f aca="false">IF(R15&lt;&gt;"",R15,IF(O15="O",IF(V15="대상",IF(Q15="O","완료","추가상담 대기"),"완료"),IF(COUNTA(K15:M15)=3,"상담 대기",IF(J15="O","측정 대기",IF(I15="O","운동평가 대기","미방문")))))</f>
        <v>미방문</v>
      </c>
      <c r="X15" s="34"/>
      <c r="Y15" s="34"/>
      <c r="Z15" s="34"/>
      <c r="AA15" s="34"/>
      <c r="AB15" s="34"/>
      <c r="AC15" s="35" t="str">
        <f aca="false">IF(AND(ISNUMBER(X15),ISNUMBER(Y15)),IF(Y15&gt;=X15,ROUND((Y15-X15)*1440,0),""),"")</f>
        <v/>
      </c>
      <c r="AD15" s="35" t="str">
        <f aca="false">IF(AND(ISNUMBER(Y15),ISNUMBER(Z15)),IF(Z15&gt;=Y15,ROUND((Z15-Y15)*1440,0),""),"")</f>
        <v/>
      </c>
      <c r="AE15" s="35" t="str">
        <f aca="false">IF(AND(ISNUMBER(Z15),ISNUMBER(AA15)),IF(AA15&gt;=Z15,ROUND((AA15-Z15)*1440,0),""),"")</f>
        <v/>
      </c>
      <c r="AF15" s="35" t="str">
        <f aca="false">IF(AND(ISNUMBER(AA15),ISNUMBER(AB15)),IF(AB15&gt;=AA15,ROUND((AB15-AA15)*1440,0),""),"")</f>
        <v/>
      </c>
      <c r="AG15" s="35" t="str">
        <f aca="false">IF(AND(W15="완료",ISNUMBER(X15)),IF(MAX(Y15:AB15)&gt;=X15,ROUND((MAX(Y15:AB15)-X15)*1440,0),""),"")</f>
        <v/>
      </c>
    </row>
    <row r="16" customFormat="false" ht="15" hidden="false" customHeight="false" outlineLevel="0" collapsed="false">
      <c r="A16" s="27" t="n">
        <v>12</v>
      </c>
      <c r="B16" s="28"/>
      <c r="C16" s="29"/>
      <c r="D16" s="29"/>
      <c r="E16" s="28"/>
      <c r="F16" s="30"/>
      <c r="G16" s="31"/>
      <c r="H16" s="28"/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8"/>
      <c r="T16" s="32" t="str">
        <f aca="false">IF(AND(K16="",L16=""),"",IF(OR(K16="-",L16="-"),"측정불가",IF(AND(ISNUMBER(K16),ISNUMBER(L16)),IF(OR(K16&gt;=설정!$C$9,L16&gt;=설정!$C$10),"긴급",IF(OR(K16&gt;=설정!$C$7,L16&gt;=설정!$C$8,K16&lt;설정!$C$11),"주의","정상")),"확인필요")))</f>
        <v/>
      </c>
      <c r="U16" s="32" t="str">
        <f aca="false">IF(M16="","",IF(M16="-","측정불가",IF(NOT(ISNUMBER(M16)),"확인필요",IF(M16&lt;설정!$C$15,"긴급(저혈당)",IF(M16&gt;=설정!$C$16,"긴급(고혈당)",IF(N16="공복",IF(M16&gt;=설정!$C$13,"주의","정상"),IF(N16="식후",IF(M16&gt;=설정!$C$14,"주의","정상"),"조건확인")))))))</f>
        <v/>
      </c>
      <c r="V16" s="32" t="str">
        <f aca="false">IF(OR(T16="긴급",LEFT(U16,2)="긴급",P16="O"),"대상","")</f>
        <v/>
      </c>
      <c r="W16" s="33" t="str">
        <f aca="false">IF(R16&lt;&gt;"",R16,IF(O16="O",IF(V16="대상",IF(Q16="O","완료","추가상담 대기"),"완료"),IF(COUNTA(K16:M16)=3,"상담 대기",IF(J16="O","측정 대기",IF(I16="O","운동평가 대기","미방문")))))</f>
        <v>미방문</v>
      </c>
      <c r="X16" s="34"/>
      <c r="Y16" s="34"/>
      <c r="Z16" s="34"/>
      <c r="AA16" s="34"/>
      <c r="AB16" s="34"/>
      <c r="AC16" s="35" t="str">
        <f aca="false">IF(AND(ISNUMBER(X16),ISNUMBER(Y16)),IF(Y16&gt;=X16,ROUND((Y16-X16)*1440,0),""),"")</f>
        <v/>
      </c>
      <c r="AD16" s="35" t="str">
        <f aca="false">IF(AND(ISNUMBER(Y16),ISNUMBER(Z16)),IF(Z16&gt;=Y16,ROUND((Z16-Y16)*1440,0),""),"")</f>
        <v/>
      </c>
      <c r="AE16" s="35" t="str">
        <f aca="false">IF(AND(ISNUMBER(Z16),ISNUMBER(AA16)),IF(AA16&gt;=Z16,ROUND((AA16-Z16)*1440,0),""),"")</f>
        <v/>
      </c>
      <c r="AF16" s="35" t="str">
        <f aca="false">IF(AND(ISNUMBER(AA16),ISNUMBER(AB16)),IF(AB16&gt;=AA16,ROUND((AB16-AA16)*1440,0),""),"")</f>
        <v/>
      </c>
      <c r="AG16" s="35" t="str">
        <f aca="false">IF(AND(W16="완료",ISNUMBER(X16)),IF(MAX(Y16:AB16)&gt;=X16,ROUND((MAX(Y16:AB16)-X16)*1440,0),""),"")</f>
        <v/>
      </c>
    </row>
    <row r="17" customFormat="false" ht="15" hidden="false" customHeight="false" outlineLevel="0" collapsed="false">
      <c r="A17" s="27" t="n">
        <v>13</v>
      </c>
      <c r="B17" s="28"/>
      <c r="C17" s="29"/>
      <c r="D17" s="29"/>
      <c r="E17" s="28"/>
      <c r="F17" s="30"/>
      <c r="G17" s="31"/>
      <c r="H17" s="28"/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8"/>
      <c r="T17" s="32" t="str">
        <f aca="false">IF(AND(K17="",L17=""),"",IF(OR(K17="-",L17="-"),"측정불가",IF(AND(ISNUMBER(K17),ISNUMBER(L17)),IF(OR(K17&gt;=설정!$C$9,L17&gt;=설정!$C$10),"긴급",IF(OR(K17&gt;=설정!$C$7,L17&gt;=설정!$C$8,K17&lt;설정!$C$11),"주의","정상")),"확인필요")))</f>
        <v/>
      </c>
      <c r="U17" s="32" t="str">
        <f aca="false">IF(M17="","",IF(M17="-","측정불가",IF(NOT(ISNUMBER(M17)),"확인필요",IF(M17&lt;설정!$C$15,"긴급(저혈당)",IF(M17&gt;=설정!$C$16,"긴급(고혈당)",IF(N17="공복",IF(M17&gt;=설정!$C$13,"주의","정상"),IF(N17="식후",IF(M17&gt;=설정!$C$14,"주의","정상"),"조건확인")))))))</f>
        <v/>
      </c>
      <c r="V17" s="32" t="str">
        <f aca="false">IF(OR(T17="긴급",LEFT(U17,2)="긴급",P17="O"),"대상","")</f>
        <v/>
      </c>
      <c r="W17" s="33" t="str">
        <f aca="false">IF(R17&lt;&gt;"",R17,IF(O17="O",IF(V17="대상",IF(Q17="O","완료","추가상담 대기"),"완료"),IF(COUNTA(K17:M17)=3,"상담 대기",IF(J17="O","측정 대기",IF(I17="O","운동평가 대기","미방문")))))</f>
        <v>미방문</v>
      </c>
      <c r="X17" s="34"/>
      <c r="Y17" s="34"/>
      <c r="Z17" s="34"/>
      <c r="AA17" s="34"/>
      <c r="AB17" s="34"/>
      <c r="AC17" s="35" t="str">
        <f aca="false">IF(AND(ISNUMBER(X17),ISNUMBER(Y17)),IF(Y17&gt;=X17,ROUND((Y17-X17)*1440,0),""),"")</f>
        <v/>
      </c>
      <c r="AD17" s="35" t="str">
        <f aca="false">IF(AND(ISNUMBER(Y17),ISNUMBER(Z17)),IF(Z17&gt;=Y17,ROUND((Z17-Y17)*1440,0),""),"")</f>
        <v/>
      </c>
      <c r="AE17" s="35" t="str">
        <f aca="false">IF(AND(ISNUMBER(Z17),ISNUMBER(AA17)),IF(AA17&gt;=Z17,ROUND((AA17-Z17)*1440,0),""),"")</f>
        <v/>
      </c>
      <c r="AF17" s="35" t="str">
        <f aca="false">IF(AND(ISNUMBER(AA17),ISNUMBER(AB17)),IF(AB17&gt;=AA17,ROUND((AB17-AA17)*1440,0),""),"")</f>
        <v/>
      </c>
      <c r="AG17" s="35" t="str">
        <f aca="false">IF(AND(W17="완료",ISNUMBER(X17)),IF(MAX(Y17:AB17)&gt;=X17,ROUND((MAX(Y17:AB17)-X17)*1440,0),""),"")</f>
        <v/>
      </c>
    </row>
    <row r="18" customFormat="false" ht="15" hidden="false" customHeight="false" outlineLevel="0" collapsed="false">
      <c r="A18" s="27" t="n">
        <v>14</v>
      </c>
      <c r="B18" s="28"/>
      <c r="C18" s="29"/>
      <c r="D18" s="29"/>
      <c r="E18" s="28"/>
      <c r="F18" s="30"/>
      <c r="G18" s="31"/>
      <c r="H18" s="28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8"/>
      <c r="T18" s="32" t="str">
        <f aca="false">IF(AND(K18="",L18=""),"",IF(OR(K18="-",L18="-"),"측정불가",IF(AND(ISNUMBER(K18),ISNUMBER(L18)),IF(OR(K18&gt;=설정!$C$9,L18&gt;=설정!$C$10),"긴급",IF(OR(K18&gt;=설정!$C$7,L18&gt;=설정!$C$8,K18&lt;설정!$C$11),"주의","정상")),"확인필요")))</f>
        <v/>
      </c>
      <c r="U18" s="32" t="str">
        <f aca="false">IF(M18="","",IF(M18="-","측정불가",IF(NOT(ISNUMBER(M18)),"확인필요",IF(M18&lt;설정!$C$15,"긴급(저혈당)",IF(M18&gt;=설정!$C$16,"긴급(고혈당)",IF(N18="공복",IF(M18&gt;=설정!$C$13,"주의","정상"),IF(N18="식후",IF(M18&gt;=설정!$C$14,"주의","정상"),"조건확인")))))))</f>
        <v/>
      </c>
      <c r="V18" s="32" t="str">
        <f aca="false">IF(OR(T18="긴급",LEFT(U18,2)="긴급",P18="O"),"대상","")</f>
        <v/>
      </c>
      <c r="W18" s="33" t="str">
        <f aca="false">IF(R18&lt;&gt;"",R18,IF(O18="O",IF(V18="대상",IF(Q18="O","완료","추가상담 대기"),"완료"),IF(COUNTA(K18:M18)=3,"상담 대기",IF(J18="O","측정 대기",IF(I18="O","운동평가 대기","미방문")))))</f>
        <v>미방문</v>
      </c>
      <c r="X18" s="34"/>
      <c r="Y18" s="34"/>
      <c r="Z18" s="34"/>
      <c r="AA18" s="34"/>
      <c r="AB18" s="34"/>
      <c r="AC18" s="35" t="str">
        <f aca="false">IF(AND(ISNUMBER(X18),ISNUMBER(Y18)),IF(Y18&gt;=X18,ROUND((Y18-X18)*1440,0),""),"")</f>
        <v/>
      </c>
      <c r="AD18" s="35" t="str">
        <f aca="false">IF(AND(ISNUMBER(Y18),ISNUMBER(Z18)),IF(Z18&gt;=Y18,ROUND((Z18-Y18)*1440,0),""),"")</f>
        <v/>
      </c>
      <c r="AE18" s="35" t="str">
        <f aca="false">IF(AND(ISNUMBER(Z18),ISNUMBER(AA18)),IF(AA18&gt;=Z18,ROUND((AA18-Z18)*1440,0),""),"")</f>
        <v/>
      </c>
      <c r="AF18" s="35" t="str">
        <f aca="false">IF(AND(ISNUMBER(AA18),ISNUMBER(AB18)),IF(AB18&gt;=AA18,ROUND((AB18-AA18)*1440,0),""),"")</f>
        <v/>
      </c>
      <c r="AG18" s="35" t="str">
        <f aca="false">IF(AND(W18="완료",ISNUMBER(X18)),IF(MAX(Y18:AB18)&gt;=X18,ROUND((MAX(Y18:AB18)-X18)*1440,0),""),"")</f>
        <v/>
      </c>
    </row>
    <row r="19" customFormat="false" ht="15" hidden="false" customHeight="false" outlineLevel="0" collapsed="false">
      <c r="A19" s="27" t="n">
        <v>15</v>
      </c>
      <c r="B19" s="28"/>
      <c r="C19" s="29"/>
      <c r="D19" s="29"/>
      <c r="E19" s="28"/>
      <c r="F19" s="30"/>
      <c r="G19" s="31"/>
      <c r="H19" s="28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8"/>
      <c r="T19" s="32" t="str">
        <f aca="false">IF(AND(K19="",L19=""),"",IF(OR(K19="-",L19="-"),"측정불가",IF(AND(ISNUMBER(K19),ISNUMBER(L19)),IF(OR(K19&gt;=설정!$C$9,L19&gt;=설정!$C$10),"긴급",IF(OR(K19&gt;=설정!$C$7,L19&gt;=설정!$C$8,K19&lt;설정!$C$11),"주의","정상")),"확인필요")))</f>
        <v/>
      </c>
      <c r="U19" s="32" t="str">
        <f aca="false">IF(M19="","",IF(M19="-","측정불가",IF(NOT(ISNUMBER(M19)),"확인필요",IF(M19&lt;설정!$C$15,"긴급(저혈당)",IF(M19&gt;=설정!$C$16,"긴급(고혈당)",IF(N19="공복",IF(M19&gt;=설정!$C$13,"주의","정상"),IF(N19="식후",IF(M19&gt;=설정!$C$14,"주의","정상"),"조건확인")))))))</f>
        <v/>
      </c>
      <c r="V19" s="32" t="str">
        <f aca="false">IF(OR(T19="긴급",LEFT(U19,2)="긴급",P19="O"),"대상","")</f>
        <v/>
      </c>
      <c r="W19" s="33" t="str">
        <f aca="false">IF(R19&lt;&gt;"",R19,IF(O19="O",IF(V19="대상",IF(Q19="O","완료","추가상담 대기"),"완료"),IF(COUNTA(K19:M19)=3,"상담 대기",IF(J19="O","측정 대기",IF(I19="O","운동평가 대기","미방문")))))</f>
        <v>미방문</v>
      </c>
      <c r="X19" s="34"/>
      <c r="Y19" s="34"/>
      <c r="Z19" s="34"/>
      <c r="AA19" s="34"/>
      <c r="AB19" s="34"/>
      <c r="AC19" s="35" t="str">
        <f aca="false">IF(AND(ISNUMBER(X19),ISNUMBER(Y19)),IF(Y19&gt;=X19,ROUND((Y19-X19)*1440,0),""),"")</f>
        <v/>
      </c>
      <c r="AD19" s="35" t="str">
        <f aca="false">IF(AND(ISNUMBER(Y19),ISNUMBER(Z19)),IF(Z19&gt;=Y19,ROUND((Z19-Y19)*1440,0),""),"")</f>
        <v/>
      </c>
      <c r="AE19" s="35" t="str">
        <f aca="false">IF(AND(ISNUMBER(Z19),ISNUMBER(AA19)),IF(AA19&gt;=Z19,ROUND((AA19-Z19)*1440,0),""),"")</f>
        <v/>
      </c>
      <c r="AF19" s="35" t="str">
        <f aca="false">IF(AND(ISNUMBER(AA19),ISNUMBER(AB19)),IF(AB19&gt;=AA19,ROUND((AB19-AA19)*1440,0),""),"")</f>
        <v/>
      </c>
      <c r="AG19" s="35" t="str">
        <f aca="false">IF(AND(W19="완료",ISNUMBER(X19)),IF(MAX(Y19:AB19)&gt;=X19,ROUND((MAX(Y19:AB19)-X19)*1440,0),""),"")</f>
        <v/>
      </c>
    </row>
    <row r="20" customFormat="false" ht="15" hidden="false" customHeight="false" outlineLevel="0" collapsed="false">
      <c r="A20" s="27" t="n">
        <v>16</v>
      </c>
      <c r="B20" s="28"/>
      <c r="C20" s="29"/>
      <c r="D20" s="29"/>
      <c r="E20" s="28"/>
      <c r="F20" s="30"/>
      <c r="G20" s="31"/>
      <c r="H20" s="28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8"/>
      <c r="T20" s="32" t="str">
        <f aca="false">IF(AND(K20="",L20=""),"",IF(OR(K20="-",L20="-"),"측정불가",IF(AND(ISNUMBER(K20),ISNUMBER(L20)),IF(OR(K20&gt;=설정!$C$9,L20&gt;=설정!$C$10),"긴급",IF(OR(K20&gt;=설정!$C$7,L20&gt;=설정!$C$8,K20&lt;설정!$C$11),"주의","정상")),"확인필요")))</f>
        <v/>
      </c>
      <c r="U20" s="32" t="str">
        <f aca="false">IF(M20="","",IF(M20="-","측정불가",IF(NOT(ISNUMBER(M20)),"확인필요",IF(M20&lt;설정!$C$15,"긴급(저혈당)",IF(M20&gt;=설정!$C$16,"긴급(고혈당)",IF(N20="공복",IF(M20&gt;=설정!$C$13,"주의","정상"),IF(N20="식후",IF(M20&gt;=설정!$C$14,"주의","정상"),"조건확인")))))))</f>
        <v/>
      </c>
      <c r="V20" s="32" t="str">
        <f aca="false">IF(OR(T20="긴급",LEFT(U20,2)="긴급",P20="O"),"대상","")</f>
        <v/>
      </c>
      <c r="W20" s="33" t="str">
        <f aca="false">IF(R20&lt;&gt;"",R20,IF(O20="O",IF(V20="대상",IF(Q20="O","완료","추가상담 대기"),"완료"),IF(COUNTA(K20:M20)=3,"상담 대기",IF(J20="O","측정 대기",IF(I20="O","운동평가 대기","미방문")))))</f>
        <v>미방문</v>
      </c>
      <c r="X20" s="34"/>
      <c r="Y20" s="34"/>
      <c r="Z20" s="34"/>
      <c r="AA20" s="34"/>
      <c r="AB20" s="34"/>
      <c r="AC20" s="35" t="str">
        <f aca="false">IF(AND(ISNUMBER(X20),ISNUMBER(Y20)),IF(Y20&gt;=X20,ROUND((Y20-X20)*1440,0),""),"")</f>
        <v/>
      </c>
      <c r="AD20" s="35" t="str">
        <f aca="false">IF(AND(ISNUMBER(Y20),ISNUMBER(Z20)),IF(Z20&gt;=Y20,ROUND((Z20-Y20)*1440,0),""),"")</f>
        <v/>
      </c>
      <c r="AE20" s="35" t="str">
        <f aca="false">IF(AND(ISNUMBER(Z20),ISNUMBER(AA20)),IF(AA20&gt;=Z20,ROUND((AA20-Z20)*1440,0),""),"")</f>
        <v/>
      </c>
      <c r="AF20" s="35" t="str">
        <f aca="false">IF(AND(ISNUMBER(AA20),ISNUMBER(AB20)),IF(AB20&gt;=AA20,ROUND((AB20-AA20)*1440,0),""),"")</f>
        <v/>
      </c>
      <c r="AG20" s="35" t="str">
        <f aca="false">IF(AND(W20="완료",ISNUMBER(X20)),IF(MAX(Y20:AB20)&gt;=X20,ROUND((MAX(Y20:AB20)-X20)*1440,0),""),"")</f>
        <v/>
      </c>
    </row>
    <row r="21" customFormat="false" ht="15" hidden="false" customHeight="false" outlineLevel="0" collapsed="false">
      <c r="A21" s="27" t="n">
        <v>17</v>
      </c>
      <c r="B21" s="28"/>
      <c r="C21" s="29"/>
      <c r="D21" s="29"/>
      <c r="E21" s="28"/>
      <c r="F21" s="30"/>
      <c r="G21" s="31"/>
      <c r="H21" s="28"/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8"/>
      <c r="T21" s="32" t="str">
        <f aca="false">IF(AND(K21="",L21=""),"",IF(OR(K21="-",L21="-"),"측정불가",IF(AND(ISNUMBER(K21),ISNUMBER(L21)),IF(OR(K21&gt;=설정!$C$9,L21&gt;=설정!$C$10),"긴급",IF(OR(K21&gt;=설정!$C$7,L21&gt;=설정!$C$8,K21&lt;설정!$C$11),"주의","정상")),"확인필요")))</f>
        <v/>
      </c>
      <c r="U21" s="32" t="str">
        <f aca="false">IF(M21="","",IF(M21="-","측정불가",IF(NOT(ISNUMBER(M21)),"확인필요",IF(M21&lt;설정!$C$15,"긴급(저혈당)",IF(M21&gt;=설정!$C$16,"긴급(고혈당)",IF(N21="공복",IF(M21&gt;=설정!$C$13,"주의","정상"),IF(N21="식후",IF(M21&gt;=설정!$C$14,"주의","정상"),"조건확인")))))))</f>
        <v/>
      </c>
      <c r="V21" s="32" t="str">
        <f aca="false">IF(OR(T21="긴급",LEFT(U21,2)="긴급",P21="O"),"대상","")</f>
        <v/>
      </c>
      <c r="W21" s="33" t="str">
        <f aca="false">IF(R21&lt;&gt;"",R21,IF(O21="O",IF(V21="대상",IF(Q21="O","완료","추가상담 대기"),"완료"),IF(COUNTA(K21:M21)=3,"상담 대기",IF(J21="O","측정 대기",IF(I21="O","운동평가 대기","미방문")))))</f>
        <v>미방문</v>
      </c>
      <c r="X21" s="34"/>
      <c r="Y21" s="34"/>
      <c r="Z21" s="34"/>
      <c r="AA21" s="34"/>
      <c r="AB21" s="34"/>
      <c r="AC21" s="35" t="str">
        <f aca="false">IF(AND(ISNUMBER(X21),ISNUMBER(Y21)),IF(Y21&gt;=X21,ROUND((Y21-X21)*1440,0),""),"")</f>
        <v/>
      </c>
      <c r="AD21" s="35" t="str">
        <f aca="false">IF(AND(ISNUMBER(Y21),ISNUMBER(Z21)),IF(Z21&gt;=Y21,ROUND((Z21-Y21)*1440,0),""),"")</f>
        <v/>
      </c>
      <c r="AE21" s="35" t="str">
        <f aca="false">IF(AND(ISNUMBER(Z21),ISNUMBER(AA21)),IF(AA21&gt;=Z21,ROUND((AA21-Z21)*1440,0),""),"")</f>
        <v/>
      </c>
      <c r="AF21" s="35" t="str">
        <f aca="false">IF(AND(ISNUMBER(AA21),ISNUMBER(AB21)),IF(AB21&gt;=AA21,ROUND((AB21-AA21)*1440,0),""),"")</f>
        <v/>
      </c>
      <c r="AG21" s="35" t="str">
        <f aca="false">IF(AND(W21="완료",ISNUMBER(X21)),IF(MAX(Y21:AB21)&gt;=X21,ROUND((MAX(Y21:AB21)-X21)*1440,0),""),"")</f>
        <v/>
      </c>
    </row>
    <row r="22" customFormat="false" ht="15" hidden="false" customHeight="false" outlineLevel="0" collapsed="false">
      <c r="A22" s="27" t="n">
        <v>18</v>
      </c>
      <c r="B22" s="28"/>
      <c r="C22" s="29"/>
      <c r="D22" s="29"/>
      <c r="E22" s="28"/>
      <c r="F22" s="30"/>
      <c r="G22" s="31"/>
      <c r="H22" s="28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8"/>
      <c r="T22" s="32" t="str">
        <f aca="false">IF(AND(K22="",L22=""),"",IF(OR(K22="-",L22="-"),"측정불가",IF(AND(ISNUMBER(K22),ISNUMBER(L22)),IF(OR(K22&gt;=설정!$C$9,L22&gt;=설정!$C$10),"긴급",IF(OR(K22&gt;=설정!$C$7,L22&gt;=설정!$C$8,K22&lt;설정!$C$11),"주의","정상")),"확인필요")))</f>
        <v/>
      </c>
      <c r="U22" s="32" t="str">
        <f aca="false">IF(M22="","",IF(M22="-","측정불가",IF(NOT(ISNUMBER(M22)),"확인필요",IF(M22&lt;설정!$C$15,"긴급(저혈당)",IF(M22&gt;=설정!$C$16,"긴급(고혈당)",IF(N22="공복",IF(M22&gt;=설정!$C$13,"주의","정상"),IF(N22="식후",IF(M22&gt;=설정!$C$14,"주의","정상"),"조건확인")))))))</f>
        <v/>
      </c>
      <c r="V22" s="32" t="str">
        <f aca="false">IF(OR(T22="긴급",LEFT(U22,2)="긴급",P22="O"),"대상","")</f>
        <v/>
      </c>
      <c r="W22" s="33" t="str">
        <f aca="false">IF(R22&lt;&gt;"",R22,IF(O22="O",IF(V22="대상",IF(Q22="O","완료","추가상담 대기"),"완료"),IF(COUNTA(K22:M22)=3,"상담 대기",IF(J22="O","측정 대기",IF(I22="O","운동평가 대기","미방문")))))</f>
        <v>미방문</v>
      </c>
      <c r="X22" s="34"/>
      <c r="Y22" s="34"/>
      <c r="Z22" s="34"/>
      <c r="AA22" s="34"/>
      <c r="AB22" s="34"/>
      <c r="AC22" s="35" t="str">
        <f aca="false">IF(AND(ISNUMBER(X22),ISNUMBER(Y22)),IF(Y22&gt;=X22,ROUND((Y22-X22)*1440,0),""),"")</f>
        <v/>
      </c>
      <c r="AD22" s="35" t="str">
        <f aca="false">IF(AND(ISNUMBER(Y22),ISNUMBER(Z22)),IF(Z22&gt;=Y22,ROUND((Z22-Y22)*1440,0),""),"")</f>
        <v/>
      </c>
      <c r="AE22" s="35" t="str">
        <f aca="false">IF(AND(ISNUMBER(Z22),ISNUMBER(AA22)),IF(AA22&gt;=Z22,ROUND((AA22-Z22)*1440,0),""),"")</f>
        <v/>
      </c>
      <c r="AF22" s="35" t="str">
        <f aca="false">IF(AND(ISNUMBER(AA22),ISNUMBER(AB22)),IF(AB22&gt;=AA22,ROUND((AB22-AA22)*1440,0),""),"")</f>
        <v/>
      </c>
      <c r="AG22" s="35" t="str">
        <f aca="false">IF(AND(W22="완료",ISNUMBER(X22)),IF(MAX(Y22:AB22)&gt;=X22,ROUND((MAX(Y22:AB22)-X22)*1440,0),""),"")</f>
        <v/>
      </c>
    </row>
    <row r="23" customFormat="false" ht="15" hidden="false" customHeight="false" outlineLevel="0" collapsed="false">
      <c r="A23" s="27" t="n">
        <v>19</v>
      </c>
      <c r="B23" s="28"/>
      <c r="C23" s="29"/>
      <c r="D23" s="29"/>
      <c r="E23" s="28"/>
      <c r="F23" s="30"/>
      <c r="G23" s="31"/>
      <c r="H23" s="28"/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8"/>
      <c r="T23" s="32" t="str">
        <f aca="false">IF(AND(K23="",L23=""),"",IF(OR(K23="-",L23="-"),"측정불가",IF(AND(ISNUMBER(K23),ISNUMBER(L23)),IF(OR(K23&gt;=설정!$C$9,L23&gt;=설정!$C$10),"긴급",IF(OR(K23&gt;=설정!$C$7,L23&gt;=설정!$C$8,K23&lt;설정!$C$11),"주의","정상")),"확인필요")))</f>
        <v/>
      </c>
      <c r="U23" s="32" t="str">
        <f aca="false">IF(M23="","",IF(M23="-","측정불가",IF(NOT(ISNUMBER(M23)),"확인필요",IF(M23&lt;설정!$C$15,"긴급(저혈당)",IF(M23&gt;=설정!$C$16,"긴급(고혈당)",IF(N23="공복",IF(M23&gt;=설정!$C$13,"주의","정상"),IF(N23="식후",IF(M23&gt;=설정!$C$14,"주의","정상"),"조건확인")))))))</f>
        <v/>
      </c>
      <c r="V23" s="32" t="str">
        <f aca="false">IF(OR(T23="긴급",LEFT(U23,2)="긴급",P23="O"),"대상","")</f>
        <v/>
      </c>
      <c r="W23" s="33" t="str">
        <f aca="false">IF(R23&lt;&gt;"",R23,IF(O23="O",IF(V23="대상",IF(Q23="O","완료","추가상담 대기"),"완료"),IF(COUNTA(K23:M23)=3,"상담 대기",IF(J23="O","측정 대기",IF(I23="O","운동평가 대기","미방문")))))</f>
        <v>미방문</v>
      </c>
      <c r="X23" s="34"/>
      <c r="Y23" s="34"/>
      <c r="Z23" s="34"/>
      <c r="AA23" s="34"/>
      <c r="AB23" s="34"/>
      <c r="AC23" s="35" t="str">
        <f aca="false">IF(AND(ISNUMBER(X23),ISNUMBER(Y23)),IF(Y23&gt;=X23,ROUND((Y23-X23)*1440,0),""),"")</f>
        <v/>
      </c>
      <c r="AD23" s="35" t="str">
        <f aca="false">IF(AND(ISNUMBER(Y23),ISNUMBER(Z23)),IF(Z23&gt;=Y23,ROUND((Z23-Y23)*1440,0),""),"")</f>
        <v/>
      </c>
      <c r="AE23" s="35" t="str">
        <f aca="false">IF(AND(ISNUMBER(Z23),ISNUMBER(AA23)),IF(AA23&gt;=Z23,ROUND((AA23-Z23)*1440,0),""),"")</f>
        <v/>
      </c>
      <c r="AF23" s="35" t="str">
        <f aca="false">IF(AND(ISNUMBER(AA23),ISNUMBER(AB23)),IF(AB23&gt;=AA23,ROUND((AB23-AA23)*1440,0),""),"")</f>
        <v/>
      </c>
      <c r="AG23" s="35" t="str">
        <f aca="false">IF(AND(W23="완료",ISNUMBER(X23)),IF(MAX(Y23:AB23)&gt;=X23,ROUND((MAX(Y23:AB23)-X23)*1440,0),""),"")</f>
        <v/>
      </c>
    </row>
    <row r="24" customFormat="false" ht="15" hidden="false" customHeight="false" outlineLevel="0" collapsed="false">
      <c r="A24" s="27" t="n">
        <v>20</v>
      </c>
      <c r="B24" s="28"/>
      <c r="C24" s="29"/>
      <c r="D24" s="29"/>
      <c r="E24" s="28"/>
      <c r="F24" s="30"/>
      <c r="G24" s="31"/>
      <c r="H24" s="28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8"/>
      <c r="T24" s="32" t="str">
        <f aca="false">IF(AND(K24="",L24=""),"",IF(OR(K24="-",L24="-"),"측정불가",IF(AND(ISNUMBER(K24),ISNUMBER(L24)),IF(OR(K24&gt;=설정!$C$9,L24&gt;=설정!$C$10),"긴급",IF(OR(K24&gt;=설정!$C$7,L24&gt;=설정!$C$8,K24&lt;설정!$C$11),"주의","정상")),"확인필요")))</f>
        <v/>
      </c>
      <c r="U24" s="32" t="str">
        <f aca="false">IF(M24="","",IF(M24="-","측정불가",IF(NOT(ISNUMBER(M24)),"확인필요",IF(M24&lt;설정!$C$15,"긴급(저혈당)",IF(M24&gt;=설정!$C$16,"긴급(고혈당)",IF(N24="공복",IF(M24&gt;=설정!$C$13,"주의","정상"),IF(N24="식후",IF(M24&gt;=설정!$C$14,"주의","정상"),"조건확인")))))))</f>
        <v/>
      </c>
      <c r="V24" s="32" t="str">
        <f aca="false">IF(OR(T24="긴급",LEFT(U24,2)="긴급",P24="O"),"대상","")</f>
        <v/>
      </c>
      <c r="W24" s="33" t="str">
        <f aca="false">IF(R24&lt;&gt;"",R24,IF(O24="O",IF(V24="대상",IF(Q24="O","완료","추가상담 대기"),"완료"),IF(COUNTA(K24:M24)=3,"상담 대기",IF(J24="O","측정 대기",IF(I24="O","운동평가 대기","미방문")))))</f>
        <v>미방문</v>
      </c>
      <c r="X24" s="34"/>
      <c r="Y24" s="34"/>
      <c r="Z24" s="34"/>
      <c r="AA24" s="34"/>
      <c r="AB24" s="34"/>
      <c r="AC24" s="35" t="str">
        <f aca="false">IF(AND(ISNUMBER(X24),ISNUMBER(Y24)),IF(Y24&gt;=X24,ROUND((Y24-X24)*1440,0),""),"")</f>
        <v/>
      </c>
      <c r="AD24" s="35" t="str">
        <f aca="false">IF(AND(ISNUMBER(Y24),ISNUMBER(Z24)),IF(Z24&gt;=Y24,ROUND((Z24-Y24)*1440,0),""),"")</f>
        <v/>
      </c>
      <c r="AE24" s="35" t="str">
        <f aca="false">IF(AND(ISNUMBER(Z24),ISNUMBER(AA24)),IF(AA24&gt;=Z24,ROUND((AA24-Z24)*1440,0),""),"")</f>
        <v/>
      </c>
      <c r="AF24" s="35" t="str">
        <f aca="false">IF(AND(ISNUMBER(AA24),ISNUMBER(AB24)),IF(AB24&gt;=AA24,ROUND((AB24-AA24)*1440,0),""),"")</f>
        <v/>
      </c>
      <c r="AG24" s="35" t="str">
        <f aca="false">IF(AND(W24="완료",ISNUMBER(X24)),IF(MAX(Y24:AB24)&gt;=X24,ROUND((MAX(Y24:AB24)-X24)*1440,0),""),"")</f>
        <v/>
      </c>
    </row>
    <row r="25" customFormat="false" ht="15" hidden="false" customHeight="false" outlineLevel="0" collapsed="false">
      <c r="A25" s="27" t="n">
        <v>21</v>
      </c>
      <c r="B25" s="28"/>
      <c r="C25" s="29"/>
      <c r="D25" s="29"/>
      <c r="E25" s="28"/>
      <c r="F25" s="30"/>
      <c r="G25" s="31"/>
      <c r="H25" s="28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8"/>
      <c r="T25" s="32" t="str">
        <f aca="false">IF(AND(K25="",L25=""),"",IF(OR(K25="-",L25="-"),"측정불가",IF(AND(ISNUMBER(K25),ISNUMBER(L25)),IF(OR(K25&gt;=설정!$C$9,L25&gt;=설정!$C$10),"긴급",IF(OR(K25&gt;=설정!$C$7,L25&gt;=설정!$C$8,K25&lt;설정!$C$11),"주의","정상")),"확인필요")))</f>
        <v/>
      </c>
      <c r="U25" s="32" t="str">
        <f aca="false">IF(M25="","",IF(M25="-","측정불가",IF(NOT(ISNUMBER(M25)),"확인필요",IF(M25&lt;설정!$C$15,"긴급(저혈당)",IF(M25&gt;=설정!$C$16,"긴급(고혈당)",IF(N25="공복",IF(M25&gt;=설정!$C$13,"주의","정상"),IF(N25="식후",IF(M25&gt;=설정!$C$14,"주의","정상"),"조건확인")))))))</f>
        <v/>
      </c>
      <c r="V25" s="32" t="str">
        <f aca="false">IF(OR(T25="긴급",LEFT(U25,2)="긴급",P25="O"),"대상","")</f>
        <v/>
      </c>
      <c r="W25" s="33" t="str">
        <f aca="false">IF(R25&lt;&gt;"",R25,IF(O25="O",IF(V25="대상",IF(Q25="O","완료","추가상담 대기"),"완료"),IF(COUNTA(K25:M25)=3,"상담 대기",IF(J25="O","측정 대기",IF(I25="O","운동평가 대기","미방문")))))</f>
        <v>미방문</v>
      </c>
      <c r="X25" s="34"/>
      <c r="Y25" s="34"/>
      <c r="Z25" s="34"/>
      <c r="AA25" s="34"/>
      <c r="AB25" s="34"/>
      <c r="AC25" s="35" t="str">
        <f aca="false">IF(AND(ISNUMBER(X25),ISNUMBER(Y25)),IF(Y25&gt;=X25,ROUND((Y25-X25)*1440,0),""),"")</f>
        <v/>
      </c>
      <c r="AD25" s="35" t="str">
        <f aca="false">IF(AND(ISNUMBER(Y25),ISNUMBER(Z25)),IF(Z25&gt;=Y25,ROUND((Z25-Y25)*1440,0),""),"")</f>
        <v/>
      </c>
      <c r="AE25" s="35" t="str">
        <f aca="false">IF(AND(ISNUMBER(Z25),ISNUMBER(AA25)),IF(AA25&gt;=Z25,ROUND((AA25-Z25)*1440,0),""),"")</f>
        <v/>
      </c>
      <c r="AF25" s="35" t="str">
        <f aca="false">IF(AND(ISNUMBER(AA25),ISNUMBER(AB25)),IF(AB25&gt;=AA25,ROUND((AB25-AA25)*1440,0),""),"")</f>
        <v/>
      </c>
      <c r="AG25" s="35" t="str">
        <f aca="false">IF(AND(W25="완료",ISNUMBER(X25)),IF(MAX(Y25:AB25)&gt;=X25,ROUND((MAX(Y25:AB25)-X25)*1440,0),""),"")</f>
        <v/>
      </c>
    </row>
    <row r="26" customFormat="false" ht="15" hidden="false" customHeight="false" outlineLevel="0" collapsed="false">
      <c r="A26" s="27" t="n">
        <v>22</v>
      </c>
      <c r="B26" s="28"/>
      <c r="C26" s="29"/>
      <c r="D26" s="29"/>
      <c r="E26" s="28"/>
      <c r="F26" s="30"/>
      <c r="G26" s="31"/>
      <c r="H26" s="28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8"/>
      <c r="T26" s="32" t="str">
        <f aca="false">IF(AND(K26="",L26=""),"",IF(OR(K26="-",L26="-"),"측정불가",IF(AND(ISNUMBER(K26),ISNUMBER(L26)),IF(OR(K26&gt;=설정!$C$9,L26&gt;=설정!$C$10),"긴급",IF(OR(K26&gt;=설정!$C$7,L26&gt;=설정!$C$8,K26&lt;설정!$C$11),"주의","정상")),"확인필요")))</f>
        <v/>
      </c>
      <c r="U26" s="32" t="str">
        <f aca="false">IF(M26="","",IF(M26="-","측정불가",IF(NOT(ISNUMBER(M26)),"확인필요",IF(M26&lt;설정!$C$15,"긴급(저혈당)",IF(M26&gt;=설정!$C$16,"긴급(고혈당)",IF(N26="공복",IF(M26&gt;=설정!$C$13,"주의","정상"),IF(N26="식후",IF(M26&gt;=설정!$C$14,"주의","정상"),"조건확인")))))))</f>
        <v/>
      </c>
      <c r="V26" s="32" t="str">
        <f aca="false">IF(OR(T26="긴급",LEFT(U26,2)="긴급",P26="O"),"대상","")</f>
        <v/>
      </c>
      <c r="W26" s="33" t="str">
        <f aca="false">IF(R26&lt;&gt;"",R26,IF(O26="O",IF(V26="대상",IF(Q26="O","완료","추가상담 대기"),"완료"),IF(COUNTA(K26:M26)=3,"상담 대기",IF(J26="O","측정 대기",IF(I26="O","운동평가 대기","미방문")))))</f>
        <v>미방문</v>
      </c>
      <c r="X26" s="34"/>
      <c r="Y26" s="34"/>
      <c r="Z26" s="34"/>
      <c r="AA26" s="34"/>
      <c r="AB26" s="34"/>
      <c r="AC26" s="35" t="str">
        <f aca="false">IF(AND(ISNUMBER(X26),ISNUMBER(Y26)),IF(Y26&gt;=X26,ROUND((Y26-X26)*1440,0),""),"")</f>
        <v/>
      </c>
      <c r="AD26" s="35" t="str">
        <f aca="false">IF(AND(ISNUMBER(Y26),ISNUMBER(Z26)),IF(Z26&gt;=Y26,ROUND((Z26-Y26)*1440,0),""),"")</f>
        <v/>
      </c>
      <c r="AE26" s="35" t="str">
        <f aca="false">IF(AND(ISNUMBER(Z26),ISNUMBER(AA26)),IF(AA26&gt;=Z26,ROUND((AA26-Z26)*1440,0),""),"")</f>
        <v/>
      </c>
      <c r="AF26" s="35" t="str">
        <f aca="false">IF(AND(ISNUMBER(AA26),ISNUMBER(AB26)),IF(AB26&gt;=AA26,ROUND((AB26-AA26)*1440,0),""),"")</f>
        <v/>
      </c>
      <c r="AG26" s="35" t="str">
        <f aca="false">IF(AND(W26="완료",ISNUMBER(X26)),IF(MAX(Y26:AB26)&gt;=X26,ROUND((MAX(Y26:AB26)-X26)*1440,0),""),"")</f>
        <v/>
      </c>
    </row>
    <row r="27" customFormat="false" ht="15" hidden="false" customHeight="false" outlineLevel="0" collapsed="false">
      <c r="A27" s="27" t="n">
        <v>23</v>
      </c>
      <c r="B27" s="28"/>
      <c r="C27" s="29"/>
      <c r="D27" s="29"/>
      <c r="E27" s="28"/>
      <c r="F27" s="30"/>
      <c r="G27" s="31"/>
      <c r="H27" s="28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8"/>
      <c r="T27" s="32" t="str">
        <f aca="false">IF(AND(K27="",L27=""),"",IF(OR(K27="-",L27="-"),"측정불가",IF(AND(ISNUMBER(K27),ISNUMBER(L27)),IF(OR(K27&gt;=설정!$C$9,L27&gt;=설정!$C$10),"긴급",IF(OR(K27&gt;=설정!$C$7,L27&gt;=설정!$C$8,K27&lt;설정!$C$11),"주의","정상")),"확인필요")))</f>
        <v/>
      </c>
      <c r="U27" s="32" t="str">
        <f aca="false">IF(M27="","",IF(M27="-","측정불가",IF(NOT(ISNUMBER(M27)),"확인필요",IF(M27&lt;설정!$C$15,"긴급(저혈당)",IF(M27&gt;=설정!$C$16,"긴급(고혈당)",IF(N27="공복",IF(M27&gt;=설정!$C$13,"주의","정상"),IF(N27="식후",IF(M27&gt;=설정!$C$14,"주의","정상"),"조건확인")))))))</f>
        <v/>
      </c>
      <c r="V27" s="32" t="str">
        <f aca="false">IF(OR(T27="긴급",LEFT(U27,2)="긴급",P27="O"),"대상","")</f>
        <v/>
      </c>
      <c r="W27" s="33" t="str">
        <f aca="false">IF(R27&lt;&gt;"",R27,IF(O27="O",IF(V27="대상",IF(Q27="O","완료","추가상담 대기"),"완료"),IF(COUNTA(K27:M27)=3,"상담 대기",IF(J27="O","측정 대기",IF(I27="O","운동평가 대기","미방문")))))</f>
        <v>미방문</v>
      </c>
      <c r="X27" s="34"/>
      <c r="Y27" s="34"/>
      <c r="Z27" s="34"/>
      <c r="AA27" s="34"/>
      <c r="AB27" s="34"/>
      <c r="AC27" s="35" t="str">
        <f aca="false">IF(AND(ISNUMBER(X27),ISNUMBER(Y27)),IF(Y27&gt;=X27,ROUND((Y27-X27)*1440,0),""),"")</f>
        <v/>
      </c>
      <c r="AD27" s="35" t="str">
        <f aca="false">IF(AND(ISNUMBER(Y27),ISNUMBER(Z27)),IF(Z27&gt;=Y27,ROUND((Z27-Y27)*1440,0),""),"")</f>
        <v/>
      </c>
      <c r="AE27" s="35" t="str">
        <f aca="false">IF(AND(ISNUMBER(Z27),ISNUMBER(AA27)),IF(AA27&gt;=Z27,ROUND((AA27-Z27)*1440,0),""),"")</f>
        <v/>
      </c>
      <c r="AF27" s="35" t="str">
        <f aca="false">IF(AND(ISNUMBER(AA27),ISNUMBER(AB27)),IF(AB27&gt;=AA27,ROUND((AB27-AA27)*1440,0),""),"")</f>
        <v/>
      </c>
      <c r="AG27" s="35" t="str">
        <f aca="false">IF(AND(W27="완료",ISNUMBER(X27)),IF(MAX(Y27:AB27)&gt;=X27,ROUND((MAX(Y27:AB27)-X27)*1440,0),""),"")</f>
        <v/>
      </c>
    </row>
    <row r="28" customFormat="false" ht="15" hidden="false" customHeight="false" outlineLevel="0" collapsed="false">
      <c r="A28" s="27" t="n">
        <v>24</v>
      </c>
      <c r="B28" s="28"/>
      <c r="C28" s="29"/>
      <c r="D28" s="29"/>
      <c r="E28" s="28"/>
      <c r="F28" s="30"/>
      <c r="G28" s="31"/>
      <c r="H28" s="28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8"/>
      <c r="T28" s="32" t="str">
        <f aca="false">IF(AND(K28="",L28=""),"",IF(OR(K28="-",L28="-"),"측정불가",IF(AND(ISNUMBER(K28),ISNUMBER(L28)),IF(OR(K28&gt;=설정!$C$9,L28&gt;=설정!$C$10),"긴급",IF(OR(K28&gt;=설정!$C$7,L28&gt;=설정!$C$8,K28&lt;설정!$C$11),"주의","정상")),"확인필요")))</f>
        <v/>
      </c>
      <c r="U28" s="32" t="str">
        <f aca="false">IF(M28="","",IF(M28="-","측정불가",IF(NOT(ISNUMBER(M28)),"확인필요",IF(M28&lt;설정!$C$15,"긴급(저혈당)",IF(M28&gt;=설정!$C$16,"긴급(고혈당)",IF(N28="공복",IF(M28&gt;=설정!$C$13,"주의","정상"),IF(N28="식후",IF(M28&gt;=설정!$C$14,"주의","정상"),"조건확인")))))))</f>
        <v/>
      </c>
      <c r="V28" s="32" t="str">
        <f aca="false">IF(OR(T28="긴급",LEFT(U28,2)="긴급",P28="O"),"대상","")</f>
        <v/>
      </c>
      <c r="W28" s="33" t="str">
        <f aca="false">IF(R28&lt;&gt;"",R28,IF(O28="O",IF(V28="대상",IF(Q28="O","완료","추가상담 대기"),"완료"),IF(COUNTA(K28:M28)=3,"상담 대기",IF(J28="O","측정 대기",IF(I28="O","운동평가 대기","미방문")))))</f>
        <v>미방문</v>
      </c>
      <c r="X28" s="34"/>
      <c r="Y28" s="34"/>
      <c r="Z28" s="34"/>
      <c r="AA28" s="34"/>
      <c r="AB28" s="34"/>
      <c r="AC28" s="35" t="str">
        <f aca="false">IF(AND(ISNUMBER(X28),ISNUMBER(Y28)),IF(Y28&gt;=X28,ROUND((Y28-X28)*1440,0),""),"")</f>
        <v/>
      </c>
      <c r="AD28" s="35" t="str">
        <f aca="false">IF(AND(ISNUMBER(Y28),ISNUMBER(Z28)),IF(Z28&gt;=Y28,ROUND((Z28-Y28)*1440,0),""),"")</f>
        <v/>
      </c>
      <c r="AE28" s="35" t="str">
        <f aca="false">IF(AND(ISNUMBER(Z28),ISNUMBER(AA28)),IF(AA28&gt;=Z28,ROUND((AA28-Z28)*1440,0),""),"")</f>
        <v/>
      </c>
      <c r="AF28" s="35" t="str">
        <f aca="false">IF(AND(ISNUMBER(AA28),ISNUMBER(AB28)),IF(AB28&gt;=AA28,ROUND((AB28-AA28)*1440,0),""),"")</f>
        <v/>
      </c>
      <c r="AG28" s="35" t="str">
        <f aca="false">IF(AND(W28="완료",ISNUMBER(X28)),IF(MAX(Y28:AB28)&gt;=X28,ROUND((MAX(Y28:AB28)-X28)*1440,0),""),"")</f>
        <v/>
      </c>
    </row>
    <row r="29" customFormat="false" ht="15" hidden="false" customHeight="false" outlineLevel="0" collapsed="false">
      <c r="A29" s="27" t="n">
        <v>25</v>
      </c>
      <c r="B29" s="28"/>
      <c r="C29" s="29"/>
      <c r="D29" s="29"/>
      <c r="E29" s="28"/>
      <c r="F29" s="30"/>
      <c r="G29" s="31"/>
      <c r="H29" s="28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8"/>
      <c r="T29" s="32" t="str">
        <f aca="false">IF(AND(K29="",L29=""),"",IF(OR(K29="-",L29="-"),"측정불가",IF(AND(ISNUMBER(K29),ISNUMBER(L29)),IF(OR(K29&gt;=설정!$C$9,L29&gt;=설정!$C$10),"긴급",IF(OR(K29&gt;=설정!$C$7,L29&gt;=설정!$C$8,K29&lt;설정!$C$11),"주의","정상")),"확인필요")))</f>
        <v/>
      </c>
      <c r="U29" s="32" t="str">
        <f aca="false">IF(M29="","",IF(M29="-","측정불가",IF(NOT(ISNUMBER(M29)),"확인필요",IF(M29&lt;설정!$C$15,"긴급(저혈당)",IF(M29&gt;=설정!$C$16,"긴급(고혈당)",IF(N29="공복",IF(M29&gt;=설정!$C$13,"주의","정상"),IF(N29="식후",IF(M29&gt;=설정!$C$14,"주의","정상"),"조건확인")))))))</f>
        <v/>
      </c>
      <c r="V29" s="32" t="str">
        <f aca="false">IF(OR(T29="긴급",LEFT(U29,2)="긴급",P29="O"),"대상","")</f>
        <v/>
      </c>
      <c r="W29" s="33" t="str">
        <f aca="false">IF(R29&lt;&gt;"",R29,IF(O29="O",IF(V29="대상",IF(Q29="O","완료","추가상담 대기"),"완료"),IF(COUNTA(K29:M29)=3,"상담 대기",IF(J29="O","측정 대기",IF(I29="O","운동평가 대기","미방문")))))</f>
        <v>미방문</v>
      </c>
      <c r="X29" s="34"/>
      <c r="Y29" s="34"/>
      <c r="Z29" s="34"/>
      <c r="AA29" s="34"/>
      <c r="AB29" s="34"/>
      <c r="AC29" s="35" t="str">
        <f aca="false">IF(AND(ISNUMBER(X29),ISNUMBER(Y29)),IF(Y29&gt;=X29,ROUND((Y29-X29)*1440,0),""),"")</f>
        <v/>
      </c>
      <c r="AD29" s="35" t="str">
        <f aca="false">IF(AND(ISNUMBER(Y29),ISNUMBER(Z29)),IF(Z29&gt;=Y29,ROUND((Z29-Y29)*1440,0),""),"")</f>
        <v/>
      </c>
      <c r="AE29" s="35" t="str">
        <f aca="false">IF(AND(ISNUMBER(Z29),ISNUMBER(AA29)),IF(AA29&gt;=Z29,ROUND((AA29-Z29)*1440,0),""),"")</f>
        <v/>
      </c>
      <c r="AF29" s="35" t="str">
        <f aca="false">IF(AND(ISNUMBER(AA29),ISNUMBER(AB29)),IF(AB29&gt;=AA29,ROUND((AB29-AA29)*1440,0),""),"")</f>
        <v/>
      </c>
      <c r="AG29" s="35" t="str">
        <f aca="false">IF(AND(W29="완료",ISNUMBER(X29)),IF(MAX(Y29:AB29)&gt;=X29,ROUND((MAX(Y29:AB29)-X29)*1440,0),""),"")</f>
        <v/>
      </c>
    </row>
    <row r="30" customFormat="false" ht="15" hidden="false" customHeight="false" outlineLevel="0" collapsed="false">
      <c r="A30" s="27" t="n">
        <v>26</v>
      </c>
      <c r="B30" s="28"/>
      <c r="C30" s="29"/>
      <c r="D30" s="29"/>
      <c r="E30" s="28"/>
      <c r="F30" s="30"/>
      <c r="G30" s="31"/>
      <c r="H30" s="28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8"/>
      <c r="T30" s="32" t="str">
        <f aca="false">IF(AND(K30="",L30=""),"",IF(OR(K30="-",L30="-"),"측정불가",IF(AND(ISNUMBER(K30),ISNUMBER(L30)),IF(OR(K30&gt;=설정!$C$9,L30&gt;=설정!$C$10),"긴급",IF(OR(K30&gt;=설정!$C$7,L30&gt;=설정!$C$8,K30&lt;설정!$C$11),"주의","정상")),"확인필요")))</f>
        <v/>
      </c>
      <c r="U30" s="32" t="str">
        <f aca="false">IF(M30="","",IF(M30="-","측정불가",IF(NOT(ISNUMBER(M30)),"확인필요",IF(M30&lt;설정!$C$15,"긴급(저혈당)",IF(M30&gt;=설정!$C$16,"긴급(고혈당)",IF(N30="공복",IF(M30&gt;=설정!$C$13,"주의","정상"),IF(N30="식후",IF(M30&gt;=설정!$C$14,"주의","정상"),"조건확인")))))))</f>
        <v/>
      </c>
      <c r="V30" s="32" t="str">
        <f aca="false">IF(OR(T30="긴급",LEFT(U30,2)="긴급",P30="O"),"대상","")</f>
        <v/>
      </c>
      <c r="W30" s="33" t="str">
        <f aca="false">IF(R30&lt;&gt;"",R30,IF(O30="O",IF(V30="대상",IF(Q30="O","완료","추가상담 대기"),"완료"),IF(COUNTA(K30:M30)=3,"상담 대기",IF(J30="O","측정 대기",IF(I30="O","운동평가 대기","미방문")))))</f>
        <v>미방문</v>
      </c>
      <c r="X30" s="34"/>
      <c r="Y30" s="34"/>
      <c r="Z30" s="34"/>
      <c r="AA30" s="34"/>
      <c r="AB30" s="34"/>
      <c r="AC30" s="35" t="str">
        <f aca="false">IF(AND(ISNUMBER(X30),ISNUMBER(Y30)),IF(Y30&gt;=X30,ROUND((Y30-X30)*1440,0),""),"")</f>
        <v/>
      </c>
      <c r="AD30" s="35" t="str">
        <f aca="false">IF(AND(ISNUMBER(Y30),ISNUMBER(Z30)),IF(Z30&gt;=Y30,ROUND((Z30-Y30)*1440,0),""),"")</f>
        <v/>
      </c>
      <c r="AE30" s="35" t="str">
        <f aca="false">IF(AND(ISNUMBER(Z30),ISNUMBER(AA30)),IF(AA30&gt;=Z30,ROUND((AA30-Z30)*1440,0),""),"")</f>
        <v/>
      </c>
      <c r="AF30" s="35" t="str">
        <f aca="false">IF(AND(ISNUMBER(AA30),ISNUMBER(AB30)),IF(AB30&gt;=AA30,ROUND((AB30-AA30)*1440,0),""),"")</f>
        <v/>
      </c>
      <c r="AG30" s="35" t="str">
        <f aca="false">IF(AND(W30="완료",ISNUMBER(X30)),IF(MAX(Y30:AB30)&gt;=X30,ROUND((MAX(Y30:AB30)-X30)*1440,0),""),"")</f>
        <v/>
      </c>
    </row>
    <row r="31" customFormat="false" ht="15" hidden="false" customHeight="false" outlineLevel="0" collapsed="false">
      <c r="A31" s="27" t="n">
        <v>27</v>
      </c>
      <c r="B31" s="28"/>
      <c r="C31" s="29"/>
      <c r="D31" s="29"/>
      <c r="E31" s="28"/>
      <c r="F31" s="30"/>
      <c r="G31" s="31"/>
      <c r="H31" s="28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8"/>
      <c r="T31" s="32" t="str">
        <f aca="false">IF(AND(K31="",L31=""),"",IF(OR(K31="-",L31="-"),"측정불가",IF(AND(ISNUMBER(K31),ISNUMBER(L31)),IF(OR(K31&gt;=설정!$C$9,L31&gt;=설정!$C$10),"긴급",IF(OR(K31&gt;=설정!$C$7,L31&gt;=설정!$C$8,K31&lt;설정!$C$11),"주의","정상")),"확인필요")))</f>
        <v/>
      </c>
      <c r="U31" s="32" t="str">
        <f aca="false">IF(M31="","",IF(M31="-","측정불가",IF(NOT(ISNUMBER(M31)),"확인필요",IF(M31&lt;설정!$C$15,"긴급(저혈당)",IF(M31&gt;=설정!$C$16,"긴급(고혈당)",IF(N31="공복",IF(M31&gt;=설정!$C$13,"주의","정상"),IF(N31="식후",IF(M31&gt;=설정!$C$14,"주의","정상"),"조건확인")))))))</f>
        <v/>
      </c>
      <c r="V31" s="32" t="str">
        <f aca="false">IF(OR(T31="긴급",LEFT(U31,2)="긴급",P31="O"),"대상","")</f>
        <v/>
      </c>
      <c r="W31" s="33" t="str">
        <f aca="false">IF(R31&lt;&gt;"",R31,IF(O31="O",IF(V31="대상",IF(Q31="O","완료","추가상담 대기"),"완료"),IF(COUNTA(K31:M31)=3,"상담 대기",IF(J31="O","측정 대기",IF(I31="O","운동평가 대기","미방문")))))</f>
        <v>미방문</v>
      </c>
      <c r="X31" s="34"/>
      <c r="Y31" s="34"/>
      <c r="Z31" s="34"/>
      <c r="AA31" s="34"/>
      <c r="AB31" s="34"/>
      <c r="AC31" s="35" t="str">
        <f aca="false">IF(AND(ISNUMBER(X31),ISNUMBER(Y31)),IF(Y31&gt;=X31,ROUND((Y31-X31)*1440,0),""),"")</f>
        <v/>
      </c>
      <c r="AD31" s="35" t="str">
        <f aca="false">IF(AND(ISNUMBER(Y31),ISNUMBER(Z31)),IF(Z31&gt;=Y31,ROUND((Z31-Y31)*1440,0),""),"")</f>
        <v/>
      </c>
      <c r="AE31" s="35" t="str">
        <f aca="false">IF(AND(ISNUMBER(Z31),ISNUMBER(AA31)),IF(AA31&gt;=Z31,ROUND((AA31-Z31)*1440,0),""),"")</f>
        <v/>
      </c>
      <c r="AF31" s="35" t="str">
        <f aca="false">IF(AND(ISNUMBER(AA31),ISNUMBER(AB31)),IF(AB31&gt;=AA31,ROUND((AB31-AA31)*1440,0),""),"")</f>
        <v/>
      </c>
      <c r="AG31" s="35" t="str">
        <f aca="false">IF(AND(W31="완료",ISNUMBER(X31)),IF(MAX(Y31:AB31)&gt;=X31,ROUND((MAX(Y31:AB31)-X31)*1440,0),""),"")</f>
        <v/>
      </c>
    </row>
    <row r="32" customFormat="false" ht="15" hidden="false" customHeight="false" outlineLevel="0" collapsed="false">
      <c r="A32" s="27" t="n">
        <v>28</v>
      </c>
      <c r="B32" s="28"/>
      <c r="C32" s="29"/>
      <c r="D32" s="29"/>
      <c r="E32" s="28"/>
      <c r="F32" s="30"/>
      <c r="G32" s="31"/>
      <c r="H32" s="28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8"/>
      <c r="T32" s="32" t="str">
        <f aca="false">IF(AND(K32="",L32=""),"",IF(OR(K32="-",L32="-"),"측정불가",IF(AND(ISNUMBER(K32),ISNUMBER(L32)),IF(OR(K32&gt;=설정!$C$9,L32&gt;=설정!$C$10),"긴급",IF(OR(K32&gt;=설정!$C$7,L32&gt;=설정!$C$8,K32&lt;설정!$C$11),"주의","정상")),"확인필요")))</f>
        <v/>
      </c>
      <c r="U32" s="32" t="str">
        <f aca="false">IF(M32="","",IF(M32="-","측정불가",IF(NOT(ISNUMBER(M32)),"확인필요",IF(M32&lt;설정!$C$15,"긴급(저혈당)",IF(M32&gt;=설정!$C$16,"긴급(고혈당)",IF(N32="공복",IF(M32&gt;=설정!$C$13,"주의","정상"),IF(N32="식후",IF(M32&gt;=설정!$C$14,"주의","정상"),"조건확인")))))))</f>
        <v/>
      </c>
      <c r="V32" s="32" t="str">
        <f aca="false">IF(OR(T32="긴급",LEFT(U32,2)="긴급",P32="O"),"대상","")</f>
        <v/>
      </c>
      <c r="W32" s="33" t="str">
        <f aca="false">IF(R32&lt;&gt;"",R32,IF(O32="O",IF(V32="대상",IF(Q32="O","완료","추가상담 대기"),"완료"),IF(COUNTA(K32:M32)=3,"상담 대기",IF(J32="O","측정 대기",IF(I32="O","운동평가 대기","미방문")))))</f>
        <v>미방문</v>
      </c>
      <c r="X32" s="34"/>
      <c r="Y32" s="34"/>
      <c r="Z32" s="34"/>
      <c r="AA32" s="34"/>
      <c r="AB32" s="34"/>
      <c r="AC32" s="35" t="str">
        <f aca="false">IF(AND(ISNUMBER(X32),ISNUMBER(Y32)),IF(Y32&gt;=X32,ROUND((Y32-X32)*1440,0),""),"")</f>
        <v/>
      </c>
      <c r="AD32" s="35" t="str">
        <f aca="false">IF(AND(ISNUMBER(Y32),ISNUMBER(Z32)),IF(Z32&gt;=Y32,ROUND((Z32-Y32)*1440,0),""),"")</f>
        <v/>
      </c>
      <c r="AE32" s="35" t="str">
        <f aca="false">IF(AND(ISNUMBER(Z32),ISNUMBER(AA32)),IF(AA32&gt;=Z32,ROUND((AA32-Z32)*1440,0),""),"")</f>
        <v/>
      </c>
      <c r="AF32" s="35" t="str">
        <f aca="false">IF(AND(ISNUMBER(AA32),ISNUMBER(AB32)),IF(AB32&gt;=AA32,ROUND((AB32-AA32)*1440,0),""),"")</f>
        <v/>
      </c>
      <c r="AG32" s="35" t="str">
        <f aca="false">IF(AND(W32="완료",ISNUMBER(X32)),IF(MAX(Y32:AB32)&gt;=X32,ROUND((MAX(Y32:AB32)-X32)*1440,0),""),"")</f>
        <v/>
      </c>
    </row>
    <row r="33" customFormat="false" ht="15" hidden="false" customHeight="false" outlineLevel="0" collapsed="false">
      <c r="A33" s="27" t="n">
        <v>29</v>
      </c>
      <c r="B33" s="28"/>
      <c r="C33" s="29"/>
      <c r="D33" s="29"/>
      <c r="E33" s="28"/>
      <c r="F33" s="30"/>
      <c r="G33" s="31"/>
      <c r="H33" s="28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8"/>
      <c r="T33" s="32" t="str">
        <f aca="false">IF(AND(K33="",L33=""),"",IF(OR(K33="-",L33="-"),"측정불가",IF(AND(ISNUMBER(K33),ISNUMBER(L33)),IF(OR(K33&gt;=설정!$C$9,L33&gt;=설정!$C$10),"긴급",IF(OR(K33&gt;=설정!$C$7,L33&gt;=설정!$C$8,K33&lt;설정!$C$11),"주의","정상")),"확인필요")))</f>
        <v/>
      </c>
      <c r="U33" s="32" t="str">
        <f aca="false">IF(M33="","",IF(M33="-","측정불가",IF(NOT(ISNUMBER(M33)),"확인필요",IF(M33&lt;설정!$C$15,"긴급(저혈당)",IF(M33&gt;=설정!$C$16,"긴급(고혈당)",IF(N33="공복",IF(M33&gt;=설정!$C$13,"주의","정상"),IF(N33="식후",IF(M33&gt;=설정!$C$14,"주의","정상"),"조건확인")))))))</f>
        <v/>
      </c>
      <c r="V33" s="32" t="str">
        <f aca="false">IF(OR(T33="긴급",LEFT(U33,2)="긴급",P33="O"),"대상","")</f>
        <v/>
      </c>
      <c r="W33" s="33" t="str">
        <f aca="false">IF(R33&lt;&gt;"",R33,IF(O33="O",IF(V33="대상",IF(Q33="O","완료","추가상담 대기"),"완료"),IF(COUNTA(K33:M33)=3,"상담 대기",IF(J33="O","측정 대기",IF(I33="O","운동평가 대기","미방문")))))</f>
        <v>미방문</v>
      </c>
      <c r="X33" s="34"/>
      <c r="Y33" s="34"/>
      <c r="Z33" s="34"/>
      <c r="AA33" s="34"/>
      <c r="AB33" s="34"/>
      <c r="AC33" s="35" t="str">
        <f aca="false">IF(AND(ISNUMBER(X33),ISNUMBER(Y33)),IF(Y33&gt;=X33,ROUND((Y33-X33)*1440,0),""),"")</f>
        <v/>
      </c>
      <c r="AD33" s="35" t="str">
        <f aca="false">IF(AND(ISNUMBER(Y33),ISNUMBER(Z33)),IF(Z33&gt;=Y33,ROUND((Z33-Y33)*1440,0),""),"")</f>
        <v/>
      </c>
      <c r="AE33" s="35" t="str">
        <f aca="false">IF(AND(ISNUMBER(Z33),ISNUMBER(AA33)),IF(AA33&gt;=Z33,ROUND((AA33-Z33)*1440,0),""),"")</f>
        <v/>
      </c>
      <c r="AF33" s="35" t="str">
        <f aca="false">IF(AND(ISNUMBER(AA33),ISNUMBER(AB33)),IF(AB33&gt;=AA33,ROUND((AB33-AA33)*1440,0),""),"")</f>
        <v/>
      </c>
      <c r="AG33" s="35" t="str">
        <f aca="false">IF(AND(W33="완료",ISNUMBER(X33)),IF(MAX(Y33:AB33)&gt;=X33,ROUND((MAX(Y33:AB33)-X33)*1440,0),""),"")</f>
        <v/>
      </c>
    </row>
    <row r="34" customFormat="false" ht="15" hidden="false" customHeight="false" outlineLevel="0" collapsed="false">
      <c r="A34" s="27" t="n">
        <v>30</v>
      </c>
      <c r="B34" s="28"/>
      <c r="C34" s="29"/>
      <c r="D34" s="29"/>
      <c r="E34" s="28"/>
      <c r="F34" s="30"/>
      <c r="G34" s="31"/>
      <c r="H34" s="28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8"/>
      <c r="T34" s="32" t="str">
        <f aca="false">IF(AND(K34="",L34=""),"",IF(OR(K34="-",L34="-"),"측정불가",IF(AND(ISNUMBER(K34),ISNUMBER(L34)),IF(OR(K34&gt;=설정!$C$9,L34&gt;=설정!$C$10),"긴급",IF(OR(K34&gt;=설정!$C$7,L34&gt;=설정!$C$8,K34&lt;설정!$C$11),"주의","정상")),"확인필요")))</f>
        <v/>
      </c>
      <c r="U34" s="32" t="str">
        <f aca="false">IF(M34="","",IF(M34="-","측정불가",IF(NOT(ISNUMBER(M34)),"확인필요",IF(M34&lt;설정!$C$15,"긴급(저혈당)",IF(M34&gt;=설정!$C$16,"긴급(고혈당)",IF(N34="공복",IF(M34&gt;=설정!$C$13,"주의","정상"),IF(N34="식후",IF(M34&gt;=설정!$C$14,"주의","정상"),"조건확인")))))))</f>
        <v/>
      </c>
      <c r="V34" s="32" t="str">
        <f aca="false">IF(OR(T34="긴급",LEFT(U34,2)="긴급",P34="O"),"대상","")</f>
        <v/>
      </c>
      <c r="W34" s="33" t="str">
        <f aca="false">IF(R34&lt;&gt;"",R34,IF(O34="O",IF(V34="대상",IF(Q34="O","완료","추가상담 대기"),"완료"),IF(COUNTA(K34:M34)=3,"상담 대기",IF(J34="O","측정 대기",IF(I34="O","운동평가 대기","미방문")))))</f>
        <v>미방문</v>
      </c>
      <c r="X34" s="34"/>
      <c r="Y34" s="34"/>
      <c r="Z34" s="34"/>
      <c r="AA34" s="34"/>
      <c r="AB34" s="34"/>
      <c r="AC34" s="35" t="str">
        <f aca="false">IF(AND(ISNUMBER(X34),ISNUMBER(Y34)),IF(Y34&gt;=X34,ROUND((Y34-X34)*1440,0),""),"")</f>
        <v/>
      </c>
      <c r="AD34" s="35" t="str">
        <f aca="false">IF(AND(ISNUMBER(Y34),ISNUMBER(Z34)),IF(Z34&gt;=Y34,ROUND((Z34-Y34)*1440,0),""),"")</f>
        <v/>
      </c>
      <c r="AE34" s="35" t="str">
        <f aca="false">IF(AND(ISNUMBER(Z34),ISNUMBER(AA34)),IF(AA34&gt;=Z34,ROUND((AA34-Z34)*1440,0),""),"")</f>
        <v/>
      </c>
      <c r="AF34" s="35" t="str">
        <f aca="false">IF(AND(ISNUMBER(AA34),ISNUMBER(AB34)),IF(AB34&gt;=AA34,ROUND((AB34-AA34)*1440,0),""),"")</f>
        <v/>
      </c>
      <c r="AG34" s="35" t="str">
        <f aca="false">IF(AND(W34="완료",ISNUMBER(X34)),IF(MAX(Y34:AB34)&gt;=X34,ROUND((MAX(Y34:AB34)-X34)*1440,0),""),"")</f>
        <v/>
      </c>
    </row>
    <row r="35" customFormat="false" ht="15" hidden="false" customHeight="false" outlineLevel="0" collapsed="false">
      <c r="A35" s="27" t="n">
        <v>31</v>
      </c>
      <c r="B35" s="28"/>
      <c r="C35" s="29"/>
      <c r="D35" s="29"/>
      <c r="E35" s="28"/>
      <c r="F35" s="30"/>
      <c r="G35" s="31"/>
      <c r="H35" s="28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8"/>
      <c r="T35" s="32" t="str">
        <f aca="false">IF(AND(K35="",L35=""),"",IF(OR(K35="-",L35="-"),"측정불가",IF(AND(ISNUMBER(K35),ISNUMBER(L35)),IF(OR(K35&gt;=설정!$C$9,L35&gt;=설정!$C$10),"긴급",IF(OR(K35&gt;=설정!$C$7,L35&gt;=설정!$C$8,K35&lt;설정!$C$11),"주의","정상")),"확인필요")))</f>
        <v/>
      </c>
      <c r="U35" s="32" t="str">
        <f aca="false">IF(M35="","",IF(M35="-","측정불가",IF(NOT(ISNUMBER(M35)),"확인필요",IF(M35&lt;설정!$C$15,"긴급(저혈당)",IF(M35&gt;=설정!$C$16,"긴급(고혈당)",IF(N35="공복",IF(M35&gt;=설정!$C$13,"주의","정상"),IF(N35="식후",IF(M35&gt;=설정!$C$14,"주의","정상"),"조건확인")))))))</f>
        <v/>
      </c>
      <c r="V35" s="32" t="str">
        <f aca="false">IF(OR(T35="긴급",LEFT(U35,2)="긴급",P35="O"),"대상","")</f>
        <v/>
      </c>
      <c r="W35" s="33" t="str">
        <f aca="false">IF(R35&lt;&gt;"",R35,IF(O35="O",IF(V35="대상",IF(Q35="O","완료","추가상담 대기"),"완료"),IF(COUNTA(K35:M35)=3,"상담 대기",IF(J35="O","측정 대기",IF(I35="O","운동평가 대기","미방문")))))</f>
        <v>미방문</v>
      </c>
      <c r="X35" s="34"/>
      <c r="Y35" s="34"/>
      <c r="Z35" s="34"/>
      <c r="AA35" s="34"/>
      <c r="AB35" s="34"/>
      <c r="AC35" s="35" t="str">
        <f aca="false">IF(AND(ISNUMBER(X35),ISNUMBER(Y35)),IF(Y35&gt;=X35,ROUND((Y35-X35)*1440,0),""),"")</f>
        <v/>
      </c>
      <c r="AD35" s="35" t="str">
        <f aca="false">IF(AND(ISNUMBER(Y35),ISNUMBER(Z35)),IF(Z35&gt;=Y35,ROUND((Z35-Y35)*1440,0),""),"")</f>
        <v/>
      </c>
      <c r="AE35" s="35" t="str">
        <f aca="false">IF(AND(ISNUMBER(Z35),ISNUMBER(AA35)),IF(AA35&gt;=Z35,ROUND((AA35-Z35)*1440,0),""),"")</f>
        <v/>
      </c>
      <c r="AF35" s="35" t="str">
        <f aca="false">IF(AND(ISNUMBER(AA35),ISNUMBER(AB35)),IF(AB35&gt;=AA35,ROUND((AB35-AA35)*1440,0),""),"")</f>
        <v/>
      </c>
      <c r="AG35" s="35" t="str">
        <f aca="false">IF(AND(W35="완료",ISNUMBER(X35)),IF(MAX(Y35:AB35)&gt;=X35,ROUND((MAX(Y35:AB35)-X35)*1440,0),""),"")</f>
        <v/>
      </c>
    </row>
    <row r="36" customFormat="false" ht="15" hidden="false" customHeight="false" outlineLevel="0" collapsed="false">
      <c r="A36" s="27" t="n">
        <v>32</v>
      </c>
      <c r="B36" s="28"/>
      <c r="C36" s="29"/>
      <c r="D36" s="29"/>
      <c r="E36" s="28"/>
      <c r="F36" s="30"/>
      <c r="G36" s="31"/>
      <c r="H36" s="28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8"/>
      <c r="T36" s="32" t="str">
        <f aca="false">IF(AND(K36="",L36=""),"",IF(OR(K36="-",L36="-"),"측정불가",IF(AND(ISNUMBER(K36),ISNUMBER(L36)),IF(OR(K36&gt;=설정!$C$9,L36&gt;=설정!$C$10),"긴급",IF(OR(K36&gt;=설정!$C$7,L36&gt;=설정!$C$8,K36&lt;설정!$C$11),"주의","정상")),"확인필요")))</f>
        <v/>
      </c>
      <c r="U36" s="32" t="str">
        <f aca="false">IF(M36="","",IF(M36="-","측정불가",IF(NOT(ISNUMBER(M36)),"확인필요",IF(M36&lt;설정!$C$15,"긴급(저혈당)",IF(M36&gt;=설정!$C$16,"긴급(고혈당)",IF(N36="공복",IF(M36&gt;=설정!$C$13,"주의","정상"),IF(N36="식후",IF(M36&gt;=설정!$C$14,"주의","정상"),"조건확인")))))))</f>
        <v/>
      </c>
      <c r="V36" s="32" t="str">
        <f aca="false">IF(OR(T36="긴급",LEFT(U36,2)="긴급",P36="O"),"대상","")</f>
        <v/>
      </c>
      <c r="W36" s="33" t="str">
        <f aca="false">IF(R36&lt;&gt;"",R36,IF(O36="O",IF(V36="대상",IF(Q36="O","완료","추가상담 대기"),"완료"),IF(COUNTA(K36:M36)=3,"상담 대기",IF(J36="O","측정 대기",IF(I36="O","운동평가 대기","미방문")))))</f>
        <v>미방문</v>
      </c>
      <c r="X36" s="34"/>
      <c r="Y36" s="34"/>
      <c r="Z36" s="34"/>
      <c r="AA36" s="34"/>
      <c r="AB36" s="34"/>
      <c r="AC36" s="35" t="str">
        <f aca="false">IF(AND(ISNUMBER(X36),ISNUMBER(Y36)),IF(Y36&gt;=X36,ROUND((Y36-X36)*1440,0),""),"")</f>
        <v/>
      </c>
      <c r="AD36" s="35" t="str">
        <f aca="false">IF(AND(ISNUMBER(Y36),ISNUMBER(Z36)),IF(Z36&gt;=Y36,ROUND((Z36-Y36)*1440,0),""),"")</f>
        <v/>
      </c>
      <c r="AE36" s="35" t="str">
        <f aca="false">IF(AND(ISNUMBER(Z36),ISNUMBER(AA36)),IF(AA36&gt;=Z36,ROUND((AA36-Z36)*1440,0),""),"")</f>
        <v/>
      </c>
      <c r="AF36" s="35" t="str">
        <f aca="false">IF(AND(ISNUMBER(AA36),ISNUMBER(AB36)),IF(AB36&gt;=AA36,ROUND((AB36-AA36)*1440,0),""),"")</f>
        <v/>
      </c>
      <c r="AG36" s="35" t="str">
        <f aca="false">IF(AND(W36="완료",ISNUMBER(X36)),IF(MAX(Y36:AB36)&gt;=X36,ROUND((MAX(Y36:AB36)-X36)*1440,0),""),"")</f>
        <v/>
      </c>
    </row>
    <row r="37" customFormat="false" ht="15" hidden="false" customHeight="false" outlineLevel="0" collapsed="false">
      <c r="A37" s="27" t="n">
        <v>33</v>
      </c>
      <c r="B37" s="28"/>
      <c r="C37" s="29"/>
      <c r="D37" s="29"/>
      <c r="E37" s="28"/>
      <c r="F37" s="30"/>
      <c r="G37" s="31"/>
      <c r="H37" s="28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8"/>
      <c r="T37" s="32" t="str">
        <f aca="false">IF(AND(K37="",L37=""),"",IF(OR(K37="-",L37="-"),"측정불가",IF(AND(ISNUMBER(K37),ISNUMBER(L37)),IF(OR(K37&gt;=설정!$C$9,L37&gt;=설정!$C$10),"긴급",IF(OR(K37&gt;=설정!$C$7,L37&gt;=설정!$C$8,K37&lt;설정!$C$11),"주의","정상")),"확인필요")))</f>
        <v/>
      </c>
      <c r="U37" s="32" t="str">
        <f aca="false">IF(M37="","",IF(M37="-","측정불가",IF(NOT(ISNUMBER(M37)),"확인필요",IF(M37&lt;설정!$C$15,"긴급(저혈당)",IF(M37&gt;=설정!$C$16,"긴급(고혈당)",IF(N37="공복",IF(M37&gt;=설정!$C$13,"주의","정상"),IF(N37="식후",IF(M37&gt;=설정!$C$14,"주의","정상"),"조건확인")))))))</f>
        <v/>
      </c>
      <c r="V37" s="32" t="str">
        <f aca="false">IF(OR(T37="긴급",LEFT(U37,2)="긴급",P37="O"),"대상","")</f>
        <v/>
      </c>
      <c r="W37" s="33" t="str">
        <f aca="false">IF(R37&lt;&gt;"",R37,IF(O37="O",IF(V37="대상",IF(Q37="O","완료","추가상담 대기"),"완료"),IF(COUNTA(K37:M37)=3,"상담 대기",IF(J37="O","측정 대기",IF(I37="O","운동평가 대기","미방문")))))</f>
        <v>미방문</v>
      </c>
      <c r="X37" s="34"/>
      <c r="Y37" s="34"/>
      <c r="Z37" s="34"/>
      <c r="AA37" s="34"/>
      <c r="AB37" s="34"/>
      <c r="AC37" s="35" t="str">
        <f aca="false">IF(AND(ISNUMBER(X37),ISNUMBER(Y37)),IF(Y37&gt;=X37,ROUND((Y37-X37)*1440,0),""),"")</f>
        <v/>
      </c>
      <c r="AD37" s="35" t="str">
        <f aca="false">IF(AND(ISNUMBER(Y37),ISNUMBER(Z37)),IF(Z37&gt;=Y37,ROUND((Z37-Y37)*1440,0),""),"")</f>
        <v/>
      </c>
      <c r="AE37" s="35" t="str">
        <f aca="false">IF(AND(ISNUMBER(Z37),ISNUMBER(AA37)),IF(AA37&gt;=Z37,ROUND((AA37-Z37)*1440,0),""),"")</f>
        <v/>
      </c>
      <c r="AF37" s="35" t="str">
        <f aca="false">IF(AND(ISNUMBER(AA37),ISNUMBER(AB37)),IF(AB37&gt;=AA37,ROUND((AB37-AA37)*1440,0),""),"")</f>
        <v/>
      </c>
      <c r="AG37" s="35" t="str">
        <f aca="false">IF(AND(W37="완료",ISNUMBER(X37)),IF(MAX(Y37:AB37)&gt;=X37,ROUND((MAX(Y37:AB37)-X37)*1440,0),""),"")</f>
        <v/>
      </c>
    </row>
    <row r="38" customFormat="false" ht="15" hidden="false" customHeight="false" outlineLevel="0" collapsed="false">
      <c r="A38" s="27" t="n">
        <v>34</v>
      </c>
      <c r="B38" s="28"/>
      <c r="C38" s="29"/>
      <c r="D38" s="29"/>
      <c r="E38" s="28"/>
      <c r="F38" s="30"/>
      <c r="G38" s="31"/>
      <c r="H38" s="28"/>
      <c r="I38" s="29"/>
      <c r="J38" s="29"/>
      <c r="K38" s="29"/>
      <c r="L38" s="29"/>
      <c r="M38" s="29"/>
      <c r="N38" s="29"/>
      <c r="O38" s="29"/>
      <c r="P38" s="29"/>
      <c r="Q38" s="29"/>
      <c r="R38" s="29"/>
      <c r="S38" s="28"/>
      <c r="T38" s="32" t="str">
        <f aca="false">IF(AND(K38="",L38=""),"",IF(OR(K38="-",L38="-"),"측정불가",IF(AND(ISNUMBER(K38),ISNUMBER(L38)),IF(OR(K38&gt;=설정!$C$9,L38&gt;=설정!$C$10),"긴급",IF(OR(K38&gt;=설정!$C$7,L38&gt;=설정!$C$8,K38&lt;설정!$C$11),"주의","정상")),"확인필요")))</f>
        <v/>
      </c>
      <c r="U38" s="32" t="str">
        <f aca="false">IF(M38="","",IF(M38="-","측정불가",IF(NOT(ISNUMBER(M38)),"확인필요",IF(M38&lt;설정!$C$15,"긴급(저혈당)",IF(M38&gt;=설정!$C$16,"긴급(고혈당)",IF(N38="공복",IF(M38&gt;=설정!$C$13,"주의","정상"),IF(N38="식후",IF(M38&gt;=설정!$C$14,"주의","정상"),"조건확인")))))))</f>
        <v/>
      </c>
      <c r="V38" s="32" t="str">
        <f aca="false">IF(OR(T38="긴급",LEFT(U38,2)="긴급",P38="O"),"대상","")</f>
        <v/>
      </c>
      <c r="W38" s="33" t="str">
        <f aca="false">IF(R38&lt;&gt;"",R38,IF(O38="O",IF(V38="대상",IF(Q38="O","완료","추가상담 대기"),"완료"),IF(COUNTA(K38:M38)=3,"상담 대기",IF(J38="O","측정 대기",IF(I38="O","운동평가 대기","미방문")))))</f>
        <v>미방문</v>
      </c>
      <c r="X38" s="34"/>
      <c r="Y38" s="34"/>
      <c r="Z38" s="34"/>
      <c r="AA38" s="34"/>
      <c r="AB38" s="34"/>
      <c r="AC38" s="35" t="str">
        <f aca="false">IF(AND(ISNUMBER(X38),ISNUMBER(Y38)),IF(Y38&gt;=X38,ROUND((Y38-X38)*1440,0),""),"")</f>
        <v/>
      </c>
      <c r="AD38" s="35" t="str">
        <f aca="false">IF(AND(ISNUMBER(Y38),ISNUMBER(Z38)),IF(Z38&gt;=Y38,ROUND((Z38-Y38)*1440,0),""),"")</f>
        <v/>
      </c>
      <c r="AE38" s="35" t="str">
        <f aca="false">IF(AND(ISNUMBER(Z38),ISNUMBER(AA38)),IF(AA38&gt;=Z38,ROUND((AA38-Z38)*1440,0),""),"")</f>
        <v/>
      </c>
      <c r="AF38" s="35" t="str">
        <f aca="false">IF(AND(ISNUMBER(AA38),ISNUMBER(AB38)),IF(AB38&gt;=AA38,ROUND((AB38-AA38)*1440,0),""),"")</f>
        <v/>
      </c>
      <c r="AG38" s="35" t="str">
        <f aca="false">IF(AND(W38="완료",ISNUMBER(X38)),IF(MAX(Y38:AB38)&gt;=X38,ROUND((MAX(Y38:AB38)-X38)*1440,0),""),"")</f>
        <v/>
      </c>
    </row>
    <row r="39" customFormat="false" ht="15" hidden="false" customHeight="false" outlineLevel="0" collapsed="false">
      <c r="A39" s="27" t="n">
        <v>35</v>
      </c>
      <c r="B39" s="28"/>
      <c r="C39" s="29"/>
      <c r="D39" s="29"/>
      <c r="E39" s="28"/>
      <c r="F39" s="30"/>
      <c r="G39" s="31"/>
      <c r="H39" s="28"/>
      <c r="I39" s="29"/>
      <c r="J39" s="29"/>
      <c r="K39" s="29"/>
      <c r="L39" s="29"/>
      <c r="M39" s="29"/>
      <c r="N39" s="29"/>
      <c r="O39" s="29"/>
      <c r="P39" s="29"/>
      <c r="Q39" s="29"/>
      <c r="R39" s="29"/>
      <c r="S39" s="28"/>
      <c r="T39" s="32" t="str">
        <f aca="false">IF(AND(K39="",L39=""),"",IF(OR(K39="-",L39="-"),"측정불가",IF(AND(ISNUMBER(K39),ISNUMBER(L39)),IF(OR(K39&gt;=설정!$C$9,L39&gt;=설정!$C$10),"긴급",IF(OR(K39&gt;=설정!$C$7,L39&gt;=설정!$C$8,K39&lt;설정!$C$11),"주의","정상")),"확인필요")))</f>
        <v/>
      </c>
      <c r="U39" s="32" t="str">
        <f aca="false">IF(M39="","",IF(M39="-","측정불가",IF(NOT(ISNUMBER(M39)),"확인필요",IF(M39&lt;설정!$C$15,"긴급(저혈당)",IF(M39&gt;=설정!$C$16,"긴급(고혈당)",IF(N39="공복",IF(M39&gt;=설정!$C$13,"주의","정상"),IF(N39="식후",IF(M39&gt;=설정!$C$14,"주의","정상"),"조건확인")))))))</f>
        <v/>
      </c>
      <c r="V39" s="32" t="str">
        <f aca="false">IF(OR(T39="긴급",LEFT(U39,2)="긴급",P39="O"),"대상","")</f>
        <v/>
      </c>
      <c r="W39" s="33" t="str">
        <f aca="false">IF(R39&lt;&gt;"",R39,IF(O39="O",IF(V39="대상",IF(Q39="O","완료","추가상담 대기"),"완료"),IF(COUNTA(K39:M39)=3,"상담 대기",IF(J39="O","측정 대기",IF(I39="O","운동평가 대기","미방문")))))</f>
        <v>미방문</v>
      </c>
      <c r="X39" s="34"/>
      <c r="Y39" s="34"/>
      <c r="Z39" s="34"/>
      <c r="AA39" s="34"/>
      <c r="AB39" s="34"/>
      <c r="AC39" s="35" t="str">
        <f aca="false">IF(AND(ISNUMBER(X39),ISNUMBER(Y39)),IF(Y39&gt;=X39,ROUND((Y39-X39)*1440,0),""),"")</f>
        <v/>
      </c>
      <c r="AD39" s="35" t="str">
        <f aca="false">IF(AND(ISNUMBER(Y39),ISNUMBER(Z39)),IF(Z39&gt;=Y39,ROUND((Z39-Y39)*1440,0),""),"")</f>
        <v/>
      </c>
      <c r="AE39" s="35" t="str">
        <f aca="false">IF(AND(ISNUMBER(Z39),ISNUMBER(AA39)),IF(AA39&gt;=Z39,ROUND((AA39-Z39)*1440,0),""),"")</f>
        <v/>
      </c>
      <c r="AF39" s="35" t="str">
        <f aca="false">IF(AND(ISNUMBER(AA39),ISNUMBER(AB39)),IF(AB39&gt;=AA39,ROUND((AB39-AA39)*1440,0),""),"")</f>
        <v/>
      </c>
      <c r="AG39" s="35" t="str">
        <f aca="false">IF(AND(W39="완료",ISNUMBER(X39)),IF(MAX(Y39:AB39)&gt;=X39,ROUND((MAX(Y39:AB39)-X39)*1440,0),""),"")</f>
        <v/>
      </c>
    </row>
    <row r="40" customFormat="false" ht="15" hidden="false" customHeight="false" outlineLevel="0" collapsed="false">
      <c r="A40" s="27" t="n">
        <v>36</v>
      </c>
      <c r="B40" s="28"/>
      <c r="C40" s="29"/>
      <c r="D40" s="29"/>
      <c r="E40" s="28"/>
      <c r="F40" s="30"/>
      <c r="G40" s="31"/>
      <c r="H40" s="28"/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28"/>
      <c r="T40" s="32" t="str">
        <f aca="false">IF(AND(K40="",L40=""),"",IF(OR(K40="-",L40="-"),"측정불가",IF(AND(ISNUMBER(K40),ISNUMBER(L40)),IF(OR(K40&gt;=설정!$C$9,L40&gt;=설정!$C$10),"긴급",IF(OR(K40&gt;=설정!$C$7,L40&gt;=설정!$C$8,K40&lt;설정!$C$11),"주의","정상")),"확인필요")))</f>
        <v/>
      </c>
      <c r="U40" s="32" t="str">
        <f aca="false">IF(M40="","",IF(M40="-","측정불가",IF(NOT(ISNUMBER(M40)),"확인필요",IF(M40&lt;설정!$C$15,"긴급(저혈당)",IF(M40&gt;=설정!$C$16,"긴급(고혈당)",IF(N40="공복",IF(M40&gt;=설정!$C$13,"주의","정상"),IF(N40="식후",IF(M40&gt;=설정!$C$14,"주의","정상"),"조건확인")))))))</f>
        <v/>
      </c>
      <c r="V40" s="32" t="str">
        <f aca="false">IF(OR(T40="긴급",LEFT(U40,2)="긴급",P40="O"),"대상","")</f>
        <v/>
      </c>
      <c r="W40" s="33" t="str">
        <f aca="false">IF(R40&lt;&gt;"",R40,IF(O40="O",IF(V40="대상",IF(Q40="O","완료","추가상담 대기"),"완료"),IF(COUNTA(K40:M40)=3,"상담 대기",IF(J40="O","측정 대기",IF(I40="O","운동평가 대기","미방문")))))</f>
        <v>미방문</v>
      </c>
      <c r="X40" s="34"/>
      <c r="Y40" s="34"/>
      <c r="Z40" s="34"/>
      <c r="AA40" s="34"/>
      <c r="AB40" s="34"/>
      <c r="AC40" s="35" t="str">
        <f aca="false">IF(AND(ISNUMBER(X40),ISNUMBER(Y40)),IF(Y40&gt;=X40,ROUND((Y40-X40)*1440,0),""),"")</f>
        <v/>
      </c>
      <c r="AD40" s="35" t="str">
        <f aca="false">IF(AND(ISNUMBER(Y40),ISNUMBER(Z40)),IF(Z40&gt;=Y40,ROUND((Z40-Y40)*1440,0),""),"")</f>
        <v/>
      </c>
      <c r="AE40" s="35" t="str">
        <f aca="false">IF(AND(ISNUMBER(Z40),ISNUMBER(AA40)),IF(AA40&gt;=Z40,ROUND((AA40-Z40)*1440,0),""),"")</f>
        <v/>
      </c>
      <c r="AF40" s="35" t="str">
        <f aca="false">IF(AND(ISNUMBER(AA40),ISNUMBER(AB40)),IF(AB40&gt;=AA40,ROUND((AB40-AA40)*1440,0),""),"")</f>
        <v/>
      </c>
      <c r="AG40" s="35" t="str">
        <f aca="false">IF(AND(W40="완료",ISNUMBER(X40)),IF(MAX(Y40:AB40)&gt;=X40,ROUND((MAX(Y40:AB40)-X40)*1440,0),""),"")</f>
        <v/>
      </c>
    </row>
    <row r="41" customFormat="false" ht="15" hidden="false" customHeight="false" outlineLevel="0" collapsed="false">
      <c r="A41" s="27" t="n">
        <v>37</v>
      </c>
      <c r="B41" s="28"/>
      <c r="C41" s="29"/>
      <c r="D41" s="29"/>
      <c r="E41" s="28"/>
      <c r="F41" s="30"/>
      <c r="G41" s="31"/>
      <c r="H41" s="28"/>
      <c r="I41" s="29"/>
      <c r="J41" s="29"/>
      <c r="K41" s="29"/>
      <c r="L41" s="29"/>
      <c r="M41" s="29"/>
      <c r="N41" s="29"/>
      <c r="O41" s="29"/>
      <c r="P41" s="29"/>
      <c r="Q41" s="29"/>
      <c r="R41" s="29"/>
      <c r="S41" s="28"/>
      <c r="T41" s="32" t="str">
        <f aca="false">IF(AND(K41="",L41=""),"",IF(OR(K41="-",L41="-"),"측정불가",IF(AND(ISNUMBER(K41),ISNUMBER(L41)),IF(OR(K41&gt;=설정!$C$9,L41&gt;=설정!$C$10),"긴급",IF(OR(K41&gt;=설정!$C$7,L41&gt;=설정!$C$8,K41&lt;설정!$C$11),"주의","정상")),"확인필요")))</f>
        <v/>
      </c>
      <c r="U41" s="32" t="str">
        <f aca="false">IF(M41="","",IF(M41="-","측정불가",IF(NOT(ISNUMBER(M41)),"확인필요",IF(M41&lt;설정!$C$15,"긴급(저혈당)",IF(M41&gt;=설정!$C$16,"긴급(고혈당)",IF(N41="공복",IF(M41&gt;=설정!$C$13,"주의","정상"),IF(N41="식후",IF(M41&gt;=설정!$C$14,"주의","정상"),"조건확인")))))))</f>
        <v/>
      </c>
      <c r="V41" s="32" t="str">
        <f aca="false">IF(OR(T41="긴급",LEFT(U41,2)="긴급",P41="O"),"대상","")</f>
        <v/>
      </c>
      <c r="W41" s="33" t="str">
        <f aca="false">IF(R41&lt;&gt;"",R41,IF(O41="O",IF(V41="대상",IF(Q41="O","완료","추가상담 대기"),"완료"),IF(COUNTA(K41:M41)=3,"상담 대기",IF(J41="O","측정 대기",IF(I41="O","운동평가 대기","미방문")))))</f>
        <v>미방문</v>
      </c>
      <c r="X41" s="34"/>
      <c r="Y41" s="34"/>
      <c r="Z41" s="34"/>
      <c r="AA41" s="34"/>
      <c r="AB41" s="34"/>
      <c r="AC41" s="35" t="str">
        <f aca="false">IF(AND(ISNUMBER(X41),ISNUMBER(Y41)),IF(Y41&gt;=X41,ROUND((Y41-X41)*1440,0),""),"")</f>
        <v/>
      </c>
      <c r="AD41" s="35" t="str">
        <f aca="false">IF(AND(ISNUMBER(Y41),ISNUMBER(Z41)),IF(Z41&gt;=Y41,ROUND((Z41-Y41)*1440,0),""),"")</f>
        <v/>
      </c>
      <c r="AE41" s="35" t="str">
        <f aca="false">IF(AND(ISNUMBER(Z41),ISNUMBER(AA41)),IF(AA41&gt;=Z41,ROUND((AA41-Z41)*1440,0),""),"")</f>
        <v/>
      </c>
      <c r="AF41" s="35" t="str">
        <f aca="false">IF(AND(ISNUMBER(AA41),ISNUMBER(AB41)),IF(AB41&gt;=AA41,ROUND((AB41-AA41)*1440,0),""),"")</f>
        <v/>
      </c>
      <c r="AG41" s="35" t="str">
        <f aca="false">IF(AND(W41="완료",ISNUMBER(X41)),IF(MAX(Y41:AB41)&gt;=X41,ROUND((MAX(Y41:AB41)-X41)*1440,0),""),"")</f>
        <v/>
      </c>
    </row>
    <row r="42" customFormat="false" ht="15" hidden="false" customHeight="false" outlineLevel="0" collapsed="false">
      <c r="A42" s="27" t="n">
        <v>38</v>
      </c>
      <c r="B42" s="28"/>
      <c r="C42" s="29"/>
      <c r="D42" s="29"/>
      <c r="E42" s="28"/>
      <c r="F42" s="30"/>
      <c r="G42" s="31"/>
      <c r="H42" s="28"/>
      <c r="I42" s="29"/>
      <c r="J42" s="29"/>
      <c r="K42" s="29"/>
      <c r="L42" s="29"/>
      <c r="M42" s="29"/>
      <c r="N42" s="29"/>
      <c r="O42" s="29"/>
      <c r="P42" s="29"/>
      <c r="Q42" s="29"/>
      <c r="R42" s="29"/>
      <c r="S42" s="28"/>
      <c r="T42" s="32" t="str">
        <f aca="false">IF(AND(K42="",L42=""),"",IF(OR(K42="-",L42="-"),"측정불가",IF(AND(ISNUMBER(K42),ISNUMBER(L42)),IF(OR(K42&gt;=설정!$C$9,L42&gt;=설정!$C$10),"긴급",IF(OR(K42&gt;=설정!$C$7,L42&gt;=설정!$C$8,K42&lt;설정!$C$11),"주의","정상")),"확인필요")))</f>
        <v/>
      </c>
      <c r="U42" s="32" t="str">
        <f aca="false">IF(M42="","",IF(M42="-","측정불가",IF(NOT(ISNUMBER(M42)),"확인필요",IF(M42&lt;설정!$C$15,"긴급(저혈당)",IF(M42&gt;=설정!$C$16,"긴급(고혈당)",IF(N42="공복",IF(M42&gt;=설정!$C$13,"주의","정상"),IF(N42="식후",IF(M42&gt;=설정!$C$14,"주의","정상"),"조건확인")))))))</f>
        <v/>
      </c>
      <c r="V42" s="32" t="str">
        <f aca="false">IF(OR(T42="긴급",LEFT(U42,2)="긴급",P42="O"),"대상","")</f>
        <v/>
      </c>
      <c r="W42" s="33" t="str">
        <f aca="false">IF(R42&lt;&gt;"",R42,IF(O42="O",IF(V42="대상",IF(Q42="O","완료","추가상담 대기"),"완료"),IF(COUNTA(K42:M42)=3,"상담 대기",IF(J42="O","측정 대기",IF(I42="O","운동평가 대기","미방문")))))</f>
        <v>미방문</v>
      </c>
      <c r="X42" s="34"/>
      <c r="Y42" s="34"/>
      <c r="Z42" s="34"/>
      <c r="AA42" s="34"/>
      <c r="AB42" s="34"/>
      <c r="AC42" s="35" t="str">
        <f aca="false">IF(AND(ISNUMBER(X42),ISNUMBER(Y42)),IF(Y42&gt;=X42,ROUND((Y42-X42)*1440,0),""),"")</f>
        <v/>
      </c>
      <c r="AD42" s="35" t="str">
        <f aca="false">IF(AND(ISNUMBER(Y42),ISNUMBER(Z42)),IF(Z42&gt;=Y42,ROUND((Z42-Y42)*1440,0),""),"")</f>
        <v/>
      </c>
      <c r="AE42" s="35" t="str">
        <f aca="false">IF(AND(ISNUMBER(Z42),ISNUMBER(AA42)),IF(AA42&gt;=Z42,ROUND((AA42-Z42)*1440,0),""),"")</f>
        <v/>
      </c>
      <c r="AF42" s="35" t="str">
        <f aca="false">IF(AND(ISNUMBER(AA42),ISNUMBER(AB42)),IF(AB42&gt;=AA42,ROUND((AB42-AA42)*1440,0),""),"")</f>
        <v/>
      </c>
      <c r="AG42" s="35" t="str">
        <f aca="false">IF(AND(W42="완료",ISNUMBER(X42)),IF(MAX(Y42:AB42)&gt;=X42,ROUND((MAX(Y42:AB42)-X42)*1440,0),""),"")</f>
        <v/>
      </c>
    </row>
    <row r="43" customFormat="false" ht="15" hidden="false" customHeight="false" outlineLevel="0" collapsed="false">
      <c r="A43" s="27" t="n">
        <v>39</v>
      </c>
      <c r="B43" s="28"/>
      <c r="C43" s="29"/>
      <c r="D43" s="29"/>
      <c r="E43" s="28"/>
      <c r="F43" s="30"/>
      <c r="G43" s="31"/>
      <c r="H43" s="28"/>
      <c r="I43" s="29"/>
      <c r="J43" s="29"/>
      <c r="K43" s="29"/>
      <c r="L43" s="29"/>
      <c r="M43" s="29"/>
      <c r="N43" s="29"/>
      <c r="O43" s="29"/>
      <c r="P43" s="29"/>
      <c r="Q43" s="29"/>
      <c r="R43" s="29"/>
      <c r="S43" s="28"/>
      <c r="T43" s="32" t="str">
        <f aca="false">IF(AND(K43="",L43=""),"",IF(OR(K43="-",L43="-"),"측정불가",IF(AND(ISNUMBER(K43),ISNUMBER(L43)),IF(OR(K43&gt;=설정!$C$9,L43&gt;=설정!$C$10),"긴급",IF(OR(K43&gt;=설정!$C$7,L43&gt;=설정!$C$8,K43&lt;설정!$C$11),"주의","정상")),"확인필요")))</f>
        <v/>
      </c>
      <c r="U43" s="32" t="str">
        <f aca="false">IF(M43="","",IF(M43="-","측정불가",IF(NOT(ISNUMBER(M43)),"확인필요",IF(M43&lt;설정!$C$15,"긴급(저혈당)",IF(M43&gt;=설정!$C$16,"긴급(고혈당)",IF(N43="공복",IF(M43&gt;=설정!$C$13,"주의","정상"),IF(N43="식후",IF(M43&gt;=설정!$C$14,"주의","정상"),"조건확인")))))))</f>
        <v/>
      </c>
      <c r="V43" s="32" t="str">
        <f aca="false">IF(OR(T43="긴급",LEFT(U43,2)="긴급",P43="O"),"대상","")</f>
        <v/>
      </c>
      <c r="W43" s="33" t="str">
        <f aca="false">IF(R43&lt;&gt;"",R43,IF(O43="O",IF(V43="대상",IF(Q43="O","완료","추가상담 대기"),"완료"),IF(COUNTA(K43:M43)=3,"상담 대기",IF(J43="O","측정 대기",IF(I43="O","운동평가 대기","미방문")))))</f>
        <v>미방문</v>
      </c>
      <c r="X43" s="34"/>
      <c r="Y43" s="34"/>
      <c r="Z43" s="34"/>
      <c r="AA43" s="34"/>
      <c r="AB43" s="34"/>
      <c r="AC43" s="35" t="str">
        <f aca="false">IF(AND(ISNUMBER(X43),ISNUMBER(Y43)),IF(Y43&gt;=X43,ROUND((Y43-X43)*1440,0),""),"")</f>
        <v/>
      </c>
      <c r="AD43" s="35" t="str">
        <f aca="false">IF(AND(ISNUMBER(Y43),ISNUMBER(Z43)),IF(Z43&gt;=Y43,ROUND((Z43-Y43)*1440,0),""),"")</f>
        <v/>
      </c>
      <c r="AE43" s="35" t="str">
        <f aca="false">IF(AND(ISNUMBER(Z43),ISNUMBER(AA43)),IF(AA43&gt;=Z43,ROUND((AA43-Z43)*1440,0),""),"")</f>
        <v/>
      </c>
      <c r="AF43" s="35" t="str">
        <f aca="false">IF(AND(ISNUMBER(AA43),ISNUMBER(AB43)),IF(AB43&gt;=AA43,ROUND((AB43-AA43)*1440,0),""),"")</f>
        <v/>
      </c>
      <c r="AG43" s="35" t="str">
        <f aca="false">IF(AND(W43="완료",ISNUMBER(X43)),IF(MAX(Y43:AB43)&gt;=X43,ROUND((MAX(Y43:AB43)-X43)*1440,0),""),"")</f>
        <v/>
      </c>
    </row>
    <row r="44" customFormat="false" ht="15" hidden="false" customHeight="false" outlineLevel="0" collapsed="false">
      <c r="A44" s="27" t="n">
        <v>40</v>
      </c>
      <c r="B44" s="28"/>
      <c r="C44" s="29"/>
      <c r="D44" s="29"/>
      <c r="E44" s="28"/>
      <c r="F44" s="30"/>
      <c r="G44" s="31"/>
      <c r="H44" s="28"/>
      <c r="I44" s="29"/>
      <c r="J44" s="29"/>
      <c r="K44" s="29"/>
      <c r="L44" s="29"/>
      <c r="M44" s="29"/>
      <c r="N44" s="29"/>
      <c r="O44" s="29"/>
      <c r="P44" s="29"/>
      <c r="Q44" s="29"/>
      <c r="R44" s="29"/>
      <c r="S44" s="28"/>
      <c r="T44" s="32" t="str">
        <f aca="false">IF(AND(K44="",L44=""),"",IF(OR(K44="-",L44="-"),"측정불가",IF(AND(ISNUMBER(K44),ISNUMBER(L44)),IF(OR(K44&gt;=설정!$C$9,L44&gt;=설정!$C$10),"긴급",IF(OR(K44&gt;=설정!$C$7,L44&gt;=설정!$C$8,K44&lt;설정!$C$11),"주의","정상")),"확인필요")))</f>
        <v/>
      </c>
      <c r="U44" s="32" t="str">
        <f aca="false">IF(M44="","",IF(M44="-","측정불가",IF(NOT(ISNUMBER(M44)),"확인필요",IF(M44&lt;설정!$C$15,"긴급(저혈당)",IF(M44&gt;=설정!$C$16,"긴급(고혈당)",IF(N44="공복",IF(M44&gt;=설정!$C$13,"주의","정상"),IF(N44="식후",IF(M44&gt;=설정!$C$14,"주의","정상"),"조건확인")))))))</f>
        <v/>
      </c>
      <c r="V44" s="32" t="str">
        <f aca="false">IF(OR(T44="긴급",LEFT(U44,2)="긴급",P44="O"),"대상","")</f>
        <v/>
      </c>
      <c r="W44" s="33" t="str">
        <f aca="false">IF(R44&lt;&gt;"",R44,IF(O44="O",IF(V44="대상",IF(Q44="O","완료","추가상담 대기"),"완료"),IF(COUNTA(K44:M44)=3,"상담 대기",IF(J44="O","측정 대기",IF(I44="O","운동평가 대기","미방문")))))</f>
        <v>미방문</v>
      </c>
      <c r="X44" s="34"/>
      <c r="Y44" s="34"/>
      <c r="Z44" s="34"/>
      <c r="AA44" s="34"/>
      <c r="AB44" s="34"/>
      <c r="AC44" s="35" t="str">
        <f aca="false">IF(AND(ISNUMBER(X44),ISNUMBER(Y44)),IF(Y44&gt;=X44,ROUND((Y44-X44)*1440,0),""),"")</f>
        <v/>
      </c>
      <c r="AD44" s="35" t="str">
        <f aca="false">IF(AND(ISNUMBER(Y44),ISNUMBER(Z44)),IF(Z44&gt;=Y44,ROUND((Z44-Y44)*1440,0),""),"")</f>
        <v/>
      </c>
      <c r="AE44" s="35" t="str">
        <f aca="false">IF(AND(ISNUMBER(Z44),ISNUMBER(AA44)),IF(AA44&gt;=Z44,ROUND((AA44-Z44)*1440,0),""),"")</f>
        <v/>
      </c>
      <c r="AF44" s="35" t="str">
        <f aca="false">IF(AND(ISNUMBER(AA44),ISNUMBER(AB44)),IF(AB44&gt;=AA44,ROUND((AB44-AA44)*1440,0),""),"")</f>
        <v/>
      </c>
      <c r="AG44" s="35" t="str">
        <f aca="false">IF(AND(W44="완료",ISNUMBER(X44)),IF(MAX(Y44:AB44)&gt;=X44,ROUND((MAX(Y44:AB44)-X44)*1440,0),""),"")</f>
        <v/>
      </c>
    </row>
    <row r="45" customFormat="false" ht="15" hidden="false" customHeight="false" outlineLevel="0" collapsed="false">
      <c r="A45" s="27" t="n">
        <v>41</v>
      </c>
      <c r="B45" s="28"/>
      <c r="C45" s="29"/>
      <c r="D45" s="29"/>
      <c r="E45" s="28"/>
      <c r="F45" s="30"/>
      <c r="G45" s="31"/>
      <c r="H45" s="28"/>
      <c r="I45" s="29"/>
      <c r="J45" s="29"/>
      <c r="K45" s="29"/>
      <c r="L45" s="29"/>
      <c r="M45" s="29"/>
      <c r="N45" s="29"/>
      <c r="O45" s="29"/>
      <c r="P45" s="29"/>
      <c r="Q45" s="29"/>
      <c r="R45" s="29"/>
      <c r="S45" s="28"/>
      <c r="T45" s="32" t="str">
        <f aca="false">IF(AND(K45="",L45=""),"",IF(OR(K45="-",L45="-"),"측정불가",IF(AND(ISNUMBER(K45),ISNUMBER(L45)),IF(OR(K45&gt;=설정!$C$9,L45&gt;=설정!$C$10),"긴급",IF(OR(K45&gt;=설정!$C$7,L45&gt;=설정!$C$8,K45&lt;설정!$C$11),"주의","정상")),"확인필요")))</f>
        <v/>
      </c>
      <c r="U45" s="32" t="str">
        <f aca="false">IF(M45="","",IF(M45="-","측정불가",IF(NOT(ISNUMBER(M45)),"확인필요",IF(M45&lt;설정!$C$15,"긴급(저혈당)",IF(M45&gt;=설정!$C$16,"긴급(고혈당)",IF(N45="공복",IF(M45&gt;=설정!$C$13,"주의","정상"),IF(N45="식후",IF(M45&gt;=설정!$C$14,"주의","정상"),"조건확인")))))))</f>
        <v/>
      </c>
      <c r="V45" s="32" t="str">
        <f aca="false">IF(OR(T45="긴급",LEFT(U45,2)="긴급",P45="O"),"대상","")</f>
        <v/>
      </c>
      <c r="W45" s="33" t="str">
        <f aca="false">IF(R45&lt;&gt;"",R45,IF(O45="O",IF(V45="대상",IF(Q45="O","완료","추가상담 대기"),"완료"),IF(COUNTA(K45:M45)=3,"상담 대기",IF(J45="O","측정 대기",IF(I45="O","운동평가 대기","미방문")))))</f>
        <v>미방문</v>
      </c>
      <c r="X45" s="34"/>
      <c r="Y45" s="34"/>
      <c r="Z45" s="34"/>
      <c r="AA45" s="34"/>
      <c r="AB45" s="34"/>
      <c r="AC45" s="35" t="str">
        <f aca="false">IF(AND(ISNUMBER(X45),ISNUMBER(Y45)),IF(Y45&gt;=X45,ROUND((Y45-X45)*1440,0),""),"")</f>
        <v/>
      </c>
      <c r="AD45" s="35" t="str">
        <f aca="false">IF(AND(ISNUMBER(Y45),ISNUMBER(Z45)),IF(Z45&gt;=Y45,ROUND((Z45-Y45)*1440,0),""),"")</f>
        <v/>
      </c>
      <c r="AE45" s="35" t="str">
        <f aca="false">IF(AND(ISNUMBER(Z45),ISNUMBER(AA45)),IF(AA45&gt;=Z45,ROUND((AA45-Z45)*1440,0),""),"")</f>
        <v/>
      </c>
      <c r="AF45" s="35" t="str">
        <f aca="false">IF(AND(ISNUMBER(AA45),ISNUMBER(AB45)),IF(AB45&gt;=AA45,ROUND((AB45-AA45)*1440,0),""),"")</f>
        <v/>
      </c>
      <c r="AG45" s="35" t="str">
        <f aca="false">IF(AND(W45="완료",ISNUMBER(X45)),IF(MAX(Y45:AB45)&gt;=X45,ROUND((MAX(Y45:AB45)-X45)*1440,0),""),"")</f>
        <v/>
      </c>
    </row>
    <row r="46" customFormat="false" ht="15" hidden="false" customHeight="false" outlineLevel="0" collapsed="false">
      <c r="A46" s="27" t="n">
        <v>42</v>
      </c>
      <c r="B46" s="28"/>
      <c r="C46" s="29"/>
      <c r="D46" s="29"/>
      <c r="E46" s="28"/>
      <c r="F46" s="30"/>
      <c r="G46" s="31"/>
      <c r="H46" s="28"/>
      <c r="I46" s="29"/>
      <c r="J46" s="29"/>
      <c r="K46" s="29"/>
      <c r="L46" s="29"/>
      <c r="M46" s="29"/>
      <c r="N46" s="29"/>
      <c r="O46" s="29"/>
      <c r="P46" s="29"/>
      <c r="Q46" s="29"/>
      <c r="R46" s="29"/>
      <c r="S46" s="28"/>
      <c r="T46" s="32" t="str">
        <f aca="false">IF(AND(K46="",L46=""),"",IF(OR(K46="-",L46="-"),"측정불가",IF(AND(ISNUMBER(K46),ISNUMBER(L46)),IF(OR(K46&gt;=설정!$C$9,L46&gt;=설정!$C$10),"긴급",IF(OR(K46&gt;=설정!$C$7,L46&gt;=설정!$C$8,K46&lt;설정!$C$11),"주의","정상")),"확인필요")))</f>
        <v/>
      </c>
      <c r="U46" s="32" t="str">
        <f aca="false">IF(M46="","",IF(M46="-","측정불가",IF(NOT(ISNUMBER(M46)),"확인필요",IF(M46&lt;설정!$C$15,"긴급(저혈당)",IF(M46&gt;=설정!$C$16,"긴급(고혈당)",IF(N46="공복",IF(M46&gt;=설정!$C$13,"주의","정상"),IF(N46="식후",IF(M46&gt;=설정!$C$14,"주의","정상"),"조건확인")))))))</f>
        <v/>
      </c>
      <c r="V46" s="32" t="str">
        <f aca="false">IF(OR(T46="긴급",LEFT(U46,2)="긴급",P46="O"),"대상","")</f>
        <v/>
      </c>
      <c r="W46" s="33" t="str">
        <f aca="false">IF(R46&lt;&gt;"",R46,IF(O46="O",IF(V46="대상",IF(Q46="O","완료","추가상담 대기"),"완료"),IF(COUNTA(K46:M46)=3,"상담 대기",IF(J46="O","측정 대기",IF(I46="O","운동평가 대기","미방문")))))</f>
        <v>미방문</v>
      </c>
      <c r="X46" s="34"/>
      <c r="Y46" s="34"/>
      <c r="Z46" s="34"/>
      <c r="AA46" s="34"/>
      <c r="AB46" s="34"/>
      <c r="AC46" s="35" t="str">
        <f aca="false">IF(AND(ISNUMBER(X46),ISNUMBER(Y46)),IF(Y46&gt;=X46,ROUND((Y46-X46)*1440,0),""),"")</f>
        <v/>
      </c>
      <c r="AD46" s="35" t="str">
        <f aca="false">IF(AND(ISNUMBER(Y46),ISNUMBER(Z46)),IF(Z46&gt;=Y46,ROUND((Z46-Y46)*1440,0),""),"")</f>
        <v/>
      </c>
      <c r="AE46" s="35" t="str">
        <f aca="false">IF(AND(ISNUMBER(Z46),ISNUMBER(AA46)),IF(AA46&gt;=Z46,ROUND((AA46-Z46)*1440,0),""),"")</f>
        <v/>
      </c>
      <c r="AF46" s="35" t="str">
        <f aca="false">IF(AND(ISNUMBER(AA46),ISNUMBER(AB46)),IF(AB46&gt;=AA46,ROUND((AB46-AA46)*1440,0),""),"")</f>
        <v/>
      </c>
      <c r="AG46" s="35" t="str">
        <f aca="false">IF(AND(W46="완료",ISNUMBER(X46)),IF(MAX(Y46:AB46)&gt;=X46,ROUND((MAX(Y46:AB46)-X46)*1440,0),""),"")</f>
        <v/>
      </c>
    </row>
    <row r="47" customFormat="false" ht="15" hidden="false" customHeight="false" outlineLevel="0" collapsed="false">
      <c r="A47" s="27" t="n">
        <v>43</v>
      </c>
      <c r="B47" s="28"/>
      <c r="C47" s="29"/>
      <c r="D47" s="29"/>
      <c r="E47" s="28"/>
      <c r="F47" s="30"/>
      <c r="G47" s="31"/>
      <c r="H47" s="28"/>
      <c r="I47" s="29"/>
      <c r="J47" s="29"/>
      <c r="K47" s="29"/>
      <c r="L47" s="29"/>
      <c r="M47" s="29"/>
      <c r="N47" s="29"/>
      <c r="O47" s="29"/>
      <c r="P47" s="29"/>
      <c r="Q47" s="29"/>
      <c r="R47" s="29"/>
      <c r="S47" s="28"/>
      <c r="T47" s="32" t="str">
        <f aca="false">IF(AND(K47="",L47=""),"",IF(OR(K47="-",L47="-"),"측정불가",IF(AND(ISNUMBER(K47),ISNUMBER(L47)),IF(OR(K47&gt;=설정!$C$9,L47&gt;=설정!$C$10),"긴급",IF(OR(K47&gt;=설정!$C$7,L47&gt;=설정!$C$8,K47&lt;설정!$C$11),"주의","정상")),"확인필요")))</f>
        <v/>
      </c>
      <c r="U47" s="32" t="str">
        <f aca="false">IF(M47="","",IF(M47="-","측정불가",IF(NOT(ISNUMBER(M47)),"확인필요",IF(M47&lt;설정!$C$15,"긴급(저혈당)",IF(M47&gt;=설정!$C$16,"긴급(고혈당)",IF(N47="공복",IF(M47&gt;=설정!$C$13,"주의","정상"),IF(N47="식후",IF(M47&gt;=설정!$C$14,"주의","정상"),"조건확인")))))))</f>
        <v/>
      </c>
      <c r="V47" s="32" t="str">
        <f aca="false">IF(OR(T47="긴급",LEFT(U47,2)="긴급",P47="O"),"대상","")</f>
        <v/>
      </c>
      <c r="W47" s="33" t="str">
        <f aca="false">IF(R47&lt;&gt;"",R47,IF(O47="O",IF(V47="대상",IF(Q47="O","완료","추가상담 대기"),"완료"),IF(COUNTA(K47:M47)=3,"상담 대기",IF(J47="O","측정 대기",IF(I47="O","운동평가 대기","미방문")))))</f>
        <v>미방문</v>
      </c>
      <c r="X47" s="34"/>
      <c r="Y47" s="34"/>
      <c r="Z47" s="34"/>
      <c r="AA47" s="34"/>
      <c r="AB47" s="34"/>
      <c r="AC47" s="35" t="str">
        <f aca="false">IF(AND(ISNUMBER(X47),ISNUMBER(Y47)),IF(Y47&gt;=X47,ROUND((Y47-X47)*1440,0),""),"")</f>
        <v/>
      </c>
      <c r="AD47" s="35" t="str">
        <f aca="false">IF(AND(ISNUMBER(Y47),ISNUMBER(Z47)),IF(Z47&gt;=Y47,ROUND((Z47-Y47)*1440,0),""),"")</f>
        <v/>
      </c>
      <c r="AE47" s="35" t="str">
        <f aca="false">IF(AND(ISNUMBER(Z47),ISNUMBER(AA47)),IF(AA47&gt;=Z47,ROUND((AA47-Z47)*1440,0),""),"")</f>
        <v/>
      </c>
      <c r="AF47" s="35" t="str">
        <f aca="false">IF(AND(ISNUMBER(AA47),ISNUMBER(AB47)),IF(AB47&gt;=AA47,ROUND((AB47-AA47)*1440,0),""),"")</f>
        <v/>
      </c>
      <c r="AG47" s="35" t="str">
        <f aca="false">IF(AND(W47="완료",ISNUMBER(X47)),IF(MAX(Y47:AB47)&gt;=X47,ROUND((MAX(Y47:AB47)-X47)*1440,0),""),"")</f>
        <v/>
      </c>
    </row>
    <row r="48" customFormat="false" ht="15" hidden="false" customHeight="false" outlineLevel="0" collapsed="false">
      <c r="A48" s="27" t="n">
        <v>44</v>
      </c>
      <c r="B48" s="28"/>
      <c r="C48" s="29"/>
      <c r="D48" s="29"/>
      <c r="E48" s="28"/>
      <c r="F48" s="30"/>
      <c r="G48" s="31"/>
      <c r="H48" s="28"/>
      <c r="I48" s="29"/>
      <c r="J48" s="29"/>
      <c r="K48" s="29"/>
      <c r="L48" s="29"/>
      <c r="M48" s="29"/>
      <c r="N48" s="29"/>
      <c r="O48" s="29"/>
      <c r="P48" s="29"/>
      <c r="Q48" s="29"/>
      <c r="R48" s="29"/>
      <c r="S48" s="28"/>
      <c r="T48" s="32" t="str">
        <f aca="false">IF(AND(K48="",L48=""),"",IF(OR(K48="-",L48="-"),"측정불가",IF(AND(ISNUMBER(K48),ISNUMBER(L48)),IF(OR(K48&gt;=설정!$C$9,L48&gt;=설정!$C$10),"긴급",IF(OR(K48&gt;=설정!$C$7,L48&gt;=설정!$C$8,K48&lt;설정!$C$11),"주의","정상")),"확인필요")))</f>
        <v/>
      </c>
      <c r="U48" s="32" t="str">
        <f aca="false">IF(M48="","",IF(M48="-","측정불가",IF(NOT(ISNUMBER(M48)),"확인필요",IF(M48&lt;설정!$C$15,"긴급(저혈당)",IF(M48&gt;=설정!$C$16,"긴급(고혈당)",IF(N48="공복",IF(M48&gt;=설정!$C$13,"주의","정상"),IF(N48="식후",IF(M48&gt;=설정!$C$14,"주의","정상"),"조건확인")))))))</f>
        <v/>
      </c>
      <c r="V48" s="32" t="str">
        <f aca="false">IF(OR(T48="긴급",LEFT(U48,2)="긴급",P48="O"),"대상","")</f>
        <v/>
      </c>
      <c r="W48" s="33" t="str">
        <f aca="false">IF(R48&lt;&gt;"",R48,IF(O48="O",IF(V48="대상",IF(Q48="O","완료","추가상담 대기"),"완료"),IF(COUNTA(K48:M48)=3,"상담 대기",IF(J48="O","측정 대기",IF(I48="O","운동평가 대기","미방문")))))</f>
        <v>미방문</v>
      </c>
      <c r="X48" s="34"/>
      <c r="Y48" s="34"/>
      <c r="Z48" s="34"/>
      <c r="AA48" s="34"/>
      <c r="AB48" s="34"/>
      <c r="AC48" s="35" t="str">
        <f aca="false">IF(AND(ISNUMBER(X48),ISNUMBER(Y48)),IF(Y48&gt;=X48,ROUND((Y48-X48)*1440,0),""),"")</f>
        <v/>
      </c>
      <c r="AD48" s="35" t="str">
        <f aca="false">IF(AND(ISNUMBER(Y48),ISNUMBER(Z48)),IF(Z48&gt;=Y48,ROUND((Z48-Y48)*1440,0),""),"")</f>
        <v/>
      </c>
      <c r="AE48" s="35" t="str">
        <f aca="false">IF(AND(ISNUMBER(Z48),ISNUMBER(AA48)),IF(AA48&gt;=Z48,ROUND((AA48-Z48)*1440,0),""),"")</f>
        <v/>
      </c>
      <c r="AF48" s="35" t="str">
        <f aca="false">IF(AND(ISNUMBER(AA48),ISNUMBER(AB48)),IF(AB48&gt;=AA48,ROUND((AB48-AA48)*1440,0),""),"")</f>
        <v/>
      </c>
      <c r="AG48" s="35" t="str">
        <f aca="false">IF(AND(W48="완료",ISNUMBER(X48)),IF(MAX(Y48:AB48)&gt;=X48,ROUND((MAX(Y48:AB48)-X48)*1440,0),""),"")</f>
        <v/>
      </c>
    </row>
    <row r="49" customFormat="false" ht="15" hidden="false" customHeight="false" outlineLevel="0" collapsed="false">
      <c r="A49" s="27" t="n">
        <v>45</v>
      </c>
      <c r="B49" s="28"/>
      <c r="C49" s="29"/>
      <c r="D49" s="29"/>
      <c r="E49" s="28"/>
      <c r="F49" s="30"/>
      <c r="G49" s="31"/>
      <c r="H49" s="28"/>
      <c r="I49" s="29"/>
      <c r="J49" s="29"/>
      <c r="K49" s="29"/>
      <c r="L49" s="29"/>
      <c r="M49" s="29"/>
      <c r="N49" s="29"/>
      <c r="O49" s="29"/>
      <c r="P49" s="29"/>
      <c r="Q49" s="29"/>
      <c r="R49" s="29"/>
      <c r="S49" s="28"/>
      <c r="T49" s="32" t="str">
        <f aca="false">IF(AND(K49="",L49=""),"",IF(OR(K49="-",L49="-"),"측정불가",IF(AND(ISNUMBER(K49),ISNUMBER(L49)),IF(OR(K49&gt;=설정!$C$9,L49&gt;=설정!$C$10),"긴급",IF(OR(K49&gt;=설정!$C$7,L49&gt;=설정!$C$8,K49&lt;설정!$C$11),"주의","정상")),"확인필요")))</f>
        <v/>
      </c>
      <c r="U49" s="32" t="str">
        <f aca="false">IF(M49="","",IF(M49="-","측정불가",IF(NOT(ISNUMBER(M49)),"확인필요",IF(M49&lt;설정!$C$15,"긴급(저혈당)",IF(M49&gt;=설정!$C$16,"긴급(고혈당)",IF(N49="공복",IF(M49&gt;=설정!$C$13,"주의","정상"),IF(N49="식후",IF(M49&gt;=설정!$C$14,"주의","정상"),"조건확인")))))))</f>
        <v/>
      </c>
      <c r="V49" s="32" t="str">
        <f aca="false">IF(OR(T49="긴급",LEFT(U49,2)="긴급",P49="O"),"대상","")</f>
        <v/>
      </c>
      <c r="W49" s="33" t="str">
        <f aca="false">IF(R49&lt;&gt;"",R49,IF(O49="O",IF(V49="대상",IF(Q49="O","완료","추가상담 대기"),"완료"),IF(COUNTA(K49:M49)=3,"상담 대기",IF(J49="O","측정 대기",IF(I49="O","운동평가 대기","미방문")))))</f>
        <v>미방문</v>
      </c>
      <c r="X49" s="34"/>
      <c r="Y49" s="34"/>
      <c r="Z49" s="34"/>
      <c r="AA49" s="34"/>
      <c r="AB49" s="34"/>
      <c r="AC49" s="35" t="str">
        <f aca="false">IF(AND(ISNUMBER(X49),ISNUMBER(Y49)),IF(Y49&gt;=X49,ROUND((Y49-X49)*1440,0),""),"")</f>
        <v/>
      </c>
      <c r="AD49" s="35" t="str">
        <f aca="false">IF(AND(ISNUMBER(Y49),ISNUMBER(Z49)),IF(Z49&gt;=Y49,ROUND((Z49-Y49)*1440,0),""),"")</f>
        <v/>
      </c>
      <c r="AE49" s="35" t="str">
        <f aca="false">IF(AND(ISNUMBER(Z49),ISNUMBER(AA49)),IF(AA49&gt;=Z49,ROUND((AA49-Z49)*1440,0),""),"")</f>
        <v/>
      </c>
      <c r="AF49" s="35" t="str">
        <f aca="false">IF(AND(ISNUMBER(AA49),ISNUMBER(AB49)),IF(AB49&gt;=AA49,ROUND((AB49-AA49)*1440,0),""),"")</f>
        <v/>
      </c>
      <c r="AG49" s="35" t="str">
        <f aca="false">IF(AND(W49="완료",ISNUMBER(X49)),IF(MAX(Y49:AB49)&gt;=X49,ROUND((MAX(Y49:AB49)-X49)*1440,0),""),"")</f>
        <v/>
      </c>
    </row>
    <row r="50" customFormat="false" ht="15" hidden="false" customHeight="false" outlineLevel="0" collapsed="false">
      <c r="A50" s="27" t="n">
        <v>46</v>
      </c>
      <c r="B50" s="28"/>
      <c r="C50" s="29"/>
      <c r="D50" s="29"/>
      <c r="E50" s="28"/>
      <c r="F50" s="30"/>
      <c r="G50" s="31"/>
      <c r="H50" s="28"/>
      <c r="I50" s="29"/>
      <c r="J50" s="29"/>
      <c r="K50" s="29"/>
      <c r="L50" s="29"/>
      <c r="M50" s="29"/>
      <c r="N50" s="29"/>
      <c r="O50" s="29"/>
      <c r="P50" s="29"/>
      <c r="Q50" s="29"/>
      <c r="R50" s="29"/>
      <c r="S50" s="28"/>
      <c r="T50" s="32" t="str">
        <f aca="false">IF(AND(K50="",L50=""),"",IF(OR(K50="-",L50="-"),"측정불가",IF(AND(ISNUMBER(K50),ISNUMBER(L50)),IF(OR(K50&gt;=설정!$C$9,L50&gt;=설정!$C$10),"긴급",IF(OR(K50&gt;=설정!$C$7,L50&gt;=설정!$C$8,K50&lt;설정!$C$11),"주의","정상")),"확인필요")))</f>
        <v/>
      </c>
      <c r="U50" s="32" t="str">
        <f aca="false">IF(M50="","",IF(M50="-","측정불가",IF(NOT(ISNUMBER(M50)),"확인필요",IF(M50&lt;설정!$C$15,"긴급(저혈당)",IF(M50&gt;=설정!$C$16,"긴급(고혈당)",IF(N50="공복",IF(M50&gt;=설정!$C$13,"주의","정상"),IF(N50="식후",IF(M50&gt;=설정!$C$14,"주의","정상"),"조건확인")))))))</f>
        <v/>
      </c>
      <c r="V50" s="32" t="str">
        <f aca="false">IF(OR(T50="긴급",LEFT(U50,2)="긴급",P50="O"),"대상","")</f>
        <v/>
      </c>
      <c r="W50" s="33" t="str">
        <f aca="false">IF(R50&lt;&gt;"",R50,IF(O50="O",IF(V50="대상",IF(Q50="O","완료","추가상담 대기"),"완료"),IF(COUNTA(K50:M50)=3,"상담 대기",IF(J50="O","측정 대기",IF(I50="O","운동평가 대기","미방문")))))</f>
        <v>미방문</v>
      </c>
      <c r="X50" s="34"/>
      <c r="Y50" s="34"/>
      <c r="Z50" s="34"/>
      <c r="AA50" s="34"/>
      <c r="AB50" s="34"/>
      <c r="AC50" s="35" t="str">
        <f aca="false">IF(AND(ISNUMBER(X50),ISNUMBER(Y50)),IF(Y50&gt;=X50,ROUND((Y50-X50)*1440,0),""),"")</f>
        <v/>
      </c>
      <c r="AD50" s="35" t="str">
        <f aca="false">IF(AND(ISNUMBER(Y50),ISNUMBER(Z50)),IF(Z50&gt;=Y50,ROUND((Z50-Y50)*1440,0),""),"")</f>
        <v/>
      </c>
      <c r="AE50" s="35" t="str">
        <f aca="false">IF(AND(ISNUMBER(Z50),ISNUMBER(AA50)),IF(AA50&gt;=Z50,ROUND((AA50-Z50)*1440,0),""),"")</f>
        <v/>
      </c>
      <c r="AF50" s="35" t="str">
        <f aca="false">IF(AND(ISNUMBER(AA50),ISNUMBER(AB50)),IF(AB50&gt;=AA50,ROUND((AB50-AA50)*1440,0),""),"")</f>
        <v/>
      </c>
      <c r="AG50" s="35" t="str">
        <f aca="false">IF(AND(W50="완료",ISNUMBER(X50)),IF(MAX(Y50:AB50)&gt;=X50,ROUND((MAX(Y50:AB50)-X50)*1440,0),""),"")</f>
        <v/>
      </c>
    </row>
    <row r="51" customFormat="false" ht="15" hidden="false" customHeight="false" outlineLevel="0" collapsed="false">
      <c r="A51" s="27" t="n">
        <v>47</v>
      </c>
      <c r="B51" s="28"/>
      <c r="C51" s="29"/>
      <c r="D51" s="29"/>
      <c r="E51" s="28"/>
      <c r="F51" s="30"/>
      <c r="G51" s="31"/>
      <c r="H51" s="28"/>
      <c r="I51" s="29"/>
      <c r="J51" s="29"/>
      <c r="K51" s="29"/>
      <c r="L51" s="29"/>
      <c r="M51" s="29"/>
      <c r="N51" s="29"/>
      <c r="O51" s="29"/>
      <c r="P51" s="29"/>
      <c r="Q51" s="29"/>
      <c r="R51" s="29"/>
      <c r="S51" s="28"/>
      <c r="T51" s="32" t="str">
        <f aca="false">IF(AND(K51="",L51=""),"",IF(OR(K51="-",L51="-"),"측정불가",IF(AND(ISNUMBER(K51),ISNUMBER(L51)),IF(OR(K51&gt;=설정!$C$9,L51&gt;=설정!$C$10),"긴급",IF(OR(K51&gt;=설정!$C$7,L51&gt;=설정!$C$8,K51&lt;설정!$C$11),"주의","정상")),"확인필요")))</f>
        <v/>
      </c>
      <c r="U51" s="32" t="str">
        <f aca="false">IF(M51="","",IF(M51="-","측정불가",IF(NOT(ISNUMBER(M51)),"확인필요",IF(M51&lt;설정!$C$15,"긴급(저혈당)",IF(M51&gt;=설정!$C$16,"긴급(고혈당)",IF(N51="공복",IF(M51&gt;=설정!$C$13,"주의","정상"),IF(N51="식후",IF(M51&gt;=설정!$C$14,"주의","정상"),"조건확인")))))))</f>
        <v/>
      </c>
      <c r="V51" s="32" t="str">
        <f aca="false">IF(OR(T51="긴급",LEFT(U51,2)="긴급",P51="O"),"대상","")</f>
        <v/>
      </c>
      <c r="W51" s="33" t="str">
        <f aca="false">IF(R51&lt;&gt;"",R51,IF(O51="O",IF(V51="대상",IF(Q51="O","완료","추가상담 대기"),"완료"),IF(COUNTA(K51:M51)=3,"상담 대기",IF(J51="O","측정 대기",IF(I51="O","운동평가 대기","미방문")))))</f>
        <v>미방문</v>
      </c>
      <c r="X51" s="34"/>
      <c r="Y51" s="34"/>
      <c r="Z51" s="34"/>
      <c r="AA51" s="34"/>
      <c r="AB51" s="34"/>
      <c r="AC51" s="35" t="str">
        <f aca="false">IF(AND(ISNUMBER(X51),ISNUMBER(Y51)),IF(Y51&gt;=X51,ROUND((Y51-X51)*1440,0),""),"")</f>
        <v/>
      </c>
      <c r="AD51" s="35" t="str">
        <f aca="false">IF(AND(ISNUMBER(Y51),ISNUMBER(Z51)),IF(Z51&gt;=Y51,ROUND((Z51-Y51)*1440,0),""),"")</f>
        <v/>
      </c>
      <c r="AE51" s="35" t="str">
        <f aca="false">IF(AND(ISNUMBER(Z51),ISNUMBER(AA51)),IF(AA51&gt;=Z51,ROUND((AA51-Z51)*1440,0),""),"")</f>
        <v/>
      </c>
      <c r="AF51" s="35" t="str">
        <f aca="false">IF(AND(ISNUMBER(AA51),ISNUMBER(AB51)),IF(AB51&gt;=AA51,ROUND((AB51-AA51)*1440,0),""),"")</f>
        <v/>
      </c>
      <c r="AG51" s="35" t="str">
        <f aca="false">IF(AND(W51="완료",ISNUMBER(X51)),IF(MAX(Y51:AB51)&gt;=X51,ROUND((MAX(Y51:AB51)-X51)*1440,0),""),"")</f>
        <v/>
      </c>
    </row>
    <row r="52" customFormat="false" ht="15" hidden="false" customHeight="false" outlineLevel="0" collapsed="false">
      <c r="A52" s="27" t="n">
        <v>48</v>
      </c>
      <c r="B52" s="28"/>
      <c r="C52" s="29"/>
      <c r="D52" s="29"/>
      <c r="E52" s="28"/>
      <c r="F52" s="30"/>
      <c r="G52" s="31"/>
      <c r="H52" s="28"/>
      <c r="I52" s="29"/>
      <c r="J52" s="29"/>
      <c r="K52" s="29"/>
      <c r="L52" s="29"/>
      <c r="M52" s="29"/>
      <c r="N52" s="29"/>
      <c r="O52" s="29"/>
      <c r="P52" s="29"/>
      <c r="Q52" s="29"/>
      <c r="R52" s="29"/>
      <c r="S52" s="28"/>
      <c r="T52" s="32" t="str">
        <f aca="false">IF(AND(K52="",L52=""),"",IF(OR(K52="-",L52="-"),"측정불가",IF(AND(ISNUMBER(K52),ISNUMBER(L52)),IF(OR(K52&gt;=설정!$C$9,L52&gt;=설정!$C$10),"긴급",IF(OR(K52&gt;=설정!$C$7,L52&gt;=설정!$C$8,K52&lt;설정!$C$11),"주의","정상")),"확인필요")))</f>
        <v/>
      </c>
      <c r="U52" s="32" t="str">
        <f aca="false">IF(M52="","",IF(M52="-","측정불가",IF(NOT(ISNUMBER(M52)),"확인필요",IF(M52&lt;설정!$C$15,"긴급(저혈당)",IF(M52&gt;=설정!$C$16,"긴급(고혈당)",IF(N52="공복",IF(M52&gt;=설정!$C$13,"주의","정상"),IF(N52="식후",IF(M52&gt;=설정!$C$14,"주의","정상"),"조건확인")))))))</f>
        <v/>
      </c>
      <c r="V52" s="32" t="str">
        <f aca="false">IF(OR(T52="긴급",LEFT(U52,2)="긴급",P52="O"),"대상","")</f>
        <v/>
      </c>
      <c r="W52" s="33" t="str">
        <f aca="false">IF(R52&lt;&gt;"",R52,IF(O52="O",IF(V52="대상",IF(Q52="O","완료","추가상담 대기"),"완료"),IF(COUNTA(K52:M52)=3,"상담 대기",IF(J52="O","측정 대기",IF(I52="O","운동평가 대기","미방문")))))</f>
        <v>미방문</v>
      </c>
      <c r="X52" s="34"/>
      <c r="Y52" s="34"/>
      <c r="Z52" s="34"/>
      <c r="AA52" s="34"/>
      <c r="AB52" s="34"/>
      <c r="AC52" s="35" t="str">
        <f aca="false">IF(AND(ISNUMBER(X52),ISNUMBER(Y52)),IF(Y52&gt;=X52,ROUND((Y52-X52)*1440,0),""),"")</f>
        <v/>
      </c>
      <c r="AD52" s="35" t="str">
        <f aca="false">IF(AND(ISNUMBER(Y52),ISNUMBER(Z52)),IF(Z52&gt;=Y52,ROUND((Z52-Y52)*1440,0),""),"")</f>
        <v/>
      </c>
      <c r="AE52" s="35" t="str">
        <f aca="false">IF(AND(ISNUMBER(Z52),ISNUMBER(AA52)),IF(AA52&gt;=Z52,ROUND((AA52-Z52)*1440,0),""),"")</f>
        <v/>
      </c>
      <c r="AF52" s="35" t="str">
        <f aca="false">IF(AND(ISNUMBER(AA52),ISNUMBER(AB52)),IF(AB52&gt;=AA52,ROUND((AB52-AA52)*1440,0),""),"")</f>
        <v/>
      </c>
      <c r="AG52" s="35" t="str">
        <f aca="false">IF(AND(W52="완료",ISNUMBER(X52)),IF(MAX(Y52:AB52)&gt;=X52,ROUND((MAX(Y52:AB52)-X52)*1440,0),""),"")</f>
        <v/>
      </c>
    </row>
    <row r="53" customFormat="false" ht="15" hidden="false" customHeight="false" outlineLevel="0" collapsed="false">
      <c r="A53" s="27" t="n">
        <v>49</v>
      </c>
      <c r="B53" s="28"/>
      <c r="C53" s="29"/>
      <c r="D53" s="29"/>
      <c r="E53" s="28"/>
      <c r="F53" s="30"/>
      <c r="G53" s="31"/>
      <c r="H53" s="28"/>
      <c r="I53" s="29"/>
      <c r="J53" s="29"/>
      <c r="K53" s="29"/>
      <c r="L53" s="29"/>
      <c r="M53" s="29"/>
      <c r="N53" s="29"/>
      <c r="O53" s="29"/>
      <c r="P53" s="29"/>
      <c r="Q53" s="29"/>
      <c r="R53" s="29"/>
      <c r="S53" s="28"/>
      <c r="T53" s="32" t="str">
        <f aca="false">IF(AND(K53="",L53=""),"",IF(OR(K53="-",L53="-"),"측정불가",IF(AND(ISNUMBER(K53),ISNUMBER(L53)),IF(OR(K53&gt;=설정!$C$9,L53&gt;=설정!$C$10),"긴급",IF(OR(K53&gt;=설정!$C$7,L53&gt;=설정!$C$8,K53&lt;설정!$C$11),"주의","정상")),"확인필요")))</f>
        <v/>
      </c>
      <c r="U53" s="32" t="str">
        <f aca="false">IF(M53="","",IF(M53="-","측정불가",IF(NOT(ISNUMBER(M53)),"확인필요",IF(M53&lt;설정!$C$15,"긴급(저혈당)",IF(M53&gt;=설정!$C$16,"긴급(고혈당)",IF(N53="공복",IF(M53&gt;=설정!$C$13,"주의","정상"),IF(N53="식후",IF(M53&gt;=설정!$C$14,"주의","정상"),"조건확인")))))))</f>
        <v/>
      </c>
      <c r="V53" s="32" t="str">
        <f aca="false">IF(OR(T53="긴급",LEFT(U53,2)="긴급",P53="O"),"대상","")</f>
        <v/>
      </c>
      <c r="W53" s="33" t="str">
        <f aca="false">IF(R53&lt;&gt;"",R53,IF(O53="O",IF(V53="대상",IF(Q53="O","완료","추가상담 대기"),"완료"),IF(COUNTA(K53:M53)=3,"상담 대기",IF(J53="O","측정 대기",IF(I53="O","운동평가 대기","미방문")))))</f>
        <v>미방문</v>
      </c>
      <c r="X53" s="34"/>
      <c r="Y53" s="34"/>
      <c r="Z53" s="34"/>
      <c r="AA53" s="34"/>
      <c r="AB53" s="34"/>
      <c r="AC53" s="35" t="str">
        <f aca="false">IF(AND(ISNUMBER(X53),ISNUMBER(Y53)),IF(Y53&gt;=X53,ROUND((Y53-X53)*1440,0),""),"")</f>
        <v/>
      </c>
      <c r="AD53" s="35" t="str">
        <f aca="false">IF(AND(ISNUMBER(Y53),ISNUMBER(Z53)),IF(Z53&gt;=Y53,ROUND((Z53-Y53)*1440,0),""),"")</f>
        <v/>
      </c>
      <c r="AE53" s="35" t="str">
        <f aca="false">IF(AND(ISNUMBER(Z53),ISNUMBER(AA53)),IF(AA53&gt;=Z53,ROUND((AA53-Z53)*1440,0),""),"")</f>
        <v/>
      </c>
      <c r="AF53" s="35" t="str">
        <f aca="false">IF(AND(ISNUMBER(AA53),ISNUMBER(AB53)),IF(AB53&gt;=AA53,ROUND((AB53-AA53)*1440,0),""),"")</f>
        <v/>
      </c>
      <c r="AG53" s="35" t="str">
        <f aca="false">IF(AND(W53="완료",ISNUMBER(X53)),IF(MAX(Y53:AB53)&gt;=X53,ROUND((MAX(Y53:AB53)-X53)*1440,0),""),"")</f>
        <v/>
      </c>
    </row>
    <row r="54" customFormat="false" ht="15" hidden="false" customHeight="false" outlineLevel="0" collapsed="false">
      <c r="A54" s="27" t="n">
        <v>50</v>
      </c>
      <c r="B54" s="28"/>
      <c r="C54" s="29"/>
      <c r="D54" s="29"/>
      <c r="E54" s="28"/>
      <c r="F54" s="30"/>
      <c r="G54" s="31"/>
      <c r="H54" s="28"/>
      <c r="I54" s="29"/>
      <c r="J54" s="29"/>
      <c r="K54" s="29"/>
      <c r="L54" s="29"/>
      <c r="M54" s="29"/>
      <c r="N54" s="29"/>
      <c r="O54" s="29"/>
      <c r="P54" s="29"/>
      <c r="Q54" s="29"/>
      <c r="R54" s="29"/>
      <c r="S54" s="28"/>
      <c r="T54" s="32" t="str">
        <f aca="false">IF(AND(K54="",L54=""),"",IF(OR(K54="-",L54="-"),"측정불가",IF(AND(ISNUMBER(K54),ISNUMBER(L54)),IF(OR(K54&gt;=설정!$C$9,L54&gt;=설정!$C$10),"긴급",IF(OR(K54&gt;=설정!$C$7,L54&gt;=설정!$C$8,K54&lt;설정!$C$11),"주의","정상")),"확인필요")))</f>
        <v/>
      </c>
      <c r="U54" s="32" t="str">
        <f aca="false">IF(M54="","",IF(M54="-","측정불가",IF(NOT(ISNUMBER(M54)),"확인필요",IF(M54&lt;설정!$C$15,"긴급(저혈당)",IF(M54&gt;=설정!$C$16,"긴급(고혈당)",IF(N54="공복",IF(M54&gt;=설정!$C$13,"주의","정상"),IF(N54="식후",IF(M54&gt;=설정!$C$14,"주의","정상"),"조건확인")))))))</f>
        <v/>
      </c>
      <c r="V54" s="32" t="str">
        <f aca="false">IF(OR(T54="긴급",LEFT(U54,2)="긴급",P54="O"),"대상","")</f>
        <v/>
      </c>
      <c r="W54" s="33" t="str">
        <f aca="false">IF(R54&lt;&gt;"",R54,IF(O54="O",IF(V54="대상",IF(Q54="O","완료","추가상담 대기"),"완료"),IF(COUNTA(K54:M54)=3,"상담 대기",IF(J54="O","측정 대기",IF(I54="O","운동평가 대기","미방문")))))</f>
        <v>미방문</v>
      </c>
      <c r="X54" s="34"/>
      <c r="Y54" s="34"/>
      <c r="Z54" s="34"/>
      <c r="AA54" s="34"/>
      <c r="AB54" s="34"/>
      <c r="AC54" s="35" t="str">
        <f aca="false">IF(AND(ISNUMBER(X54),ISNUMBER(Y54)),IF(Y54&gt;=X54,ROUND((Y54-X54)*1440,0),""),"")</f>
        <v/>
      </c>
      <c r="AD54" s="35" t="str">
        <f aca="false">IF(AND(ISNUMBER(Y54),ISNUMBER(Z54)),IF(Z54&gt;=Y54,ROUND((Z54-Y54)*1440,0),""),"")</f>
        <v/>
      </c>
      <c r="AE54" s="35" t="str">
        <f aca="false">IF(AND(ISNUMBER(Z54),ISNUMBER(AA54)),IF(AA54&gt;=Z54,ROUND((AA54-Z54)*1440,0),""),"")</f>
        <v/>
      </c>
      <c r="AF54" s="35" t="str">
        <f aca="false">IF(AND(ISNUMBER(AA54),ISNUMBER(AB54)),IF(AB54&gt;=AA54,ROUND((AB54-AA54)*1440,0),""),"")</f>
        <v/>
      </c>
      <c r="AG54" s="35" t="str">
        <f aca="false">IF(AND(W54="완료",ISNUMBER(X54)),IF(MAX(Y54:AB54)&gt;=X54,ROUND((MAX(Y54:AB54)-X54)*1440,0),""),"")</f>
        <v/>
      </c>
    </row>
    <row r="55" customFormat="false" ht="15" hidden="false" customHeight="false" outlineLevel="0" collapsed="false">
      <c r="A55" s="27" t="n">
        <v>51</v>
      </c>
      <c r="B55" s="28"/>
      <c r="C55" s="29"/>
      <c r="D55" s="29"/>
      <c r="E55" s="28"/>
      <c r="F55" s="30"/>
      <c r="G55" s="31"/>
      <c r="H55" s="28"/>
      <c r="I55" s="29"/>
      <c r="J55" s="29"/>
      <c r="K55" s="29"/>
      <c r="L55" s="29"/>
      <c r="M55" s="29"/>
      <c r="N55" s="29"/>
      <c r="O55" s="29"/>
      <c r="P55" s="29"/>
      <c r="Q55" s="29"/>
      <c r="R55" s="29"/>
      <c r="S55" s="28"/>
      <c r="T55" s="32" t="str">
        <f aca="false">IF(AND(K55="",L55=""),"",IF(OR(K55="-",L55="-"),"측정불가",IF(AND(ISNUMBER(K55),ISNUMBER(L55)),IF(OR(K55&gt;=설정!$C$9,L55&gt;=설정!$C$10),"긴급",IF(OR(K55&gt;=설정!$C$7,L55&gt;=설정!$C$8,K55&lt;설정!$C$11),"주의","정상")),"확인필요")))</f>
        <v/>
      </c>
      <c r="U55" s="32" t="str">
        <f aca="false">IF(M55="","",IF(M55="-","측정불가",IF(NOT(ISNUMBER(M55)),"확인필요",IF(M55&lt;설정!$C$15,"긴급(저혈당)",IF(M55&gt;=설정!$C$16,"긴급(고혈당)",IF(N55="공복",IF(M55&gt;=설정!$C$13,"주의","정상"),IF(N55="식후",IF(M55&gt;=설정!$C$14,"주의","정상"),"조건확인")))))))</f>
        <v/>
      </c>
      <c r="V55" s="32" t="str">
        <f aca="false">IF(OR(T55="긴급",LEFT(U55,2)="긴급",P55="O"),"대상","")</f>
        <v/>
      </c>
      <c r="W55" s="33" t="str">
        <f aca="false">IF(R55&lt;&gt;"",R55,IF(O55="O",IF(V55="대상",IF(Q55="O","완료","추가상담 대기"),"완료"),IF(COUNTA(K55:M55)=3,"상담 대기",IF(J55="O","측정 대기",IF(I55="O","운동평가 대기","미방문")))))</f>
        <v>미방문</v>
      </c>
      <c r="X55" s="34"/>
      <c r="Y55" s="34"/>
      <c r="Z55" s="34"/>
      <c r="AA55" s="34"/>
      <c r="AB55" s="34"/>
      <c r="AC55" s="35" t="str">
        <f aca="false">IF(AND(ISNUMBER(X55),ISNUMBER(Y55)),IF(Y55&gt;=X55,ROUND((Y55-X55)*1440,0),""),"")</f>
        <v/>
      </c>
      <c r="AD55" s="35" t="str">
        <f aca="false">IF(AND(ISNUMBER(Y55),ISNUMBER(Z55)),IF(Z55&gt;=Y55,ROUND((Z55-Y55)*1440,0),""),"")</f>
        <v/>
      </c>
      <c r="AE55" s="35" t="str">
        <f aca="false">IF(AND(ISNUMBER(Z55),ISNUMBER(AA55)),IF(AA55&gt;=Z55,ROUND((AA55-Z55)*1440,0),""),"")</f>
        <v/>
      </c>
      <c r="AF55" s="35" t="str">
        <f aca="false">IF(AND(ISNUMBER(AA55),ISNUMBER(AB55)),IF(AB55&gt;=AA55,ROUND((AB55-AA55)*1440,0),""),"")</f>
        <v/>
      </c>
      <c r="AG55" s="35" t="str">
        <f aca="false">IF(AND(W55="완료",ISNUMBER(X55)),IF(MAX(Y55:AB55)&gt;=X55,ROUND((MAX(Y55:AB55)-X55)*1440,0),""),"")</f>
        <v/>
      </c>
    </row>
    <row r="56" customFormat="false" ht="15" hidden="false" customHeight="false" outlineLevel="0" collapsed="false">
      <c r="A56" s="27" t="n">
        <v>52</v>
      </c>
      <c r="B56" s="28"/>
      <c r="C56" s="29"/>
      <c r="D56" s="29"/>
      <c r="E56" s="28"/>
      <c r="F56" s="30"/>
      <c r="G56" s="31"/>
      <c r="H56" s="28"/>
      <c r="I56" s="29"/>
      <c r="J56" s="29"/>
      <c r="K56" s="29"/>
      <c r="L56" s="29"/>
      <c r="M56" s="29"/>
      <c r="N56" s="29"/>
      <c r="O56" s="29"/>
      <c r="P56" s="29"/>
      <c r="Q56" s="29"/>
      <c r="R56" s="29"/>
      <c r="S56" s="28"/>
      <c r="T56" s="32" t="str">
        <f aca="false">IF(AND(K56="",L56=""),"",IF(OR(K56="-",L56="-"),"측정불가",IF(AND(ISNUMBER(K56),ISNUMBER(L56)),IF(OR(K56&gt;=설정!$C$9,L56&gt;=설정!$C$10),"긴급",IF(OR(K56&gt;=설정!$C$7,L56&gt;=설정!$C$8,K56&lt;설정!$C$11),"주의","정상")),"확인필요")))</f>
        <v/>
      </c>
      <c r="U56" s="32" t="str">
        <f aca="false">IF(M56="","",IF(M56="-","측정불가",IF(NOT(ISNUMBER(M56)),"확인필요",IF(M56&lt;설정!$C$15,"긴급(저혈당)",IF(M56&gt;=설정!$C$16,"긴급(고혈당)",IF(N56="공복",IF(M56&gt;=설정!$C$13,"주의","정상"),IF(N56="식후",IF(M56&gt;=설정!$C$14,"주의","정상"),"조건확인")))))))</f>
        <v/>
      </c>
      <c r="V56" s="32" t="str">
        <f aca="false">IF(OR(T56="긴급",LEFT(U56,2)="긴급",P56="O"),"대상","")</f>
        <v/>
      </c>
      <c r="W56" s="33" t="str">
        <f aca="false">IF(R56&lt;&gt;"",R56,IF(O56="O",IF(V56="대상",IF(Q56="O","완료","추가상담 대기"),"완료"),IF(COUNTA(K56:M56)=3,"상담 대기",IF(J56="O","측정 대기",IF(I56="O","운동평가 대기","미방문")))))</f>
        <v>미방문</v>
      </c>
      <c r="X56" s="34"/>
      <c r="Y56" s="34"/>
      <c r="Z56" s="34"/>
      <c r="AA56" s="34"/>
      <c r="AB56" s="34"/>
      <c r="AC56" s="35" t="str">
        <f aca="false">IF(AND(ISNUMBER(X56),ISNUMBER(Y56)),IF(Y56&gt;=X56,ROUND((Y56-X56)*1440,0),""),"")</f>
        <v/>
      </c>
      <c r="AD56" s="35" t="str">
        <f aca="false">IF(AND(ISNUMBER(Y56),ISNUMBER(Z56)),IF(Z56&gt;=Y56,ROUND((Z56-Y56)*1440,0),""),"")</f>
        <v/>
      </c>
      <c r="AE56" s="35" t="str">
        <f aca="false">IF(AND(ISNUMBER(Z56),ISNUMBER(AA56)),IF(AA56&gt;=Z56,ROUND((AA56-Z56)*1440,0),""),"")</f>
        <v/>
      </c>
      <c r="AF56" s="35" t="str">
        <f aca="false">IF(AND(ISNUMBER(AA56),ISNUMBER(AB56)),IF(AB56&gt;=AA56,ROUND((AB56-AA56)*1440,0),""),"")</f>
        <v/>
      </c>
      <c r="AG56" s="35" t="str">
        <f aca="false">IF(AND(W56="완료",ISNUMBER(X56)),IF(MAX(Y56:AB56)&gt;=X56,ROUND((MAX(Y56:AB56)-X56)*1440,0),""),"")</f>
        <v/>
      </c>
    </row>
    <row r="57" customFormat="false" ht="15" hidden="false" customHeight="false" outlineLevel="0" collapsed="false">
      <c r="A57" s="27" t="n">
        <v>53</v>
      </c>
      <c r="B57" s="28"/>
      <c r="C57" s="29"/>
      <c r="D57" s="29"/>
      <c r="E57" s="28"/>
      <c r="F57" s="30"/>
      <c r="G57" s="31"/>
      <c r="H57" s="28"/>
      <c r="I57" s="29"/>
      <c r="J57" s="29"/>
      <c r="K57" s="29"/>
      <c r="L57" s="29"/>
      <c r="M57" s="29"/>
      <c r="N57" s="29"/>
      <c r="O57" s="29"/>
      <c r="P57" s="29"/>
      <c r="Q57" s="29"/>
      <c r="R57" s="29"/>
      <c r="S57" s="28"/>
      <c r="T57" s="32" t="str">
        <f aca="false">IF(AND(K57="",L57=""),"",IF(OR(K57="-",L57="-"),"측정불가",IF(AND(ISNUMBER(K57),ISNUMBER(L57)),IF(OR(K57&gt;=설정!$C$9,L57&gt;=설정!$C$10),"긴급",IF(OR(K57&gt;=설정!$C$7,L57&gt;=설정!$C$8,K57&lt;설정!$C$11),"주의","정상")),"확인필요")))</f>
        <v/>
      </c>
      <c r="U57" s="32" t="str">
        <f aca="false">IF(M57="","",IF(M57="-","측정불가",IF(NOT(ISNUMBER(M57)),"확인필요",IF(M57&lt;설정!$C$15,"긴급(저혈당)",IF(M57&gt;=설정!$C$16,"긴급(고혈당)",IF(N57="공복",IF(M57&gt;=설정!$C$13,"주의","정상"),IF(N57="식후",IF(M57&gt;=설정!$C$14,"주의","정상"),"조건확인")))))))</f>
        <v/>
      </c>
      <c r="V57" s="32" t="str">
        <f aca="false">IF(OR(T57="긴급",LEFT(U57,2)="긴급",P57="O"),"대상","")</f>
        <v/>
      </c>
      <c r="W57" s="33" t="str">
        <f aca="false">IF(R57&lt;&gt;"",R57,IF(O57="O",IF(V57="대상",IF(Q57="O","완료","추가상담 대기"),"완료"),IF(COUNTA(K57:M57)=3,"상담 대기",IF(J57="O","측정 대기",IF(I57="O","운동평가 대기","미방문")))))</f>
        <v>미방문</v>
      </c>
      <c r="X57" s="34"/>
      <c r="Y57" s="34"/>
      <c r="Z57" s="34"/>
      <c r="AA57" s="34"/>
      <c r="AB57" s="34"/>
      <c r="AC57" s="35" t="str">
        <f aca="false">IF(AND(ISNUMBER(X57),ISNUMBER(Y57)),IF(Y57&gt;=X57,ROUND((Y57-X57)*1440,0),""),"")</f>
        <v/>
      </c>
      <c r="AD57" s="35" t="str">
        <f aca="false">IF(AND(ISNUMBER(Y57),ISNUMBER(Z57)),IF(Z57&gt;=Y57,ROUND((Z57-Y57)*1440,0),""),"")</f>
        <v/>
      </c>
      <c r="AE57" s="35" t="str">
        <f aca="false">IF(AND(ISNUMBER(Z57),ISNUMBER(AA57)),IF(AA57&gt;=Z57,ROUND((AA57-Z57)*1440,0),""),"")</f>
        <v/>
      </c>
      <c r="AF57" s="35" t="str">
        <f aca="false">IF(AND(ISNUMBER(AA57),ISNUMBER(AB57)),IF(AB57&gt;=AA57,ROUND((AB57-AA57)*1440,0),""),"")</f>
        <v/>
      </c>
      <c r="AG57" s="35" t="str">
        <f aca="false">IF(AND(W57="완료",ISNUMBER(X57)),IF(MAX(Y57:AB57)&gt;=X57,ROUND((MAX(Y57:AB57)-X57)*1440,0),""),"")</f>
        <v/>
      </c>
    </row>
    <row r="58" customFormat="false" ht="15" hidden="false" customHeight="false" outlineLevel="0" collapsed="false">
      <c r="A58" s="27" t="n">
        <v>54</v>
      </c>
      <c r="B58" s="28"/>
      <c r="C58" s="29"/>
      <c r="D58" s="29"/>
      <c r="E58" s="28"/>
      <c r="F58" s="30"/>
      <c r="G58" s="31"/>
      <c r="H58" s="28"/>
      <c r="I58" s="29"/>
      <c r="J58" s="29"/>
      <c r="K58" s="29"/>
      <c r="L58" s="29"/>
      <c r="M58" s="29"/>
      <c r="N58" s="29"/>
      <c r="O58" s="29"/>
      <c r="P58" s="29"/>
      <c r="Q58" s="29"/>
      <c r="R58" s="29"/>
      <c r="S58" s="28"/>
      <c r="T58" s="32" t="str">
        <f aca="false">IF(AND(K58="",L58=""),"",IF(OR(K58="-",L58="-"),"측정불가",IF(AND(ISNUMBER(K58),ISNUMBER(L58)),IF(OR(K58&gt;=설정!$C$9,L58&gt;=설정!$C$10),"긴급",IF(OR(K58&gt;=설정!$C$7,L58&gt;=설정!$C$8,K58&lt;설정!$C$11),"주의","정상")),"확인필요")))</f>
        <v/>
      </c>
      <c r="U58" s="32" t="str">
        <f aca="false">IF(M58="","",IF(M58="-","측정불가",IF(NOT(ISNUMBER(M58)),"확인필요",IF(M58&lt;설정!$C$15,"긴급(저혈당)",IF(M58&gt;=설정!$C$16,"긴급(고혈당)",IF(N58="공복",IF(M58&gt;=설정!$C$13,"주의","정상"),IF(N58="식후",IF(M58&gt;=설정!$C$14,"주의","정상"),"조건확인")))))))</f>
        <v/>
      </c>
      <c r="V58" s="32" t="str">
        <f aca="false">IF(OR(T58="긴급",LEFT(U58,2)="긴급",P58="O"),"대상","")</f>
        <v/>
      </c>
      <c r="W58" s="33" t="str">
        <f aca="false">IF(R58&lt;&gt;"",R58,IF(O58="O",IF(V58="대상",IF(Q58="O","완료","추가상담 대기"),"완료"),IF(COUNTA(K58:M58)=3,"상담 대기",IF(J58="O","측정 대기",IF(I58="O","운동평가 대기","미방문")))))</f>
        <v>미방문</v>
      </c>
      <c r="X58" s="34"/>
      <c r="Y58" s="34"/>
      <c r="Z58" s="34"/>
      <c r="AA58" s="34"/>
      <c r="AB58" s="34"/>
      <c r="AC58" s="35" t="str">
        <f aca="false">IF(AND(ISNUMBER(X58),ISNUMBER(Y58)),IF(Y58&gt;=X58,ROUND((Y58-X58)*1440,0),""),"")</f>
        <v/>
      </c>
      <c r="AD58" s="35" t="str">
        <f aca="false">IF(AND(ISNUMBER(Y58),ISNUMBER(Z58)),IF(Z58&gt;=Y58,ROUND((Z58-Y58)*1440,0),""),"")</f>
        <v/>
      </c>
      <c r="AE58" s="35" t="str">
        <f aca="false">IF(AND(ISNUMBER(Z58),ISNUMBER(AA58)),IF(AA58&gt;=Z58,ROUND((AA58-Z58)*1440,0),""),"")</f>
        <v/>
      </c>
      <c r="AF58" s="35" t="str">
        <f aca="false">IF(AND(ISNUMBER(AA58),ISNUMBER(AB58)),IF(AB58&gt;=AA58,ROUND((AB58-AA58)*1440,0),""),"")</f>
        <v/>
      </c>
      <c r="AG58" s="35" t="str">
        <f aca="false">IF(AND(W58="완료",ISNUMBER(X58)),IF(MAX(Y58:AB58)&gt;=X58,ROUND((MAX(Y58:AB58)-X58)*1440,0),""),"")</f>
        <v/>
      </c>
    </row>
    <row r="59" customFormat="false" ht="15" hidden="false" customHeight="false" outlineLevel="0" collapsed="false">
      <c r="A59" s="27" t="n">
        <v>55</v>
      </c>
      <c r="B59" s="28"/>
      <c r="C59" s="29"/>
      <c r="D59" s="29"/>
      <c r="E59" s="28"/>
      <c r="F59" s="30"/>
      <c r="G59" s="31"/>
      <c r="H59" s="28"/>
      <c r="I59" s="29"/>
      <c r="J59" s="29"/>
      <c r="K59" s="29"/>
      <c r="L59" s="29"/>
      <c r="M59" s="29"/>
      <c r="N59" s="29"/>
      <c r="O59" s="29"/>
      <c r="P59" s="29"/>
      <c r="Q59" s="29"/>
      <c r="R59" s="29"/>
      <c r="S59" s="28"/>
      <c r="T59" s="32" t="str">
        <f aca="false">IF(AND(K59="",L59=""),"",IF(OR(K59="-",L59="-"),"측정불가",IF(AND(ISNUMBER(K59),ISNUMBER(L59)),IF(OR(K59&gt;=설정!$C$9,L59&gt;=설정!$C$10),"긴급",IF(OR(K59&gt;=설정!$C$7,L59&gt;=설정!$C$8,K59&lt;설정!$C$11),"주의","정상")),"확인필요")))</f>
        <v/>
      </c>
      <c r="U59" s="32" t="str">
        <f aca="false">IF(M59="","",IF(M59="-","측정불가",IF(NOT(ISNUMBER(M59)),"확인필요",IF(M59&lt;설정!$C$15,"긴급(저혈당)",IF(M59&gt;=설정!$C$16,"긴급(고혈당)",IF(N59="공복",IF(M59&gt;=설정!$C$13,"주의","정상"),IF(N59="식후",IF(M59&gt;=설정!$C$14,"주의","정상"),"조건확인")))))))</f>
        <v/>
      </c>
      <c r="V59" s="32" t="str">
        <f aca="false">IF(OR(T59="긴급",LEFT(U59,2)="긴급",P59="O"),"대상","")</f>
        <v/>
      </c>
      <c r="W59" s="33" t="str">
        <f aca="false">IF(R59&lt;&gt;"",R59,IF(O59="O",IF(V59="대상",IF(Q59="O","완료","추가상담 대기"),"완료"),IF(COUNTA(K59:M59)=3,"상담 대기",IF(J59="O","측정 대기",IF(I59="O","운동평가 대기","미방문")))))</f>
        <v>미방문</v>
      </c>
      <c r="X59" s="34"/>
      <c r="Y59" s="34"/>
      <c r="Z59" s="34"/>
      <c r="AA59" s="34"/>
      <c r="AB59" s="34"/>
      <c r="AC59" s="35" t="str">
        <f aca="false">IF(AND(ISNUMBER(X59),ISNUMBER(Y59)),IF(Y59&gt;=X59,ROUND((Y59-X59)*1440,0),""),"")</f>
        <v/>
      </c>
      <c r="AD59" s="35" t="str">
        <f aca="false">IF(AND(ISNUMBER(Y59),ISNUMBER(Z59)),IF(Z59&gt;=Y59,ROUND((Z59-Y59)*1440,0),""),"")</f>
        <v/>
      </c>
      <c r="AE59" s="35" t="str">
        <f aca="false">IF(AND(ISNUMBER(Z59),ISNUMBER(AA59)),IF(AA59&gt;=Z59,ROUND((AA59-Z59)*1440,0),""),"")</f>
        <v/>
      </c>
      <c r="AF59" s="35" t="str">
        <f aca="false">IF(AND(ISNUMBER(AA59),ISNUMBER(AB59)),IF(AB59&gt;=AA59,ROUND((AB59-AA59)*1440,0),""),"")</f>
        <v/>
      </c>
      <c r="AG59" s="35" t="str">
        <f aca="false">IF(AND(W59="완료",ISNUMBER(X59)),IF(MAX(Y59:AB59)&gt;=X59,ROUND((MAX(Y59:AB59)-X59)*1440,0),""),"")</f>
        <v/>
      </c>
    </row>
    <row r="60" customFormat="false" ht="15" hidden="false" customHeight="false" outlineLevel="0" collapsed="false">
      <c r="A60" s="27" t="n">
        <v>56</v>
      </c>
      <c r="B60" s="28"/>
      <c r="C60" s="29"/>
      <c r="D60" s="29"/>
      <c r="E60" s="28"/>
      <c r="F60" s="30"/>
      <c r="G60" s="31"/>
      <c r="H60" s="28"/>
      <c r="I60" s="29"/>
      <c r="J60" s="29"/>
      <c r="K60" s="29"/>
      <c r="L60" s="29"/>
      <c r="M60" s="29"/>
      <c r="N60" s="29"/>
      <c r="O60" s="29"/>
      <c r="P60" s="29"/>
      <c r="Q60" s="29"/>
      <c r="R60" s="29"/>
      <c r="S60" s="28"/>
      <c r="T60" s="32" t="str">
        <f aca="false">IF(AND(K60="",L60=""),"",IF(OR(K60="-",L60="-"),"측정불가",IF(AND(ISNUMBER(K60),ISNUMBER(L60)),IF(OR(K60&gt;=설정!$C$9,L60&gt;=설정!$C$10),"긴급",IF(OR(K60&gt;=설정!$C$7,L60&gt;=설정!$C$8,K60&lt;설정!$C$11),"주의","정상")),"확인필요")))</f>
        <v/>
      </c>
      <c r="U60" s="32" t="str">
        <f aca="false">IF(M60="","",IF(M60="-","측정불가",IF(NOT(ISNUMBER(M60)),"확인필요",IF(M60&lt;설정!$C$15,"긴급(저혈당)",IF(M60&gt;=설정!$C$16,"긴급(고혈당)",IF(N60="공복",IF(M60&gt;=설정!$C$13,"주의","정상"),IF(N60="식후",IF(M60&gt;=설정!$C$14,"주의","정상"),"조건확인")))))))</f>
        <v/>
      </c>
      <c r="V60" s="32" t="str">
        <f aca="false">IF(OR(T60="긴급",LEFT(U60,2)="긴급",P60="O"),"대상","")</f>
        <v/>
      </c>
      <c r="W60" s="33" t="str">
        <f aca="false">IF(R60&lt;&gt;"",R60,IF(O60="O",IF(V60="대상",IF(Q60="O","완료","추가상담 대기"),"완료"),IF(COUNTA(K60:M60)=3,"상담 대기",IF(J60="O","측정 대기",IF(I60="O","운동평가 대기","미방문")))))</f>
        <v>미방문</v>
      </c>
      <c r="X60" s="34"/>
      <c r="Y60" s="34"/>
      <c r="Z60" s="34"/>
      <c r="AA60" s="34"/>
      <c r="AB60" s="34"/>
      <c r="AC60" s="35" t="str">
        <f aca="false">IF(AND(ISNUMBER(X60),ISNUMBER(Y60)),IF(Y60&gt;=X60,ROUND((Y60-X60)*1440,0),""),"")</f>
        <v/>
      </c>
      <c r="AD60" s="35" t="str">
        <f aca="false">IF(AND(ISNUMBER(Y60),ISNUMBER(Z60)),IF(Z60&gt;=Y60,ROUND((Z60-Y60)*1440,0),""),"")</f>
        <v/>
      </c>
      <c r="AE60" s="35" t="str">
        <f aca="false">IF(AND(ISNUMBER(Z60),ISNUMBER(AA60)),IF(AA60&gt;=Z60,ROUND((AA60-Z60)*1440,0),""),"")</f>
        <v/>
      </c>
      <c r="AF60" s="35" t="str">
        <f aca="false">IF(AND(ISNUMBER(AA60),ISNUMBER(AB60)),IF(AB60&gt;=AA60,ROUND((AB60-AA60)*1440,0),""),"")</f>
        <v/>
      </c>
      <c r="AG60" s="35" t="str">
        <f aca="false">IF(AND(W60="완료",ISNUMBER(X60)),IF(MAX(Y60:AB60)&gt;=X60,ROUND((MAX(Y60:AB60)-X60)*1440,0),""),"")</f>
        <v/>
      </c>
    </row>
    <row r="61" customFormat="false" ht="15" hidden="false" customHeight="false" outlineLevel="0" collapsed="false">
      <c r="A61" s="27" t="n">
        <v>57</v>
      </c>
      <c r="B61" s="28"/>
      <c r="C61" s="29"/>
      <c r="D61" s="29"/>
      <c r="E61" s="28"/>
      <c r="F61" s="30"/>
      <c r="G61" s="31"/>
      <c r="H61" s="28"/>
      <c r="I61" s="29"/>
      <c r="J61" s="29"/>
      <c r="K61" s="29"/>
      <c r="L61" s="29"/>
      <c r="M61" s="29"/>
      <c r="N61" s="29"/>
      <c r="O61" s="29"/>
      <c r="P61" s="29"/>
      <c r="Q61" s="29"/>
      <c r="R61" s="29"/>
      <c r="S61" s="28"/>
      <c r="T61" s="32" t="str">
        <f aca="false">IF(AND(K61="",L61=""),"",IF(OR(K61="-",L61="-"),"측정불가",IF(AND(ISNUMBER(K61),ISNUMBER(L61)),IF(OR(K61&gt;=설정!$C$9,L61&gt;=설정!$C$10),"긴급",IF(OR(K61&gt;=설정!$C$7,L61&gt;=설정!$C$8,K61&lt;설정!$C$11),"주의","정상")),"확인필요")))</f>
        <v/>
      </c>
      <c r="U61" s="32" t="str">
        <f aca="false">IF(M61="","",IF(M61="-","측정불가",IF(NOT(ISNUMBER(M61)),"확인필요",IF(M61&lt;설정!$C$15,"긴급(저혈당)",IF(M61&gt;=설정!$C$16,"긴급(고혈당)",IF(N61="공복",IF(M61&gt;=설정!$C$13,"주의","정상"),IF(N61="식후",IF(M61&gt;=설정!$C$14,"주의","정상"),"조건확인")))))))</f>
        <v/>
      </c>
      <c r="V61" s="32" t="str">
        <f aca="false">IF(OR(T61="긴급",LEFT(U61,2)="긴급",P61="O"),"대상","")</f>
        <v/>
      </c>
      <c r="W61" s="33" t="str">
        <f aca="false">IF(R61&lt;&gt;"",R61,IF(O61="O",IF(V61="대상",IF(Q61="O","완료","추가상담 대기"),"완료"),IF(COUNTA(K61:M61)=3,"상담 대기",IF(J61="O","측정 대기",IF(I61="O","운동평가 대기","미방문")))))</f>
        <v>미방문</v>
      </c>
      <c r="X61" s="34"/>
      <c r="Y61" s="34"/>
      <c r="Z61" s="34"/>
      <c r="AA61" s="34"/>
      <c r="AB61" s="34"/>
      <c r="AC61" s="35" t="str">
        <f aca="false">IF(AND(ISNUMBER(X61),ISNUMBER(Y61)),IF(Y61&gt;=X61,ROUND((Y61-X61)*1440,0),""),"")</f>
        <v/>
      </c>
      <c r="AD61" s="35" t="str">
        <f aca="false">IF(AND(ISNUMBER(Y61),ISNUMBER(Z61)),IF(Z61&gt;=Y61,ROUND((Z61-Y61)*1440,0),""),"")</f>
        <v/>
      </c>
      <c r="AE61" s="35" t="str">
        <f aca="false">IF(AND(ISNUMBER(Z61),ISNUMBER(AA61)),IF(AA61&gt;=Z61,ROUND((AA61-Z61)*1440,0),""),"")</f>
        <v/>
      </c>
      <c r="AF61" s="35" t="str">
        <f aca="false">IF(AND(ISNUMBER(AA61),ISNUMBER(AB61)),IF(AB61&gt;=AA61,ROUND((AB61-AA61)*1440,0),""),"")</f>
        <v/>
      </c>
      <c r="AG61" s="35" t="str">
        <f aca="false">IF(AND(W61="완료",ISNUMBER(X61)),IF(MAX(Y61:AB61)&gt;=X61,ROUND((MAX(Y61:AB61)-X61)*1440,0),""),"")</f>
        <v/>
      </c>
    </row>
    <row r="62" customFormat="false" ht="15" hidden="false" customHeight="false" outlineLevel="0" collapsed="false">
      <c r="A62" s="27" t="n">
        <v>58</v>
      </c>
      <c r="B62" s="28"/>
      <c r="C62" s="29"/>
      <c r="D62" s="29"/>
      <c r="E62" s="28"/>
      <c r="F62" s="30"/>
      <c r="G62" s="31"/>
      <c r="H62" s="28"/>
      <c r="I62" s="29"/>
      <c r="J62" s="29"/>
      <c r="K62" s="29"/>
      <c r="L62" s="29"/>
      <c r="M62" s="29"/>
      <c r="N62" s="29"/>
      <c r="O62" s="29"/>
      <c r="P62" s="29"/>
      <c r="Q62" s="29"/>
      <c r="R62" s="29"/>
      <c r="S62" s="28"/>
      <c r="T62" s="32" t="str">
        <f aca="false">IF(AND(K62="",L62=""),"",IF(OR(K62="-",L62="-"),"측정불가",IF(AND(ISNUMBER(K62),ISNUMBER(L62)),IF(OR(K62&gt;=설정!$C$9,L62&gt;=설정!$C$10),"긴급",IF(OR(K62&gt;=설정!$C$7,L62&gt;=설정!$C$8,K62&lt;설정!$C$11),"주의","정상")),"확인필요")))</f>
        <v/>
      </c>
      <c r="U62" s="32" t="str">
        <f aca="false">IF(M62="","",IF(M62="-","측정불가",IF(NOT(ISNUMBER(M62)),"확인필요",IF(M62&lt;설정!$C$15,"긴급(저혈당)",IF(M62&gt;=설정!$C$16,"긴급(고혈당)",IF(N62="공복",IF(M62&gt;=설정!$C$13,"주의","정상"),IF(N62="식후",IF(M62&gt;=설정!$C$14,"주의","정상"),"조건확인")))))))</f>
        <v/>
      </c>
      <c r="V62" s="32" t="str">
        <f aca="false">IF(OR(T62="긴급",LEFT(U62,2)="긴급",P62="O"),"대상","")</f>
        <v/>
      </c>
      <c r="W62" s="33" t="str">
        <f aca="false">IF(R62&lt;&gt;"",R62,IF(O62="O",IF(V62="대상",IF(Q62="O","완료","추가상담 대기"),"완료"),IF(COUNTA(K62:M62)=3,"상담 대기",IF(J62="O","측정 대기",IF(I62="O","운동평가 대기","미방문")))))</f>
        <v>미방문</v>
      </c>
      <c r="X62" s="34"/>
      <c r="Y62" s="34"/>
      <c r="Z62" s="34"/>
      <c r="AA62" s="34"/>
      <c r="AB62" s="34"/>
      <c r="AC62" s="35" t="str">
        <f aca="false">IF(AND(ISNUMBER(X62),ISNUMBER(Y62)),IF(Y62&gt;=X62,ROUND((Y62-X62)*1440,0),""),"")</f>
        <v/>
      </c>
      <c r="AD62" s="35" t="str">
        <f aca="false">IF(AND(ISNUMBER(Y62),ISNUMBER(Z62)),IF(Z62&gt;=Y62,ROUND((Z62-Y62)*1440,0),""),"")</f>
        <v/>
      </c>
      <c r="AE62" s="35" t="str">
        <f aca="false">IF(AND(ISNUMBER(Z62),ISNUMBER(AA62)),IF(AA62&gt;=Z62,ROUND((AA62-Z62)*1440,0),""),"")</f>
        <v/>
      </c>
      <c r="AF62" s="35" t="str">
        <f aca="false">IF(AND(ISNUMBER(AA62),ISNUMBER(AB62)),IF(AB62&gt;=AA62,ROUND((AB62-AA62)*1440,0),""),"")</f>
        <v/>
      </c>
      <c r="AG62" s="35" t="str">
        <f aca="false">IF(AND(W62="완료",ISNUMBER(X62)),IF(MAX(Y62:AB62)&gt;=X62,ROUND((MAX(Y62:AB62)-X62)*1440,0),""),"")</f>
        <v/>
      </c>
    </row>
    <row r="63" customFormat="false" ht="15" hidden="false" customHeight="false" outlineLevel="0" collapsed="false">
      <c r="A63" s="27" t="n">
        <v>59</v>
      </c>
      <c r="B63" s="28"/>
      <c r="C63" s="29"/>
      <c r="D63" s="29"/>
      <c r="E63" s="28"/>
      <c r="F63" s="30"/>
      <c r="G63" s="31"/>
      <c r="H63" s="28"/>
      <c r="I63" s="29"/>
      <c r="J63" s="29"/>
      <c r="K63" s="29"/>
      <c r="L63" s="29"/>
      <c r="M63" s="29"/>
      <c r="N63" s="29"/>
      <c r="O63" s="29"/>
      <c r="P63" s="29"/>
      <c r="Q63" s="29"/>
      <c r="R63" s="29"/>
      <c r="S63" s="28"/>
      <c r="T63" s="32" t="str">
        <f aca="false">IF(AND(K63="",L63=""),"",IF(OR(K63="-",L63="-"),"측정불가",IF(AND(ISNUMBER(K63),ISNUMBER(L63)),IF(OR(K63&gt;=설정!$C$9,L63&gt;=설정!$C$10),"긴급",IF(OR(K63&gt;=설정!$C$7,L63&gt;=설정!$C$8,K63&lt;설정!$C$11),"주의","정상")),"확인필요")))</f>
        <v/>
      </c>
      <c r="U63" s="32" t="str">
        <f aca="false">IF(M63="","",IF(M63="-","측정불가",IF(NOT(ISNUMBER(M63)),"확인필요",IF(M63&lt;설정!$C$15,"긴급(저혈당)",IF(M63&gt;=설정!$C$16,"긴급(고혈당)",IF(N63="공복",IF(M63&gt;=설정!$C$13,"주의","정상"),IF(N63="식후",IF(M63&gt;=설정!$C$14,"주의","정상"),"조건확인")))))))</f>
        <v/>
      </c>
      <c r="V63" s="32" t="str">
        <f aca="false">IF(OR(T63="긴급",LEFT(U63,2)="긴급",P63="O"),"대상","")</f>
        <v/>
      </c>
      <c r="W63" s="33" t="str">
        <f aca="false">IF(R63&lt;&gt;"",R63,IF(O63="O",IF(V63="대상",IF(Q63="O","완료","추가상담 대기"),"완료"),IF(COUNTA(K63:M63)=3,"상담 대기",IF(J63="O","측정 대기",IF(I63="O","운동평가 대기","미방문")))))</f>
        <v>미방문</v>
      </c>
      <c r="X63" s="34"/>
      <c r="Y63" s="34"/>
      <c r="Z63" s="34"/>
      <c r="AA63" s="34"/>
      <c r="AB63" s="34"/>
      <c r="AC63" s="35" t="str">
        <f aca="false">IF(AND(ISNUMBER(X63),ISNUMBER(Y63)),IF(Y63&gt;=X63,ROUND((Y63-X63)*1440,0),""),"")</f>
        <v/>
      </c>
      <c r="AD63" s="35" t="str">
        <f aca="false">IF(AND(ISNUMBER(Y63),ISNUMBER(Z63)),IF(Z63&gt;=Y63,ROUND((Z63-Y63)*1440,0),""),"")</f>
        <v/>
      </c>
      <c r="AE63" s="35" t="str">
        <f aca="false">IF(AND(ISNUMBER(Z63),ISNUMBER(AA63)),IF(AA63&gt;=Z63,ROUND((AA63-Z63)*1440,0),""),"")</f>
        <v/>
      </c>
      <c r="AF63" s="35" t="str">
        <f aca="false">IF(AND(ISNUMBER(AA63),ISNUMBER(AB63)),IF(AB63&gt;=AA63,ROUND((AB63-AA63)*1440,0),""),"")</f>
        <v/>
      </c>
      <c r="AG63" s="35" t="str">
        <f aca="false">IF(AND(W63="완료",ISNUMBER(X63)),IF(MAX(Y63:AB63)&gt;=X63,ROUND((MAX(Y63:AB63)-X63)*1440,0),""),"")</f>
        <v/>
      </c>
    </row>
    <row r="64" customFormat="false" ht="15" hidden="false" customHeight="false" outlineLevel="0" collapsed="false">
      <c r="A64" s="27" t="n">
        <v>60</v>
      </c>
      <c r="B64" s="28"/>
      <c r="C64" s="29"/>
      <c r="D64" s="29"/>
      <c r="E64" s="28"/>
      <c r="F64" s="30"/>
      <c r="G64" s="31"/>
      <c r="H64" s="28"/>
      <c r="I64" s="29"/>
      <c r="J64" s="29"/>
      <c r="K64" s="29"/>
      <c r="L64" s="29"/>
      <c r="M64" s="29"/>
      <c r="N64" s="29"/>
      <c r="O64" s="29"/>
      <c r="P64" s="29"/>
      <c r="Q64" s="29"/>
      <c r="R64" s="29"/>
      <c r="S64" s="28"/>
      <c r="T64" s="32" t="str">
        <f aca="false">IF(AND(K64="",L64=""),"",IF(OR(K64="-",L64="-"),"측정불가",IF(AND(ISNUMBER(K64),ISNUMBER(L64)),IF(OR(K64&gt;=설정!$C$9,L64&gt;=설정!$C$10),"긴급",IF(OR(K64&gt;=설정!$C$7,L64&gt;=설정!$C$8,K64&lt;설정!$C$11),"주의","정상")),"확인필요")))</f>
        <v/>
      </c>
      <c r="U64" s="32" t="str">
        <f aca="false">IF(M64="","",IF(M64="-","측정불가",IF(NOT(ISNUMBER(M64)),"확인필요",IF(M64&lt;설정!$C$15,"긴급(저혈당)",IF(M64&gt;=설정!$C$16,"긴급(고혈당)",IF(N64="공복",IF(M64&gt;=설정!$C$13,"주의","정상"),IF(N64="식후",IF(M64&gt;=설정!$C$14,"주의","정상"),"조건확인")))))))</f>
        <v/>
      </c>
      <c r="V64" s="32" t="str">
        <f aca="false">IF(OR(T64="긴급",LEFT(U64,2)="긴급",P64="O"),"대상","")</f>
        <v/>
      </c>
      <c r="W64" s="33" t="str">
        <f aca="false">IF(R64&lt;&gt;"",R64,IF(O64="O",IF(V64="대상",IF(Q64="O","완료","추가상담 대기"),"완료"),IF(COUNTA(K64:M64)=3,"상담 대기",IF(J64="O","측정 대기",IF(I64="O","운동평가 대기","미방문")))))</f>
        <v>미방문</v>
      </c>
      <c r="X64" s="34"/>
      <c r="Y64" s="34"/>
      <c r="Z64" s="34"/>
      <c r="AA64" s="34"/>
      <c r="AB64" s="34"/>
      <c r="AC64" s="35" t="str">
        <f aca="false">IF(AND(ISNUMBER(X64),ISNUMBER(Y64)),IF(Y64&gt;=X64,ROUND((Y64-X64)*1440,0),""),"")</f>
        <v/>
      </c>
      <c r="AD64" s="35" t="str">
        <f aca="false">IF(AND(ISNUMBER(Y64),ISNUMBER(Z64)),IF(Z64&gt;=Y64,ROUND((Z64-Y64)*1440,0),""),"")</f>
        <v/>
      </c>
      <c r="AE64" s="35" t="str">
        <f aca="false">IF(AND(ISNUMBER(Z64),ISNUMBER(AA64)),IF(AA64&gt;=Z64,ROUND((AA64-Z64)*1440,0),""),"")</f>
        <v/>
      </c>
      <c r="AF64" s="35" t="str">
        <f aca="false">IF(AND(ISNUMBER(AA64),ISNUMBER(AB64)),IF(AB64&gt;=AA64,ROUND((AB64-AA64)*1440,0),""),"")</f>
        <v/>
      </c>
      <c r="AG64" s="35" t="str">
        <f aca="false">IF(AND(W64="완료",ISNUMBER(X64)),IF(MAX(Y64:AB64)&gt;=X64,ROUND((MAX(Y64:AB64)-X64)*1440,0),""),"")</f>
        <v/>
      </c>
    </row>
    <row r="65" customFormat="false" ht="15" hidden="false" customHeight="false" outlineLevel="0" collapsed="false">
      <c r="A65" s="27" t="n">
        <v>61</v>
      </c>
      <c r="B65" s="28"/>
      <c r="C65" s="29"/>
      <c r="D65" s="29"/>
      <c r="E65" s="28"/>
      <c r="F65" s="30"/>
      <c r="G65" s="31"/>
      <c r="H65" s="28"/>
      <c r="I65" s="29"/>
      <c r="J65" s="29"/>
      <c r="K65" s="29"/>
      <c r="L65" s="29"/>
      <c r="M65" s="29"/>
      <c r="N65" s="29"/>
      <c r="O65" s="29"/>
      <c r="P65" s="29"/>
      <c r="Q65" s="29"/>
      <c r="R65" s="29"/>
      <c r="S65" s="28"/>
      <c r="T65" s="32" t="str">
        <f aca="false">IF(AND(K65="",L65=""),"",IF(OR(K65="-",L65="-"),"측정불가",IF(AND(ISNUMBER(K65),ISNUMBER(L65)),IF(OR(K65&gt;=설정!$C$9,L65&gt;=설정!$C$10),"긴급",IF(OR(K65&gt;=설정!$C$7,L65&gt;=설정!$C$8,K65&lt;설정!$C$11),"주의","정상")),"확인필요")))</f>
        <v/>
      </c>
      <c r="U65" s="32" t="str">
        <f aca="false">IF(M65="","",IF(M65="-","측정불가",IF(NOT(ISNUMBER(M65)),"확인필요",IF(M65&lt;설정!$C$15,"긴급(저혈당)",IF(M65&gt;=설정!$C$16,"긴급(고혈당)",IF(N65="공복",IF(M65&gt;=설정!$C$13,"주의","정상"),IF(N65="식후",IF(M65&gt;=설정!$C$14,"주의","정상"),"조건확인")))))))</f>
        <v/>
      </c>
      <c r="V65" s="32" t="str">
        <f aca="false">IF(OR(T65="긴급",LEFT(U65,2)="긴급",P65="O"),"대상","")</f>
        <v/>
      </c>
      <c r="W65" s="33" t="str">
        <f aca="false">IF(R65&lt;&gt;"",R65,IF(O65="O",IF(V65="대상",IF(Q65="O","완료","추가상담 대기"),"완료"),IF(COUNTA(K65:M65)=3,"상담 대기",IF(J65="O","측정 대기",IF(I65="O","운동평가 대기","미방문")))))</f>
        <v>미방문</v>
      </c>
      <c r="X65" s="34"/>
      <c r="Y65" s="34"/>
      <c r="Z65" s="34"/>
      <c r="AA65" s="34"/>
      <c r="AB65" s="34"/>
      <c r="AC65" s="35" t="str">
        <f aca="false">IF(AND(ISNUMBER(X65),ISNUMBER(Y65)),IF(Y65&gt;=X65,ROUND((Y65-X65)*1440,0),""),"")</f>
        <v/>
      </c>
      <c r="AD65" s="35" t="str">
        <f aca="false">IF(AND(ISNUMBER(Y65),ISNUMBER(Z65)),IF(Z65&gt;=Y65,ROUND((Z65-Y65)*1440,0),""),"")</f>
        <v/>
      </c>
      <c r="AE65" s="35" t="str">
        <f aca="false">IF(AND(ISNUMBER(Z65),ISNUMBER(AA65)),IF(AA65&gt;=Z65,ROUND((AA65-Z65)*1440,0),""),"")</f>
        <v/>
      </c>
      <c r="AF65" s="35" t="str">
        <f aca="false">IF(AND(ISNUMBER(AA65),ISNUMBER(AB65)),IF(AB65&gt;=AA65,ROUND((AB65-AA65)*1440,0),""),"")</f>
        <v/>
      </c>
      <c r="AG65" s="35" t="str">
        <f aca="false">IF(AND(W65="완료",ISNUMBER(X65)),IF(MAX(Y65:AB65)&gt;=X65,ROUND((MAX(Y65:AB65)-X65)*1440,0),""),"")</f>
        <v/>
      </c>
    </row>
    <row r="66" customFormat="false" ht="15" hidden="false" customHeight="false" outlineLevel="0" collapsed="false">
      <c r="A66" s="27" t="n">
        <v>62</v>
      </c>
      <c r="B66" s="28"/>
      <c r="C66" s="29"/>
      <c r="D66" s="29"/>
      <c r="E66" s="28"/>
      <c r="F66" s="30"/>
      <c r="G66" s="31"/>
      <c r="H66" s="28"/>
      <c r="I66" s="29"/>
      <c r="J66" s="29"/>
      <c r="K66" s="29"/>
      <c r="L66" s="29"/>
      <c r="M66" s="29"/>
      <c r="N66" s="29"/>
      <c r="O66" s="29"/>
      <c r="P66" s="29"/>
      <c r="Q66" s="29"/>
      <c r="R66" s="29"/>
      <c r="S66" s="28"/>
      <c r="T66" s="32" t="str">
        <f aca="false">IF(AND(K66="",L66=""),"",IF(OR(K66="-",L66="-"),"측정불가",IF(AND(ISNUMBER(K66),ISNUMBER(L66)),IF(OR(K66&gt;=설정!$C$9,L66&gt;=설정!$C$10),"긴급",IF(OR(K66&gt;=설정!$C$7,L66&gt;=설정!$C$8,K66&lt;설정!$C$11),"주의","정상")),"확인필요")))</f>
        <v/>
      </c>
      <c r="U66" s="32" t="str">
        <f aca="false">IF(M66="","",IF(M66="-","측정불가",IF(NOT(ISNUMBER(M66)),"확인필요",IF(M66&lt;설정!$C$15,"긴급(저혈당)",IF(M66&gt;=설정!$C$16,"긴급(고혈당)",IF(N66="공복",IF(M66&gt;=설정!$C$13,"주의","정상"),IF(N66="식후",IF(M66&gt;=설정!$C$14,"주의","정상"),"조건확인")))))))</f>
        <v/>
      </c>
      <c r="V66" s="32" t="str">
        <f aca="false">IF(OR(T66="긴급",LEFT(U66,2)="긴급",P66="O"),"대상","")</f>
        <v/>
      </c>
      <c r="W66" s="33" t="str">
        <f aca="false">IF(R66&lt;&gt;"",R66,IF(O66="O",IF(V66="대상",IF(Q66="O","완료","추가상담 대기"),"완료"),IF(COUNTA(K66:M66)=3,"상담 대기",IF(J66="O","측정 대기",IF(I66="O","운동평가 대기","미방문")))))</f>
        <v>미방문</v>
      </c>
      <c r="X66" s="34"/>
      <c r="Y66" s="34"/>
      <c r="Z66" s="34"/>
      <c r="AA66" s="34"/>
      <c r="AB66" s="34"/>
      <c r="AC66" s="35" t="str">
        <f aca="false">IF(AND(ISNUMBER(X66),ISNUMBER(Y66)),IF(Y66&gt;=X66,ROUND((Y66-X66)*1440,0),""),"")</f>
        <v/>
      </c>
      <c r="AD66" s="35" t="str">
        <f aca="false">IF(AND(ISNUMBER(Y66),ISNUMBER(Z66)),IF(Z66&gt;=Y66,ROUND((Z66-Y66)*1440,0),""),"")</f>
        <v/>
      </c>
      <c r="AE66" s="35" t="str">
        <f aca="false">IF(AND(ISNUMBER(Z66),ISNUMBER(AA66)),IF(AA66&gt;=Z66,ROUND((AA66-Z66)*1440,0),""),"")</f>
        <v/>
      </c>
      <c r="AF66" s="35" t="str">
        <f aca="false">IF(AND(ISNUMBER(AA66),ISNUMBER(AB66)),IF(AB66&gt;=AA66,ROUND((AB66-AA66)*1440,0),""),"")</f>
        <v/>
      </c>
      <c r="AG66" s="35" t="str">
        <f aca="false">IF(AND(W66="완료",ISNUMBER(X66)),IF(MAX(Y66:AB66)&gt;=X66,ROUND((MAX(Y66:AB66)-X66)*1440,0),""),"")</f>
        <v/>
      </c>
    </row>
    <row r="67" customFormat="false" ht="15" hidden="false" customHeight="false" outlineLevel="0" collapsed="false">
      <c r="A67" s="27" t="n">
        <v>63</v>
      </c>
      <c r="B67" s="28"/>
      <c r="C67" s="29"/>
      <c r="D67" s="29"/>
      <c r="E67" s="28"/>
      <c r="F67" s="30"/>
      <c r="G67" s="31"/>
      <c r="H67" s="28"/>
      <c r="I67" s="29"/>
      <c r="J67" s="29"/>
      <c r="K67" s="29"/>
      <c r="L67" s="29"/>
      <c r="M67" s="29"/>
      <c r="N67" s="29"/>
      <c r="O67" s="29"/>
      <c r="P67" s="29"/>
      <c r="Q67" s="29"/>
      <c r="R67" s="29"/>
      <c r="S67" s="28"/>
      <c r="T67" s="32" t="str">
        <f aca="false">IF(AND(K67="",L67=""),"",IF(OR(K67="-",L67="-"),"측정불가",IF(AND(ISNUMBER(K67),ISNUMBER(L67)),IF(OR(K67&gt;=설정!$C$9,L67&gt;=설정!$C$10),"긴급",IF(OR(K67&gt;=설정!$C$7,L67&gt;=설정!$C$8,K67&lt;설정!$C$11),"주의","정상")),"확인필요")))</f>
        <v/>
      </c>
      <c r="U67" s="32" t="str">
        <f aca="false">IF(M67="","",IF(M67="-","측정불가",IF(NOT(ISNUMBER(M67)),"확인필요",IF(M67&lt;설정!$C$15,"긴급(저혈당)",IF(M67&gt;=설정!$C$16,"긴급(고혈당)",IF(N67="공복",IF(M67&gt;=설정!$C$13,"주의","정상"),IF(N67="식후",IF(M67&gt;=설정!$C$14,"주의","정상"),"조건확인")))))))</f>
        <v/>
      </c>
      <c r="V67" s="32" t="str">
        <f aca="false">IF(OR(T67="긴급",LEFT(U67,2)="긴급",P67="O"),"대상","")</f>
        <v/>
      </c>
      <c r="W67" s="33" t="str">
        <f aca="false">IF(R67&lt;&gt;"",R67,IF(O67="O",IF(V67="대상",IF(Q67="O","완료","추가상담 대기"),"완료"),IF(COUNTA(K67:M67)=3,"상담 대기",IF(J67="O","측정 대기",IF(I67="O","운동평가 대기","미방문")))))</f>
        <v>미방문</v>
      </c>
      <c r="X67" s="34"/>
      <c r="Y67" s="34"/>
      <c r="Z67" s="34"/>
      <c r="AA67" s="34"/>
      <c r="AB67" s="34"/>
      <c r="AC67" s="35" t="str">
        <f aca="false">IF(AND(ISNUMBER(X67),ISNUMBER(Y67)),IF(Y67&gt;=X67,ROUND((Y67-X67)*1440,0),""),"")</f>
        <v/>
      </c>
      <c r="AD67" s="35" t="str">
        <f aca="false">IF(AND(ISNUMBER(Y67),ISNUMBER(Z67)),IF(Z67&gt;=Y67,ROUND((Z67-Y67)*1440,0),""),"")</f>
        <v/>
      </c>
      <c r="AE67" s="35" t="str">
        <f aca="false">IF(AND(ISNUMBER(Z67),ISNUMBER(AA67)),IF(AA67&gt;=Z67,ROUND((AA67-Z67)*1440,0),""),"")</f>
        <v/>
      </c>
      <c r="AF67" s="35" t="str">
        <f aca="false">IF(AND(ISNUMBER(AA67),ISNUMBER(AB67)),IF(AB67&gt;=AA67,ROUND((AB67-AA67)*1440,0),""),"")</f>
        <v/>
      </c>
      <c r="AG67" s="35" t="str">
        <f aca="false">IF(AND(W67="완료",ISNUMBER(X67)),IF(MAX(Y67:AB67)&gt;=X67,ROUND((MAX(Y67:AB67)-X67)*1440,0),""),"")</f>
        <v/>
      </c>
    </row>
    <row r="68" customFormat="false" ht="15" hidden="false" customHeight="false" outlineLevel="0" collapsed="false">
      <c r="A68" s="27" t="n">
        <v>64</v>
      </c>
      <c r="B68" s="28"/>
      <c r="C68" s="29"/>
      <c r="D68" s="29"/>
      <c r="E68" s="28"/>
      <c r="F68" s="30"/>
      <c r="G68" s="31"/>
      <c r="H68" s="28"/>
      <c r="I68" s="29"/>
      <c r="J68" s="29"/>
      <c r="K68" s="29"/>
      <c r="L68" s="29"/>
      <c r="M68" s="29"/>
      <c r="N68" s="29"/>
      <c r="O68" s="29"/>
      <c r="P68" s="29"/>
      <c r="Q68" s="29"/>
      <c r="R68" s="29"/>
      <c r="S68" s="28"/>
      <c r="T68" s="32" t="str">
        <f aca="false">IF(AND(K68="",L68=""),"",IF(OR(K68="-",L68="-"),"측정불가",IF(AND(ISNUMBER(K68),ISNUMBER(L68)),IF(OR(K68&gt;=설정!$C$9,L68&gt;=설정!$C$10),"긴급",IF(OR(K68&gt;=설정!$C$7,L68&gt;=설정!$C$8,K68&lt;설정!$C$11),"주의","정상")),"확인필요")))</f>
        <v/>
      </c>
      <c r="U68" s="32" t="str">
        <f aca="false">IF(M68="","",IF(M68="-","측정불가",IF(NOT(ISNUMBER(M68)),"확인필요",IF(M68&lt;설정!$C$15,"긴급(저혈당)",IF(M68&gt;=설정!$C$16,"긴급(고혈당)",IF(N68="공복",IF(M68&gt;=설정!$C$13,"주의","정상"),IF(N68="식후",IF(M68&gt;=설정!$C$14,"주의","정상"),"조건확인")))))))</f>
        <v/>
      </c>
      <c r="V68" s="32" t="str">
        <f aca="false">IF(OR(T68="긴급",LEFT(U68,2)="긴급",P68="O"),"대상","")</f>
        <v/>
      </c>
      <c r="W68" s="33" t="str">
        <f aca="false">IF(R68&lt;&gt;"",R68,IF(O68="O",IF(V68="대상",IF(Q68="O","완료","추가상담 대기"),"완료"),IF(COUNTA(K68:M68)=3,"상담 대기",IF(J68="O","측정 대기",IF(I68="O","운동평가 대기","미방문")))))</f>
        <v>미방문</v>
      </c>
      <c r="X68" s="34"/>
      <c r="Y68" s="34"/>
      <c r="Z68" s="34"/>
      <c r="AA68" s="34"/>
      <c r="AB68" s="34"/>
      <c r="AC68" s="35" t="str">
        <f aca="false">IF(AND(ISNUMBER(X68),ISNUMBER(Y68)),IF(Y68&gt;=X68,ROUND((Y68-X68)*1440,0),""),"")</f>
        <v/>
      </c>
      <c r="AD68" s="35" t="str">
        <f aca="false">IF(AND(ISNUMBER(Y68),ISNUMBER(Z68)),IF(Z68&gt;=Y68,ROUND((Z68-Y68)*1440,0),""),"")</f>
        <v/>
      </c>
      <c r="AE68" s="35" t="str">
        <f aca="false">IF(AND(ISNUMBER(Z68),ISNUMBER(AA68)),IF(AA68&gt;=Z68,ROUND((AA68-Z68)*1440,0),""),"")</f>
        <v/>
      </c>
      <c r="AF68" s="35" t="str">
        <f aca="false">IF(AND(ISNUMBER(AA68),ISNUMBER(AB68)),IF(AB68&gt;=AA68,ROUND((AB68-AA68)*1440,0),""),"")</f>
        <v/>
      </c>
      <c r="AG68" s="35" t="str">
        <f aca="false">IF(AND(W68="완료",ISNUMBER(X68)),IF(MAX(Y68:AB68)&gt;=X68,ROUND((MAX(Y68:AB68)-X68)*1440,0),""),"")</f>
        <v/>
      </c>
    </row>
    <row r="69" customFormat="false" ht="15" hidden="false" customHeight="false" outlineLevel="0" collapsed="false">
      <c r="A69" s="27" t="n">
        <v>65</v>
      </c>
      <c r="B69" s="28"/>
      <c r="C69" s="29"/>
      <c r="D69" s="29"/>
      <c r="E69" s="28"/>
      <c r="F69" s="30"/>
      <c r="G69" s="31"/>
      <c r="H69" s="28"/>
      <c r="I69" s="29"/>
      <c r="J69" s="29"/>
      <c r="K69" s="29"/>
      <c r="L69" s="29"/>
      <c r="M69" s="29"/>
      <c r="N69" s="29"/>
      <c r="O69" s="29"/>
      <c r="P69" s="29"/>
      <c r="Q69" s="29"/>
      <c r="R69" s="29"/>
      <c r="S69" s="28"/>
      <c r="T69" s="32" t="str">
        <f aca="false">IF(AND(K69="",L69=""),"",IF(OR(K69="-",L69="-"),"측정불가",IF(AND(ISNUMBER(K69),ISNUMBER(L69)),IF(OR(K69&gt;=설정!$C$9,L69&gt;=설정!$C$10),"긴급",IF(OR(K69&gt;=설정!$C$7,L69&gt;=설정!$C$8,K69&lt;설정!$C$11),"주의","정상")),"확인필요")))</f>
        <v/>
      </c>
      <c r="U69" s="32" t="str">
        <f aca="false">IF(M69="","",IF(M69="-","측정불가",IF(NOT(ISNUMBER(M69)),"확인필요",IF(M69&lt;설정!$C$15,"긴급(저혈당)",IF(M69&gt;=설정!$C$16,"긴급(고혈당)",IF(N69="공복",IF(M69&gt;=설정!$C$13,"주의","정상"),IF(N69="식후",IF(M69&gt;=설정!$C$14,"주의","정상"),"조건확인")))))))</f>
        <v/>
      </c>
      <c r="V69" s="32" t="str">
        <f aca="false">IF(OR(T69="긴급",LEFT(U69,2)="긴급",P69="O"),"대상","")</f>
        <v/>
      </c>
      <c r="W69" s="33" t="str">
        <f aca="false">IF(R69&lt;&gt;"",R69,IF(O69="O",IF(V69="대상",IF(Q69="O","완료","추가상담 대기"),"완료"),IF(COUNTA(K69:M69)=3,"상담 대기",IF(J69="O","측정 대기",IF(I69="O","운동평가 대기","미방문")))))</f>
        <v>미방문</v>
      </c>
      <c r="X69" s="34"/>
      <c r="Y69" s="34"/>
      <c r="Z69" s="34"/>
      <c r="AA69" s="34"/>
      <c r="AB69" s="34"/>
      <c r="AC69" s="35" t="str">
        <f aca="false">IF(AND(ISNUMBER(X69),ISNUMBER(Y69)),IF(Y69&gt;=X69,ROUND((Y69-X69)*1440,0),""),"")</f>
        <v/>
      </c>
      <c r="AD69" s="35" t="str">
        <f aca="false">IF(AND(ISNUMBER(Y69),ISNUMBER(Z69)),IF(Z69&gt;=Y69,ROUND((Z69-Y69)*1440,0),""),"")</f>
        <v/>
      </c>
      <c r="AE69" s="35" t="str">
        <f aca="false">IF(AND(ISNUMBER(Z69),ISNUMBER(AA69)),IF(AA69&gt;=Z69,ROUND((AA69-Z69)*1440,0),""),"")</f>
        <v/>
      </c>
      <c r="AF69" s="35" t="str">
        <f aca="false">IF(AND(ISNUMBER(AA69),ISNUMBER(AB69)),IF(AB69&gt;=AA69,ROUND((AB69-AA69)*1440,0),""),"")</f>
        <v/>
      </c>
      <c r="AG69" s="35" t="str">
        <f aca="false">IF(AND(W69="완료",ISNUMBER(X69)),IF(MAX(Y69:AB69)&gt;=X69,ROUND((MAX(Y69:AB69)-X69)*1440,0),""),"")</f>
        <v/>
      </c>
    </row>
    <row r="70" customFormat="false" ht="15" hidden="false" customHeight="false" outlineLevel="0" collapsed="false">
      <c r="A70" s="27" t="n">
        <v>66</v>
      </c>
      <c r="B70" s="28"/>
      <c r="C70" s="29"/>
      <c r="D70" s="29"/>
      <c r="E70" s="28"/>
      <c r="F70" s="30"/>
      <c r="G70" s="31"/>
      <c r="H70" s="28"/>
      <c r="I70" s="29"/>
      <c r="J70" s="29"/>
      <c r="K70" s="29"/>
      <c r="L70" s="29"/>
      <c r="M70" s="29"/>
      <c r="N70" s="29"/>
      <c r="O70" s="29"/>
      <c r="P70" s="29"/>
      <c r="Q70" s="29"/>
      <c r="R70" s="29"/>
      <c r="S70" s="28"/>
      <c r="T70" s="32" t="str">
        <f aca="false">IF(AND(K70="",L70=""),"",IF(OR(K70="-",L70="-"),"측정불가",IF(AND(ISNUMBER(K70),ISNUMBER(L70)),IF(OR(K70&gt;=설정!$C$9,L70&gt;=설정!$C$10),"긴급",IF(OR(K70&gt;=설정!$C$7,L70&gt;=설정!$C$8,K70&lt;설정!$C$11),"주의","정상")),"확인필요")))</f>
        <v/>
      </c>
      <c r="U70" s="32" t="str">
        <f aca="false">IF(M70="","",IF(M70="-","측정불가",IF(NOT(ISNUMBER(M70)),"확인필요",IF(M70&lt;설정!$C$15,"긴급(저혈당)",IF(M70&gt;=설정!$C$16,"긴급(고혈당)",IF(N70="공복",IF(M70&gt;=설정!$C$13,"주의","정상"),IF(N70="식후",IF(M70&gt;=설정!$C$14,"주의","정상"),"조건확인")))))))</f>
        <v/>
      </c>
      <c r="V70" s="32" t="str">
        <f aca="false">IF(OR(T70="긴급",LEFT(U70,2)="긴급",P70="O"),"대상","")</f>
        <v/>
      </c>
      <c r="W70" s="33" t="str">
        <f aca="false">IF(R70&lt;&gt;"",R70,IF(O70="O",IF(V70="대상",IF(Q70="O","완료","추가상담 대기"),"완료"),IF(COUNTA(K70:M70)=3,"상담 대기",IF(J70="O","측정 대기",IF(I70="O","운동평가 대기","미방문")))))</f>
        <v>미방문</v>
      </c>
      <c r="X70" s="34"/>
      <c r="Y70" s="34"/>
      <c r="Z70" s="34"/>
      <c r="AA70" s="34"/>
      <c r="AB70" s="34"/>
      <c r="AC70" s="35" t="str">
        <f aca="false">IF(AND(ISNUMBER(X70),ISNUMBER(Y70)),IF(Y70&gt;=X70,ROUND((Y70-X70)*1440,0),""),"")</f>
        <v/>
      </c>
      <c r="AD70" s="35" t="str">
        <f aca="false">IF(AND(ISNUMBER(Y70),ISNUMBER(Z70)),IF(Z70&gt;=Y70,ROUND((Z70-Y70)*1440,0),""),"")</f>
        <v/>
      </c>
      <c r="AE70" s="35" t="str">
        <f aca="false">IF(AND(ISNUMBER(Z70),ISNUMBER(AA70)),IF(AA70&gt;=Z70,ROUND((AA70-Z70)*1440,0),""),"")</f>
        <v/>
      </c>
      <c r="AF70" s="35" t="str">
        <f aca="false">IF(AND(ISNUMBER(AA70),ISNUMBER(AB70)),IF(AB70&gt;=AA70,ROUND((AB70-AA70)*1440,0),""),"")</f>
        <v/>
      </c>
      <c r="AG70" s="35" t="str">
        <f aca="false">IF(AND(W70="완료",ISNUMBER(X70)),IF(MAX(Y70:AB70)&gt;=X70,ROUND((MAX(Y70:AB70)-X70)*1440,0),""),"")</f>
        <v/>
      </c>
    </row>
    <row r="71" customFormat="false" ht="15" hidden="false" customHeight="false" outlineLevel="0" collapsed="false">
      <c r="A71" s="27" t="n">
        <v>67</v>
      </c>
      <c r="B71" s="28"/>
      <c r="C71" s="29"/>
      <c r="D71" s="29"/>
      <c r="E71" s="28"/>
      <c r="F71" s="30"/>
      <c r="G71" s="31"/>
      <c r="H71" s="28"/>
      <c r="I71" s="29"/>
      <c r="J71" s="29"/>
      <c r="K71" s="29"/>
      <c r="L71" s="29"/>
      <c r="M71" s="29"/>
      <c r="N71" s="29"/>
      <c r="O71" s="29"/>
      <c r="P71" s="29"/>
      <c r="Q71" s="29"/>
      <c r="R71" s="29"/>
      <c r="S71" s="28"/>
      <c r="T71" s="32" t="str">
        <f aca="false">IF(AND(K71="",L71=""),"",IF(OR(K71="-",L71="-"),"측정불가",IF(AND(ISNUMBER(K71),ISNUMBER(L71)),IF(OR(K71&gt;=설정!$C$9,L71&gt;=설정!$C$10),"긴급",IF(OR(K71&gt;=설정!$C$7,L71&gt;=설정!$C$8,K71&lt;설정!$C$11),"주의","정상")),"확인필요")))</f>
        <v/>
      </c>
      <c r="U71" s="32" t="str">
        <f aca="false">IF(M71="","",IF(M71="-","측정불가",IF(NOT(ISNUMBER(M71)),"확인필요",IF(M71&lt;설정!$C$15,"긴급(저혈당)",IF(M71&gt;=설정!$C$16,"긴급(고혈당)",IF(N71="공복",IF(M71&gt;=설정!$C$13,"주의","정상"),IF(N71="식후",IF(M71&gt;=설정!$C$14,"주의","정상"),"조건확인")))))))</f>
        <v/>
      </c>
      <c r="V71" s="32" t="str">
        <f aca="false">IF(OR(T71="긴급",LEFT(U71,2)="긴급",P71="O"),"대상","")</f>
        <v/>
      </c>
      <c r="W71" s="33" t="str">
        <f aca="false">IF(R71&lt;&gt;"",R71,IF(O71="O",IF(V71="대상",IF(Q71="O","완료","추가상담 대기"),"완료"),IF(COUNTA(K71:M71)=3,"상담 대기",IF(J71="O","측정 대기",IF(I71="O","운동평가 대기","미방문")))))</f>
        <v>미방문</v>
      </c>
      <c r="X71" s="34"/>
      <c r="Y71" s="34"/>
      <c r="Z71" s="34"/>
      <c r="AA71" s="34"/>
      <c r="AB71" s="34"/>
      <c r="AC71" s="35" t="str">
        <f aca="false">IF(AND(ISNUMBER(X71),ISNUMBER(Y71)),IF(Y71&gt;=X71,ROUND((Y71-X71)*1440,0),""),"")</f>
        <v/>
      </c>
      <c r="AD71" s="35" t="str">
        <f aca="false">IF(AND(ISNUMBER(Y71),ISNUMBER(Z71)),IF(Z71&gt;=Y71,ROUND((Z71-Y71)*1440,0),""),"")</f>
        <v/>
      </c>
      <c r="AE71" s="35" t="str">
        <f aca="false">IF(AND(ISNUMBER(Z71),ISNUMBER(AA71)),IF(AA71&gt;=Z71,ROUND((AA71-Z71)*1440,0),""),"")</f>
        <v/>
      </c>
      <c r="AF71" s="35" t="str">
        <f aca="false">IF(AND(ISNUMBER(AA71),ISNUMBER(AB71)),IF(AB71&gt;=AA71,ROUND((AB71-AA71)*1440,0),""),"")</f>
        <v/>
      </c>
      <c r="AG71" s="35" t="str">
        <f aca="false">IF(AND(W71="완료",ISNUMBER(X71)),IF(MAX(Y71:AB71)&gt;=X71,ROUND((MAX(Y71:AB71)-X71)*1440,0),""),"")</f>
        <v/>
      </c>
    </row>
    <row r="72" customFormat="false" ht="15" hidden="false" customHeight="false" outlineLevel="0" collapsed="false">
      <c r="A72" s="27" t="n">
        <v>68</v>
      </c>
      <c r="B72" s="28"/>
      <c r="C72" s="29"/>
      <c r="D72" s="29"/>
      <c r="E72" s="28"/>
      <c r="F72" s="30"/>
      <c r="G72" s="31"/>
      <c r="H72" s="28"/>
      <c r="I72" s="29"/>
      <c r="J72" s="29"/>
      <c r="K72" s="29"/>
      <c r="L72" s="29"/>
      <c r="M72" s="29"/>
      <c r="N72" s="29"/>
      <c r="O72" s="29"/>
      <c r="P72" s="29"/>
      <c r="Q72" s="29"/>
      <c r="R72" s="29"/>
      <c r="S72" s="28"/>
      <c r="T72" s="32" t="str">
        <f aca="false">IF(AND(K72="",L72=""),"",IF(OR(K72="-",L72="-"),"측정불가",IF(AND(ISNUMBER(K72),ISNUMBER(L72)),IF(OR(K72&gt;=설정!$C$9,L72&gt;=설정!$C$10),"긴급",IF(OR(K72&gt;=설정!$C$7,L72&gt;=설정!$C$8,K72&lt;설정!$C$11),"주의","정상")),"확인필요")))</f>
        <v/>
      </c>
      <c r="U72" s="32" t="str">
        <f aca="false">IF(M72="","",IF(M72="-","측정불가",IF(NOT(ISNUMBER(M72)),"확인필요",IF(M72&lt;설정!$C$15,"긴급(저혈당)",IF(M72&gt;=설정!$C$16,"긴급(고혈당)",IF(N72="공복",IF(M72&gt;=설정!$C$13,"주의","정상"),IF(N72="식후",IF(M72&gt;=설정!$C$14,"주의","정상"),"조건확인")))))))</f>
        <v/>
      </c>
      <c r="V72" s="32" t="str">
        <f aca="false">IF(OR(T72="긴급",LEFT(U72,2)="긴급",P72="O"),"대상","")</f>
        <v/>
      </c>
      <c r="W72" s="33" t="str">
        <f aca="false">IF(R72&lt;&gt;"",R72,IF(O72="O",IF(V72="대상",IF(Q72="O","완료","추가상담 대기"),"완료"),IF(COUNTA(K72:M72)=3,"상담 대기",IF(J72="O","측정 대기",IF(I72="O","운동평가 대기","미방문")))))</f>
        <v>미방문</v>
      </c>
      <c r="X72" s="34"/>
      <c r="Y72" s="34"/>
      <c r="Z72" s="34"/>
      <c r="AA72" s="34"/>
      <c r="AB72" s="34"/>
      <c r="AC72" s="35" t="str">
        <f aca="false">IF(AND(ISNUMBER(X72),ISNUMBER(Y72)),IF(Y72&gt;=X72,ROUND((Y72-X72)*1440,0),""),"")</f>
        <v/>
      </c>
      <c r="AD72" s="35" t="str">
        <f aca="false">IF(AND(ISNUMBER(Y72),ISNUMBER(Z72)),IF(Z72&gt;=Y72,ROUND((Z72-Y72)*1440,0),""),"")</f>
        <v/>
      </c>
      <c r="AE72" s="35" t="str">
        <f aca="false">IF(AND(ISNUMBER(Z72),ISNUMBER(AA72)),IF(AA72&gt;=Z72,ROUND((AA72-Z72)*1440,0),""),"")</f>
        <v/>
      </c>
      <c r="AF72" s="35" t="str">
        <f aca="false">IF(AND(ISNUMBER(AA72),ISNUMBER(AB72)),IF(AB72&gt;=AA72,ROUND((AB72-AA72)*1440,0),""),"")</f>
        <v/>
      </c>
      <c r="AG72" s="35" t="str">
        <f aca="false">IF(AND(W72="완료",ISNUMBER(X72)),IF(MAX(Y72:AB72)&gt;=X72,ROUND((MAX(Y72:AB72)-X72)*1440,0),""),"")</f>
        <v/>
      </c>
    </row>
    <row r="73" customFormat="false" ht="15" hidden="false" customHeight="false" outlineLevel="0" collapsed="false">
      <c r="A73" s="27" t="n">
        <v>69</v>
      </c>
      <c r="B73" s="28"/>
      <c r="C73" s="29"/>
      <c r="D73" s="29"/>
      <c r="E73" s="28"/>
      <c r="F73" s="30"/>
      <c r="G73" s="31"/>
      <c r="H73" s="28"/>
      <c r="I73" s="29"/>
      <c r="J73" s="29"/>
      <c r="K73" s="29"/>
      <c r="L73" s="29"/>
      <c r="M73" s="29"/>
      <c r="N73" s="29"/>
      <c r="O73" s="29"/>
      <c r="P73" s="29"/>
      <c r="Q73" s="29"/>
      <c r="R73" s="29"/>
      <c r="S73" s="28"/>
      <c r="T73" s="32" t="str">
        <f aca="false">IF(AND(K73="",L73=""),"",IF(OR(K73="-",L73="-"),"측정불가",IF(AND(ISNUMBER(K73),ISNUMBER(L73)),IF(OR(K73&gt;=설정!$C$9,L73&gt;=설정!$C$10),"긴급",IF(OR(K73&gt;=설정!$C$7,L73&gt;=설정!$C$8,K73&lt;설정!$C$11),"주의","정상")),"확인필요")))</f>
        <v/>
      </c>
      <c r="U73" s="32" t="str">
        <f aca="false">IF(M73="","",IF(M73="-","측정불가",IF(NOT(ISNUMBER(M73)),"확인필요",IF(M73&lt;설정!$C$15,"긴급(저혈당)",IF(M73&gt;=설정!$C$16,"긴급(고혈당)",IF(N73="공복",IF(M73&gt;=설정!$C$13,"주의","정상"),IF(N73="식후",IF(M73&gt;=설정!$C$14,"주의","정상"),"조건확인")))))))</f>
        <v/>
      </c>
      <c r="V73" s="32" t="str">
        <f aca="false">IF(OR(T73="긴급",LEFT(U73,2)="긴급",P73="O"),"대상","")</f>
        <v/>
      </c>
      <c r="W73" s="33" t="str">
        <f aca="false">IF(R73&lt;&gt;"",R73,IF(O73="O",IF(V73="대상",IF(Q73="O","완료","추가상담 대기"),"완료"),IF(COUNTA(K73:M73)=3,"상담 대기",IF(J73="O","측정 대기",IF(I73="O","운동평가 대기","미방문")))))</f>
        <v>미방문</v>
      </c>
      <c r="X73" s="34"/>
      <c r="Y73" s="34"/>
      <c r="Z73" s="34"/>
      <c r="AA73" s="34"/>
      <c r="AB73" s="34"/>
      <c r="AC73" s="35" t="str">
        <f aca="false">IF(AND(ISNUMBER(X73),ISNUMBER(Y73)),IF(Y73&gt;=X73,ROUND((Y73-X73)*1440,0),""),"")</f>
        <v/>
      </c>
      <c r="AD73" s="35" t="str">
        <f aca="false">IF(AND(ISNUMBER(Y73),ISNUMBER(Z73)),IF(Z73&gt;=Y73,ROUND((Z73-Y73)*1440,0),""),"")</f>
        <v/>
      </c>
      <c r="AE73" s="35" t="str">
        <f aca="false">IF(AND(ISNUMBER(Z73),ISNUMBER(AA73)),IF(AA73&gt;=Z73,ROUND((AA73-Z73)*1440,0),""),"")</f>
        <v/>
      </c>
      <c r="AF73" s="35" t="str">
        <f aca="false">IF(AND(ISNUMBER(AA73),ISNUMBER(AB73)),IF(AB73&gt;=AA73,ROUND((AB73-AA73)*1440,0),""),"")</f>
        <v/>
      </c>
      <c r="AG73" s="35" t="str">
        <f aca="false">IF(AND(W73="완료",ISNUMBER(X73)),IF(MAX(Y73:AB73)&gt;=X73,ROUND((MAX(Y73:AB73)-X73)*1440,0),""),"")</f>
        <v/>
      </c>
    </row>
    <row r="74" customFormat="false" ht="15" hidden="false" customHeight="false" outlineLevel="0" collapsed="false">
      <c r="A74" s="27" t="n">
        <v>70</v>
      </c>
      <c r="B74" s="28"/>
      <c r="C74" s="29"/>
      <c r="D74" s="29"/>
      <c r="E74" s="28"/>
      <c r="F74" s="30"/>
      <c r="G74" s="31"/>
      <c r="H74" s="28"/>
      <c r="I74" s="29"/>
      <c r="J74" s="29"/>
      <c r="K74" s="29"/>
      <c r="L74" s="29"/>
      <c r="M74" s="29"/>
      <c r="N74" s="29"/>
      <c r="O74" s="29"/>
      <c r="P74" s="29"/>
      <c r="Q74" s="29"/>
      <c r="R74" s="29"/>
      <c r="S74" s="28"/>
      <c r="T74" s="32" t="str">
        <f aca="false">IF(AND(K74="",L74=""),"",IF(OR(K74="-",L74="-"),"측정불가",IF(AND(ISNUMBER(K74),ISNUMBER(L74)),IF(OR(K74&gt;=설정!$C$9,L74&gt;=설정!$C$10),"긴급",IF(OR(K74&gt;=설정!$C$7,L74&gt;=설정!$C$8,K74&lt;설정!$C$11),"주의","정상")),"확인필요")))</f>
        <v/>
      </c>
      <c r="U74" s="32" t="str">
        <f aca="false">IF(M74="","",IF(M74="-","측정불가",IF(NOT(ISNUMBER(M74)),"확인필요",IF(M74&lt;설정!$C$15,"긴급(저혈당)",IF(M74&gt;=설정!$C$16,"긴급(고혈당)",IF(N74="공복",IF(M74&gt;=설정!$C$13,"주의","정상"),IF(N74="식후",IF(M74&gt;=설정!$C$14,"주의","정상"),"조건확인")))))))</f>
        <v/>
      </c>
      <c r="V74" s="32" t="str">
        <f aca="false">IF(OR(T74="긴급",LEFT(U74,2)="긴급",P74="O"),"대상","")</f>
        <v/>
      </c>
      <c r="W74" s="33" t="str">
        <f aca="false">IF(R74&lt;&gt;"",R74,IF(O74="O",IF(V74="대상",IF(Q74="O","완료","추가상담 대기"),"완료"),IF(COUNTA(K74:M74)=3,"상담 대기",IF(J74="O","측정 대기",IF(I74="O","운동평가 대기","미방문")))))</f>
        <v>미방문</v>
      </c>
      <c r="X74" s="34"/>
      <c r="Y74" s="34"/>
      <c r="Z74" s="34"/>
      <c r="AA74" s="34"/>
      <c r="AB74" s="34"/>
      <c r="AC74" s="35" t="str">
        <f aca="false">IF(AND(ISNUMBER(X74),ISNUMBER(Y74)),IF(Y74&gt;=X74,ROUND((Y74-X74)*1440,0),""),"")</f>
        <v/>
      </c>
      <c r="AD74" s="35" t="str">
        <f aca="false">IF(AND(ISNUMBER(Y74),ISNUMBER(Z74)),IF(Z74&gt;=Y74,ROUND((Z74-Y74)*1440,0),""),"")</f>
        <v/>
      </c>
      <c r="AE74" s="35" t="str">
        <f aca="false">IF(AND(ISNUMBER(Z74),ISNUMBER(AA74)),IF(AA74&gt;=Z74,ROUND((AA74-Z74)*1440,0),""),"")</f>
        <v/>
      </c>
      <c r="AF74" s="35" t="str">
        <f aca="false">IF(AND(ISNUMBER(AA74),ISNUMBER(AB74)),IF(AB74&gt;=AA74,ROUND((AB74-AA74)*1440,0),""),"")</f>
        <v/>
      </c>
      <c r="AG74" s="35" t="str">
        <f aca="false">IF(AND(W74="완료",ISNUMBER(X74)),IF(MAX(Y74:AB74)&gt;=X74,ROUND((MAX(Y74:AB74)-X74)*1440,0),""),"")</f>
        <v/>
      </c>
    </row>
    <row r="75" customFormat="false" ht="15" hidden="false" customHeight="false" outlineLevel="0" collapsed="false">
      <c r="A75" s="27" t="n">
        <v>71</v>
      </c>
      <c r="B75" s="28"/>
      <c r="C75" s="29"/>
      <c r="D75" s="29"/>
      <c r="E75" s="28"/>
      <c r="F75" s="30"/>
      <c r="G75" s="31"/>
      <c r="H75" s="28"/>
      <c r="I75" s="29"/>
      <c r="J75" s="29"/>
      <c r="K75" s="29"/>
      <c r="L75" s="29"/>
      <c r="M75" s="29"/>
      <c r="N75" s="29"/>
      <c r="O75" s="29"/>
      <c r="P75" s="29"/>
      <c r="Q75" s="29"/>
      <c r="R75" s="29"/>
      <c r="S75" s="28"/>
      <c r="T75" s="32" t="str">
        <f aca="false">IF(AND(K75="",L75=""),"",IF(OR(K75="-",L75="-"),"측정불가",IF(AND(ISNUMBER(K75),ISNUMBER(L75)),IF(OR(K75&gt;=설정!$C$9,L75&gt;=설정!$C$10),"긴급",IF(OR(K75&gt;=설정!$C$7,L75&gt;=설정!$C$8,K75&lt;설정!$C$11),"주의","정상")),"확인필요")))</f>
        <v/>
      </c>
      <c r="U75" s="32" t="str">
        <f aca="false">IF(M75="","",IF(M75="-","측정불가",IF(NOT(ISNUMBER(M75)),"확인필요",IF(M75&lt;설정!$C$15,"긴급(저혈당)",IF(M75&gt;=설정!$C$16,"긴급(고혈당)",IF(N75="공복",IF(M75&gt;=설정!$C$13,"주의","정상"),IF(N75="식후",IF(M75&gt;=설정!$C$14,"주의","정상"),"조건확인")))))))</f>
        <v/>
      </c>
      <c r="V75" s="32" t="str">
        <f aca="false">IF(OR(T75="긴급",LEFT(U75,2)="긴급",P75="O"),"대상","")</f>
        <v/>
      </c>
      <c r="W75" s="33" t="str">
        <f aca="false">IF(R75&lt;&gt;"",R75,IF(O75="O",IF(V75="대상",IF(Q75="O","완료","추가상담 대기"),"완료"),IF(COUNTA(K75:M75)=3,"상담 대기",IF(J75="O","측정 대기",IF(I75="O","운동평가 대기","미방문")))))</f>
        <v>미방문</v>
      </c>
      <c r="X75" s="34"/>
      <c r="Y75" s="34"/>
      <c r="Z75" s="34"/>
      <c r="AA75" s="34"/>
      <c r="AB75" s="34"/>
      <c r="AC75" s="35" t="str">
        <f aca="false">IF(AND(ISNUMBER(X75),ISNUMBER(Y75)),IF(Y75&gt;=X75,ROUND((Y75-X75)*1440,0),""),"")</f>
        <v/>
      </c>
      <c r="AD75" s="35" t="str">
        <f aca="false">IF(AND(ISNUMBER(Y75),ISNUMBER(Z75)),IF(Z75&gt;=Y75,ROUND((Z75-Y75)*1440,0),""),"")</f>
        <v/>
      </c>
      <c r="AE75" s="35" t="str">
        <f aca="false">IF(AND(ISNUMBER(Z75),ISNUMBER(AA75)),IF(AA75&gt;=Z75,ROUND((AA75-Z75)*1440,0),""),"")</f>
        <v/>
      </c>
      <c r="AF75" s="35" t="str">
        <f aca="false">IF(AND(ISNUMBER(AA75),ISNUMBER(AB75)),IF(AB75&gt;=AA75,ROUND((AB75-AA75)*1440,0),""),"")</f>
        <v/>
      </c>
      <c r="AG75" s="35" t="str">
        <f aca="false">IF(AND(W75="완료",ISNUMBER(X75)),IF(MAX(Y75:AB75)&gt;=X75,ROUND((MAX(Y75:AB75)-X75)*1440,0),""),"")</f>
        <v/>
      </c>
    </row>
    <row r="76" customFormat="false" ht="15" hidden="false" customHeight="false" outlineLevel="0" collapsed="false">
      <c r="A76" s="27" t="n">
        <v>72</v>
      </c>
      <c r="B76" s="28"/>
      <c r="C76" s="29"/>
      <c r="D76" s="29"/>
      <c r="E76" s="28"/>
      <c r="F76" s="30"/>
      <c r="G76" s="31"/>
      <c r="H76" s="28"/>
      <c r="I76" s="29"/>
      <c r="J76" s="29"/>
      <c r="K76" s="29"/>
      <c r="L76" s="29"/>
      <c r="M76" s="29"/>
      <c r="N76" s="29"/>
      <c r="O76" s="29"/>
      <c r="P76" s="29"/>
      <c r="Q76" s="29"/>
      <c r="R76" s="29"/>
      <c r="S76" s="28"/>
      <c r="T76" s="32" t="str">
        <f aca="false">IF(AND(K76="",L76=""),"",IF(OR(K76="-",L76="-"),"측정불가",IF(AND(ISNUMBER(K76),ISNUMBER(L76)),IF(OR(K76&gt;=설정!$C$9,L76&gt;=설정!$C$10),"긴급",IF(OR(K76&gt;=설정!$C$7,L76&gt;=설정!$C$8,K76&lt;설정!$C$11),"주의","정상")),"확인필요")))</f>
        <v/>
      </c>
      <c r="U76" s="32" t="str">
        <f aca="false">IF(M76="","",IF(M76="-","측정불가",IF(NOT(ISNUMBER(M76)),"확인필요",IF(M76&lt;설정!$C$15,"긴급(저혈당)",IF(M76&gt;=설정!$C$16,"긴급(고혈당)",IF(N76="공복",IF(M76&gt;=설정!$C$13,"주의","정상"),IF(N76="식후",IF(M76&gt;=설정!$C$14,"주의","정상"),"조건확인")))))))</f>
        <v/>
      </c>
      <c r="V76" s="32" t="str">
        <f aca="false">IF(OR(T76="긴급",LEFT(U76,2)="긴급",P76="O"),"대상","")</f>
        <v/>
      </c>
      <c r="W76" s="33" t="str">
        <f aca="false">IF(R76&lt;&gt;"",R76,IF(O76="O",IF(V76="대상",IF(Q76="O","완료","추가상담 대기"),"완료"),IF(COUNTA(K76:M76)=3,"상담 대기",IF(J76="O","측정 대기",IF(I76="O","운동평가 대기","미방문")))))</f>
        <v>미방문</v>
      </c>
      <c r="X76" s="34"/>
      <c r="Y76" s="34"/>
      <c r="Z76" s="34"/>
      <c r="AA76" s="34"/>
      <c r="AB76" s="34"/>
      <c r="AC76" s="35" t="str">
        <f aca="false">IF(AND(ISNUMBER(X76),ISNUMBER(Y76)),IF(Y76&gt;=X76,ROUND((Y76-X76)*1440,0),""),"")</f>
        <v/>
      </c>
      <c r="AD76" s="35" t="str">
        <f aca="false">IF(AND(ISNUMBER(Y76),ISNUMBER(Z76)),IF(Z76&gt;=Y76,ROUND((Z76-Y76)*1440,0),""),"")</f>
        <v/>
      </c>
      <c r="AE76" s="35" t="str">
        <f aca="false">IF(AND(ISNUMBER(Z76),ISNUMBER(AA76)),IF(AA76&gt;=Z76,ROUND((AA76-Z76)*1440,0),""),"")</f>
        <v/>
      </c>
      <c r="AF76" s="35" t="str">
        <f aca="false">IF(AND(ISNUMBER(AA76),ISNUMBER(AB76)),IF(AB76&gt;=AA76,ROUND((AB76-AA76)*1440,0),""),"")</f>
        <v/>
      </c>
      <c r="AG76" s="35" t="str">
        <f aca="false">IF(AND(W76="완료",ISNUMBER(X76)),IF(MAX(Y76:AB76)&gt;=X76,ROUND((MAX(Y76:AB76)-X76)*1440,0),""),"")</f>
        <v/>
      </c>
    </row>
    <row r="77" customFormat="false" ht="15" hidden="false" customHeight="false" outlineLevel="0" collapsed="false">
      <c r="A77" s="27" t="n">
        <v>73</v>
      </c>
      <c r="B77" s="28"/>
      <c r="C77" s="29"/>
      <c r="D77" s="29"/>
      <c r="E77" s="28"/>
      <c r="F77" s="30"/>
      <c r="G77" s="31"/>
      <c r="H77" s="28"/>
      <c r="I77" s="29"/>
      <c r="J77" s="29"/>
      <c r="K77" s="29"/>
      <c r="L77" s="29"/>
      <c r="M77" s="29"/>
      <c r="N77" s="29"/>
      <c r="O77" s="29"/>
      <c r="P77" s="29"/>
      <c r="Q77" s="29"/>
      <c r="R77" s="29"/>
      <c r="S77" s="28"/>
      <c r="T77" s="32" t="str">
        <f aca="false">IF(AND(K77="",L77=""),"",IF(OR(K77="-",L77="-"),"측정불가",IF(AND(ISNUMBER(K77),ISNUMBER(L77)),IF(OR(K77&gt;=설정!$C$9,L77&gt;=설정!$C$10),"긴급",IF(OR(K77&gt;=설정!$C$7,L77&gt;=설정!$C$8,K77&lt;설정!$C$11),"주의","정상")),"확인필요")))</f>
        <v/>
      </c>
      <c r="U77" s="32" t="str">
        <f aca="false">IF(M77="","",IF(M77="-","측정불가",IF(NOT(ISNUMBER(M77)),"확인필요",IF(M77&lt;설정!$C$15,"긴급(저혈당)",IF(M77&gt;=설정!$C$16,"긴급(고혈당)",IF(N77="공복",IF(M77&gt;=설정!$C$13,"주의","정상"),IF(N77="식후",IF(M77&gt;=설정!$C$14,"주의","정상"),"조건확인")))))))</f>
        <v/>
      </c>
      <c r="V77" s="32" t="str">
        <f aca="false">IF(OR(T77="긴급",LEFT(U77,2)="긴급",P77="O"),"대상","")</f>
        <v/>
      </c>
      <c r="W77" s="33" t="str">
        <f aca="false">IF(R77&lt;&gt;"",R77,IF(O77="O",IF(V77="대상",IF(Q77="O","완료","추가상담 대기"),"완료"),IF(COUNTA(K77:M77)=3,"상담 대기",IF(J77="O","측정 대기",IF(I77="O","운동평가 대기","미방문")))))</f>
        <v>미방문</v>
      </c>
      <c r="X77" s="34"/>
      <c r="Y77" s="34"/>
      <c r="Z77" s="34"/>
      <c r="AA77" s="34"/>
      <c r="AB77" s="34"/>
      <c r="AC77" s="35" t="str">
        <f aca="false">IF(AND(ISNUMBER(X77),ISNUMBER(Y77)),IF(Y77&gt;=X77,ROUND((Y77-X77)*1440,0),""),"")</f>
        <v/>
      </c>
      <c r="AD77" s="35" t="str">
        <f aca="false">IF(AND(ISNUMBER(Y77),ISNUMBER(Z77)),IF(Z77&gt;=Y77,ROUND((Z77-Y77)*1440,0),""),"")</f>
        <v/>
      </c>
      <c r="AE77" s="35" t="str">
        <f aca="false">IF(AND(ISNUMBER(Z77),ISNUMBER(AA77)),IF(AA77&gt;=Z77,ROUND((AA77-Z77)*1440,0),""),"")</f>
        <v/>
      </c>
      <c r="AF77" s="35" t="str">
        <f aca="false">IF(AND(ISNUMBER(AA77),ISNUMBER(AB77)),IF(AB77&gt;=AA77,ROUND((AB77-AA77)*1440,0),""),"")</f>
        <v/>
      </c>
      <c r="AG77" s="35" t="str">
        <f aca="false">IF(AND(W77="완료",ISNUMBER(X77)),IF(MAX(Y77:AB77)&gt;=X77,ROUND((MAX(Y77:AB77)-X77)*1440,0),""),"")</f>
        <v/>
      </c>
    </row>
    <row r="78" customFormat="false" ht="15" hidden="false" customHeight="false" outlineLevel="0" collapsed="false">
      <c r="A78" s="27" t="n">
        <v>74</v>
      </c>
      <c r="B78" s="28"/>
      <c r="C78" s="29"/>
      <c r="D78" s="29"/>
      <c r="E78" s="28"/>
      <c r="F78" s="30"/>
      <c r="G78" s="31"/>
      <c r="H78" s="28"/>
      <c r="I78" s="29"/>
      <c r="J78" s="29"/>
      <c r="K78" s="29"/>
      <c r="L78" s="29"/>
      <c r="M78" s="29"/>
      <c r="N78" s="29"/>
      <c r="O78" s="29"/>
      <c r="P78" s="29"/>
      <c r="Q78" s="29"/>
      <c r="R78" s="29"/>
      <c r="S78" s="28"/>
      <c r="T78" s="32" t="str">
        <f aca="false">IF(AND(K78="",L78=""),"",IF(OR(K78="-",L78="-"),"측정불가",IF(AND(ISNUMBER(K78),ISNUMBER(L78)),IF(OR(K78&gt;=설정!$C$9,L78&gt;=설정!$C$10),"긴급",IF(OR(K78&gt;=설정!$C$7,L78&gt;=설정!$C$8,K78&lt;설정!$C$11),"주의","정상")),"확인필요")))</f>
        <v/>
      </c>
      <c r="U78" s="32" t="str">
        <f aca="false">IF(M78="","",IF(M78="-","측정불가",IF(NOT(ISNUMBER(M78)),"확인필요",IF(M78&lt;설정!$C$15,"긴급(저혈당)",IF(M78&gt;=설정!$C$16,"긴급(고혈당)",IF(N78="공복",IF(M78&gt;=설정!$C$13,"주의","정상"),IF(N78="식후",IF(M78&gt;=설정!$C$14,"주의","정상"),"조건확인")))))))</f>
        <v/>
      </c>
      <c r="V78" s="32" t="str">
        <f aca="false">IF(OR(T78="긴급",LEFT(U78,2)="긴급",P78="O"),"대상","")</f>
        <v/>
      </c>
      <c r="W78" s="33" t="str">
        <f aca="false">IF(R78&lt;&gt;"",R78,IF(O78="O",IF(V78="대상",IF(Q78="O","완료","추가상담 대기"),"완료"),IF(COUNTA(K78:M78)=3,"상담 대기",IF(J78="O","측정 대기",IF(I78="O","운동평가 대기","미방문")))))</f>
        <v>미방문</v>
      </c>
      <c r="X78" s="34"/>
      <c r="Y78" s="34"/>
      <c r="Z78" s="34"/>
      <c r="AA78" s="34"/>
      <c r="AB78" s="34"/>
      <c r="AC78" s="35" t="str">
        <f aca="false">IF(AND(ISNUMBER(X78),ISNUMBER(Y78)),IF(Y78&gt;=X78,ROUND((Y78-X78)*1440,0),""),"")</f>
        <v/>
      </c>
      <c r="AD78" s="35" t="str">
        <f aca="false">IF(AND(ISNUMBER(Y78),ISNUMBER(Z78)),IF(Z78&gt;=Y78,ROUND((Z78-Y78)*1440,0),""),"")</f>
        <v/>
      </c>
      <c r="AE78" s="35" t="str">
        <f aca="false">IF(AND(ISNUMBER(Z78),ISNUMBER(AA78)),IF(AA78&gt;=Z78,ROUND((AA78-Z78)*1440,0),""),"")</f>
        <v/>
      </c>
      <c r="AF78" s="35" t="str">
        <f aca="false">IF(AND(ISNUMBER(AA78),ISNUMBER(AB78)),IF(AB78&gt;=AA78,ROUND((AB78-AA78)*1440,0),""),"")</f>
        <v/>
      </c>
      <c r="AG78" s="35" t="str">
        <f aca="false">IF(AND(W78="완료",ISNUMBER(X78)),IF(MAX(Y78:AB78)&gt;=X78,ROUND((MAX(Y78:AB78)-X78)*1440,0),""),"")</f>
        <v/>
      </c>
    </row>
    <row r="79" customFormat="false" ht="15" hidden="false" customHeight="false" outlineLevel="0" collapsed="false">
      <c r="A79" s="27" t="n">
        <v>75</v>
      </c>
      <c r="B79" s="28"/>
      <c r="C79" s="29"/>
      <c r="D79" s="29"/>
      <c r="E79" s="28"/>
      <c r="F79" s="30"/>
      <c r="G79" s="31"/>
      <c r="H79" s="28"/>
      <c r="I79" s="29"/>
      <c r="J79" s="29"/>
      <c r="K79" s="29"/>
      <c r="L79" s="29"/>
      <c r="M79" s="29"/>
      <c r="N79" s="29"/>
      <c r="O79" s="29"/>
      <c r="P79" s="29"/>
      <c r="Q79" s="29"/>
      <c r="R79" s="29"/>
      <c r="S79" s="28"/>
      <c r="T79" s="32" t="str">
        <f aca="false">IF(AND(K79="",L79=""),"",IF(OR(K79="-",L79="-"),"측정불가",IF(AND(ISNUMBER(K79),ISNUMBER(L79)),IF(OR(K79&gt;=설정!$C$9,L79&gt;=설정!$C$10),"긴급",IF(OR(K79&gt;=설정!$C$7,L79&gt;=설정!$C$8,K79&lt;설정!$C$11),"주의","정상")),"확인필요")))</f>
        <v/>
      </c>
      <c r="U79" s="32" t="str">
        <f aca="false">IF(M79="","",IF(M79="-","측정불가",IF(NOT(ISNUMBER(M79)),"확인필요",IF(M79&lt;설정!$C$15,"긴급(저혈당)",IF(M79&gt;=설정!$C$16,"긴급(고혈당)",IF(N79="공복",IF(M79&gt;=설정!$C$13,"주의","정상"),IF(N79="식후",IF(M79&gt;=설정!$C$14,"주의","정상"),"조건확인")))))))</f>
        <v/>
      </c>
      <c r="V79" s="32" t="str">
        <f aca="false">IF(OR(T79="긴급",LEFT(U79,2)="긴급",P79="O"),"대상","")</f>
        <v/>
      </c>
      <c r="W79" s="33" t="str">
        <f aca="false">IF(R79&lt;&gt;"",R79,IF(O79="O",IF(V79="대상",IF(Q79="O","완료","추가상담 대기"),"완료"),IF(COUNTA(K79:M79)=3,"상담 대기",IF(J79="O","측정 대기",IF(I79="O","운동평가 대기","미방문")))))</f>
        <v>미방문</v>
      </c>
      <c r="X79" s="34"/>
      <c r="Y79" s="34"/>
      <c r="Z79" s="34"/>
      <c r="AA79" s="34"/>
      <c r="AB79" s="34"/>
      <c r="AC79" s="35" t="str">
        <f aca="false">IF(AND(ISNUMBER(X79),ISNUMBER(Y79)),IF(Y79&gt;=X79,ROUND((Y79-X79)*1440,0),""),"")</f>
        <v/>
      </c>
      <c r="AD79" s="35" t="str">
        <f aca="false">IF(AND(ISNUMBER(Y79),ISNUMBER(Z79)),IF(Z79&gt;=Y79,ROUND((Z79-Y79)*1440,0),""),"")</f>
        <v/>
      </c>
      <c r="AE79" s="35" t="str">
        <f aca="false">IF(AND(ISNUMBER(Z79),ISNUMBER(AA79)),IF(AA79&gt;=Z79,ROUND((AA79-Z79)*1440,0),""),"")</f>
        <v/>
      </c>
      <c r="AF79" s="35" t="str">
        <f aca="false">IF(AND(ISNUMBER(AA79),ISNUMBER(AB79)),IF(AB79&gt;=AA79,ROUND((AB79-AA79)*1440,0),""),"")</f>
        <v/>
      </c>
      <c r="AG79" s="35" t="str">
        <f aca="false">IF(AND(W79="완료",ISNUMBER(X79)),IF(MAX(Y79:AB79)&gt;=X79,ROUND((MAX(Y79:AB79)-X79)*1440,0),""),"")</f>
        <v/>
      </c>
    </row>
    <row r="80" customFormat="false" ht="15" hidden="false" customHeight="false" outlineLevel="0" collapsed="false">
      <c r="A80" s="27" t="n">
        <v>76</v>
      </c>
      <c r="B80" s="28"/>
      <c r="C80" s="29"/>
      <c r="D80" s="29"/>
      <c r="E80" s="28"/>
      <c r="F80" s="30"/>
      <c r="G80" s="31"/>
      <c r="H80" s="28"/>
      <c r="I80" s="29"/>
      <c r="J80" s="29"/>
      <c r="K80" s="29"/>
      <c r="L80" s="29"/>
      <c r="M80" s="29"/>
      <c r="N80" s="29"/>
      <c r="O80" s="29"/>
      <c r="P80" s="29"/>
      <c r="Q80" s="29"/>
      <c r="R80" s="29"/>
      <c r="S80" s="28"/>
      <c r="T80" s="32" t="str">
        <f aca="false">IF(AND(K80="",L80=""),"",IF(OR(K80="-",L80="-"),"측정불가",IF(AND(ISNUMBER(K80),ISNUMBER(L80)),IF(OR(K80&gt;=설정!$C$9,L80&gt;=설정!$C$10),"긴급",IF(OR(K80&gt;=설정!$C$7,L80&gt;=설정!$C$8,K80&lt;설정!$C$11),"주의","정상")),"확인필요")))</f>
        <v/>
      </c>
      <c r="U80" s="32" t="str">
        <f aca="false">IF(M80="","",IF(M80="-","측정불가",IF(NOT(ISNUMBER(M80)),"확인필요",IF(M80&lt;설정!$C$15,"긴급(저혈당)",IF(M80&gt;=설정!$C$16,"긴급(고혈당)",IF(N80="공복",IF(M80&gt;=설정!$C$13,"주의","정상"),IF(N80="식후",IF(M80&gt;=설정!$C$14,"주의","정상"),"조건확인")))))))</f>
        <v/>
      </c>
      <c r="V80" s="32" t="str">
        <f aca="false">IF(OR(T80="긴급",LEFT(U80,2)="긴급",P80="O"),"대상","")</f>
        <v/>
      </c>
      <c r="W80" s="33" t="str">
        <f aca="false">IF(R80&lt;&gt;"",R80,IF(O80="O",IF(V80="대상",IF(Q80="O","완료","추가상담 대기"),"완료"),IF(COUNTA(K80:M80)=3,"상담 대기",IF(J80="O","측정 대기",IF(I80="O","운동평가 대기","미방문")))))</f>
        <v>미방문</v>
      </c>
      <c r="X80" s="34"/>
      <c r="Y80" s="34"/>
      <c r="Z80" s="34"/>
      <c r="AA80" s="34"/>
      <c r="AB80" s="34"/>
      <c r="AC80" s="35" t="str">
        <f aca="false">IF(AND(ISNUMBER(X80),ISNUMBER(Y80)),IF(Y80&gt;=X80,ROUND((Y80-X80)*1440,0),""),"")</f>
        <v/>
      </c>
      <c r="AD80" s="35" t="str">
        <f aca="false">IF(AND(ISNUMBER(Y80),ISNUMBER(Z80)),IF(Z80&gt;=Y80,ROUND((Z80-Y80)*1440,0),""),"")</f>
        <v/>
      </c>
      <c r="AE80" s="35" t="str">
        <f aca="false">IF(AND(ISNUMBER(Z80),ISNUMBER(AA80)),IF(AA80&gt;=Z80,ROUND((AA80-Z80)*1440,0),""),"")</f>
        <v/>
      </c>
      <c r="AF80" s="35" t="str">
        <f aca="false">IF(AND(ISNUMBER(AA80),ISNUMBER(AB80)),IF(AB80&gt;=AA80,ROUND((AB80-AA80)*1440,0),""),"")</f>
        <v/>
      </c>
      <c r="AG80" s="35" t="str">
        <f aca="false">IF(AND(W80="완료",ISNUMBER(X80)),IF(MAX(Y80:AB80)&gt;=X80,ROUND((MAX(Y80:AB80)-X80)*1440,0),""),"")</f>
        <v/>
      </c>
    </row>
    <row r="81" customFormat="false" ht="15" hidden="false" customHeight="false" outlineLevel="0" collapsed="false">
      <c r="A81" s="27" t="n">
        <v>77</v>
      </c>
      <c r="B81" s="28"/>
      <c r="C81" s="29"/>
      <c r="D81" s="29"/>
      <c r="E81" s="28"/>
      <c r="F81" s="30"/>
      <c r="G81" s="31"/>
      <c r="H81" s="28"/>
      <c r="I81" s="29"/>
      <c r="J81" s="29"/>
      <c r="K81" s="29"/>
      <c r="L81" s="29"/>
      <c r="M81" s="29"/>
      <c r="N81" s="29"/>
      <c r="O81" s="29"/>
      <c r="P81" s="29"/>
      <c r="Q81" s="29"/>
      <c r="R81" s="29"/>
      <c r="S81" s="28"/>
      <c r="T81" s="32" t="str">
        <f aca="false">IF(AND(K81="",L81=""),"",IF(OR(K81="-",L81="-"),"측정불가",IF(AND(ISNUMBER(K81),ISNUMBER(L81)),IF(OR(K81&gt;=설정!$C$9,L81&gt;=설정!$C$10),"긴급",IF(OR(K81&gt;=설정!$C$7,L81&gt;=설정!$C$8,K81&lt;설정!$C$11),"주의","정상")),"확인필요")))</f>
        <v/>
      </c>
      <c r="U81" s="32" t="str">
        <f aca="false">IF(M81="","",IF(M81="-","측정불가",IF(NOT(ISNUMBER(M81)),"확인필요",IF(M81&lt;설정!$C$15,"긴급(저혈당)",IF(M81&gt;=설정!$C$16,"긴급(고혈당)",IF(N81="공복",IF(M81&gt;=설정!$C$13,"주의","정상"),IF(N81="식후",IF(M81&gt;=설정!$C$14,"주의","정상"),"조건확인")))))))</f>
        <v/>
      </c>
      <c r="V81" s="32" t="str">
        <f aca="false">IF(OR(T81="긴급",LEFT(U81,2)="긴급",P81="O"),"대상","")</f>
        <v/>
      </c>
      <c r="W81" s="33" t="str">
        <f aca="false">IF(R81&lt;&gt;"",R81,IF(O81="O",IF(V81="대상",IF(Q81="O","완료","추가상담 대기"),"완료"),IF(COUNTA(K81:M81)=3,"상담 대기",IF(J81="O","측정 대기",IF(I81="O","운동평가 대기","미방문")))))</f>
        <v>미방문</v>
      </c>
      <c r="X81" s="34"/>
      <c r="Y81" s="34"/>
      <c r="Z81" s="34"/>
      <c r="AA81" s="34"/>
      <c r="AB81" s="34"/>
      <c r="AC81" s="35" t="str">
        <f aca="false">IF(AND(ISNUMBER(X81),ISNUMBER(Y81)),IF(Y81&gt;=X81,ROUND((Y81-X81)*1440,0),""),"")</f>
        <v/>
      </c>
      <c r="AD81" s="35" t="str">
        <f aca="false">IF(AND(ISNUMBER(Y81),ISNUMBER(Z81)),IF(Z81&gt;=Y81,ROUND((Z81-Y81)*1440,0),""),"")</f>
        <v/>
      </c>
      <c r="AE81" s="35" t="str">
        <f aca="false">IF(AND(ISNUMBER(Z81),ISNUMBER(AA81)),IF(AA81&gt;=Z81,ROUND((AA81-Z81)*1440,0),""),"")</f>
        <v/>
      </c>
      <c r="AF81" s="35" t="str">
        <f aca="false">IF(AND(ISNUMBER(AA81),ISNUMBER(AB81)),IF(AB81&gt;=AA81,ROUND((AB81-AA81)*1440,0),""),"")</f>
        <v/>
      </c>
      <c r="AG81" s="35" t="str">
        <f aca="false">IF(AND(W81="완료",ISNUMBER(X81)),IF(MAX(Y81:AB81)&gt;=X81,ROUND((MAX(Y81:AB81)-X81)*1440,0),""),"")</f>
        <v/>
      </c>
    </row>
    <row r="82" customFormat="false" ht="15" hidden="false" customHeight="false" outlineLevel="0" collapsed="false">
      <c r="A82" s="27" t="n">
        <v>78</v>
      </c>
      <c r="B82" s="28"/>
      <c r="C82" s="29"/>
      <c r="D82" s="29"/>
      <c r="E82" s="28"/>
      <c r="F82" s="30"/>
      <c r="G82" s="31"/>
      <c r="H82" s="28"/>
      <c r="I82" s="29"/>
      <c r="J82" s="29"/>
      <c r="K82" s="29"/>
      <c r="L82" s="29"/>
      <c r="M82" s="29"/>
      <c r="N82" s="29"/>
      <c r="O82" s="29"/>
      <c r="P82" s="29"/>
      <c r="Q82" s="29"/>
      <c r="R82" s="29"/>
      <c r="S82" s="28"/>
      <c r="T82" s="32" t="str">
        <f aca="false">IF(AND(K82="",L82=""),"",IF(OR(K82="-",L82="-"),"측정불가",IF(AND(ISNUMBER(K82),ISNUMBER(L82)),IF(OR(K82&gt;=설정!$C$9,L82&gt;=설정!$C$10),"긴급",IF(OR(K82&gt;=설정!$C$7,L82&gt;=설정!$C$8,K82&lt;설정!$C$11),"주의","정상")),"확인필요")))</f>
        <v/>
      </c>
      <c r="U82" s="32" t="str">
        <f aca="false">IF(M82="","",IF(M82="-","측정불가",IF(NOT(ISNUMBER(M82)),"확인필요",IF(M82&lt;설정!$C$15,"긴급(저혈당)",IF(M82&gt;=설정!$C$16,"긴급(고혈당)",IF(N82="공복",IF(M82&gt;=설정!$C$13,"주의","정상"),IF(N82="식후",IF(M82&gt;=설정!$C$14,"주의","정상"),"조건확인")))))))</f>
        <v/>
      </c>
      <c r="V82" s="32" t="str">
        <f aca="false">IF(OR(T82="긴급",LEFT(U82,2)="긴급",P82="O"),"대상","")</f>
        <v/>
      </c>
      <c r="W82" s="33" t="str">
        <f aca="false">IF(R82&lt;&gt;"",R82,IF(O82="O",IF(V82="대상",IF(Q82="O","완료","추가상담 대기"),"완료"),IF(COUNTA(K82:M82)=3,"상담 대기",IF(J82="O","측정 대기",IF(I82="O","운동평가 대기","미방문")))))</f>
        <v>미방문</v>
      </c>
      <c r="X82" s="34"/>
      <c r="Y82" s="34"/>
      <c r="Z82" s="34"/>
      <c r="AA82" s="34"/>
      <c r="AB82" s="34"/>
      <c r="AC82" s="35" t="str">
        <f aca="false">IF(AND(ISNUMBER(X82),ISNUMBER(Y82)),IF(Y82&gt;=X82,ROUND((Y82-X82)*1440,0),""),"")</f>
        <v/>
      </c>
      <c r="AD82" s="35" t="str">
        <f aca="false">IF(AND(ISNUMBER(Y82),ISNUMBER(Z82)),IF(Z82&gt;=Y82,ROUND((Z82-Y82)*1440,0),""),"")</f>
        <v/>
      </c>
      <c r="AE82" s="35" t="str">
        <f aca="false">IF(AND(ISNUMBER(Z82),ISNUMBER(AA82)),IF(AA82&gt;=Z82,ROUND((AA82-Z82)*1440,0),""),"")</f>
        <v/>
      </c>
      <c r="AF82" s="35" t="str">
        <f aca="false">IF(AND(ISNUMBER(AA82),ISNUMBER(AB82)),IF(AB82&gt;=AA82,ROUND((AB82-AA82)*1440,0),""),"")</f>
        <v/>
      </c>
      <c r="AG82" s="35" t="str">
        <f aca="false">IF(AND(W82="완료",ISNUMBER(X82)),IF(MAX(Y82:AB82)&gt;=X82,ROUND((MAX(Y82:AB82)-X82)*1440,0),""),"")</f>
        <v/>
      </c>
    </row>
    <row r="83" customFormat="false" ht="15" hidden="false" customHeight="false" outlineLevel="0" collapsed="false">
      <c r="A83" s="27" t="n">
        <v>79</v>
      </c>
      <c r="B83" s="28"/>
      <c r="C83" s="29"/>
      <c r="D83" s="29"/>
      <c r="E83" s="28"/>
      <c r="F83" s="30"/>
      <c r="G83" s="31"/>
      <c r="H83" s="28"/>
      <c r="I83" s="29"/>
      <c r="J83" s="29"/>
      <c r="K83" s="29"/>
      <c r="L83" s="29"/>
      <c r="M83" s="29"/>
      <c r="N83" s="29"/>
      <c r="O83" s="29"/>
      <c r="P83" s="29"/>
      <c r="Q83" s="29"/>
      <c r="R83" s="29"/>
      <c r="S83" s="28"/>
      <c r="T83" s="32" t="str">
        <f aca="false">IF(AND(K83="",L83=""),"",IF(OR(K83="-",L83="-"),"측정불가",IF(AND(ISNUMBER(K83),ISNUMBER(L83)),IF(OR(K83&gt;=설정!$C$9,L83&gt;=설정!$C$10),"긴급",IF(OR(K83&gt;=설정!$C$7,L83&gt;=설정!$C$8,K83&lt;설정!$C$11),"주의","정상")),"확인필요")))</f>
        <v/>
      </c>
      <c r="U83" s="32" t="str">
        <f aca="false">IF(M83="","",IF(M83="-","측정불가",IF(NOT(ISNUMBER(M83)),"확인필요",IF(M83&lt;설정!$C$15,"긴급(저혈당)",IF(M83&gt;=설정!$C$16,"긴급(고혈당)",IF(N83="공복",IF(M83&gt;=설정!$C$13,"주의","정상"),IF(N83="식후",IF(M83&gt;=설정!$C$14,"주의","정상"),"조건확인")))))))</f>
        <v/>
      </c>
      <c r="V83" s="32" t="str">
        <f aca="false">IF(OR(T83="긴급",LEFT(U83,2)="긴급",P83="O"),"대상","")</f>
        <v/>
      </c>
      <c r="W83" s="33" t="str">
        <f aca="false">IF(R83&lt;&gt;"",R83,IF(O83="O",IF(V83="대상",IF(Q83="O","완료","추가상담 대기"),"완료"),IF(COUNTA(K83:M83)=3,"상담 대기",IF(J83="O","측정 대기",IF(I83="O","운동평가 대기","미방문")))))</f>
        <v>미방문</v>
      </c>
      <c r="X83" s="34"/>
      <c r="Y83" s="34"/>
      <c r="Z83" s="34"/>
      <c r="AA83" s="34"/>
      <c r="AB83" s="34"/>
      <c r="AC83" s="35" t="str">
        <f aca="false">IF(AND(ISNUMBER(X83),ISNUMBER(Y83)),IF(Y83&gt;=X83,ROUND((Y83-X83)*1440,0),""),"")</f>
        <v/>
      </c>
      <c r="AD83" s="35" t="str">
        <f aca="false">IF(AND(ISNUMBER(Y83),ISNUMBER(Z83)),IF(Z83&gt;=Y83,ROUND((Z83-Y83)*1440,0),""),"")</f>
        <v/>
      </c>
      <c r="AE83" s="35" t="str">
        <f aca="false">IF(AND(ISNUMBER(Z83),ISNUMBER(AA83)),IF(AA83&gt;=Z83,ROUND((AA83-Z83)*1440,0),""),"")</f>
        <v/>
      </c>
      <c r="AF83" s="35" t="str">
        <f aca="false">IF(AND(ISNUMBER(AA83),ISNUMBER(AB83)),IF(AB83&gt;=AA83,ROUND((AB83-AA83)*1440,0),""),"")</f>
        <v/>
      </c>
      <c r="AG83" s="35" t="str">
        <f aca="false">IF(AND(W83="완료",ISNUMBER(X83)),IF(MAX(Y83:AB83)&gt;=X83,ROUND((MAX(Y83:AB83)-X83)*1440,0),""),"")</f>
        <v/>
      </c>
    </row>
    <row r="84" customFormat="false" ht="15" hidden="false" customHeight="false" outlineLevel="0" collapsed="false">
      <c r="A84" s="27" t="n">
        <v>80</v>
      </c>
      <c r="B84" s="28"/>
      <c r="C84" s="29"/>
      <c r="D84" s="29"/>
      <c r="E84" s="28"/>
      <c r="F84" s="30"/>
      <c r="G84" s="31"/>
      <c r="H84" s="28"/>
      <c r="I84" s="29"/>
      <c r="J84" s="29"/>
      <c r="K84" s="29"/>
      <c r="L84" s="29"/>
      <c r="M84" s="29"/>
      <c r="N84" s="29"/>
      <c r="O84" s="29"/>
      <c r="P84" s="29"/>
      <c r="Q84" s="29"/>
      <c r="R84" s="29"/>
      <c r="S84" s="28"/>
      <c r="T84" s="32" t="str">
        <f aca="false">IF(AND(K84="",L84=""),"",IF(OR(K84="-",L84="-"),"측정불가",IF(AND(ISNUMBER(K84),ISNUMBER(L84)),IF(OR(K84&gt;=설정!$C$9,L84&gt;=설정!$C$10),"긴급",IF(OR(K84&gt;=설정!$C$7,L84&gt;=설정!$C$8,K84&lt;설정!$C$11),"주의","정상")),"확인필요")))</f>
        <v/>
      </c>
      <c r="U84" s="32" t="str">
        <f aca="false">IF(M84="","",IF(M84="-","측정불가",IF(NOT(ISNUMBER(M84)),"확인필요",IF(M84&lt;설정!$C$15,"긴급(저혈당)",IF(M84&gt;=설정!$C$16,"긴급(고혈당)",IF(N84="공복",IF(M84&gt;=설정!$C$13,"주의","정상"),IF(N84="식후",IF(M84&gt;=설정!$C$14,"주의","정상"),"조건확인")))))))</f>
        <v/>
      </c>
      <c r="V84" s="32" t="str">
        <f aca="false">IF(OR(T84="긴급",LEFT(U84,2)="긴급",P84="O"),"대상","")</f>
        <v/>
      </c>
      <c r="W84" s="33" t="str">
        <f aca="false">IF(R84&lt;&gt;"",R84,IF(O84="O",IF(V84="대상",IF(Q84="O","완료","추가상담 대기"),"완료"),IF(COUNTA(K84:M84)=3,"상담 대기",IF(J84="O","측정 대기",IF(I84="O","운동평가 대기","미방문")))))</f>
        <v>미방문</v>
      </c>
      <c r="X84" s="34"/>
      <c r="Y84" s="34"/>
      <c r="Z84" s="34"/>
      <c r="AA84" s="34"/>
      <c r="AB84" s="34"/>
      <c r="AC84" s="35" t="str">
        <f aca="false">IF(AND(ISNUMBER(X84),ISNUMBER(Y84)),IF(Y84&gt;=X84,ROUND((Y84-X84)*1440,0),""),"")</f>
        <v/>
      </c>
      <c r="AD84" s="35" t="str">
        <f aca="false">IF(AND(ISNUMBER(Y84),ISNUMBER(Z84)),IF(Z84&gt;=Y84,ROUND((Z84-Y84)*1440,0),""),"")</f>
        <v/>
      </c>
      <c r="AE84" s="35" t="str">
        <f aca="false">IF(AND(ISNUMBER(Z84),ISNUMBER(AA84)),IF(AA84&gt;=Z84,ROUND((AA84-Z84)*1440,0),""),"")</f>
        <v/>
      </c>
      <c r="AF84" s="35" t="str">
        <f aca="false">IF(AND(ISNUMBER(AA84),ISNUMBER(AB84)),IF(AB84&gt;=AA84,ROUND((AB84-AA84)*1440,0),""),"")</f>
        <v/>
      </c>
      <c r="AG84" s="35" t="str">
        <f aca="false">IF(AND(W84="완료",ISNUMBER(X84)),IF(MAX(Y84:AB84)&gt;=X84,ROUND((MAX(Y84:AB84)-X84)*1440,0),""),"")</f>
        <v/>
      </c>
    </row>
    <row r="85" customFormat="false" ht="15" hidden="false" customHeight="false" outlineLevel="0" collapsed="false">
      <c r="A85" s="27" t="n">
        <v>81</v>
      </c>
      <c r="B85" s="28"/>
      <c r="C85" s="29"/>
      <c r="D85" s="29"/>
      <c r="E85" s="28"/>
      <c r="F85" s="30"/>
      <c r="G85" s="31"/>
      <c r="H85" s="28"/>
      <c r="I85" s="29"/>
      <c r="J85" s="29"/>
      <c r="K85" s="29"/>
      <c r="L85" s="29"/>
      <c r="M85" s="29"/>
      <c r="N85" s="29"/>
      <c r="O85" s="29"/>
      <c r="P85" s="29"/>
      <c r="Q85" s="29"/>
      <c r="R85" s="29"/>
      <c r="S85" s="28"/>
      <c r="T85" s="32" t="str">
        <f aca="false">IF(AND(K85="",L85=""),"",IF(OR(K85="-",L85="-"),"측정불가",IF(AND(ISNUMBER(K85),ISNUMBER(L85)),IF(OR(K85&gt;=설정!$C$9,L85&gt;=설정!$C$10),"긴급",IF(OR(K85&gt;=설정!$C$7,L85&gt;=설정!$C$8,K85&lt;설정!$C$11),"주의","정상")),"확인필요")))</f>
        <v/>
      </c>
      <c r="U85" s="32" t="str">
        <f aca="false">IF(M85="","",IF(M85="-","측정불가",IF(NOT(ISNUMBER(M85)),"확인필요",IF(M85&lt;설정!$C$15,"긴급(저혈당)",IF(M85&gt;=설정!$C$16,"긴급(고혈당)",IF(N85="공복",IF(M85&gt;=설정!$C$13,"주의","정상"),IF(N85="식후",IF(M85&gt;=설정!$C$14,"주의","정상"),"조건확인")))))))</f>
        <v/>
      </c>
      <c r="V85" s="32" t="str">
        <f aca="false">IF(OR(T85="긴급",LEFT(U85,2)="긴급",P85="O"),"대상","")</f>
        <v/>
      </c>
      <c r="W85" s="33" t="str">
        <f aca="false">IF(R85&lt;&gt;"",R85,IF(O85="O",IF(V85="대상",IF(Q85="O","완료","추가상담 대기"),"완료"),IF(COUNTA(K85:M85)=3,"상담 대기",IF(J85="O","측정 대기",IF(I85="O","운동평가 대기","미방문")))))</f>
        <v>미방문</v>
      </c>
      <c r="X85" s="34"/>
      <c r="Y85" s="34"/>
      <c r="Z85" s="34"/>
      <c r="AA85" s="34"/>
      <c r="AB85" s="34"/>
      <c r="AC85" s="35" t="str">
        <f aca="false">IF(AND(ISNUMBER(X85),ISNUMBER(Y85)),IF(Y85&gt;=X85,ROUND((Y85-X85)*1440,0),""),"")</f>
        <v/>
      </c>
      <c r="AD85" s="35" t="str">
        <f aca="false">IF(AND(ISNUMBER(Y85),ISNUMBER(Z85)),IF(Z85&gt;=Y85,ROUND((Z85-Y85)*1440,0),""),"")</f>
        <v/>
      </c>
      <c r="AE85" s="35" t="str">
        <f aca="false">IF(AND(ISNUMBER(Z85),ISNUMBER(AA85)),IF(AA85&gt;=Z85,ROUND((AA85-Z85)*1440,0),""),"")</f>
        <v/>
      </c>
      <c r="AF85" s="35" t="str">
        <f aca="false">IF(AND(ISNUMBER(AA85),ISNUMBER(AB85)),IF(AB85&gt;=AA85,ROUND((AB85-AA85)*1440,0),""),"")</f>
        <v/>
      </c>
      <c r="AG85" s="35" t="str">
        <f aca="false">IF(AND(W85="완료",ISNUMBER(X85)),IF(MAX(Y85:AB85)&gt;=X85,ROUND((MAX(Y85:AB85)-X85)*1440,0),""),"")</f>
        <v/>
      </c>
    </row>
    <row r="86" customFormat="false" ht="15" hidden="false" customHeight="false" outlineLevel="0" collapsed="false">
      <c r="A86" s="27" t="n">
        <v>82</v>
      </c>
      <c r="B86" s="28"/>
      <c r="C86" s="29"/>
      <c r="D86" s="29"/>
      <c r="E86" s="28"/>
      <c r="F86" s="30"/>
      <c r="G86" s="31"/>
      <c r="H86" s="28"/>
      <c r="I86" s="29"/>
      <c r="J86" s="29"/>
      <c r="K86" s="29"/>
      <c r="L86" s="29"/>
      <c r="M86" s="29"/>
      <c r="N86" s="29"/>
      <c r="O86" s="29"/>
      <c r="P86" s="29"/>
      <c r="Q86" s="29"/>
      <c r="R86" s="29"/>
      <c r="S86" s="28"/>
      <c r="T86" s="32" t="str">
        <f aca="false">IF(AND(K86="",L86=""),"",IF(OR(K86="-",L86="-"),"측정불가",IF(AND(ISNUMBER(K86),ISNUMBER(L86)),IF(OR(K86&gt;=설정!$C$9,L86&gt;=설정!$C$10),"긴급",IF(OR(K86&gt;=설정!$C$7,L86&gt;=설정!$C$8,K86&lt;설정!$C$11),"주의","정상")),"확인필요")))</f>
        <v/>
      </c>
      <c r="U86" s="32" t="str">
        <f aca="false">IF(M86="","",IF(M86="-","측정불가",IF(NOT(ISNUMBER(M86)),"확인필요",IF(M86&lt;설정!$C$15,"긴급(저혈당)",IF(M86&gt;=설정!$C$16,"긴급(고혈당)",IF(N86="공복",IF(M86&gt;=설정!$C$13,"주의","정상"),IF(N86="식후",IF(M86&gt;=설정!$C$14,"주의","정상"),"조건확인")))))))</f>
        <v/>
      </c>
      <c r="V86" s="32" t="str">
        <f aca="false">IF(OR(T86="긴급",LEFT(U86,2)="긴급",P86="O"),"대상","")</f>
        <v/>
      </c>
      <c r="W86" s="33" t="str">
        <f aca="false">IF(R86&lt;&gt;"",R86,IF(O86="O",IF(V86="대상",IF(Q86="O","완료","추가상담 대기"),"완료"),IF(COUNTA(K86:M86)=3,"상담 대기",IF(J86="O","측정 대기",IF(I86="O","운동평가 대기","미방문")))))</f>
        <v>미방문</v>
      </c>
      <c r="X86" s="34"/>
      <c r="Y86" s="34"/>
      <c r="Z86" s="34"/>
      <c r="AA86" s="34"/>
      <c r="AB86" s="34"/>
      <c r="AC86" s="35" t="str">
        <f aca="false">IF(AND(ISNUMBER(X86),ISNUMBER(Y86)),IF(Y86&gt;=X86,ROUND((Y86-X86)*1440,0),""),"")</f>
        <v/>
      </c>
      <c r="AD86" s="35" t="str">
        <f aca="false">IF(AND(ISNUMBER(Y86),ISNUMBER(Z86)),IF(Z86&gt;=Y86,ROUND((Z86-Y86)*1440,0),""),"")</f>
        <v/>
      </c>
      <c r="AE86" s="35" t="str">
        <f aca="false">IF(AND(ISNUMBER(Z86),ISNUMBER(AA86)),IF(AA86&gt;=Z86,ROUND((AA86-Z86)*1440,0),""),"")</f>
        <v/>
      </c>
      <c r="AF86" s="35" t="str">
        <f aca="false">IF(AND(ISNUMBER(AA86),ISNUMBER(AB86)),IF(AB86&gt;=AA86,ROUND((AB86-AA86)*1440,0),""),"")</f>
        <v/>
      </c>
      <c r="AG86" s="35" t="str">
        <f aca="false">IF(AND(W86="완료",ISNUMBER(X86)),IF(MAX(Y86:AB86)&gt;=X86,ROUND((MAX(Y86:AB86)-X86)*1440,0),""),"")</f>
        <v/>
      </c>
    </row>
    <row r="87" customFormat="false" ht="15" hidden="false" customHeight="false" outlineLevel="0" collapsed="false">
      <c r="A87" s="27" t="n">
        <v>83</v>
      </c>
      <c r="B87" s="28"/>
      <c r="C87" s="29"/>
      <c r="D87" s="29"/>
      <c r="E87" s="28"/>
      <c r="F87" s="30"/>
      <c r="G87" s="31"/>
      <c r="H87" s="28"/>
      <c r="I87" s="29"/>
      <c r="J87" s="29"/>
      <c r="K87" s="29"/>
      <c r="L87" s="29"/>
      <c r="M87" s="29"/>
      <c r="N87" s="29"/>
      <c r="O87" s="29"/>
      <c r="P87" s="29"/>
      <c r="Q87" s="29"/>
      <c r="R87" s="29"/>
      <c r="S87" s="28"/>
      <c r="T87" s="32" t="str">
        <f aca="false">IF(AND(K87="",L87=""),"",IF(OR(K87="-",L87="-"),"측정불가",IF(AND(ISNUMBER(K87),ISNUMBER(L87)),IF(OR(K87&gt;=설정!$C$9,L87&gt;=설정!$C$10),"긴급",IF(OR(K87&gt;=설정!$C$7,L87&gt;=설정!$C$8,K87&lt;설정!$C$11),"주의","정상")),"확인필요")))</f>
        <v/>
      </c>
      <c r="U87" s="32" t="str">
        <f aca="false">IF(M87="","",IF(M87="-","측정불가",IF(NOT(ISNUMBER(M87)),"확인필요",IF(M87&lt;설정!$C$15,"긴급(저혈당)",IF(M87&gt;=설정!$C$16,"긴급(고혈당)",IF(N87="공복",IF(M87&gt;=설정!$C$13,"주의","정상"),IF(N87="식후",IF(M87&gt;=설정!$C$14,"주의","정상"),"조건확인")))))))</f>
        <v/>
      </c>
      <c r="V87" s="32" t="str">
        <f aca="false">IF(OR(T87="긴급",LEFT(U87,2)="긴급",P87="O"),"대상","")</f>
        <v/>
      </c>
      <c r="W87" s="33" t="str">
        <f aca="false">IF(R87&lt;&gt;"",R87,IF(O87="O",IF(V87="대상",IF(Q87="O","완료","추가상담 대기"),"완료"),IF(COUNTA(K87:M87)=3,"상담 대기",IF(J87="O","측정 대기",IF(I87="O","운동평가 대기","미방문")))))</f>
        <v>미방문</v>
      </c>
      <c r="X87" s="34"/>
      <c r="Y87" s="34"/>
      <c r="Z87" s="34"/>
      <c r="AA87" s="34"/>
      <c r="AB87" s="34"/>
      <c r="AC87" s="35" t="str">
        <f aca="false">IF(AND(ISNUMBER(X87),ISNUMBER(Y87)),IF(Y87&gt;=X87,ROUND((Y87-X87)*1440,0),""),"")</f>
        <v/>
      </c>
      <c r="AD87" s="35" t="str">
        <f aca="false">IF(AND(ISNUMBER(Y87),ISNUMBER(Z87)),IF(Z87&gt;=Y87,ROUND((Z87-Y87)*1440,0),""),"")</f>
        <v/>
      </c>
      <c r="AE87" s="35" t="str">
        <f aca="false">IF(AND(ISNUMBER(Z87),ISNUMBER(AA87)),IF(AA87&gt;=Z87,ROUND((AA87-Z87)*1440,0),""),"")</f>
        <v/>
      </c>
      <c r="AF87" s="35" t="str">
        <f aca="false">IF(AND(ISNUMBER(AA87),ISNUMBER(AB87)),IF(AB87&gt;=AA87,ROUND((AB87-AA87)*1440,0),""),"")</f>
        <v/>
      </c>
      <c r="AG87" s="35" t="str">
        <f aca="false">IF(AND(W87="완료",ISNUMBER(X87)),IF(MAX(Y87:AB87)&gt;=X87,ROUND((MAX(Y87:AB87)-X87)*1440,0),""),"")</f>
        <v/>
      </c>
    </row>
    <row r="88" customFormat="false" ht="15" hidden="false" customHeight="false" outlineLevel="0" collapsed="false">
      <c r="A88" s="27" t="n">
        <v>84</v>
      </c>
      <c r="B88" s="28"/>
      <c r="C88" s="29"/>
      <c r="D88" s="29"/>
      <c r="E88" s="28"/>
      <c r="F88" s="30"/>
      <c r="G88" s="31"/>
      <c r="H88" s="28"/>
      <c r="I88" s="29"/>
      <c r="J88" s="29"/>
      <c r="K88" s="29"/>
      <c r="L88" s="29"/>
      <c r="M88" s="29"/>
      <c r="N88" s="29"/>
      <c r="O88" s="29"/>
      <c r="P88" s="29"/>
      <c r="Q88" s="29"/>
      <c r="R88" s="29"/>
      <c r="S88" s="28"/>
      <c r="T88" s="32" t="str">
        <f aca="false">IF(AND(K88="",L88=""),"",IF(OR(K88="-",L88="-"),"측정불가",IF(AND(ISNUMBER(K88),ISNUMBER(L88)),IF(OR(K88&gt;=설정!$C$9,L88&gt;=설정!$C$10),"긴급",IF(OR(K88&gt;=설정!$C$7,L88&gt;=설정!$C$8,K88&lt;설정!$C$11),"주의","정상")),"확인필요")))</f>
        <v/>
      </c>
      <c r="U88" s="32" t="str">
        <f aca="false">IF(M88="","",IF(M88="-","측정불가",IF(NOT(ISNUMBER(M88)),"확인필요",IF(M88&lt;설정!$C$15,"긴급(저혈당)",IF(M88&gt;=설정!$C$16,"긴급(고혈당)",IF(N88="공복",IF(M88&gt;=설정!$C$13,"주의","정상"),IF(N88="식후",IF(M88&gt;=설정!$C$14,"주의","정상"),"조건확인")))))))</f>
        <v/>
      </c>
      <c r="V88" s="32" t="str">
        <f aca="false">IF(OR(T88="긴급",LEFT(U88,2)="긴급",P88="O"),"대상","")</f>
        <v/>
      </c>
      <c r="W88" s="33" t="str">
        <f aca="false">IF(R88&lt;&gt;"",R88,IF(O88="O",IF(V88="대상",IF(Q88="O","완료","추가상담 대기"),"완료"),IF(COUNTA(K88:M88)=3,"상담 대기",IF(J88="O","측정 대기",IF(I88="O","운동평가 대기","미방문")))))</f>
        <v>미방문</v>
      </c>
      <c r="X88" s="34"/>
      <c r="Y88" s="34"/>
      <c r="Z88" s="34"/>
      <c r="AA88" s="34"/>
      <c r="AB88" s="34"/>
      <c r="AC88" s="35" t="str">
        <f aca="false">IF(AND(ISNUMBER(X88),ISNUMBER(Y88)),IF(Y88&gt;=X88,ROUND((Y88-X88)*1440,0),""),"")</f>
        <v/>
      </c>
      <c r="AD88" s="35" t="str">
        <f aca="false">IF(AND(ISNUMBER(Y88),ISNUMBER(Z88)),IF(Z88&gt;=Y88,ROUND((Z88-Y88)*1440,0),""),"")</f>
        <v/>
      </c>
      <c r="AE88" s="35" t="str">
        <f aca="false">IF(AND(ISNUMBER(Z88),ISNUMBER(AA88)),IF(AA88&gt;=Z88,ROUND((AA88-Z88)*1440,0),""),"")</f>
        <v/>
      </c>
      <c r="AF88" s="35" t="str">
        <f aca="false">IF(AND(ISNUMBER(AA88),ISNUMBER(AB88)),IF(AB88&gt;=AA88,ROUND((AB88-AA88)*1440,0),""),"")</f>
        <v/>
      </c>
      <c r="AG88" s="35" t="str">
        <f aca="false">IF(AND(W88="완료",ISNUMBER(X88)),IF(MAX(Y88:AB88)&gt;=X88,ROUND((MAX(Y88:AB88)-X88)*1440,0),""),"")</f>
        <v/>
      </c>
    </row>
    <row r="89" customFormat="false" ht="15" hidden="false" customHeight="false" outlineLevel="0" collapsed="false">
      <c r="A89" s="27" t="n">
        <v>85</v>
      </c>
      <c r="B89" s="28"/>
      <c r="C89" s="29"/>
      <c r="D89" s="29"/>
      <c r="E89" s="28"/>
      <c r="F89" s="30"/>
      <c r="G89" s="31"/>
      <c r="H89" s="28"/>
      <c r="I89" s="29"/>
      <c r="J89" s="29"/>
      <c r="K89" s="29"/>
      <c r="L89" s="29"/>
      <c r="M89" s="29"/>
      <c r="N89" s="29"/>
      <c r="O89" s="29"/>
      <c r="P89" s="29"/>
      <c r="Q89" s="29"/>
      <c r="R89" s="29"/>
      <c r="S89" s="28"/>
      <c r="T89" s="32" t="str">
        <f aca="false">IF(AND(K89="",L89=""),"",IF(OR(K89="-",L89="-"),"측정불가",IF(AND(ISNUMBER(K89),ISNUMBER(L89)),IF(OR(K89&gt;=설정!$C$9,L89&gt;=설정!$C$10),"긴급",IF(OR(K89&gt;=설정!$C$7,L89&gt;=설정!$C$8,K89&lt;설정!$C$11),"주의","정상")),"확인필요")))</f>
        <v/>
      </c>
      <c r="U89" s="32" t="str">
        <f aca="false">IF(M89="","",IF(M89="-","측정불가",IF(NOT(ISNUMBER(M89)),"확인필요",IF(M89&lt;설정!$C$15,"긴급(저혈당)",IF(M89&gt;=설정!$C$16,"긴급(고혈당)",IF(N89="공복",IF(M89&gt;=설정!$C$13,"주의","정상"),IF(N89="식후",IF(M89&gt;=설정!$C$14,"주의","정상"),"조건확인")))))))</f>
        <v/>
      </c>
      <c r="V89" s="32" t="str">
        <f aca="false">IF(OR(T89="긴급",LEFT(U89,2)="긴급",P89="O"),"대상","")</f>
        <v/>
      </c>
      <c r="W89" s="33" t="str">
        <f aca="false">IF(R89&lt;&gt;"",R89,IF(O89="O",IF(V89="대상",IF(Q89="O","완료","추가상담 대기"),"완료"),IF(COUNTA(K89:M89)=3,"상담 대기",IF(J89="O","측정 대기",IF(I89="O","운동평가 대기","미방문")))))</f>
        <v>미방문</v>
      </c>
      <c r="X89" s="34"/>
      <c r="Y89" s="34"/>
      <c r="Z89" s="34"/>
      <c r="AA89" s="34"/>
      <c r="AB89" s="34"/>
      <c r="AC89" s="35" t="str">
        <f aca="false">IF(AND(ISNUMBER(X89),ISNUMBER(Y89)),IF(Y89&gt;=X89,ROUND((Y89-X89)*1440,0),""),"")</f>
        <v/>
      </c>
      <c r="AD89" s="35" t="str">
        <f aca="false">IF(AND(ISNUMBER(Y89),ISNUMBER(Z89)),IF(Z89&gt;=Y89,ROUND((Z89-Y89)*1440,0),""),"")</f>
        <v/>
      </c>
      <c r="AE89" s="35" t="str">
        <f aca="false">IF(AND(ISNUMBER(Z89),ISNUMBER(AA89)),IF(AA89&gt;=Z89,ROUND((AA89-Z89)*1440,0),""),"")</f>
        <v/>
      </c>
      <c r="AF89" s="35" t="str">
        <f aca="false">IF(AND(ISNUMBER(AA89),ISNUMBER(AB89)),IF(AB89&gt;=AA89,ROUND((AB89-AA89)*1440,0),""),"")</f>
        <v/>
      </c>
      <c r="AG89" s="35" t="str">
        <f aca="false">IF(AND(W89="완료",ISNUMBER(X89)),IF(MAX(Y89:AB89)&gt;=X89,ROUND((MAX(Y89:AB89)-X89)*1440,0),""),"")</f>
        <v/>
      </c>
    </row>
    <row r="90" customFormat="false" ht="15" hidden="false" customHeight="false" outlineLevel="0" collapsed="false">
      <c r="A90" s="27" t="n">
        <v>86</v>
      </c>
      <c r="B90" s="28"/>
      <c r="C90" s="29"/>
      <c r="D90" s="29"/>
      <c r="E90" s="28"/>
      <c r="F90" s="30"/>
      <c r="G90" s="31"/>
      <c r="H90" s="28"/>
      <c r="I90" s="29"/>
      <c r="J90" s="29"/>
      <c r="K90" s="29"/>
      <c r="L90" s="29"/>
      <c r="M90" s="29"/>
      <c r="N90" s="29"/>
      <c r="O90" s="29"/>
      <c r="P90" s="29"/>
      <c r="Q90" s="29"/>
      <c r="R90" s="29"/>
      <c r="S90" s="28"/>
      <c r="T90" s="32" t="str">
        <f aca="false">IF(AND(K90="",L90=""),"",IF(OR(K90="-",L90="-"),"측정불가",IF(AND(ISNUMBER(K90),ISNUMBER(L90)),IF(OR(K90&gt;=설정!$C$9,L90&gt;=설정!$C$10),"긴급",IF(OR(K90&gt;=설정!$C$7,L90&gt;=설정!$C$8,K90&lt;설정!$C$11),"주의","정상")),"확인필요")))</f>
        <v/>
      </c>
      <c r="U90" s="32" t="str">
        <f aca="false">IF(M90="","",IF(M90="-","측정불가",IF(NOT(ISNUMBER(M90)),"확인필요",IF(M90&lt;설정!$C$15,"긴급(저혈당)",IF(M90&gt;=설정!$C$16,"긴급(고혈당)",IF(N90="공복",IF(M90&gt;=설정!$C$13,"주의","정상"),IF(N90="식후",IF(M90&gt;=설정!$C$14,"주의","정상"),"조건확인")))))))</f>
        <v/>
      </c>
      <c r="V90" s="32" t="str">
        <f aca="false">IF(OR(T90="긴급",LEFT(U90,2)="긴급",P90="O"),"대상","")</f>
        <v/>
      </c>
      <c r="W90" s="33" t="str">
        <f aca="false">IF(R90&lt;&gt;"",R90,IF(O90="O",IF(V90="대상",IF(Q90="O","완료","추가상담 대기"),"완료"),IF(COUNTA(K90:M90)=3,"상담 대기",IF(J90="O","측정 대기",IF(I90="O","운동평가 대기","미방문")))))</f>
        <v>미방문</v>
      </c>
      <c r="X90" s="34"/>
      <c r="Y90" s="34"/>
      <c r="Z90" s="34"/>
      <c r="AA90" s="34"/>
      <c r="AB90" s="34"/>
      <c r="AC90" s="35" t="str">
        <f aca="false">IF(AND(ISNUMBER(X90),ISNUMBER(Y90)),IF(Y90&gt;=X90,ROUND((Y90-X90)*1440,0),""),"")</f>
        <v/>
      </c>
      <c r="AD90" s="35" t="str">
        <f aca="false">IF(AND(ISNUMBER(Y90),ISNUMBER(Z90)),IF(Z90&gt;=Y90,ROUND((Z90-Y90)*1440,0),""),"")</f>
        <v/>
      </c>
      <c r="AE90" s="35" t="str">
        <f aca="false">IF(AND(ISNUMBER(Z90),ISNUMBER(AA90)),IF(AA90&gt;=Z90,ROUND((AA90-Z90)*1440,0),""),"")</f>
        <v/>
      </c>
      <c r="AF90" s="35" t="str">
        <f aca="false">IF(AND(ISNUMBER(AA90),ISNUMBER(AB90)),IF(AB90&gt;=AA90,ROUND((AB90-AA90)*1440,0),""),"")</f>
        <v/>
      </c>
      <c r="AG90" s="35" t="str">
        <f aca="false">IF(AND(W90="완료",ISNUMBER(X90)),IF(MAX(Y90:AB90)&gt;=X90,ROUND((MAX(Y90:AB90)-X90)*1440,0),""),"")</f>
        <v/>
      </c>
    </row>
    <row r="91" customFormat="false" ht="15" hidden="false" customHeight="false" outlineLevel="0" collapsed="false">
      <c r="A91" s="27" t="n">
        <v>87</v>
      </c>
      <c r="B91" s="28"/>
      <c r="C91" s="29"/>
      <c r="D91" s="29"/>
      <c r="E91" s="28"/>
      <c r="F91" s="30"/>
      <c r="G91" s="31"/>
      <c r="H91" s="28"/>
      <c r="I91" s="29"/>
      <c r="J91" s="29"/>
      <c r="K91" s="29"/>
      <c r="L91" s="29"/>
      <c r="M91" s="29"/>
      <c r="N91" s="29"/>
      <c r="O91" s="29"/>
      <c r="P91" s="29"/>
      <c r="Q91" s="29"/>
      <c r="R91" s="29"/>
      <c r="S91" s="28"/>
      <c r="T91" s="32" t="str">
        <f aca="false">IF(AND(K91="",L91=""),"",IF(OR(K91="-",L91="-"),"측정불가",IF(AND(ISNUMBER(K91),ISNUMBER(L91)),IF(OR(K91&gt;=설정!$C$9,L91&gt;=설정!$C$10),"긴급",IF(OR(K91&gt;=설정!$C$7,L91&gt;=설정!$C$8,K91&lt;설정!$C$11),"주의","정상")),"확인필요")))</f>
        <v/>
      </c>
      <c r="U91" s="32" t="str">
        <f aca="false">IF(M91="","",IF(M91="-","측정불가",IF(NOT(ISNUMBER(M91)),"확인필요",IF(M91&lt;설정!$C$15,"긴급(저혈당)",IF(M91&gt;=설정!$C$16,"긴급(고혈당)",IF(N91="공복",IF(M91&gt;=설정!$C$13,"주의","정상"),IF(N91="식후",IF(M91&gt;=설정!$C$14,"주의","정상"),"조건확인")))))))</f>
        <v/>
      </c>
      <c r="V91" s="32" t="str">
        <f aca="false">IF(OR(T91="긴급",LEFT(U91,2)="긴급",P91="O"),"대상","")</f>
        <v/>
      </c>
      <c r="W91" s="33" t="str">
        <f aca="false">IF(R91&lt;&gt;"",R91,IF(O91="O",IF(V91="대상",IF(Q91="O","완료","추가상담 대기"),"완료"),IF(COUNTA(K91:M91)=3,"상담 대기",IF(J91="O","측정 대기",IF(I91="O","운동평가 대기","미방문")))))</f>
        <v>미방문</v>
      </c>
      <c r="X91" s="34"/>
      <c r="Y91" s="34"/>
      <c r="Z91" s="34"/>
      <c r="AA91" s="34"/>
      <c r="AB91" s="34"/>
      <c r="AC91" s="35" t="str">
        <f aca="false">IF(AND(ISNUMBER(X91),ISNUMBER(Y91)),IF(Y91&gt;=X91,ROUND((Y91-X91)*1440,0),""),"")</f>
        <v/>
      </c>
      <c r="AD91" s="35" t="str">
        <f aca="false">IF(AND(ISNUMBER(Y91),ISNUMBER(Z91)),IF(Z91&gt;=Y91,ROUND((Z91-Y91)*1440,0),""),"")</f>
        <v/>
      </c>
      <c r="AE91" s="35" t="str">
        <f aca="false">IF(AND(ISNUMBER(Z91),ISNUMBER(AA91)),IF(AA91&gt;=Z91,ROUND((AA91-Z91)*1440,0),""),"")</f>
        <v/>
      </c>
      <c r="AF91" s="35" t="str">
        <f aca="false">IF(AND(ISNUMBER(AA91),ISNUMBER(AB91)),IF(AB91&gt;=AA91,ROUND((AB91-AA91)*1440,0),""),"")</f>
        <v/>
      </c>
      <c r="AG91" s="35" t="str">
        <f aca="false">IF(AND(W91="완료",ISNUMBER(X91)),IF(MAX(Y91:AB91)&gt;=X91,ROUND((MAX(Y91:AB91)-X91)*1440,0),""),"")</f>
        <v/>
      </c>
    </row>
    <row r="92" customFormat="false" ht="15" hidden="false" customHeight="false" outlineLevel="0" collapsed="false">
      <c r="A92" s="27" t="n">
        <v>88</v>
      </c>
      <c r="B92" s="28"/>
      <c r="C92" s="29"/>
      <c r="D92" s="29"/>
      <c r="E92" s="28"/>
      <c r="F92" s="30"/>
      <c r="G92" s="31"/>
      <c r="H92" s="28"/>
      <c r="I92" s="29"/>
      <c r="J92" s="29"/>
      <c r="K92" s="29"/>
      <c r="L92" s="29"/>
      <c r="M92" s="29"/>
      <c r="N92" s="29"/>
      <c r="O92" s="29"/>
      <c r="P92" s="29"/>
      <c r="Q92" s="29"/>
      <c r="R92" s="29"/>
      <c r="S92" s="28"/>
      <c r="T92" s="32" t="str">
        <f aca="false">IF(AND(K92="",L92=""),"",IF(OR(K92="-",L92="-"),"측정불가",IF(AND(ISNUMBER(K92),ISNUMBER(L92)),IF(OR(K92&gt;=설정!$C$9,L92&gt;=설정!$C$10),"긴급",IF(OR(K92&gt;=설정!$C$7,L92&gt;=설정!$C$8,K92&lt;설정!$C$11),"주의","정상")),"확인필요")))</f>
        <v/>
      </c>
      <c r="U92" s="32" t="str">
        <f aca="false">IF(M92="","",IF(M92="-","측정불가",IF(NOT(ISNUMBER(M92)),"확인필요",IF(M92&lt;설정!$C$15,"긴급(저혈당)",IF(M92&gt;=설정!$C$16,"긴급(고혈당)",IF(N92="공복",IF(M92&gt;=설정!$C$13,"주의","정상"),IF(N92="식후",IF(M92&gt;=설정!$C$14,"주의","정상"),"조건확인")))))))</f>
        <v/>
      </c>
      <c r="V92" s="32" t="str">
        <f aca="false">IF(OR(T92="긴급",LEFT(U92,2)="긴급",P92="O"),"대상","")</f>
        <v/>
      </c>
      <c r="W92" s="33" t="str">
        <f aca="false">IF(R92&lt;&gt;"",R92,IF(O92="O",IF(V92="대상",IF(Q92="O","완료","추가상담 대기"),"완료"),IF(COUNTA(K92:M92)=3,"상담 대기",IF(J92="O","측정 대기",IF(I92="O","운동평가 대기","미방문")))))</f>
        <v>미방문</v>
      </c>
      <c r="X92" s="34"/>
      <c r="Y92" s="34"/>
      <c r="Z92" s="34"/>
      <c r="AA92" s="34"/>
      <c r="AB92" s="34"/>
      <c r="AC92" s="35" t="str">
        <f aca="false">IF(AND(ISNUMBER(X92),ISNUMBER(Y92)),IF(Y92&gt;=X92,ROUND((Y92-X92)*1440,0),""),"")</f>
        <v/>
      </c>
      <c r="AD92" s="35" t="str">
        <f aca="false">IF(AND(ISNUMBER(Y92),ISNUMBER(Z92)),IF(Z92&gt;=Y92,ROUND((Z92-Y92)*1440,0),""),"")</f>
        <v/>
      </c>
      <c r="AE92" s="35" t="str">
        <f aca="false">IF(AND(ISNUMBER(Z92),ISNUMBER(AA92)),IF(AA92&gt;=Z92,ROUND((AA92-Z92)*1440,0),""),"")</f>
        <v/>
      </c>
      <c r="AF92" s="35" t="str">
        <f aca="false">IF(AND(ISNUMBER(AA92),ISNUMBER(AB92)),IF(AB92&gt;=AA92,ROUND((AB92-AA92)*1440,0),""),"")</f>
        <v/>
      </c>
      <c r="AG92" s="35" t="str">
        <f aca="false">IF(AND(W92="완료",ISNUMBER(X92)),IF(MAX(Y92:AB92)&gt;=X92,ROUND((MAX(Y92:AB92)-X92)*1440,0),""),"")</f>
        <v/>
      </c>
    </row>
    <row r="93" customFormat="false" ht="15" hidden="false" customHeight="false" outlineLevel="0" collapsed="false">
      <c r="A93" s="27" t="n">
        <v>89</v>
      </c>
      <c r="B93" s="28"/>
      <c r="C93" s="29"/>
      <c r="D93" s="29"/>
      <c r="E93" s="28"/>
      <c r="F93" s="30"/>
      <c r="G93" s="31"/>
      <c r="H93" s="28"/>
      <c r="I93" s="29"/>
      <c r="J93" s="29"/>
      <c r="K93" s="29"/>
      <c r="L93" s="29"/>
      <c r="M93" s="29"/>
      <c r="N93" s="29"/>
      <c r="O93" s="29"/>
      <c r="P93" s="29"/>
      <c r="Q93" s="29"/>
      <c r="R93" s="29"/>
      <c r="S93" s="28"/>
      <c r="T93" s="32" t="str">
        <f aca="false">IF(AND(K93="",L93=""),"",IF(OR(K93="-",L93="-"),"측정불가",IF(AND(ISNUMBER(K93),ISNUMBER(L93)),IF(OR(K93&gt;=설정!$C$9,L93&gt;=설정!$C$10),"긴급",IF(OR(K93&gt;=설정!$C$7,L93&gt;=설정!$C$8,K93&lt;설정!$C$11),"주의","정상")),"확인필요")))</f>
        <v/>
      </c>
      <c r="U93" s="32" t="str">
        <f aca="false">IF(M93="","",IF(M93="-","측정불가",IF(NOT(ISNUMBER(M93)),"확인필요",IF(M93&lt;설정!$C$15,"긴급(저혈당)",IF(M93&gt;=설정!$C$16,"긴급(고혈당)",IF(N93="공복",IF(M93&gt;=설정!$C$13,"주의","정상"),IF(N93="식후",IF(M93&gt;=설정!$C$14,"주의","정상"),"조건확인")))))))</f>
        <v/>
      </c>
      <c r="V93" s="32" t="str">
        <f aca="false">IF(OR(T93="긴급",LEFT(U93,2)="긴급",P93="O"),"대상","")</f>
        <v/>
      </c>
      <c r="W93" s="33" t="str">
        <f aca="false">IF(R93&lt;&gt;"",R93,IF(O93="O",IF(V93="대상",IF(Q93="O","완료","추가상담 대기"),"완료"),IF(COUNTA(K93:M93)=3,"상담 대기",IF(J93="O","측정 대기",IF(I93="O","운동평가 대기","미방문")))))</f>
        <v>미방문</v>
      </c>
      <c r="X93" s="34"/>
      <c r="Y93" s="34"/>
      <c r="Z93" s="34"/>
      <c r="AA93" s="34"/>
      <c r="AB93" s="34"/>
      <c r="AC93" s="35" t="str">
        <f aca="false">IF(AND(ISNUMBER(X93),ISNUMBER(Y93)),IF(Y93&gt;=X93,ROUND((Y93-X93)*1440,0),""),"")</f>
        <v/>
      </c>
      <c r="AD93" s="35" t="str">
        <f aca="false">IF(AND(ISNUMBER(Y93),ISNUMBER(Z93)),IF(Z93&gt;=Y93,ROUND((Z93-Y93)*1440,0),""),"")</f>
        <v/>
      </c>
      <c r="AE93" s="35" t="str">
        <f aca="false">IF(AND(ISNUMBER(Z93),ISNUMBER(AA93)),IF(AA93&gt;=Z93,ROUND((AA93-Z93)*1440,0),""),"")</f>
        <v/>
      </c>
      <c r="AF93" s="35" t="str">
        <f aca="false">IF(AND(ISNUMBER(AA93),ISNUMBER(AB93)),IF(AB93&gt;=AA93,ROUND((AB93-AA93)*1440,0),""),"")</f>
        <v/>
      </c>
      <c r="AG93" s="35" t="str">
        <f aca="false">IF(AND(W93="완료",ISNUMBER(X93)),IF(MAX(Y93:AB93)&gt;=X93,ROUND((MAX(Y93:AB93)-X93)*1440,0),""),"")</f>
        <v/>
      </c>
    </row>
    <row r="94" customFormat="false" ht="15" hidden="false" customHeight="false" outlineLevel="0" collapsed="false">
      <c r="A94" s="27" t="n">
        <v>90</v>
      </c>
      <c r="B94" s="28"/>
      <c r="C94" s="29"/>
      <c r="D94" s="29"/>
      <c r="E94" s="28"/>
      <c r="F94" s="30"/>
      <c r="G94" s="31"/>
      <c r="H94" s="28"/>
      <c r="I94" s="29"/>
      <c r="J94" s="29"/>
      <c r="K94" s="29"/>
      <c r="L94" s="29"/>
      <c r="M94" s="29"/>
      <c r="N94" s="29"/>
      <c r="O94" s="29"/>
      <c r="P94" s="29"/>
      <c r="Q94" s="29"/>
      <c r="R94" s="29"/>
      <c r="S94" s="28"/>
      <c r="T94" s="32" t="str">
        <f aca="false">IF(AND(K94="",L94=""),"",IF(OR(K94="-",L94="-"),"측정불가",IF(AND(ISNUMBER(K94),ISNUMBER(L94)),IF(OR(K94&gt;=설정!$C$9,L94&gt;=설정!$C$10),"긴급",IF(OR(K94&gt;=설정!$C$7,L94&gt;=설정!$C$8,K94&lt;설정!$C$11),"주의","정상")),"확인필요")))</f>
        <v/>
      </c>
      <c r="U94" s="32" t="str">
        <f aca="false">IF(M94="","",IF(M94="-","측정불가",IF(NOT(ISNUMBER(M94)),"확인필요",IF(M94&lt;설정!$C$15,"긴급(저혈당)",IF(M94&gt;=설정!$C$16,"긴급(고혈당)",IF(N94="공복",IF(M94&gt;=설정!$C$13,"주의","정상"),IF(N94="식후",IF(M94&gt;=설정!$C$14,"주의","정상"),"조건확인")))))))</f>
        <v/>
      </c>
      <c r="V94" s="32" t="str">
        <f aca="false">IF(OR(T94="긴급",LEFT(U94,2)="긴급",P94="O"),"대상","")</f>
        <v/>
      </c>
      <c r="W94" s="33" t="str">
        <f aca="false">IF(R94&lt;&gt;"",R94,IF(O94="O",IF(V94="대상",IF(Q94="O","완료","추가상담 대기"),"완료"),IF(COUNTA(K94:M94)=3,"상담 대기",IF(J94="O","측정 대기",IF(I94="O","운동평가 대기","미방문")))))</f>
        <v>미방문</v>
      </c>
      <c r="X94" s="34"/>
      <c r="Y94" s="34"/>
      <c r="Z94" s="34"/>
      <c r="AA94" s="34"/>
      <c r="AB94" s="34"/>
      <c r="AC94" s="35" t="str">
        <f aca="false">IF(AND(ISNUMBER(X94),ISNUMBER(Y94)),IF(Y94&gt;=X94,ROUND((Y94-X94)*1440,0),""),"")</f>
        <v/>
      </c>
      <c r="AD94" s="35" t="str">
        <f aca="false">IF(AND(ISNUMBER(Y94),ISNUMBER(Z94)),IF(Z94&gt;=Y94,ROUND((Z94-Y94)*1440,0),""),"")</f>
        <v/>
      </c>
      <c r="AE94" s="35" t="str">
        <f aca="false">IF(AND(ISNUMBER(Z94),ISNUMBER(AA94)),IF(AA94&gt;=Z94,ROUND((AA94-Z94)*1440,0),""),"")</f>
        <v/>
      </c>
      <c r="AF94" s="35" t="str">
        <f aca="false">IF(AND(ISNUMBER(AA94),ISNUMBER(AB94)),IF(AB94&gt;=AA94,ROUND((AB94-AA94)*1440,0),""),"")</f>
        <v/>
      </c>
      <c r="AG94" s="35" t="str">
        <f aca="false">IF(AND(W94="완료",ISNUMBER(X94)),IF(MAX(Y94:AB94)&gt;=X94,ROUND((MAX(Y94:AB94)-X94)*1440,0),""),"")</f>
        <v/>
      </c>
    </row>
    <row r="95" customFormat="false" ht="15" hidden="false" customHeight="false" outlineLevel="0" collapsed="false">
      <c r="A95" s="27" t="n">
        <v>91</v>
      </c>
      <c r="B95" s="28"/>
      <c r="C95" s="29"/>
      <c r="D95" s="29"/>
      <c r="E95" s="28"/>
      <c r="F95" s="30"/>
      <c r="G95" s="31"/>
      <c r="H95" s="28"/>
      <c r="I95" s="29"/>
      <c r="J95" s="29"/>
      <c r="K95" s="29"/>
      <c r="L95" s="29"/>
      <c r="M95" s="29"/>
      <c r="N95" s="29"/>
      <c r="O95" s="29"/>
      <c r="P95" s="29"/>
      <c r="Q95" s="29"/>
      <c r="R95" s="29"/>
      <c r="S95" s="28"/>
      <c r="T95" s="32" t="str">
        <f aca="false">IF(AND(K95="",L95=""),"",IF(OR(K95="-",L95="-"),"측정불가",IF(AND(ISNUMBER(K95),ISNUMBER(L95)),IF(OR(K95&gt;=설정!$C$9,L95&gt;=설정!$C$10),"긴급",IF(OR(K95&gt;=설정!$C$7,L95&gt;=설정!$C$8,K95&lt;설정!$C$11),"주의","정상")),"확인필요")))</f>
        <v/>
      </c>
      <c r="U95" s="32" t="str">
        <f aca="false">IF(M95="","",IF(M95="-","측정불가",IF(NOT(ISNUMBER(M95)),"확인필요",IF(M95&lt;설정!$C$15,"긴급(저혈당)",IF(M95&gt;=설정!$C$16,"긴급(고혈당)",IF(N95="공복",IF(M95&gt;=설정!$C$13,"주의","정상"),IF(N95="식후",IF(M95&gt;=설정!$C$14,"주의","정상"),"조건확인")))))))</f>
        <v/>
      </c>
      <c r="V95" s="32" t="str">
        <f aca="false">IF(OR(T95="긴급",LEFT(U95,2)="긴급",P95="O"),"대상","")</f>
        <v/>
      </c>
      <c r="W95" s="33" t="str">
        <f aca="false">IF(R95&lt;&gt;"",R95,IF(O95="O",IF(V95="대상",IF(Q95="O","완료","추가상담 대기"),"완료"),IF(COUNTA(K95:M95)=3,"상담 대기",IF(J95="O","측정 대기",IF(I95="O","운동평가 대기","미방문")))))</f>
        <v>미방문</v>
      </c>
      <c r="X95" s="34"/>
      <c r="Y95" s="34"/>
      <c r="Z95" s="34"/>
      <c r="AA95" s="34"/>
      <c r="AB95" s="34"/>
      <c r="AC95" s="35" t="str">
        <f aca="false">IF(AND(ISNUMBER(X95),ISNUMBER(Y95)),IF(Y95&gt;=X95,ROUND((Y95-X95)*1440,0),""),"")</f>
        <v/>
      </c>
      <c r="AD95" s="35" t="str">
        <f aca="false">IF(AND(ISNUMBER(Y95),ISNUMBER(Z95)),IF(Z95&gt;=Y95,ROUND((Z95-Y95)*1440,0),""),"")</f>
        <v/>
      </c>
      <c r="AE95" s="35" t="str">
        <f aca="false">IF(AND(ISNUMBER(Z95),ISNUMBER(AA95)),IF(AA95&gt;=Z95,ROUND((AA95-Z95)*1440,0),""),"")</f>
        <v/>
      </c>
      <c r="AF95" s="35" t="str">
        <f aca="false">IF(AND(ISNUMBER(AA95),ISNUMBER(AB95)),IF(AB95&gt;=AA95,ROUND((AB95-AA95)*1440,0),""),"")</f>
        <v/>
      </c>
      <c r="AG95" s="35" t="str">
        <f aca="false">IF(AND(W95="완료",ISNUMBER(X95)),IF(MAX(Y95:AB95)&gt;=X95,ROUND((MAX(Y95:AB95)-X95)*1440,0),""),"")</f>
        <v/>
      </c>
    </row>
    <row r="96" customFormat="false" ht="15" hidden="false" customHeight="false" outlineLevel="0" collapsed="false">
      <c r="A96" s="27" t="n">
        <v>92</v>
      </c>
      <c r="B96" s="28"/>
      <c r="C96" s="29"/>
      <c r="D96" s="29"/>
      <c r="E96" s="28"/>
      <c r="F96" s="30"/>
      <c r="G96" s="31"/>
      <c r="H96" s="28"/>
      <c r="I96" s="29"/>
      <c r="J96" s="29"/>
      <c r="K96" s="29"/>
      <c r="L96" s="29"/>
      <c r="M96" s="29"/>
      <c r="N96" s="29"/>
      <c r="O96" s="29"/>
      <c r="P96" s="29"/>
      <c r="Q96" s="29"/>
      <c r="R96" s="29"/>
      <c r="S96" s="28"/>
      <c r="T96" s="32" t="str">
        <f aca="false">IF(AND(K96="",L96=""),"",IF(OR(K96="-",L96="-"),"측정불가",IF(AND(ISNUMBER(K96),ISNUMBER(L96)),IF(OR(K96&gt;=설정!$C$9,L96&gt;=설정!$C$10),"긴급",IF(OR(K96&gt;=설정!$C$7,L96&gt;=설정!$C$8,K96&lt;설정!$C$11),"주의","정상")),"확인필요")))</f>
        <v/>
      </c>
      <c r="U96" s="32" t="str">
        <f aca="false">IF(M96="","",IF(M96="-","측정불가",IF(NOT(ISNUMBER(M96)),"확인필요",IF(M96&lt;설정!$C$15,"긴급(저혈당)",IF(M96&gt;=설정!$C$16,"긴급(고혈당)",IF(N96="공복",IF(M96&gt;=설정!$C$13,"주의","정상"),IF(N96="식후",IF(M96&gt;=설정!$C$14,"주의","정상"),"조건확인")))))))</f>
        <v/>
      </c>
      <c r="V96" s="32" t="str">
        <f aca="false">IF(OR(T96="긴급",LEFT(U96,2)="긴급",P96="O"),"대상","")</f>
        <v/>
      </c>
      <c r="W96" s="33" t="str">
        <f aca="false">IF(R96&lt;&gt;"",R96,IF(O96="O",IF(V96="대상",IF(Q96="O","완료","추가상담 대기"),"완료"),IF(COUNTA(K96:M96)=3,"상담 대기",IF(J96="O","측정 대기",IF(I96="O","운동평가 대기","미방문")))))</f>
        <v>미방문</v>
      </c>
      <c r="X96" s="34"/>
      <c r="Y96" s="34"/>
      <c r="Z96" s="34"/>
      <c r="AA96" s="34"/>
      <c r="AB96" s="34"/>
      <c r="AC96" s="35" t="str">
        <f aca="false">IF(AND(ISNUMBER(X96),ISNUMBER(Y96)),IF(Y96&gt;=X96,ROUND((Y96-X96)*1440,0),""),"")</f>
        <v/>
      </c>
      <c r="AD96" s="35" t="str">
        <f aca="false">IF(AND(ISNUMBER(Y96),ISNUMBER(Z96)),IF(Z96&gt;=Y96,ROUND((Z96-Y96)*1440,0),""),"")</f>
        <v/>
      </c>
      <c r="AE96" s="35" t="str">
        <f aca="false">IF(AND(ISNUMBER(Z96),ISNUMBER(AA96)),IF(AA96&gt;=Z96,ROUND((AA96-Z96)*1440,0),""),"")</f>
        <v/>
      </c>
      <c r="AF96" s="35" t="str">
        <f aca="false">IF(AND(ISNUMBER(AA96),ISNUMBER(AB96)),IF(AB96&gt;=AA96,ROUND((AB96-AA96)*1440,0),""),"")</f>
        <v/>
      </c>
      <c r="AG96" s="35" t="str">
        <f aca="false">IF(AND(W96="완료",ISNUMBER(X96)),IF(MAX(Y96:AB96)&gt;=X96,ROUND((MAX(Y96:AB96)-X96)*1440,0),""),"")</f>
        <v/>
      </c>
    </row>
    <row r="97" customFormat="false" ht="15" hidden="false" customHeight="false" outlineLevel="0" collapsed="false">
      <c r="A97" s="27" t="n">
        <v>93</v>
      </c>
      <c r="B97" s="28"/>
      <c r="C97" s="29"/>
      <c r="D97" s="29"/>
      <c r="E97" s="28"/>
      <c r="F97" s="30"/>
      <c r="G97" s="31"/>
      <c r="H97" s="28"/>
      <c r="I97" s="29"/>
      <c r="J97" s="29"/>
      <c r="K97" s="29"/>
      <c r="L97" s="29"/>
      <c r="M97" s="29"/>
      <c r="N97" s="29"/>
      <c r="O97" s="29"/>
      <c r="P97" s="29"/>
      <c r="Q97" s="29"/>
      <c r="R97" s="29"/>
      <c r="S97" s="28"/>
      <c r="T97" s="32" t="str">
        <f aca="false">IF(AND(K97="",L97=""),"",IF(OR(K97="-",L97="-"),"측정불가",IF(AND(ISNUMBER(K97),ISNUMBER(L97)),IF(OR(K97&gt;=설정!$C$9,L97&gt;=설정!$C$10),"긴급",IF(OR(K97&gt;=설정!$C$7,L97&gt;=설정!$C$8,K97&lt;설정!$C$11),"주의","정상")),"확인필요")))</f>
        <v/>
      </c>
      <c r="U97" s="32" t="str">
        <f aca="false">IF(M97="","",IF(M97="-","측정불가",IF(NOT(ISNUMBER(M97)),"확인필요",IF(M97&lt;설정!$C$15,"긴급(저혈당)",IF(M97&gt;=설정!$C$16,"긴급(고혈당)",IF(N97="공복",IF(M97&gt;=설정!$C$13,"주의","정상"),IF(N97="식후",IF(M97&gt;=설정!$C$14,"주의","정상"),"조건확인")))))))</f>
        <v/>
      </c>
      <c r="V97" s="32" t="str">
        <f aca="false">IF(OR(T97="긴급",LEFT(U97,2)="긴급",P97="O"),"대상","")</f>
        <v/>
      </c>
      <c r="W97" s="33" t="str">
        <f aca="false">IF(R97&lt;&gt;"",R97,IF(O97="O",IF(V97="대상",IF(Q97="O","완료","추가상담 대기"),"완료"),IF(COUNTA(K97:M97)=3,"상담 대기",IF(J97="O","측정 대기",IF(I97="O","운동평가 대기","미방문")))))</f>
        <v>미방문</v>
      </c>
      <c r="X97" s="34"/>
      <c r="Y97" s="34"/>
      <c r="Z97" s="34"/>
      <c r="AA97" s="34"/>
      <c r="AB97" s="34"/>
      <c r="AC97" s="35" t="str">
        <f aca="false">IF(AND(ISNUMBER(X97),ISNUMBER(Y97)),IF(Y97&gt;=X97,ROUND((Y97-X97)*1440,0),""),"")</f>
        <v/>
      </c>
      <c r="AD97" s="35" t="str">
        <f aca="false">IF(AND(ISNUMBER(Y97),ISNUMBER(Z97)),IF(Z97&gt;=Y97,ROUND((Z97-Y97)*1440,0),""),"")</f>
        <v/>
      </c>
      <c r="AE97" s="35" t="str">
        <f aca="false">IF(AND(ISNUMBER(Z97),ISNUMBER(AA97)),IF(AA97&gt;=Z97,ROUND((AA97-Z97)*1440,0),""),"")</f>
        <v/>
      </c>
      <c r="AF97" s="35" t="str">
        <f aca="false">IF(AND(ISNUMBER(AA97),ISNUMBER(AB97)),IF(AB97&gt;=AA97,ROUND((AB97-AA97)*1440,0),""),"")</f>
        <v/>
      </c>
      <c r="AG97" s="35" t="str">
        <f aca="false">IF(AND(W97="완료",ISNUMBER(X97)),IF(MAX(Y97:AB97)&gt;=X97,ROUND((MAX(Y97:AB97)-X97)*1440,0),""),"")</f>
        <v/>
      </c>
    </row>
    <row r="98" customFormat="false" ht="15" hidden="false" customHeight="false" outlineLevel="0" collapsed="false">
      <c r="A98" s="27" t="n">
        <v>94</v>
      </c>
      <c r="B98" s="28"/>
      <c r="C98" s="29"/>
      <c r="D98" s="29"/>
      <c r="E98" s="28"/>
      <c r="F98" s="30"/>
      <c r="G98" s="31"/>
      <c r="H98" s="28"/>
      <c r="I98" s="29"/>
      <c r="J98" s="29"/>
      <c r="K98" s="29"/>
      <c r="L98" s="29"/>
      <c r="M98" s="29"/>
      <c r="N98" s="29"/>
      <c r="O98" s="29"/>
      <c r="P98" s="29"/>
      <c r="Q98" s="29"/>
      <c r="R98" s="29"/>
      <c r="S98" s="28"/>
      <c r="T98" s="32" t="str">
        <f aca="false">IF(AND(K98="",L98=""),"",IF(OR(K98="-",L98="-"),"측정불가",IF(AND(ISNUMBER(K98),ISNUMBER(L98)),IF(OR(K98&gt;=설정!$C$9,L98&gt;=설정!$C$10),"긴급",IF(OR(K98&gt;=설정!$C$7,L98&gt;=설정!$C$8,K98&lt;설정!$C$11),"주의","정상")),"확인필요")))</f>
        <v/>
      </c>
      <c r="U98" s="32" t="str">
        <f aca="false">IF(M98="","",IF(M98="-","측정불가",IF(NOT(ISNUMBER(M98)),"확인필요",IF(M98&lt;설정!$C$15,"긴급(저혈당)",IF(M98&gt;=설정!$C$16,"긴급(고혈당)",IF(N98="공복",IF(M98&gt;=설정!$C$13,"주의","정상"),IF(N98="식후",IF(M98&gt;=설정!$C$14,"주의","정상"),"조건확인")))))))</f>
        <v/>
      </c>
      <c r="V98" s="32" t="str">
        <f aca="false">IF(OR(T98="긴급",LEFT(U98,2)="긴급",P98="O"),"대상","")</f>
        <v/>
      </c>
      <c r="W98" s="33" t="str">
        <f aca="false">IF(R98&lt;&gt;"",R98,IF(O98="O",IF(V98="대상",IF(Q98="O","완료","추가상담 대기"),"완료"),IF(COUNTA(K98:M98)=3,"상담 대기",IF(J98="O","측정 대기",IF(I98="O","운동평가 대기","미방문")))))</f>
        <v>미방문</v>
      </c>
      <c r="X98" s="34"/>
      <c r="Y98" s="34"/>
      <c r="Z98" s="34"/>
      <c r="AA98" s="34"/>
      <c r="AB98" s="34"/>
      <c r="AC98" s="35" t="str">
        <f aca="false">IF(AND(ISNUMBER(X98),ISNUMBER(Y98)),IF(Y98&gt;=X98,ROUND((Y98-X98)*1440,0),""),"")</f>
        <v/>
      </c>
      <c r="AD98" s="35" t="str">
        <f aca="false">IF(AND(ISNUMBER(Y98),ISNUMBER(Z98)),IF(Z98&gt;=Y98,ROUND((Z98-Y98)*1440,0),""),"")</f>
        <v/>
      </c>
      <c r="AE98" s="35" t="str">
        <f aca="false">IF(AND(ISNUMBER(Z98),ISNUMBER(AA98)),IF(AA98&gt;=Z98,ROUND((AA98-Z98)*1440,0),""),"")</f>
        <v/>
      </c>
      <c r="AF98" s="35" t="str">
        <f aca="false">IF(AND(ISNUMBER(AA98),ISNUMBER(AB98)),IF(AB98&gt;=AA98,ROUND((AB98-AA98)*1440,0),""),"")</f>
        <v/>
      </c>
      <c r="AG98" s="35" t="str">
        <f aca="false">IF(AND(W98="완료",ISNUMBER(X98)),IF(MAX(Y98:AB98)&gt;=X98,ROUND((MAX(Y98:AB98)-X98)*1440,0),""),"")</f>
        <v/>
      </c>
    </row>
    <row r="99" customFormat="false" ht="15" hidden="false" customHeight="false" outlineLevel="0" collapsed="false">
      <c r="A99" s="27" t="n">
        <v>95</v>
      </c>
      <c r="B99" s="28"/>
      <c r="C99" s="29"/>
      <c r="D99" s="29"/>
      <c r="E99" s="28"/>
      <c r="F99" s="30"/>
      <c r="G99" s="31"/>
      <c r="H99" s="28"/>
      <c r="I99" s="29"/>
      <c r="J99" s="29"/>
      <c r="K99" s="29"/>
      <c r="L99" s="29"/>
      <c r="M99" s="29"/>
      <c r="N99" s="29"/>
      <c r="O99" s="29"/>
      <c r="P99" s="29"/>
      <c r="Q99" s="29"/>
      <c r="R99" s="29"/>
      <c r="S99" s="28"/>
      <c r="T99" s="32" t="str">
        <f aca="false">IF(AND(K99="",L99=""),"",IF(OR(K99="-",L99="-"),"측정불가",IF(AND(ISNUMBER(K99),ISNUMBER(L99)),IF(OR(K99&gt;=설정!$C$9,L99&gt;=설정!$C$10),"긴급",IF(OR(K99&gt;=설정!$C$7,L99&gt;=설정!$C$8,K99&lt;설정!$C$11),"주의","정상")),"확인필요")))</f>
        <v/>
      </c>
      <c r="U99" s="32" t="str">
        <f aca="false">IF(M99="","",IF(M99="-","측정불가",IF(NOT(ISNUMBER(M99)),"확인필요",IF(M99&lt;설정!$C$15,"긴급(저혈당)",IF(M99&gt;=설정!$C$16,"긴급(고혈당)",IF(N99="공복",IF(M99&gt;=설정!$C$13,"주의","정상"),IF(N99="식후",IF(M99&gt;=설정!$C$14,"주의","정상"),"조건확인")))))))</f>
        <v/>
      </c>
      <c r="V99" s="32" t="str">
        <f aca="false">IF(OR(T99="긴급",LEFT(U99,2)="긴급",P99="O"),"대상","")</f>
        <v/>
      </c>
      <c r="W99" s="33" t="str">
        <f aca="false">IF(R99&lt;&gt;"",R99,IF(O99="O",IF(V99="대상",IF(Q99="O","완료","추가상담 대기"),"완료"),IF(COUNTA(K99:M99)=3,"상담 대기",IF(J99="O","측정 대기",IF(I99="O","운동평가 대기","미방문")))))</f>
        <v>미방문</v>
      </c>
      <c r="X99" s="34"/>
      <c r="Y99" s="34"/>
      <c r="Z99" s="34"/>
      <c r="AA99" s="34"/>
      <c r="AB99" s="34"/>
      <c r="AC99" s="35" t="str">
        <f aca="false">IF(AND(ISNUMBER(X99),ISNUMBER(Y99)),IF(Y99&gt;=X99,ROUND((Y99-X99)*1440,0),""),"")</f>
        <v/>
      </c>
      <c r="AD99" s="35" t="str">
        <f aca="false">IF(AND(ISNUMBER(Y99),ISNUMBER(Z99)),IF(Z99&gt;=Y99,ROUND((Z99-Y99)*1440,0),""),"")</f>
        <v/>
      </c>
      <c r="AE99" s="35" t="str">
        <f aca="false">IF(AND(ISNUMBER(Z99),ISNUMBER(AA99)),IF(AA99&gt;=Z99,ROUND((AA99-Z99)*1440,0),""),"")</f>
        <v/>
      </c>
      <c r="AF99" s="35" t="str">
        <f aca="false">IF(AND(ISNUMBER(AA99),ISNUMBER(AB99)),IF(AB99&gt;=AA99,ROUND((AB99-AA99)*1440,0),""),"")</f>
        <v/>
      </c>
      <c r="AG99" s="35" t="str">
        <f aca="false">IF(AND(W99="완료",ISNUMBER(X99)),IF(MAX(Y99:AB99)&gt;=X99,ROUND((MAX(Y99:AB99)-X99)*1440,0),""),"")</f>
        <v/>
      </c>
    </row>
    <row r="100" customFormat="false" ht="15" hidden="false" customHeight="false" outlineLevel="0" collapsed="false">
      <c r="A100" s="27" t="n">
        <v>96</v>
      </c>
      <c r="B100" s="28"/>
      <c r="C100" s="29"/>
      <c r="D100" s="29"/>
      <c r="E100" s="28"/>
      <c r="F100" s="30"/>
      <c r="G100" s="31"/>
      <c r="H100" s="28"/>
      <c r="I100" s="29"/>
      <c r="J100" s="29"/>
      <c r="K100" s="29"/>
      <c r="L100" s="29"/>
      <c r="M100" s="29"/>
      <c r="N100" s="29"/>
      <c r="O100" s="29"/>
      <c r="P100" s="29"/>
      <c r="Q100" s="29"/>
      <c r="R100" s="29"/>
      <c r="S100" s="28"/>
      <c r="T100" s="32" t="str">
        <f aca="false">IF(AND(K100="",L100=""),"",IF(OR(K100="-",L100="-"),"측정불가",IF(AND(ISNUMBER(K100),ISNUMBER(L100)),IF(OR(K100&gt;=설정!$C$9,L100&gt;=설정!$C$10),"긴급",IF(OR(K100&gt;=설정!$C$7,L100&gt;=설정!$C$8,K100&lt;설정!$C$11),"주의","정상")),"확인필요")))</f>
        <v/>
      </c>
      <c r="U100" s="32" t="str">
        <f aca="false">IF(M100="","",IF(M100="-","측정불가",IF(NOT(ISNUMBER(M100)),"확인필요",IF(M100&lt;설정!$C$15,"긴급(저혈당)",IF(M100&gt;=설정!$C$16,"긴급(고혈당)",IF(N100="공복",IF(M100&gt;=설정!$C$13,"주의","정상"),IF(N100="식후",IF(M100&gt;=설정!$C$14,"주의","정상"),"조건확인")))))))</f>
        <v/>
      </c>
      <c r="V100" s="32" t="str">
        <f aca="false">IF(OR(T100="긴급",LEFT(U100,2)="긴급",P100="O"),"대상","")</f>
        <v/>
      </c>
      <c r="W100" s="33" t="str">
        <f aca="false">IF(R100&lt;&gt;"",R100,IF(O100="O",IF(V100="대상",IF(Q100="O","완료","추가상담 대기"),"완료"),IF(COUNTA(K100:M100)=3,"상담 대기",IF(J100="O","측정 대기",IF(I100="O","운동평가 대기","미방문")))))</f>
        <v>미방문</v>
      </c>
      <c r="X100" s="34"/>
      <c r="Y100" s="34"/>
      <c r="Z100" s="34"/>
      <c r="AA100" s="34"/>
      <c r="AB100" s="34"/>
      <c r="AC100" s="35" t="str">
        <f aca="false">IF(AND(ISNUMBER(X100),ISNUMBER(Y100)),IF(Y100&gt;=X100,ROUND((Y100-X100)*1440,0),""),"")</f>
        <v/>
      </c>
      <c r="AD100" s="35" t="str">
        <f aca="false">IF(AND(ISNUMBER(Y100),ISNUMBER(Z100)),IF(Z100&gt;=Y100,ROUND((Z100-Y100)*1440,0),""),"")</f>
        <v/>
      </c>
      <c r="AE100" s="35" t="str">
        <f aca="false">IF(AND(ISNUMBER(Z100),ISNUMBER(AA100)),IF(AA100&gt;=Z100,ROUND((AA100-Z100)*1440,0),""),"")</f>
        <v/>
      </c>
      <c r="AF100" s="35" t="str">
        <f aca="false">IF(AND(ISNUMBER(AA100),ISNUMBER(AB100)),IF(AB100&gt;=AA100,ROUND((AB100-AA100)*1440,0),""),"")</f>
        <v/>
      </c>
      <c r="AG100" s="35" t="str">
        <f aca="false">IF(AND(W100="완료",ISNUMBER(X100)),IF(MAX(Y100:AB100)&gt;=X100,ROUND((MAX(Y100:AB100)-X100)*1440,0),""),"")</f>
        <v/>
      </c>
    </row>
    <row r="101" customFormat="false" ht="15" hidden="false" customHeight="false" outlineLevel="0" collapsed="false">
      <c r="A101" s="27" t="n">
        <v>97</v>
      </c>
      <c r="B101" s="28"/>
      <c r="C101" s="29"/>
      <c r="D101" s="29"/>
      <c r="E101" s="28"/>
      <c r="F101" s="30"/>
      <c r="G101" s="31"/>
      <c r="H101" s="28"/>
      <c r="I101" s="29"/>
      <c r="J101" s="29"/>
      <c r="K101" s="29"/>
      <c r="L101" s="29"/>
      <c r="M101" s="29"/>
      <c r="N101" s="29"/>
      <c r="O101" s="29"/>
      <c r="P101" s="29"/>
      <c r="Q101" s="29"/>
      <c r="R101" s="29"/>
      <c r="S101" s="28"/>
      <c r="T101" s="32" t="str">
        <f aca="false">IF(AND(K101="",L101=""),"",IF(OR(K101="-",L101="-"),"측정불가",IF(AND(ISNUMBER(K101),ISNUMBER(L101)),IF(OR(K101&gt;=설정!$C$9,L101&gt;=설정!$C$10),"긴급",IF(OR(K101&gt;=설정!$C$7,L101&gt;=설정!$C$8,K101&lt;설정!$C$11),"주의","정상")),"확인필요")))</f>
        <v/>
      </c>
      <c r="U101" s="32" t="str">
        <f aca="false">IF(M101="","",IF(M101="-","측정불가",IF(NOT(ISNUMBER(M101)),"확인필요",IF(M101&lt;설정!$C$15,"긴급(저혈당)",IF(M101&gt;=설정!$C$16,"긴급(고혈당)",IF(N101="공복",IF(M101&gt;=설정!$C$13,"주의","정상"),IF(N101="식후",IF(M101&gt;=설정!$C$14,"주의","정상"),"조건확인")))))))</f>
        <v/>
      </c>
      <c r="V101" s="32" t="str">
        <f aca="false">IF(OR(T101="긴급",LEFT(U101,2)="긴급",P101="O"),"대상","")</f>
        <v/>
      </c>
      <c r="W101" s="33" t="str">
        <f aca="false">IF(R101&lt;&gt;"",R101,IF(O101="O",IF(V101="대상",IF(Q101="O","완료","추가상담 대기"),"완료"),IF(COUNTA(K101:M101)=3,"상담 대기",IF(J101="O","측정 대기",IF(I101="O","운동평가 대기","미방문")))))</f>
        <v>미방문</v>
      </c>
      <c r="X101" s="34"/>
      <c r="Y101" s="34"/>
      <c r="Z101" s="34"/>
      <c r="AA101" s="34"/>
      <c r="AB101" s="34"/>
      <c r="AC101" s="35" t="str">
        <f aca="false">IF(AND(ISNUMBER(X101),ISNUMBER(Y101)),IF(Y101&gt;=X101,ROUND((Y101-X101)*1440,0),""),"")</f>
        <v/>
      </c>
      <c r="AD101" s="35" t="str">
        <f aca="false">IF(AND(ISNUMBER(Y101),ISNUMBER(Z101)),IF(Z101&gt;=Y101,ROUND((Z101-Y101)*1440,0),""),"")</f>
        <v/>
      </c>
      <c r="AE101" s="35" t="str">
        <f aca="false">IF(AND(ISNUMBER(Z101),ISNUMBER(AA101)),IF(AA101&gt;=Z101,ROUND((AA101-Z101)*1440,0),""),"")</f>
        <v/>
      </c>
      <c r="AF101" s="35" t="str">
        <f aca="false">IF(AND(ISNUMBER(AA101),ISNUMBER(AB101)),IF(AB101&gt;=AA101,ROUND((AB101-AA101)*1440,0),""),"")</f>
        <v/>
      </c>
      <c r="AG101" s="35" t="str">
        <f aca="false">IF(AND(W101="완료",ISNUMBER(X101)),IF(MAX(Y101:AB101)&gt;=X101,ROUND((MAX(Y101:AB101)-X101)*1440,0),""),"")</f>
        <v/>
      </c>
    </row>
    <row r="102" customFormat="false" ht="15" hidden="false" customHeight="false" outlineLevel="0" collapsed="false">
      <c r="A102" s="27" t="n">
        <v>98</v>
      </c>
      <c r="B102" s="28"/>
      <c r="C102" s="29"/>
      <c r="D102" s="29"/>
      <c r="E102" s="28"/>
      <c r="F102" s="30"/>
      <c r="G102" s="31"/>
      <c r="H102" s="28"/>
      <c r="I102" s="29"/>
      <c r="J102" s="29"/>
      <c r="K102" s="29"/>
      <c r="L102" s="29"/>
      <c r="M102" s="29"/>
      <c r="N102" s="29"/>
      <c r="O102" s="29"/>
      <c r="P102" s="29"/>
      <c r="Q102" s="29"/>
      <c r="R102" s="29"/>
      <c r="S102" s="28"/>
      <c r="T102" s="32" t="str">
        <f aca="false">IF(AND(K102="",L102=""),"",IF(OR(K102="-",L102="-"),"측정불가",IF(AND(ISNUMBER(K102),ISNUMBER(L102)),IF(OR(K102&gt;=설정!$C$9,L102&gt;=설정!$C$10),"긴급",IF(OR(K102&gt;=설정!$C$7,L102&gt;=설정!$C$8,K102&lt;설정!$C$11),"주의","정상")),"확인필요")))</f>
        <v/>
      </c>
      <c r="U102" s="32" t="str">
        <f aca="false">IF(M102="","",IF(M102="-","측정불가",IF(NOT(ISNUMBER(M102)),"확인필요",IF(M102&lt;설정!$C$15,"긴급(저혈당)",IF(M102&gt;=설정!$C$16,"긴급(고혈당)",IF(N102="공복",IF(M102&gt;=설정!$C$13,"주의","정상"),IF(N102="식후",IF(M102&gt;=설정!$C$14,"주의","정상"),"조건확인")))))))</f>
        <v/>
      </c>
      <c r="V102" s="32" t="str">
        <f aca="false">IF(OR(T102="긴급",LEFT(U102,2)="긴급",P102="O"),"대상","")</f>
        <v/>
      </c>
      <c r="W102" s="33" t="str">
        <f aca="false">IF(R102&lt;&gt;"",R102,IF(O102="O",IF(V102="대상",IF(Q102="O","완료","추가상담 대기"),"완료"),IF(COUNTA(K102:M102)=3,"상담 대기",IF(J102="O","측정 대기",IF(I102="O","운동평가 대기","미방문")))))</f>
        <v>미방문</v>
      </c>
      <c r="X102" s="34"/>
      <c r="Y102" s="34"/>
      <c r="Z102" s="34"/>
      <c r="AA102" s="34"/>
      <c r="AB102" s="34"/>
      <c r="AC102" s="35" t="str">
        <f aca="false">IF(AND(ISNUMBER(X102),ISNUMBER(Y102)),IF(Y102&gt;=X102,ROUND((Y102-X102)*1440,0),""),"")</f>
        <v/>
      </c>
      <c r="AD102" s="35" t="str">
        <f aca="false">IF(AND(ISNUMBER(Y102),ISNUMBER(Z102)),IF(Z102&gt;=Y102,ROUND((Z102-Y102)*1440,0),""),"")</f>
        <v/>
      </c>
      <c r="AE102" s="35" t="str">
        <f aca="false">IF(AND(ISNUMBER(Z102),ISNUMBER(AA102)),IF(AA102&gt;=Z102,ROUND((AA102-Z102)*1440,0),""),"")</f>
        <v/>
      </c>
      <c r="AF102" s="35" t="str">
        <f aca="false">IF(AND(ISNUMBER(AA102),ISNUMBER(AB102)),IF(AB102&gt;=AA102,ROUND((AB102-AA102)*1440,0),""),"")</f>
        <v/>
      </c>
      <c r="AG102" s="35" t="str">
        <f aca="false">IF(AND(W102="완료",ISNUMBER(X102)),IF(MAX(Y102:AB102)&gt;=X102,ROUND((MAX(Y102:AB102)-X102)*1440,0),""),"")</f>
        <v/>
      </c>
    </row>
    <row r="103" customFormat="false" ht="15" hidden="false" customHeight="false" outlineLevel="0" collapsed="false">
      <c r="A103" s="27" t="n">
        <v>99</v>
      </c>
      <c r="B103" s="28"/>
      <c r="C103" s="29"/>
      <c r="D103" s="29"/>
      <c r="E103" s="28"/>
      <c r="F103" s="30"/>
      <c r="G103" s="31"/>
      <c r="H103" s="28"/>
      <c r="I103" s="29"/>
      <c r="J103" s="29"/>
      <c r="K103" s="29"/>
      <c r="L103" s="29"/>
      <c r="M103" s="29"/>
      <c r="N103" s="29"/>
      <c r="O103" s="29"/>
      <c r="P103" s="29"/>
      <c r="Q103" s="29"/>
      <c r="R103" s="29"/>
      <c r="S103" s="28"/>
      <c r="T103" s="32" t="str">
        <f aca="false">IF(AND(K103="",L103=""),"",IF(OR(K103="-",L103="-"),"측정불가",IF(AND(ISNUMBER(K103),ISNUMBER(L103)),IF(OR(K103&gt;=설정!$C$9,L103&gt;=설정!$C$10),"긴급",IF(OR(K103&gt;=설정!$C$7,L103&gt;=설정!$C$8,K103&lt;설정!$C$11),"주의","정상")),"확인필요")))</f>
        <v/>
      </c>
      <c r="U103" s="32" t="str">
        <f aca="false">IF(M103="","",IF(M103="-","측정불가",IF(NOT(ISNUMBER(M103)),"확인필요",IF(M103&lt;설정!$C$15,"긴급(저혈당)",IF(M103&gt;=설정!$C$16,"긴급(고혈당)",IF(N103="공복",IF(M103&gt;=설정!$C$13,"주의","정상"),IF(N103="식후",IF(M103&gt;=설정!$C$14,"주의","정상"),"조건확인")))))))</f>
        <v/>
      </c>
      <c r="V103" s="32" t="str">
        <f aca="false">IF(OR(T103="긴급",LEFT(U103,2)="긴급",P103="O"),"대상","")</f>
        <v/>
      </c>
      <c r="W103" s="33" t="str">
        <f aca="false">IF(R103&lt;&gt;"",R103,IF(O103="O",IF(V103="대상",IF(Q103="O","완료","추가상담 대기"),"완료"),IF(COUNTA(K103:M103)=3,"상담 대기",IF(J103="O","측정 대기",IF(I103="O","운동평가 대기","미방문")))))</f>
        <v>미방문</v>
      </c>
      <c r="X103" s="34"/>
      <c r="Y103" s="34"/>
      <c r="Z103" s="34"/>
      <c r="AA103" s="34"/>
      <c r="AB103" s="34"/>
      <c r="AC103" s="35" t="str">
        <f aca="false">IF(AND(ISNUMBER(X103),ISNUMBER(Y103)),IF(Y103&gt;=X103,ROUND((Y103-X103)*1440,0),""),"")</f>
        <v/>
      </c>
      <c r="AD103" s="35" t="str">
        <f aca="false">IF(AND(ISNUMBER(Y103),ISNUMBER(Z103)),IF(Z103&gt;=Y103,ROUND((Z103-Y103)*1440,0),""),"")</f>
        <v/>
      </c>
      <c r="AE103" s="35" t="str">
        <f aca="false">IF(AND(ISNUMBER(Z103),ISNUMBER(AA103)),IF(AA103&gt;=Z103,ROUND((AA103-Z103)*1440,0),""),"")</f>
        <v/>
      </c>
      <c r="AF103" s="35" t="str">
        <f aca="false">IF(AND(ISNUMBER(AA103),ISNUMBER(AB103)),IF(AB103&gt;=AA103,ROUND((AB103-AA103)*1440,0),""),"")</f>
        <v/>
      </c>
      <c r="AG103" s="35" t="str">
        <f aca="false">IF(AND(W103="완료",ISNUMBER(X103)),IF(MAX(Y103:AB103)&gt;=X103,ROUND((MAX(Y103:AB103)-X103)*1440,0),""),"")</f>
        <v/>
      </c>
    </row>
    <row r="104" customFormat="false" ht="15" hidden="false" customHeight="false" outlineLevel="0" collapsed="false">
      <c r="A104" s="27" t="n">
        <v>100</v>
      </c>
      <c r="B104" s="28"/>
      <c r="C104" s="29"/>
      <c r="D104" s="29"/>
      <c r="E104" s="28"/>
      <c r="F104" s="30"/>
      <c r="G104" s="31"/>
      <c r="H104" s="28"/>
      <c r="I104" s="29"/>
      <c r="J104" s="29"/>
      <c r="K104" s="29"/>
      <c r="L104" s="29"/>
      <c r="M104" s="29"/>
      <c r="N104" s="29"/>
      <c r="O104" s="29"/>
      <c r="P104" s="29"/>
      <c r="Q104" s="29"/>
      <c r="R104" s="29"/>
      <c r="S104" s="28"/>
      <c r="T104" s="32" t="str">
        <f aca="false">IF(AND(K104="",L104=""),"",IF(OR(K104="-",L104="-"),"측정불가",IF(AND(ISNUMBER(K104),ISNUMBER(L104)),IF(OR(K104&gt;=설정!$C$9,L104&gt;=설정!$C$10),"긴급",IF(OR(K104&gt;=설정!$C$7,L104&gt;=설정!$C$8,K104&lt;설정!$C$11),"주의","정상")),"확인필요")))</f>
        <v/>
      </c>
      <c r="U104" s="32" t="str">
        <f aca="false">IF(M104="","",IF(M104="-","측정불가",IF(NOT(ISNUMBER(M104)),"확인필요",IF(M104&lt;설정!$C$15,"긴급(저혈당)",IF(M104&gt;=설정!$C$16,"긴급(고혈당)",IF(N104="공복",IF(M104&gt;=설정!$C$13,"주의","정상"),IF(N104="식후",IF(M104&gt;=설정!$C$14,"주의","정상"),"조건확인")))))))</f>
        <v/>
      </c>
      <c r="V104" s="32" t="str">
        <f aca="false">IF(OR(T104="긴급",LEFT(U104,2)="긴급",P104="O"),"대상","")</f>
        <v/>
      </c>
      <c r="W104" s="33" t="str">
        <f aca="false">IF(R104&lt;&gt;"",R104,IF(O104="O",IF(V104="대상",IF(Q104="O","완료","추가상담 대기"),"완료"),IF(COUNTA(K104:M104)=3,"상담 대기",IF(J104="O","측정 대기",IF(I104="O","운동평가 대기","미방문")))))</f>
        <v>미방문</v>
      </c>
      <c r="X104" s="34"/>
      <c r="Y104" s="34"/>
      <c r="Z104" s="34"/>
      <c r="AA104" s="34"/>
      <c r="AB104" s="34"/>
      <c r="AC104" s="35" t="str">
        <f aca="false">IF(AND(ISNUMBER(X104),ISNUMBER(Y104)),IF(Y104&gt;=X104,ROUND((Y104-X104)*1440,0),""),"")</f>
        <v/>
      </c>
      <c r="AD104" s="35" t="str">
        <f aca="false">IF(AND(ISNUMBER(Y104),ISNUMBER(Z104)),IF(Z104&gt;=Y104,ROUND((Z104-Y104)*1440,0),""),"")</f>
        <v/>
      </c>
      <c r="AE104" s="35" t="str">
        <f aca="false">IF(AND(ISNUMBER(Z104),ISNUMBER(AA104)),IF(AA104&gt;=Z104,ROUND((AA104-Z104)*1440,0),""),"")</f>
        <v/>
      </c>
      <c r="AF104" s="35" t="str">
        <f aca="false">IF(AND(ISNUMBER(AA104),ISNUMBER(AB104)),IF(AB104&gt;=AA104,ROUND((AB104-AA104)*1440,0),""),"")</f>
        <v/>
      </c>
      <c r="AG104" s="35" t="str">
        <f aca="false">IF(AND(W104="완료",ISNUMBER(X104)),IF(MAX(Y104:AB104)&gt;=X104,ROUND((MAX(Y104:AB104)-X104)*1440,0),""),"")</f>
        <v/>
      </c>
    </row>
    <row r="105" customFormat="false" ht="15" hidden="false" customHeight="false" outlineLevel="0" collapsed="false">
      <c r="A105" s="27" t="n">
        <v>101</v>
      </c>
      <c r="B105" s="28"/>
      <c r="C105" s="29"/>
      <c r="D105" s="29"/>
      <c r="E105" s="28"/>
      <c r="F105" s="30"/>
      <c r="G105" s="31"/>
      <c r="H105" s="28"/>
      <c r="I105" s="29"/>
      <c r="J105" s="29"/>
      <c r="K105" s="29"/>
      <c r="L105" s="29"/>
      <c r="M105" s="29"/>
      <c r="N105" s="29"/>
      <c r="O105" s="29"/>
      <c r="P105" s="29"/>
      <c r="Q105" s="29"/>
      <c r="R105" s="29"/>
      <c r="S105" s="28"/>
      <c r="T105" s="32" t="str">
        <f aca="false">IF(AND(K105="",L105=""),"",IF(OR(K105="-",L105="-"),"측정불가",IF(AND(ISNUMBER(K105),ISNUMBER(L105)),IF(OR(K105&gt;=설정!$C$9,L105&gt;=설정!$C$10),"긴급",IF(OR(K105&gt;=설정!$C$7,L105&gt;=설정!$C$8,K105&lt;설정!$C$11),"주의","정상")),"확인필요")))</f>
        <v/>
      </c>
      <c r="U105" s="32" t="str">
        <f aca="false">IF(M105="","",IF(M105="-","측정불가",IF(NOT(ISNUMBER(M105)),"확인필요",IF(M105&lt;설정!$C$15,"긴급(저혈당)",IF(M105&gt;=설정!$C$16,"긴급(고혈당)",IF(N105="공복",IF(M105&gt;=설정!$C$13,"주의","정상"),IF(N105="식후",IF(M105&gt;=설정!$C$14,"주의","정상"),"조건확인")))))))</f>
        <v/>
      </c>
      <c r="V105" s="32" t="str">
        <f aca="false">IF(OR(T105="긴급",LEFT(U105,2)="긴급",P105="O"),"대상","")</f>
        <v/>
      </c>
      <c r="W105" s="33" t="str">
        <f aca="false">IF(R105&lt;&gt;"",R105,IF(O105="O",IF(V105="대상",IF(Q105="O","완료","추가상담 대기"),"완료"),IF(COUNTA(K105:M105)=3,"상담 대기",IF(J105="O","측정 대기",IF(I105="O","운동평가 대기","미방문")))))</f>
        <v>미방문</v>
      </c>
      <c r="X105" s="34"/>
      <c r="Y105" s="34"/>
      <c r="Z105" s="34"/>
      <c r="AA105" s="34"/>
      <c r="AB105" s="34"/>
      <c r="AC105" s="35" t="str">
        <f aca="false">IF(AND(ISNUMBER(X105),ISNUMBER(Y105)),IF(Y105&gt;=X105,ROUND((Y105-X105)*1440,0),""),"")</f>
        <v/>
      </c>
      <c r="AD105" s="35" t="str">
        <f aca="false">IF(AND(ISNUMBER(Y105),ISNUMBER(Z105)),IF(Z105&gt;=Y105,ROUND((Z105-Y105)*1440,0),""),"")</f>
        <v/>
      </c>
      <c r="AE105" s="35" t="str">
        <f aca="false">IF(AND(ISNUMBER(Z105),ISNUMBER(AA105)),IF(AA105&gt;=Z105,ROUND((AA105-Z105)*1440,0),""),"")</f>
        <v/>
      </c>
      <c r="AF105" s="35" t="str">
        <f aca="false">IF(AND(ISNUMBER(AA105),ISNUMBER(AB105)),IF(AB105&gt;=AA105,ROUND((AB105-AA105)*1440,0),""),"")</f>
        <v/>
      </c>
      <c r="AG105" s="35" t="str">
        <f aca="false">IF(AND(W105="완료",ISNUMBER(X105)),IF(MAX(Y105:AB105)&gt;=X105,ROUND((MAX(Y105:AB105)-X105)*1440,0),""),"")</f>
        <v/>
      </c>
    </row>
    <row r="106" customFormat="false" ht="15" hidden="false" customHeight="false" outlineLevel="0" collapsed="false">
      <c r="A106" s="27" t="n">
        <v>102</v>
      </c>
      <c r="B106" s="28"/>
      <c r="C106" s="29"/>
      <c r="D106" s="29"/>
      <c r="E106" s="28"/>
      <c r="F106" s="30"/>
      <c r="G106" s="31"/>
      <c r="H106" s="28"/>
      <c r="I106" s="29"/>
      <c r="J106" s="29"/>
      <c r="K106" s="29"/>
      <c r="L106" s="29"/>
      <c r="M106" s="29"/>
      <c r="N106" s="29"/>
      <c r="O106" s="29"/>
      <c r="P106" s="29"/>
      <c r="Q106" s="29"/>
      <c r="R106" s="29"/>
      <c r="S106" s="28"/>
      <c r="T106" s="32" t="str">
        <f aca="false">IF(AND(K106="",L106=""),"",IF(OR(K106="-",L106="-"),"측정불가",IF(AND(ISNUMBER(K106),ISNUMBER(L106)),IF(OR(K106&gt;=설정!$C$9,L106&gt;=설정!$C$10),"긴급",IF(OR(K106&gt;=설정!$C$7,L106&gt;=설정!$C$8,K106&lt;설정!$C$11),"주의","정상")),"확인필요")))</f>
        <v/>
      </c>
      <c r="U106" s="32" t="str">
        <f aca="false">IF(M106="","",IF(M106="-","측정불가",IF(NOT(ISNUMBER(M106)),"확인필요",IF(M106&lt;설정!$C$15,"긴급(저혈당)",IF(M106&gt;=설정!$C$16,"긴급(고혈당)",IF(N106="공복",IF(M106&gt;=설정!$C$13,"주의","정상"),IF(N106="식후",IF(M106&gt;=설정!$C$14,"주의","정상"),"조건확인")))))))</f>
        <v/>
      </c>
      <c r="V106" s="32" t="str">
        <f aca="false">IF(OR(T106="긴급",LEFT(U106,2)="긴급",P106="O"),"대상","")</f>
        <v/>
      </c>
      <c r="W106" s="33" t="str">
        <f aca="false">IF(R106&lt;&gt;"",R106,IF(O106="O",IF(V106="대상",IF(Q106="O","완료","추가상담 대기"),"완료"),IF(COUNTA(K106:M106)=3,"상담 대기",IF(J106="O","측정 대기",IF(I106="O","운동평가 대기","미방문")))))</f>
        <v>미방문</v>
      </c>
      <c r="X106" s="34"/>
      <c r="Y106" s="34"/>
      <c r="Z106" s="34"/>
      <c r="AA106" s="34"/>
      <c r="AB106" s="34"/>
      <c r="AC106" s="35" t="str">
        <f aca="false">IF(AND(ISNUMBER(X106),ISNUMBER(Y106)),IF(Y106&gt;=X106,ROUND((Y106-X106)*1440,0),""),"")</f>
        <v/>
      </c>
      <c r="AD106" s="35" t="str">
        <f aca="false">IF(AND(ISNUMBER(Y106),ISNUMBER(Z106)),IF(Z106&gt;=Y106,ROUND((Z106-Y106)*1440,0),""),"")</f>
        <v/>
      </c>
      <c r="AE106" s="35" t="str">
        <f aca="false">IF(AND(ISNUMBER(Z106),ISNUMBER(AA106)),IF(AA106&gt;=Z106,ROUND((AA106-Z106)*1440,0),""),"")</f>
        <v/>
      </c>
      <c r="AF106" s="35" t="str">
        <f aca="false">IF(AND(ISNUMBER(AA106),ISNUMBER(AB106)),IF(AB106&gt;=AA106,ROUND((AB106-AA106)*1440,0),""),"")</f>
        <v/>
      </c>
      <c r="AG106" s="35" t="str">
        <f aca="false">IF(AND(W106="완료",ISNUMBER(X106)),IF(MAX(Y106:AB106)&gt;=X106,ROUND((MAX(Y106:AB106)-X106)*1440,0),""),"")</f>
        <v/>
      </c>
    </row>
    <row r="107" customFormat="false" ht="15" hidden="false" customHeight="false" outlineLevel="0" collapsed="false">
      <c r="A107" s="27" t="n">
        <v>103</v>
      </c>
      <c r="B107" s="28"/>
      <c r="C107" s="29"/>
      <c r="D107" s="29"/>
      <c r="E107" s="28"/>
      <c r="F107" s="30"/>
      <c r="G107" s="31"/>
      <c r="H107" s="28"/>
      <c r="I107" s="29"/>
      <c r="J107" s="29"/>
      <c r="K107" s="29"/>
      <c r="L107" s="29"/>
      <c r="M107" s="29"/>
      <c r="N107" s="29"/>
      <c r="O107" s="29"/>
      <c r="P107" s="29"/>
      <c r="Q107" s="29"/>
      <c r="R107" s="29"/>
      <c r="S107" s="28"/>
      <c r="T107" s="32" t="str">
        <f aca="false">IF(AND(K107="",L107=""),"",IF(OR(K107="-",L107="-"),"측정불가",IF(AND(ISNUMBER(K107),ISNUMBER(L107)),IF(OR(K107&gt;=설정!$C$9,L107&gt;=설정!$C$10),"긴급",IF(OR(K107&gt;=설정!$C$7,L107&gt;=설정!$C$8,K107&lt;설정!$C$11),"주의","정상")),"확인필요")))</f>
        <v/>
      </c>
      <c r="U107" s="32" t="str">
        <f aca="false">IF(M107="","",IF(M107="-","측정불가",IF(NOT(ISNUMBER(M107)),"확인필요",IF(M107&lt;설정!$C$15,"긴급(저혈당)",IF(M107&gt;=설정!$C$16,"긴급(고혈당)",IF(N107="공복",IF(M107&gt;=설정!$C$13,"주의","정상"),IF(N107="식후",IF(M107&gt;=설정!$C$14,"주의","정상"),"조건확인")))))))</f>
        <v/>
      </c>
      <c r="V107" s="32" t="str">
        <f aca="false">IF(OR(T107="긴급",LEFT(U107,2)="긴급",P107="O"),"대상","")</f>
        <v/>
      </c>
      <c r="W107" s="33" t="str">
        <f aca="false">IF(R107&lt;&gt;"",R107,IF(O107="O",IF(V107="대상",IF(Q107="O","완료","추가상담 대기"),"완료"),IF(COUNTA(K107:M107)=3,"상담 대기",IF(J107="O","측정 대기",IF(I107="O","운동평가 대기","미방문")))))</f>
        <v>미방문</v>
      </c>
      <c r="X107" s="34"/>
      <c r="Y107" s="34"/>
      <c r="Z107" s="34"/>
      <c r="AA107" s="34"/>
      <c r="AB107" s="34"/>
      <c r="AC107" s="35" t="str">
        <f aca="false">IF(AND(ISNUMBER(X107),ISNUMBER(Y107)),IF(Y107&gt;=X107,ROUND((Y107-X107)*1440,0),""),"")</f>
        <v/>
      </c>
      <c r="AD107" s="35" t="str">
        <f aca="false">IF(AND(ISNUMBER(Y107),ISNUMBER(Z107)),IF(Z107&gt;=Y107,ROUND((Z107-Y107)*1440,0),""),"")</f>
        <v/>
      </c>
      <c r="AE107" s="35" t="str">
        <f aca="false">IF(AND(ISNUMBER(Z107),ISNUMBER(AA107)),IF(AA107&gt;=Z107,ROUND((AA107-Z107)*1440,0),""),"")</f>
        <v/>
      </c>
      <c r="AF107" s="35" t="str">
        <f aca="false">IF(AND(ISNUMBER(AA107),ISNUMBER(AB107)),IF(AB107&gt;=AA107,ROUND((AB107-AA107)*1440,0),""),"")</f>
        <v/>
      </c>
      <c r="AG107" s="35" t="str">
        <f aca="false">IF(AND(W107="완료",ISNUMBER(X107)),IF(MAX(Y107:AB107)&gt;=X107,ROUND((MAX(Y107:AB107)-X107)*1440,0),""),"")</f>
        <v/>
      </c>
    </row>
    <row r="108" customFormat="false" ht="15" hidden="false" customHeight="false" outlineLevel="0" collapsed="false">
      <c r="A108" s="27" t="n">
        <v>104</v>
      </c>
      <c r="B108" s="28"/>
      <c r="C108" s="29"/>
      <c r="D108" s="29"/>
      <c r="E108" s="28"/>
      <c r="F108" s="30"/>
      <c r="G108" s="31"/>
      <c r="H108" s="28"/>
      <c r="I108" s="29"/>
      <c r="J108" s="29"/>
      <c r="K108" s="29"/>
      <c r="L108" s="29"/>
      <c r="M108" s="29"/>
      <c r="N108" s="29"/>
      <c r="O108" s="29"/>
      <c r="P108" s="29"/>
      <c r="Q108" s="29"/>
      <c r="R108" s="29"/>
      <c r="S108" s="28"/>
      <c r="T108" s="32" t="str">
        <f aca="false">IF(AND(K108="",L108=""),"",IF(OR(K108="-",L108="-"),"측정불가",IF(AND(ISNUMBER(K108),ISNUMBER(L108)),IF(OR(K108&gt;=설정!$C$9,L108&gt;=설정!$C$10),"긴급",IF(OR(K108&gt;=설정!$C$7,L108&gt;=설정!$C$8,K108&lt;설정!$C$11),"주의","정상")),"확인필요")))</f>
        <v/>
      </c>
      <c r="U108" s="32" t="str">
        <f aca="false">IF(M108="","",IF(M108="-","측정불가",IF(NOT(ISNUMBER(M108)),"확인필요",IF(M108&lt;설정!$C$15,"긴급(저혈당)",IF(M108&gt;=설정!$C$16,"긴급(고혈당)",IF(N108="공복",IF(M108&gt;=설정!$C$13,"주의","정상"),IF(N108="식후",IF(M108&gt;=설정!$C$14,"주의","정상"),"조건확인")))))))</f>
        <v/>
      </c>
      <c r="V108" s="32" t="str">
        <f aca="false">IF(OR(T108="긴급",LEFT(U108,2)="긴급",P108="O"),"대상","")</f>
        <v/>
      </c>
      <c r="W108" s="33" t="str">
        <f aca="false">IF(R108&lt;&gt;"",R108,IF(O108="O",IF(V108="대상",IF(Q108="O","완료","추가상담 대기"),"완료"),IF(COUNTA(K108:M108)=3,"상담 대기",IF(J108="O","측정 대기",IF(I108="O","운동평가 대기","미방문")))))</f>
        <v>미방문</v>
      </c>
      <c r="X108" s="34"/>
      <c r="Y108" s="34"/>
      <c r="Z108" s="34"/>
      <c r="AA108" s="34"/>
      <c r="AB108" s="34"/>
      <c r="AC108" s="35" t="str">
        <f aca="false">IF(AND(ISNUMBER(X108),ISNUMBER(Y108)),IF(Y108&gt;=X108,ROUND((Y108-X108)*1440,0),""),"")</f>
        <v/>
      </c>
      <c r="AD108" s="35" t="str">
        <f aca="false">IF(AND(ISNUMBER(Y108),ISNUMBER(Z108)),IF(Z108&gt;=Y108,ROUND((Z108-Y108)*1440,0),""),"")</f>
        <v/>
      </c>
      <c r="AE108" s="35" t="str">
        <f aca="false">IF(AND(ISNUMBER(Z108),ISNUMBER(AA108)),IF(AA108&gt;=Z108,ROUND((AA108-Z108)*1440,0),""),"")</f>
        <v/>
      </c>
      <c r="AF108" s="35" t="str">
        <f aca="false">IF(AND(ISNUMBER(AA108),ISNUMBER(AB108)),IF(AB108&gt;=AA108,ROUND((AB108-AA108)*1440,0),""),"")</f>
        <v/>
      </c>
      <c r="AG108" s="35" t="str">
        <f aca="false">IF(AND(W108="완료",ISNUMBER(X108)),IF(MAX(Y108:AB108)&gt;=X108,ROUND((MAX(Y108:AB108)-X108)*1440,0),""),"")</f>
        <v/>
      </c>
    </row>
    <row r="109" customFormat="false" ht="15" hidden="false" customHeight="false" outlineLevel="0" collapsed="false">
      <c r="A109" s="27" t="n">
        <v>105</v>
      </c>
      <c r="B109" s="28"/>
      <c r="C109" s="29"/>
      <c r="D109" s="29"/>
      <c r="E109" s="28"/>
      <c r="F109" s="30"/>
      <c r="G109" s="31"/>
      <c r="H109" s="28"/>
      <c r="I109" s="29"/>
      <c r="J109" s="29"/>
      <c r="K109" s="29"/>
      <c r="L109" s="29"/>
      <c r="M109" s="29"/>
      <c r="N109" s="29"/>
      <c r="O109" s="29"/>
      <c r="P109" s="29"/>
      <c r="Q109" s="29"/>
      <c r="R109" s="29"/>
      <c r="S109" s="28"/>
      <c r="T109" s="32" t="str">
        <f aca="false">IF(AND(K109="",L109=""),"",IF(OR(K109="-",L109="-"),"측정불가",IF(AND(ISNUMBER(K109),ISNUMBER(L109)),IF(OR(K109&gt;=설정!$C$9,L109&gt;=설정!$C$10),"긴급",IF(OR(K109&gt;=설정!$C$7,L109&gt;=설정!$C$8,K109&lt;설정!$C$11),"주의","정상")),"확인필요")))</f>
        <v/>
      </c>
      <c r="U109" s="32" t="str">
        <f aca="false">IF(M109="","",IF(M109="-","측정불가",IF(NOT(ISNUMBER(M109)),"확인필요",IF(M109&lt;설정!$C$15,"긴급(저혈당)",IF(M109&gt;=설정!$C$16,"긴급(고혈당)",IF(N109="공복",IF(M109&gt;=설정!$C$13,"주의","정상"),IF(N109="식후",IF(M109&gt;=설정!$C$14,"주의","정상"),"조건확인")))))))</f>
        <v/>
      </c>
      <c r="V109" s="32" t="str">
        <f aca="false">IF(OR(T109="긴급",LEFT(U109,2)="긴급",P109="O"),"대상","")</f>
        <v/>
      </c>
      <c r="W109" s="33" t="str">
        <f aca="false">IF(R109&lt;&gt;"",R109,IF(O109="O",IF(V109="대상",IF(Q109="O","완료","추가상담 대기"),"완료"),IF(COUNTA(K109:M109)=3,"상담 대기",IF(J109="O","측정 대기",IF(I109="O","운동평가 대기","미방문")))))</f>
        <v>미방문</v>
      </c>
      <c r="X109" s="34"/>
      <c r="Y109" s="34"/>
      <c r="Z109" s="34"/>
      <c r="AA109" s="34"/>
      <c r="AB109" s="34"/>
      <c r="AC109" s="35" t="str">
        <f aca="false">IF(AND(ISNUMBER(X109),ISNUMBER(Y109)),IF(Y109&gt;=X109,ROUND((Y109-X109)*1440,0),""),"")</f>
        <v/>
      </c>
      <c r="AD109" s="35" t="str">
        <f aca="false">IF(AND(ISNUMBER(Y109),ISNUMBER(Z109)),IF(Z109&gt;=Y109,ROUND((Z109-Y109)*1440,0),""),"")</f>
        <v/>
      </c>
      <c r="AE109" s="35" t="str">
        <f aca="false">IF(AND(ISNUMBER(Z109),ISNUMBER(AA109)),IF(AA109&gt;=Z109,ROUND((AA109-Z109)*1440,0),""),"")</f>
        <v/>
      </c>
      <c r="AF109" s="35" t="str">
        <f aca="false">IF(AND(ISNUMBER(AA109),ISNUMBER(AB109)),IF(AB109&gt;=AA109,ROUND((AB109-AA109)*1440,0),""),"")</f>
        <v/>
      </c>
      <c r="AG109" s="35" t="str">
        <f aca="false">IF(AND(W109="완료",ISNUMBER(X109)),IF(MAX(Y109:AB109)&gt;=X109,ROUND((MAX(Y109:AB109)-X109)*1440,0),""),"")</f>
        <v/>
      </c>
    </row>
    <row r="110" customFormat="false" ht="15" hidden="false" customHeight="false" outlineLevel="0" collapsed="false">
      <c r="A110" s="27" t="n">
        <v>106</v>
      </c>
      <c r="B110" s="28"/>
      <c r="C110" s="29"/>
      <c r="D110" s="29"/>
      <c r="E110" s="28"/>
      <c r="F110" s="30"/>
      <c r="G110" s="31"/>
      <c r="H110" s="28"/>
      <c r="I110" s="29"/>
      <c r="J110" s="29"/>
      <c r="K110" s="29"/>
      <c r="L110" s="29"/>
      <c r="M110" s="29"/>
      <c r="N110" s="29"/>
      <c r="O110" s="29"/>
      <c r="P110" s="29"/>
      <c r="Q110" s="29"/>
      <c r="R110" s="29"/>
      <c r="S110" s="28"/>
      <c r="T110" s="32" t="str">
        <f aca="false">IF(AND(K110="",L110=""),"",IF(OR(K110="-",L110="-"),"측정불가",IF(AND(ISNUMBER(K110),ISNUMBER(L110)),IF(OR(K110&gt;=설정!$C$9,L110&gt;=설정!$C$10),"긴급",IF(OR(K110&gt;=설정!$C$7,L110&gt;=설정!$C$8,K110&lt;설정!$C$11),"주의","정상")),"확인필요")))</f>
        <v/>
      </c>
      <c r="U110" s="32" t="str">
        <f aca="false">IF(M110="","",IF(M110="-","측정불가",IF(NOT(ISNUMBER(M110)),"확인필요",IF(M110&lt;설정!$C$15,"긴급(저혈당)",IF(M110&gt;=설정!$C$16,"긴급(고혈당)",IF(N110="공복",IF(M110&gt;=설정!$C$13,"주의","정상"),IF(N110="식후",IF(M110&gt;=설정!$C$14,"주의","정상"),"조건확인")))))))</f>
        <v/>
      </c>
      <c r="V110" s="32" t="str">
        <f aca="false">IF(OR(T110="긴급",LEFT(U110,2)="긴급",P110="O"),"대상","")</f>
        <v/>
      </c>
      <c r="W110" s="33" t="str">
        <f aca="false">IF(R110&lt;&gt;"",R110,IF(O110="O",IF(V110="대상",IF(Q110="O","완료","추가상담 대기"),"완료"),IF(COUNTA(K110:M110)=3,"상담 대기",IF(J110="O","측정 대기",IF(I110="O","운동평가 대기","미방문")))))</f>
        <v>미방문</v>
      </c>
      <c r="X110" s="34"/>
      <c r="Y110" s="34"/>
      <c r="Z110" s="34"/>
      <c r="AA110" s="34"/>
      <c r="AB110" s="34"/>
      <c r="AC110" s="35" t="str">
        <f aca="false">IF(AND(ISNUMBER(X110),ISNUMBER(Y110)),IF(Y110&gt;=X110,ROUND((Y110-X110)*1440,0),""),"")</f>
        <v/>
      </c>
      <c r="AD110" s="35" t="str">
        <f aca="false">IF(AND(ISNUMBER(Y110),ISNUMBER(Z110)),IF(Z110&gt;=Y110,ROUND((Z110-Y110)*1440,0),""),"")</f>
        <v/>
      </c>
      <c r="AE110" s="35" t="str">
        <f aca="false">IF(AND(ISNUMBER(Z110),ISNUMBER(AA110)),IF(AA110&gt;=Z110,ROUND((AA110-Z110)*1440,0),""),"")</f>
        <v/>
      </c>
      <c r="AF110" s="35" t="str">
        <f aca="false">IF(AND(ISNUMBER(AA110),ISNUMBER(AB110)),IF(AB110&gt;=AA110,ROUND((AB110-AA110)*1440,0),""),"")</f>
        <v/>
      </c>
      <c r="AG110" s="35" t="str">
        <f aca="false">IF(AND(W110="완료",ISNUMBER(X110)),IF(MAX(Y110:AB110)&gt;=X110,ROUND((MAX(Y110:AB110)-X110)*1440,0),""),"")</f>
        <v/>
      </c>
    </row>
    <row r="111" customFormat="false" ht="15" hidden="false" customHeight="false" outlineLevel="0" collapsed="false">
      <c r="A111" s="27" t="n">
        <v>107</v>
      </c>
      <c r="B111" s="28"/>
      <c r="C111" s="29"/>
      <c r="D111" s="29"/>
      <c r="E111" s="28"/>
      <c r="F111" s="30"/>
      <c r="G111" s="31"/>
      <c r="H111" s="28"/>
      <c r="I111" s="29"/>
      <c r="J111" s="29"/>
      <c r="K111" s="29"/>
      <c r="L111" s="29"/>
      <c r="M111" s="29"/>
      <c r="N111" s="29"/>
      <c r="O111" s="29"/>
      <c r="P111" s="29"/>
      <c r="Q111" s="29"/>
      <c r="R111" s="29"/>
      <c r="S111" s="28"/>
      <c r="T111" s="32" t="str">
        <f aca="false">IF(AND(K111="",L111=""),"",IF(OR(K111="-",L111="-"),"측정불가",IF(AND(ISNUMBER(K111),ISNUMBER(L111)),IF(OR(K111&gt;=설정!$C$9,L111&gt;=설정!$C$10),"긴급",IF(OR(K111&gt;=설정!$C$7,L111&gt;=설정!$C$8,K111&lt;설정!$C$11),"주의","정상")),"확인필요")))</f>
        <v/>
      </c>
      <c r="U111" s="32" t="str">
        <f aca="false">IF(M111="","",IF(M111="-","측정불가",IF(NOT(ISNUMBER(M111)),"확인필요",IF(M111&lt;설정!$C$15,"긴급(저혈당)",IF(M111&gt;=설정!$C$16,"긴급(고혈당)",IF(N111="공복",IF(M111&gt;=설정!$C$13,"주의","정상"),IF(N111="식후",IF(M111&gt;=설정!$C$14,"주의","정상"),"조건확인")))))))</f>
        <v/>
      </c>
      <c r="V111" s="32" t="str">
        <f aca="false">IF(OR(T111="긴급",LEFT(U111,2)="긴급",P111="O"),"대상","")</f>
        <v/>
      </c>
      <c r="W111" s="33" t="str">
        <f aca="false">IF(R111&lt;&gt;"",R111,IF(O111="O",IF(V111="대상",IF(Q111="O","완료","추가상담 대기"),"완료"),IF(COUNTA(K111:M111)=3,"상담 대기",IF(J111="O","측정 대기",IF(I111="O","운동평가 대기","미방문")))))</f>
        <v>미방문</v>
      </c>
      <c r="X111" s="34"/>
      <c r="Y111" s="34"/>
      <c r="Z111" s="34"/>
      <c r="AA111" s="34"/>
      <c r="AB111" s="34"/>
      <c r="AC111" s="35" t="str">
        <f aca="false">IF(AND(ISNUMBER(X111),ISNUMBER(Y111)),IF(Y111&gt;=X111,ROUND((Y111-X111)*1440,0),""),"")</f>
        <v/>
      </c>
      <c r="AD111" s="35" t="str">
        <f aca="false">IF(AND(ISNUMBER(Y111),ISNUMBER(Z111)),IF(Z111&gt;=Y111,ROUND((Z111-Y111)*1440,0),""),"")</f>
        <v/>
      </c>
      <c r="AE111" s="35" t="str">
        <f aca="false">IF(AND(ISNUMBER(Z111),ISNUMBER(AA111)),IF(AA111&gt;=Z111,ROUND((AA111-Z111)*1440,0),""),"")</f>
        <v/>
      </c>
      <c r="AF111" s="35" t="str">
        <f aca="false">IF(AND(ISNUMBER(AA111),ISNUMBER(AB111)),IF(AB111&gt;=AA111,ROUND((AB111-AA111)*1440,0),""),"")</f>
        <v/>
      </c>
      <c r="AG111" s="35" t="str">
        <f aca="false">IF(AND(W111="완료",ISNUMBER(X111)),IF(MAX(Y111:AB111)&gt;=X111,ROUND((MAX(Y111:AB111)-X111)*1440,0),""),"")</f>
        <v/>
      </c>
    </row>
    <row r="112" customFormat="false" ht="15" hidden="false" customHeight="false" outlineLevel="0" collapsed="false">
      <c r="A112" s="27" t="n">
        <v>108</v>
      </c>
      <c r="B112" s="28"/>
      <c r="C112" s="29"/>
      <c r="D112" s="29"/>
      <c r="E112" s="28"/>
      <c r="F112" s="30"/>
      <c r="G112" s="31"/>
      <c r="H112" s="28"/>
      <c r="I112" s="29"/>
      <c r="J112" s="29"/>
      <c r="K112" s="29"/>
      <c r="L112" s="29"/>
      <c r="M112" s="29"/>
      <c r="N112" s="29"/>
      <c r="O112" s="29"/>
      <c r="P112" s="29"/>
      <c r="Q112" s="29"/>
      <c r="R112" s="29"/>
      <c r="S112" s="28"/>
      <c r="T112" s="32" t="str">
        <f aca="false">IF(AND(K112="",L112=""),"",IF(OR(K112="-",L112="-"),"측정불가",IF(AND(ISNUMBER(K112),ISNUMBER(L112)),IF(OR(K112&gt;=설정!$C$9,L112&gt;=설정!$C$10),"긴급",IF(OR(K112&gt;=설정!$C$7,L112&gt;=설정!$C$8,K112&lt;설정!$C$11),"주의","정상")),"확인필요")))</f>
        <v/>
      </c>
      <c r="U112" s="32" t="str">
        <f aca="false">IF(M112="","",IF(M112="-","측정불가",IF(NOT(ISNUMBER(M112)),"확인필요",IF(M112&lt;설정!$C$15,"긴급(저혈당)",IF(M112&gt;=설정!$C$16,"긴급(고혈당)",IF(N112="공복",IF(M112&gt;=설정!$C$13,"주의","정상"),IF(N112="식후",IF(M112&gt;=설정!$C$14,"주의","정상"),"조건확인")))))))</f>
        <v/>
      </c>
      <c r="V112" s="32" t="str">
        <f aca="false">IF(OR(T112="긴급",LEFT(U112,2)="긴급",P112="O"),"대상","")</f>
        <v/>
      </c>
      <c r="W112" s="33" t="str">
        <f aca="false">IF(R112&lt;&gt;"",R112,IF(O112="O",IF(V112="대상",IF(Q112="O","완료","추가상담 대기"),"완료"),IF(COUNTA(K112:M112)=3,"상담 대기",IF(J112="O","측정 대기",IF(I112="O","운동평가 대기","미방문")))))</f>
        <v>미방문</v>
      </c>
      <c r="X112" s="34"/>
      <c r="Y112" s="34"/>
      <c r="Z112" s="34"/>
      <c r="AA112" s="34"/>
      <c r="AB112" s="34"/>
      <c r="AC112" s="35" t="str">
        <f aca="false">IF(AND(ISNUMBER(X112),ISNUMBER(Y112)),IF(Y112&gt;=X112,ROUND((Y112-X112)*1440,0),""),"")</f>
        <v/>
      </c>
      <c r="AD112" s="35" t="str">
        <f aca="false">IF(AND(ISNUMBER(Y112),ISNUMBER(Z112)),IF(Z112&gt;=Y112,ROUND((Z112-Y112)*1440,0),""),"")</f>
        <v/>
      </c>
      <c r="AE112" s="35" t="str">
        <f aca="false">IF(AND(ISNUMBER(Z112),ISNUMBER(AA112)),IF(AA112&gt;=Z112,ROUND((AA112-Z112)*1440,0),""),"")</f>
        <v/>
      </c>
      <c r="AF112" s="35" t="str">
        <f aca="false">IF(AND(ISNUMBER(AA112),ISNUMBER(AB112)),IF(AB112&gt;=AA112,ROUND((AB112-AA112)*1440,0),""),"")</f>
        <v/>
      </c>
      <c r="AG112" s="35" t="str">
        <f aca="false">IF(AND(W112="완료",ISNUMBER(X112)),IF(MAX(Y112:AB112)&gt;=X112,ROUND((MAX(Y112:AB112)-X112)*1440,0),""),"")</f>
        <v/>
      </c>
    </row>
    <row r="113" customFormat="false" ht="15" hidden="false" customHeight="false" outlineLevel="0" collapsed="false">
      <c r="A113" s="27" t="n">
        <v>109</v>
      </c>
      <c r="B113" s="28"/>
      <c r="C113" s="29"/>
      <c r="D113" s="29"/>
      <c r="E113" s="28"/>
      <c r="F113" s="30"/>
      <c r="G113" s="31"/>
      <c r="H113" s="28"/>
      <c r="I113" s="29"/>
      <c r="J113" s="29"/>
      <c r="K113" s="29"/>
      <c r="L113" s="29"/>
      <c r="M113" s="29"/>
      <c r="N113" s="29"/>
      <c r="O113" s="29"/>
      <c r="P113" s="29"/>
      <c r="Q113" s="29"/>
      <c r="R113" s="29"/>
      <c r="S113" s="28"/>
      <c r="T113" s="32" t="str">
        <f aca="false">IF(AND(K113="",L113=""),"",IF(OR(K113="-",L113="-"),"측정불가",IF(AND(ISNUMBER(K113),ISNUMBER(L113)),IF(OR(K113&gt;=설정!$C$9,L113&gt;=설정!$C$10),"긴급",IF(OR(K113&gt;=설정!$C$7,L113&gt;=설정!$C$8,K113&lt;설정!$C$11),"주의","정상")),"확인필요")))</f>
        <v/>
      </c>
      <c r="U113" s="32" t="str">
        <f aca="false">IF(M113="","",IF(M113="-","측정불가",IF(NOT(ISNUMBER(M113)),"확인필요",IF(M113&lt;설정!$C$15,"긴급(저혈당)",IF(M113&gt;=설정!$C$16,"긴급(고혈당)",IF(N113="공복",IF(M113&gt;=설정!$C$13,"주의","정상"),IF(N113="식후",IF(M113&gt;=설정!$C$14,"주의","정상"),"조건확인")))))))</f>
        <v/>
      </c>
      <c r="V113" s="32" t="str">
        <f aca="false">IF(OR(T113="긴급",LEFT(U113,2)="긴급",P113="O"),"대상","")</f>
        <v/>
      </c>
      <c r="W113" s="33" t="str">
        <f aca="false">IF(R113&lt;&gt;"",R113,IF(O113="O",IF(V113="대상",IF(Q113="O","완료","추가상담 대기"),"완료"),IF(COUNTA(K113:M113)=3,"상담 대기",IF(J113="O","측정 대기",IF(I113="O","운동평가 대기","미방문")))))</f>
        <v>미방문</v>
      </c>
      <c r="X113" s="34"/>
      <c r="Y113" s="34"/>
      <c r="Z113" s="34"/>
      <c r="AA113" s="34"/>
      <c r="AB113" s="34"/>
      <c r="AC113" s="35" t="str">
        <f aca="false">IF(AND(ISNUMBER(X113),ISNUMBER(Y113)),IF(Y113&gt;=X113,ROUND((Y113-X113)*1440,0),""),"")</f>
        <v/>
      </c>
      <c r="AD113" s="35" t="str">
        <f aca="false">IF(AND(ISNUMBER(Y113),ISNUMBER(Z113)),IF(Z113&gt;=Y113,ROUND((Z113-Y113)*1440,0),""),"")</f>
        <v/>
      </c>
      <c r="AE113" s="35" t="str">
        <f aca="false">IF(AND(ISNUMBER(Z113),ISNUMBER(AA113)),IF(AA113&gt;=Z113,ROUND((AA113-Z113)*1440,0),""),"")</f>
        <v/>
      </c>
      <c r="AF113" s="35" t="str">
        <f aca="false">IF(AND(ISNUMBER(AA113),ISNUMBER(AB113)),IF(AB113&gt;=AA113,ROUND((AB113-AA113)*1440,0),""),"")</f>
        <v/>
      </c>
      <c r="AG113" s="35" t="str">
        <f aca="false">IF(AND(W113="완료",ISNUMBER(X113)),IF(MAX(Y113:AB113)&gt;=X113,ROUND((MAX(Y113:AB113)-X113)*1440,0),""),"")</f>
        <v/>
      </c>
    </row>
    <row r="114" customFormat="false" ht="15" hidden="false" customHeight="false" outlineLevel="0" collapsed="false">
      <c r="A114" s="27" t="n">
        <v>110</v>
      </c>
      <c r="B114" s="28"/>
      <c r="C114" s="29"/>
      <c r="D114" s="29"/>
      <c r="E114" s="28"/>
      <c r="F114" s="30"/>
      <c r="G114" s="31"/>
      <c r="H114" s="28"/>
      <c r="I114" s="29"/>
      <c r="J114" s="29"/>
      <c r="K114" s="29"/>
      <c r="L114" s="29"/>
      <c r="M114" s="29"/>
      <c r="N114" s="29"/>
      <c r="O114" s="29"/>
      <c r="P114" s="29"/>
      <c r="Q114" s="29"/>
      <c r="R114" s="29"/>
      <c r="S114" s="28"/>
      <c r="T114" s="32" t="str">
        <f aca="false">IF(AND(K114="",L114=""),"",IF(OR(K114="-",L114="-"),"측정불가",IF(AND(ISNUMBER(K114),ISNUMBER(L114)),IF(OR(K114&gt;=설정!$C$9,L114&gt;=설정!$C$10),"긴급",IF(OR(K114&gt;=설정!$C$7,L114&gt;=설정!$C$8,K114&lt;설정!$C$11),"주의","정상")),"확인필요")))</f>
        <v/>
      </c>
      <c r="U114" s="32" t="str">
        <f aca="false">IF(M114="","",IF(M114="-","측정불가",IF(NOT(ISNUMBER(M114)),"확인필요",IF(M114&lt;설정!$C$15,"긴급(저혈당)",IF(M114&gt;=설정!$C$16,"긴급(고혈당)",IF(N114="공복",IF(M114&gt;=설정!$C$13,"주의","정상"),IF(N114="식후",IF(M114&gt;=설정!$C$14,"주의","정상"),"조건확인")))))))</f>
        <v/>
      </c>
      <c r="V114" s="32" t="str">
        <f aca="false">IF(OR(T114="긴급",LEFT(U114,2)="긴급",P114="O"),"대상","")</f>
        <v/>
      </c>
      <c r="W114" s="33" t="str">
        <f aca="false">IF(R114&lt;&gt;"",R114,IF(O114="O",IF(V114="대상",IF(Q114="O","완료","추가상담 대기"),"완료"),IF(COUNTA(K114:M114)=3,"상담 대기",IF(J114="O","측정 대기",IF(I114="O","운동평가 대기","미방문")))))</f>
        <v>미방문</v>
      </c>
      <c r="X114" s="34"/>
      <c r="Y114" s="34"/>
      <c r="Z114" s="34"/>
      <c r="AA114" s="34"/>
      <c r="AB114" s="34"/>
      <c r="AC114" s="35" t="str">
        <f aca="false">IF(AND(ISNUMBER(X114),ISNUMBER(Y114)),IF(Y114&gt;=X114,ROUND((Y114-X114)*1440,0),""),"")</f>
        <v/>
      </c>
      <c r="AD114" s="35" t="str">
        <f aca="false">IF(AND(ISNUMBER(Y114),ISNUMBER(Z114)),IF(Z114&gt;=Y114,ROUND((Z114-Y114)*1440,0),""),"")</f>
        <v/>
      </c>
      <c r="AE114" s="35" t="str">
        <f aca="false">IF(AND(ISNUMBER(Z114),ISNUMBER(AA114)),IF(AA114&gt;=Z114,ROUND((AA114-Z114)*1440,0),""),"")</f>
        <v/>
      </c>
      <c r="AF114" s="35" t="str">
        <f aca="false">IF(AND(ISNUMBER(AA114),ISNUMBER(AB114)),IF(AB114&gt;=AA114,ROUND((AB114-AA114)*1440,0),""),"")</f>
        <v/>
      </c>
      <c r="AG114" s="35" t="str">
        <f aca="false">IF(AND(W114="완료",ISNUMBER(X114)),IF(MAX(Y114:AB114)&gt;=X114,ROUND((MAX(Y114:AB114)-X114)*1440,0),""),"")</f>
        <v/>
      </c>
    </row>
    <row r="115" customFormat="false" ht="15" hidden="false" customHeight="false" outlineLevel="0" collapsed="false">
      <c r="A115" s="27" t="n">
        <v>111</v>
      </c>
      <c r="B115" s="28"/>
      <c r="C115" s="29"/>
      <c r="D115" s="29"/>
      <c r="E115" s="28"/>
      <c r="F115" s="30"/>
      <c r="G115" s="31"/>
      <c r="H115" s="28"/>
      <c r="I115" s="29"/>
      <c r="J115" s="29"/>
      <c r="K115" s="29"/>
      <c r="L115" s="29"/>
      <c r="M115" s="29"/>
      <c r="N115" s="29"/>
      <c r="O115" s="29"/>
      <c r="P115" s="29"/>
      <c r="Q115" s="29"/>
      <c r="R115" s="29"/>
      <c r="S115" s="28"/>
      <c r="T115" s="32" t="str">
        <f aca="false">IF(AND(K115="",L115=""),"",IF(OR(K115="-",L115="-"),"측정불가",IF(AND(ISNUMBER(K115),ISNUMBER(L115)),IF(OR(K115&gt;=설정!$C$9,L115&gt;=설정!$C$10),"긴급",IF(OR(K115&gt;=설정!$C$7,L115&gt;=설정!$C$8,K115&lt;설정!$C$11),"주의","정상")),"확인필요")))</f>
        <v/>
      </c>
      <c r="U115" s="32" t="str">
        <f aca="false">IF(M115="","",IF(M115="-","측정불가",IF(NOT(ISNUMBER(M115)),"확인필요",IF(M115&lt;설정!$C$15,"긴급(저혈당)",IF(M115&gt;=설정!$C$16,"긴급(고혈당)",IF(N115="공복",IF(M115&gt;=설정!$C$13,"주의","정상"),IF(N115="식후",IF(M115&gt;=설정!$C$14,"주의","정상"),"조건확인")))))))</f>
        <v/>
      </c>
      <c r="V115" s="32" t="str">
        <f aca="false">IF(OR(T115="긴급",LEFT(U115,2)="긴급",P115="O"),"대상","")</f>
        <v/>
      </c>
      <c r="W115" s="33" t="str">
        <f aca="false">IF(R115&lt;&gt;"",R115,IF(O115="O",IF(V115="대상",IF(Q115="O","완료","추가상담 대기"),"완료"),IF(COUNTA(K115:M115)=3,"상담 대기",IF(J115="O","측정 대기",IF(I115="O","운동평가 대기","미방문")))))</f>
        <v>미방문</v>
      </c>
      <c r="X115" s="34"/>
      <c r="Y115" s="34"/>
      <c r="Z115" s="34"/>
      <c r="AA115" s="34"/>
      <c r="AB115" s="34"/>
      <c r="AC115" s="35" t="str">
        <f aca="false">IF(AND(ISNUMBER(X115),ISNUMBER(Y115)),IF(Y115&gt;=X115,ROUND((Y115-X115)*1440,0),""),"")</f>
        <v/>
      </c>
      <c r="AD115" s="35" t="str">
        <f aca="false">IF(AND(ISNUMBER(Y115),ISNUMBER(Z115)),IF(Z115&gt;=Y115,ROUND((Z115-Y115)*1440,0),""),"")</f>
        <v/>
      </c>
      <c r="AE115" s="35" t="str">
        <f aca="false">IF(AND(ISNUMBER(Z115),ISNUMBER(AA115)),IF(AA115&gt;=Z115,ROUND((AA115-Z115)*1440,0),""),"")</f>
        <v/>
      </c>
      <c r="AF115" s="35" t="str">
        <f aca="false">IF(AND(ISNUMBER(AA115),ISNUMBER(AB115)),IF(AB115&gt;=AA115,ROUND((AB115-AA115)*1440,0),""),"")</f>
        <v/>
      </c>
      <c r="AG115" s="35" t="str">
        <f aca="false">IF(AND(W115="완료",ISNUMBER(X115)),IF(MAX(Y115:AB115)&gt;=X115,ROUND((MAX(Y115:AB115)-X115)*1440,0),""),"")</f>
        <v/>
      </c>
    </row>
    <row r="116" customFormat="false" ht="15" hidden="false" customHeight="false" outlineLevel="0" collapsed="false">
      <c r="A116" s="27" t="n">
        <v>112</v>
      </c>
      <c r="B116" s="28"/>
      <c r="C116" s="29"/>
      <c r="D116" s="29"/>
      <c r="E116" s="28"/>
      <c r="F116" s="30"/>
      <c r="G116" s="31"/>
      <c r="H116" s="28"/>
      <c r="I116" s="29"/>
      <c r="J116" s="29"/>
      <c r="K116" s="29"/>
      <c r="L116" s="29"/>
      <c r="M116" s="29"/>
      <c r="N116" s="29"/>
      <c r="O116" s="29"/>
      <c r="P116" s="29"/>
      <c r="Q116" s="29"/>
      <c r="R116" s="29"/>
      <c r="S116" s="28"/>
      <c r="T116" s="32" t="str">
        <f aca="false">IF(AND(K116="",L116=""),"",IF(OR(K116="-",L116="-"),"측정불가",IF(AND(ISNUMBER(K116),ISNUMBER(L116)),IF(OR(K116&gt;=설정!$C$9,L116&gt;=설정!$C$10),"긴급",IF(OR(K116&gt;=설정!$C$7,L116&gt;=설정!$C$8,K116&lt;설정!$C$11),"주의","정상")),"확인필요")))</f>
        <v/>
      </c>
      <c r="U116" s="32" t="str">
        <f aca="false">IF(M116="","",IF(M116="-","측정불가",IF(NOT(ISNUMBER(M116)),"확인필요",IF(M116&lt;설정!$C$15,"긴급(저혈당)",IF(M116&gt;=설정!$C$16,"긴급(고혈당)",IF(N116="공복",IF(M116&gt;=설정!$C$13,"주의","정상"),IF(N116="식후",IF(M116&gt;=설정!$C$14,"주의","정상"),"조건확인")))))))</f>
        <v/>
      </c>
      <c r="V116" s="32" t="str">
        <f aca="false">IF(OR(T116="긴급",LEFT(U116,2)="긴급",P116="O"),"대상","")</f>
        <v/>
      </c>
      <c r="W116" s="33" t="str">
        <f aca="false">IF(R116&lt;&gt;"",R116,IF(O116="O",IF(V116="대상",IF(Q116="O","완료","추가상담 대기"),"완료"),IF(COUNTA(K116:M116)=3,"상담 대기",IF(J116="O","측정 대기",IF(I116="O","운동평가 대기","미방문")))))</f>
        <v>미방문</v>
      </c>
      <c r="X116" s="34"/>
      <c r="Y116" s="34"/>
      <c r="Z116" s="34"/>
      <c r="AA116" s="34"/>
      <c r="AB116" s="34"/>
      <c r="AC116" s="35" t="str">
        <f aca="false">IF(AND(ISNUMBER(X116),ISNUMBER(Y116)),IF(Y116&gt;=X116,ROUND((Y116-X116)*1440,0),""),"")</f>
        <v/>
      </c>
      <c r="AD116" s="35" t="str">
        <f aca="false">IF(AND(ISNUMBER(Y116),ISNUMBER(Z116)),IF(Z116&gt;=Y116,ROUND((Z116-Y116)*1440,0),""),"")</f>
        <v/>
      </c>
      <c r="AE116" s="35" t="str">
        <f aca="false">IF(AND(ISNUMBER(Z116),ISNUMBER(AA116)),IF(AA116&gt;=Z116,ROUND((AA116-Z116)*1440,0),""),"")</f>
        <v/>
      </c>
      <c r="AF116" s="35" t="str">
        <f aca="false">IF(AND(ISNUMBER(AA116),ISNUMBER(AB116)),IF(AB116&gt;=AA116,ROUND((AB116-AA116)*1440,0),""),"")</f>
        <v/>
      </c>
      <c r="AG116" s="35" t="str">
        <f aca="false">IF(AND(W116="완료",ISNUMBER(X116)),IF(MAX(Y116:AB116)&gt;=X116,ROUND((MAX(Y116:AB116)-X116)*1440,0),""),"")</f>
        <v/>
      </c>
    </row>
    <row r="117" customFormat="false" ht="15" hidden="false" customHeight="false" outlineLevel="0" collapsed="false">
      <c r="A117" s="27" t="n">
        <v>113</v>
      </c>
      <c r="B117" s="28"/>
      <c r="C117" s="29"/>
      <c r="D117" s="29"/>
      <c r="E117" s="28"/>
      <c r="F117" s="30"/>
      <c r="G117" s="31"/>
      <c r="H117" s="28"/>
      <c r="I117" s="29"/>
      <c r="J117" s="29"/>
      <c r="K117" s="29"/>
      <c r="L117" s="29"/>
      <c r="M117" s="29"/>
      <c r="N117" s="29"/>
      <c r="O117" s="29"/>
      <c r="P117" s="29"/>
      <c r="Q117" s="29"/>
      <c r="R117" s="29"/>
      <c r="S117" s="28"/>
      <c r="T117" s="32" t="str">
        <f aca="false">IF(AND(K117="",L117=""),"",IF(OR(K117="-",L117="-"),"측정불가",IF(AND(ISNUMBER(K117),ISNUMBER(L117)),IF(OR(K117&gt;=설정!$C$9,L117&gt;=설정!$C$10),"긴급",IF(OR(K117&gt;=설정!$C$7,L117&gt;=설정!$C$8,K117&lt;설정!$C$11),"주의","정상")),"확인필요")))</f>
        <v/>
      </c>
      <c r="U117" s="32" t="str">
        <f aca="false">IF(M117="","",IF(M117="-","측정불가",IF(NOT(ISNUMBER(M117)),"확인필요",IF(M117&lt;설정!$C$15,"긴급(저혈당)",IF(M117&gt;=설정!$C$16,"긴급(고혈당)",IF(N117="공복",IF(M117&gt;=설정!$C$13,"주의","정상"),IF(N117="식후",IF(M117&gt;=설정!$C$14,"주의","정상"),"조건확인")))))))</f>
        <v/>
      </c>
      <c r="V117" s="32" t="str">
        <f aca="false">IF(OR(T117="긴급",LEFT(U117,2)="긴급",P117="O"),"대상","")</f>
        <v/>
      </c>
      <c r="W117" s="33" t="str">
        <f aca="false">IF(R117&lt;&gt;"",R117,IF(O117="O",IF(V117="대상",IF(Q117="O","완료","추가상담 대기"),"완료"),IF(COUNTA(K117:M117)=3,"상담 대기",IF(J117="O","측정 대기",IF(I117="O","운동평가 대기","미방문")))))</f>
        <v>미방문</v>
      </c>
      <c r="X117" s="34"/>
      <c r="Y117" s="34"/>
      <c r="Z117" s="34"/>
      <c r="AA117" s="34"/>
      <c r="AB117" s="34"/>
      <c r="AC117" s="35" t="str">
        <f aca="false">IF(AND(ISNUMBER(X117),ISNUMBER(Y117)),IF(Y117&gt;=X117,ROUND((Y117-X117)*1440,0),""),"")</f>
        <v/>
      </c>
      <c r="AD117" s="35" t="str">
        <f aca="false">IF(AND(ISNUMBER(Y117),ISNUMBER(Z117)),IF(Z117&gt;=Y117,ROUND((Z117-Y117)*1440,0),""),"")</f>
        <v/>
      </c>
      <c r="AE117" s="35" t="str">
        <f aca="false">IF(AND(ISNUMBER(Z117),ISNUMBER(AA117)),IF(AA117&gt;=Z117,ROUND((AA117-Z117)*1440,0),""),"")</f>
        <v/>
      </c>
      <c r="AF117" s="35" t="str">
        <f aca="false">IF(AND(ISNUMBER(AA117),ISNUMBER(AB117)),IF(AB117&gt;=AA117,ROUND((AB117-AA117)*1440,0),""),"")</f>
        <v/>
      </c>
      <c r="AG117" s="35" t="str">
        <f aca="false">IF(AND(W117="완료",ISNUMBER(X117)),IF(MAX(Y117:AB117)&gt;=X117,ROUND((MAX(Y117:AB117)-X117)*1440,0),""),"")</f>
        <v/>
      </c>
    </row>
    <row r="118" customFormat="false" ht="15" hidden="false" customHeight="false" outlineLevel="0" collapsed="false">
      <c r="A118" s="27" t="n">
        <v>114</v>
      </c>
      <c r="B118" s="28"/>
      <c r="C118" s="29"/>
      <c r="D118" s="29"/>
      <c r="E118" s="28"/>
      <c r="F118" s="30"/>
      <c r="G118" s="31"/>
      <c r="H118" s="28"/>
      <c r="I118" s="29"/>
      <c r="J118" s="29"/>
      <c r="K118" s="29"/>
      <c r="L118" s="29"/>
      <c r="M118" s="29"/>
      <c r="N118" s="29"/>
      <c r="O118" s="29"/>
      <c r="P118" s="29"/>
      <c r="Q118" s="29"/>
      <c r="R118" s="29"/>
      <c r="S118" s="28"/>
      <c r="T118" s="32" t="str">
        <f aca="false">IF(AND(K118="",L118=""),"",IF(OR(K118="-",L118="-"),"측정불가",IF(AND(ISNUMBER(K118),ISNUMBER(L118)),IF(OR(K118&gt;=설정!$C$9,L118&gt;=설정!$C$10),"긴급",IF(OR(K118&gt;=설정!$C$7,L118&gt;=설정!$C$8,K118&lt;설정!$C$11),"주의","정상")),"확인필요")))</f>
        <v/>
      </c>
      <c r="U118" s="32" t="str">
        <f aca="false">IF(M118="","",IF(M118="-","측정불가",IF(NOT(ISNUMBER(M118)),"확인필요",IF(M118&lt;설정!$C$15,"긴급(저혈당)",IF(M118&gt;=설정!$C$16,"긴급(고혈당)",IF(N118="공복",IF(M118&gt;=설정!$C$13,"주의","정상"),IF(N118="식후",IF(M118&gt;=설정!$C$14,"주의","정상"),"조건확인")))))))</f>
        <v/>
      </c>
      <c r="V118" s="32" t="str">
        <f aca="false">IF(OR(T118="긴급",LEFT(U118,2)="긴급",P118="O"),"대상","")</f>
        <v/>
      </c>
      <c r="W118" s="33" t="str">
        <f aca="false">IF(R118&lt;&gt;"",R118,IF(O118="O",IF(V118="대상",IF(Q118="O","완료","추가상담 대기"),"완료"),IF(COUNTA(K118:M118)=3,"상담 대기",IF(J118="O","측정 대기",IF(I118="O","운동평가 대기","미방문")))))</f>
        <v>미방문</v>
      </c>
      <c r="X118" s="34"/>
      <c r="Y118" s="34"/>
      <c r="Z118" s="34"/>
      <c r="AA118" s="34"/>
      <c r="AB118" s="34"/>
      <c r="AC118" s="35" t="str">
        <f aca="false">IF(AND(ISNUMBER(X118),ISNUMBER(Y118)),IF(Y118&gt;=X118,ROUND((Y118-X118)*1440,0),""),"")</f>
        <v/>
      </c>
      <c r="AD118" s="35" t="str">
        <f aca="false">IF(AND(ISNUMBER(Y118),ISNUMBER(Z118)),IF(Z118&gt;=Y118,ROUND((Z118-Y118)*1440,0),""),"")</f>
        <v/>
      </c>
      <c r="AE118" s="35" t="str">
        <f aca="false">IF(AND(ISNUMBER(Z118),ISNUMBER(AA118)),IF(AA118&gt;=Z118,ROUND((AA118-Z118)*1440,0),""),"")</f>
        <v/>
      </c>
      <c r="AF118" s="35" t="str">
        <f aca="false">IF(AND(ISNUMBER(AA118),ISNUMBER(AB118)),IF(AB118&gt;=AA118,ROUND((AB118-AA118)*1440,0),""),"")</f>
        <v/>
      </c>
      <c r="AG118" s="35" t="str">
        <f aca="false">IF(AND(W118="완료",ISNUMBER(X118)),IF(MAX(Y118:AB118)&gt;=X118,ROUND((MAX(Y118:AB118)-X118)*1440,0),""),"")</f>
        <v/>
      </c>
    </row>
    <row r="119" customFormat="false" ht="15" hidden="false" customHeight="false" outlineLevel="0" collapsed="false">
      <c r="A119" s="27" t="n">
        <v>115</v>
      </c>
      <c r="B119" s="28"/>
      <c r="C119" s="29"/>
      <c r="D119" s="29"/>
      <c r="E119" s="28"/>
      <c r="F119" s="30"/>
      <c r="G119" s="31"/>
      <c r="H119" s="28"/>
      <c r="I119" s="29"/>
      <c r="J119" s="29"/>
      <c r="K119" s="29"/>
      <c r="L119" s="29"/>
      <c r="M119" s="29"/>
      <c r="N119" s="29"/>
      <c r="O119" s="29"/>
      <c r="P119" s="29"/>
      <c r="Q119" s="29"/>
      <c r="R119" s="29"/>
      <c r="S119" s="28"/>
      <c r="T119" s="32" t="str">
        <f aca="false">IF(AND(K119="",L119=""),"",IF(OR(K119="-",L119="-"),"측정불가",IF(AND(ISNUMBER(K119),ISNUMBER(L119)),IF(OR(K119&gt;=설정!$C$9,L119&gt;=설정!$C$10),"긴급",IF(OR(K119&gt;=설정!$C$7,L119&gt;=설정!$C$8,K119&lt;설정!$C$11),"주의","정상")),"확인필요")))</f>
        <v/>
      </c>
      <c r="U119" s="32" t="str">
        <f aca="false">IF(M119="","",IF(M119="-","측정불가",IF(NOT(ISNUMBER(M119)),"확인필요",IF(M119&lt;설정!$C$15,"긴급(저혈당)",IF(M119&gt;=설정!$C$16,"긴급(고혈당)",IF(N119="공복",IF(M119&gt;=설정!$C$13,"주의","정상"),IF(N119="식후",IF(M119&gt;=설정!$C$14,"주의","정상"),"조건확인")))))))</f>
        <v/>
      </c>
      <c r="V119" s="32" t="str">
        <f aca="false">IF(OR(T119="긴급",LEFT(U119,2)="긴급",P119="O"),"대상","")</f>
        <v/>
      </c>
      <c r="W119" s="33" t="str">
        <f aca="false">IF(R119&lt;&gt;"",R119,IF(O119="O",IF(V119="대상",IF(Q119="O","완료","추가상담 대기"),"완료"),IF(COUNTA(K119:M119)=3,"상담 대기",IF(J119="O","측정 대기",IF(I119="O","운동평가 대기","미방문")))))</f>
        <v>미방문</v>
      </c>
      <c r="X119" s="34"/>
      <c r="Y119" s="34"/>
      <c r="Z119" s="34"/>
      <c r="AA119" s="34"/>
      <c r="AB119" s="34"/>
      <c r="AC119" s="35" t="str">
        <f aca="false">IF(AND(ISNUMBER(X119),ISNUMBER(Y119)),IF(Y119&gt;=X119,ROUND((Y119-X119)*1440,0),""),"")</f>
        <v/>
      </c>
      <c r="AD119" s="35" t="str">
        <f aca="false">IF(AND(ISNUMBER(Y119),ISNUMBER(Z119)),IF(Z119&gt;=Y119,ROUND((Z119-Y119)*1440,0),""),"")</f>
        <v/>
      </c>
      <c r="AE119" s="35" t="str">
        <f aca="false">IF(AND(ISNUMBER(Z119),ISNUMBER(AA119)),IF(AA119&gt;=Z119,ROUND((AA119-Z119)*1440,0),""),"")</f>
        <v/>
      </c>
      <c r="AF119" s="35" t="str">
        <f aca="false">IF(AND(ISNUMBER(AA119),ISNUMBER(AB119)),IF(AB119&gt;=AA119,ROUND((AB119-AA119)*1440,0),""),"")</f>
        <v/>
      </c>
      <c r="AG119" s="35" t="str">
        <f aca="false">IF(AND(W119="완료",ISNUMBER(X119)),IF(MAX(Y119:AB119)&gt;=X119,ROUND((MAX(Y119:AB119)-X119)*1440,0),""),"")</f>
        <v/>
      </c>
    </row>
    <row r="120" customFormat="false" ht="15" hidden="false" customHeight="false" outlineLevel="0" collapsed="false">
      <c r="A120" s="27" t="n">
        <v>116</v>
      </c>
      <c r="B120" s="28"/>
      <c r="C120" s="29"/>
      <c r="D120" s="29"/>
      <c r="E120" s="28"/>
      <c r="F120" s="30"/>
      <c r="G120" s="31"/>
      <c r="H120" s="28"/>
      <c r="I120" s="29"/>
      <c r="J120" s="29"/>
      <c r="K120" s="29"/>
      <c r="L120" s="29"/>
      <c r="M120" s="29"/>
      <c r="N120" s="29"/>
      <c r="O120" s="29"/>
      <c r="P120" s="29"/>
      <c r="Q120" s="29"/>
      <c r="R120" s="29"/>
      <c r="S120" s="28"/>
      <c r="T120" s="32" t="str">
        <f aca="false">IF(AND(K120="",L120=""),"",IF(OR(K120="-",L120="-"),"측정불가",IF(AND(ISNUMBER(K120),ISNUMBER(L120)),IF(OR(K120&gt;=설정!$C$9,L120&gt;=설정!$C$10),"긴급",IF(OR(K120&gt;=설정!$C$7,L120&gt;=설정!$C$8,K120&lt;설정!$C$11),"주의","정상")),"확인필요")))</f>
        <v/>
      </c>
      <c r="U120" s="32" t="str">
        <f aca="false">IF(M120="","",IF(M120="-","측정불가",IF(NOT(ISNUMBER(M120)),"확인필요",IF(M120&lt;설정!$C$15,"긴급(저혈당)",IF(M120&gt;=설정!$C$16,"긴급(고혈당)",IF(N120="공복",IF(M120&gt;=설정!$C$13,"주의","정상"),IF(N120="식후",IF(M120&gt;=설정!$C$14,"주의","정상"),"조건확인")))))))</f>
        <v/>
      </c>
      <c r="V120" s="32" t="str">
        <f aca="false">IF(OR(T120="긴급",LEFT(U120,2)="긴급",P120="O"),"대상","")</f>
        <v/>
      </c>
      <c r="W120" s="33" t="str">
        <f aca="false">IF(R120&lt;&gt;"",R120,IF(O120="O",IF(V120="대상",IF(Q120="O","완료","추가상담 대기"),"완료"),IF(COUNTA(K120:M120)=3,"상담 대기",IF(J120="O","측정 대기",IF(I120="O","운동평가 대기","미방문")))))</f>
        <v>미방문</v>
      </c>
      <c r="X120" s="34"/>
      <c r="Y120" s="34"/>
      <c r="Z120" s="34"/>
      <c r="AA120" s="34"/>
      <c r="AB120" s="34"/>
      <c r="AC120" s="35" t="str">
        <f aca="false">IF(AND(ISNUMBER(X120),ISNUMBER(Y120)),IF(Y120&gt;=X120,ROUND((Y120-X120)*1440,0),""),"")</f>
        <v/>
      </c>
      <c r="AD120" s="35" t="str">
        <f aca="false">IF(AND(ISNUMBER(Y120),ISNUMBER(Z120)),IF(Z120&gt;=Y120,ROUND((Z120-Y120)*1440,0),""),"")</f>
        <v/>
      </c>
      <c r="AE120" s="35" t="str">
        <f aca="false">IF(AND(ISNUMBER(Z120),ISNUMBER(AA120)),IF(AA120&gt;=Z120,ROUND((AA120-Z120)*1440,0),""),"")</f>
        <v/>
      </c>
      <c r="AF120" s="35" t="str">
        <f aca="false">IF(AND(ISNUMBER(AA120),ISNUMBER(AB120)),IF(AB120&gt;=AA120,ROUND((AB120-AA120)*1440,0),""),"")</f>
        <v/>
      </c>
      <c r="AG120" s="35" t="str">
        <f aca="false">IF(AND(W120="완료",ISNUMBER(X120)),IF(MAX(Y120:AB120)&gt;=X120,ROUND((MAX(Y120:AB120)-X120)*1440,0),""),"")</f>
        <v/>
      </c>
    </row>
    <row r="121" customFormat="false" ht="15" hidden="false" customHeight="false" outlineLevel="0" collapsed="false">
      <c r="A121" s="27" t="n">
        <v>117</v>
      </c>
      <c r="B121" s="28"/>
      <c r="C121" s="29"/>
      <c r="D121" s="29"/>
      <c r="E121" s="28"/>
      <c r="F121" s="30"/>
      <c r="G121" s="31"/>
      <c r="H121" s="28"/>
      <c r="I121" s="29"/>
      <c r="J121" s="29"/>
      <c r="K121" s="29"/>
      <c r="L121" s="29"/>
      <c r="M121" s="29"/>
      <c r="N121" s="29"/>
      <c r="O121" s="29"/>
      <c r="P121" s="29"/>
      <c r="Q121" s="29"/>
      <c r="R121" s="29"/>
      <c r="S121" s="28"/>
      <c r="T121" s="32" t="str">
        <f aca="false">IF(AND(K121="",L121=""),"",IF(OR(K121="-",L121="-"),"측정불가",IF(AND(ISNUMBER(K121),ISNUMBER(L121)),IF(OR(K121&gt;=설정!$C$9,L121&gt;=설정!$C$10),"긴급",IF(OR(K121&gt;=설정!$C$7,L121&gt;=설정!$C$8,K121&lt;설정!$C$11),"주의","정상")),"확인필요")))</f>
        <v/>
      </c>
      <c r="U121" s="32" t="str">
        <f aca="false">IF(M121="","",IF(M121="-","측정불가",IF(NOT(ISNUMBER(M121)),"확인필요",IF(M121&lt;설정!$C$15,"긴급(저혈당)",IF(M121&gt;=설정!$C$16,"긴급(고혈당)",IF(N121="공복",IF(M121&gt;=설정!$C$13,"주의","정상"),IF(N121="식후",IF(M121&gt;=설정!$C$14,"주의","정상"),"조건확인")))))))</f>
        <v/>
      </c>
      <c r="V121" s="32" t="str">
        <f aca="false">IF(OR(T121="긴급",LEFT(U121,2)="긴급",P121="O"),"대상","")</f>
        <v/>
      </c>
      <c r="W121" s="33" t="str">
        <f aca="false">IF(R121&lt;&gt;"",R121,IF(O121="O",IF(V121="대상",IF(Q121="O","완료","추가상담 대기"),"완료"),IF(COUNTA(K121:M121)=3,"상담 대기",IF(J121="O","측정 대기",IF(I121="O","운동평가 대기","미방문")))))</f>
        <v>미방문</v>
      </c>
      <c r="X121" s="34"/>
      <c r="Y121" s="34"/>
      <c r="Z121" s="34"/>
      <c r="AA121" s="34"/>
      <c r="AB121" s="34"/>
      <c r="AC121" s="35" t="str">
        <f aca="false">IF(AND(ISNUMBER(X121),ISNUMBER(Y121)),IF(Y121&gt;=X121,ROUND((Y121-X121)*1440,0),""),"")</f>
        <v/>
      </c>
      <c r="AD121" s="35" t="str">
        <f aca="false">IF(AND(ISNUMBER(Y121),ISNUMBER(Z121)),IF(Z121&gt;=Y121,ROUND((Z121-Y121)*1440,0),""),"")</f>
        <v/>
      </c>
      <c r="AE121" s="35" t="str">
        <f aca="false">IF(AND(ISNUMBER(Z121),ISNUMBER(AA121)),IF(AA121&gt;=Z121,ROUND((AA121-Z121)*1440,0),""),"")</f>
        <v/>
      </c>
      <c r="AF121" s="35" t="str">
        <f aca="false">IF(AND(ISNUMBER(AA121),ISNUMBER(AB121)),IF(AB121&gt;=AA121,ROUND((AB121-AA121)*1440,0),""),"")</f>
        <v/>
      </c>
      <c r="AG121" s="35" t="str">
        <f aca="false">IF(AND(W121="완료",ISNUMBER(X121)),IF(MAX(Y121:AB121)&gt;=X121,ROUND((MAX(Y121:AB121)-X121)*1440,0),""),"")</f>
        <v/>
      </c>
    </row>
    <row r="122" customFormat="false" ht="15" hidden="false" customHeight="false" outlineLevel="0" collapsed="false">
      <c r="A122" s="27" t="n">
        <v>118</v>
      </c>
      <c r="B122" s="28"/>
      <c r="C122" s="29"/>
      <c r="D122" s="29"/>
      <c r="E122" s="28"/>
      <c r="F122" s="30"/>
      <c r="G122" s="31"/>
      <c r="H122" s="28"/>
      <c r="I122" s="29"/>
      <c r="J122" s="29"/>
      <c r="K122" s="29"/>
      <c r="L122" s="29"/>
      <c r="M122" s="29"/>
      <c r="N122" s="29"/>
      <c r="O122" s="29"/>
      <c r="P122" s="29"/>
      <c r="Q122" s="29"/>
      <c r="R122" s="29"/>
      <c r="S122" s="28"/>
      <c r="T122" s="32" t="str">
        <f aca="false">IF(AND(K122="",L122=""),"",IF(OR(K122="-",L122="-"),"측정불가",IF(AND(ISNUMBER(K122),ISNUMBER(L122)),IF(OR(K122&gt;=설정!$C$9,L122&gt;=설정!$C$10),"긴급",IF(OR(K122&gt;=설정!$C$7,L122&gt;=설정!$C$8,K122&lt;설정!$C$11),"주의","정상")),"확인필요")))</f>
        <v/>
      </c>
      <c r="U122" s="32" t="str">
        <f aca="false">IF(M122="","",IF(M122="-","측정불가",IF(NOT(ISNUMBER(M122)),"확인필요",IF(M122&lt;설정!$C$15,"긴급(저혈당)",IF(M122&gt;=설정!$C$16,"긴급(고혈당)",IF(N122="공복",IF(M122&gt;=설정!$C$13,"주의","정상"),IF(N122="식후",IF(M122&gt;=설정!$C$14,"주의","정상"),"조건확인")))))))</f>
        <v/>
      </c>
      <c r="V122" s="32" t="str">
        <f aca="false">IF(OR(T122="긴급",LEFT(U122,2)="긴급",P122="O"),"대상","")</f>
        <v/>
      </c>
      <c r="W122" s="33" t="str">
        <f aca="false">IF(R122&lt;&gt;"",R122,IF(O122="O",IF(V122="대상",IF(Q122="O","완료","추가상담 대기"),"완료"),IF(COUNTA(K122:M122)=3,"상담 대기",IF(J122="O","측정 대기",IF(I122="O","운동평가 대기","미방문")))))</f>
        <v>미방문</v>
      </c>
      <c r="X122" s="34"/>
      <c r="Y122" s="34"/>
      <c r="Z122" s="34"/>
      <c r="AA122" s="34"/>
      <c r="AB122" s="34"/>
      <c r="AC122" s="35" t="str">
        <f aca="false">IF(AND(ISNUMBER(X122),ISNUMBER(Y122)),IF(Y122&gt;=X122,ROUND((Y122-X122)*1440,0),""),"")</f>
        <v/>
      </c>
      <c r="AD122" s="35" t="str">
        <f aca="false">IF(AND(ISNUMBER(Y122),ISNUMBER(Z122)),IF(Z122&gt;=Y122,ROUND((Z122-Y122)*1440,0),""),"")</f>
        <v/>
      </c>
      <c r="AE122" s="35" t="str">
        <f aca="false">IF(AND(ISNUMBER(Z122),ISNUMBER(AA122)),IF(AA122&gt;=Z122,ROUND((AA122-Z122)*1440,0),""),"")</f>
        <v/>
      </c>
      <c r="AF122" s="35" t="str">
        <f aca="false">IF(AND(ISNUMBER(AA122),ISNUMBER(AB122)),IF(AB122&gt;=AA122,ROUND((AB122-AA122)*1440,0),""),"")</f>
        <v/>
      </c>
      <c r="AG122" s="35" t="str">
        <f aca="false">IF(AND(W122="완료",ISNUMBER(X122)),IF(MAX(Y122:AB122)&gt;=X122,ROUND((MAX(Y122:AB122)-X122)*1440,0),""),"")</f>
        <v/>
      </c>
    </row>
    <row r="123" customFormat="false" ht="15" hidden="false" customHeight="false" outlineLevel="0" collapsed="false">
      <c r="A123" s="27" t="n">
        <v>119</v>
      </c>
      <c r="B123" s="28"/>
      <c r="C123" s="29"/>
      <c r="D123" s="29"/>
      <c r="E123" s="28"/>
      <c r="F123" s="30"/>
      <c r="G123" s="31"/>
      <c r="H123" s="28"/>
      <c r="I123" s="29"/>
      <c r="J123" s="29"/>
      <c r="K123" s="29"/>
      <c r="L123" s="29"/>
      <c r="M123" s="29"/>
      <c r="N123" s="29"/>
      <c r="O123" s="29"/>
      <c r="P123" s="29"/>
      <c r="Q123" s="29"/>
      <c r="R123" s="29"/>
      <c r="S123" s="28"/>
      <c r="T123" s="32" t="str">
        <f aca="false">IF(AND(K123="",L123=""),"",IF(OR(K123="-",L123="-"),"측정불가",IF(AND(ISNUMBER(K123),ISNUMBER(L123)),IF(OR(K123&gt;=설정!$C$9,L123&gt;=설정!$C$10),"긴급",IF(OR(K123&gt;=설정!$C$7,L123&gt;=설정!$C$8,K123&lt;설정!$C$11),"주의","정상")),"확인필요")))</f>
        <v/>
      </c>
      <c r="U123" s="32" t="str">
        <f aca="false">IF(M123="","",IF(M123="-","측정불가",IF(NOT(ISNUMBER(M123)),"확인필요",IF(M123&lt;설정!$C$15,"긴급(저혈당)",IF(M123&gt;=설정!$C$16,"긴급(고혈당)",IF(N123="공복",IF(M123&gt;=설정!$C$13,"주의","정상"),IF(N123="식후",IF(M123&gt;=설정!$C$14,"주의","정상"),"조건확인")))))))</f>
        <v/>
      </c>
      <c r="V123" s="32" t="str">
        <f aca="false">IF(OR(T123="긴급",LEFT(U123,2)="긴급",P123="O"),"대상","")</f>
        <v/>
      </c>
      <c r="W123" s="33" t="str">
        <f aca="false">IF(R123&lt;&gt;"",R123,IF(O123="O",IF(V123="대상",IF(Q123="O","완료","추가상담 대기"),"완료"),IF(COUNTA(K123:M123)=3,"상담 대기",IF(J123="O","측정 대기",IF(I123="O","운동평가 대기","미방문")))))</f>
        <v>미방문</v>
      </c>
      <c r="X123" s="34"/>
      <c r="Y123" s="34"/>
      <c r="Z123" s="34"/>
      <c r="AA123" s="34"/>
      <c r="AB123" s="34"/>
      <c r="AC123" s="35" t="str">
        <f aca="false">IF(AND(ISNUMBER(X123),ISNUMBER(Y123)),IF(Y123&gt;=X123,ROUND((Y123-X123)*1440,0),""),"")</f>
        <v/>
      </c>
      <c r="AD123" s="35" t="str">
        <f aca="false">IF(AND(ISNUMBER(Y123),ISNUMBER(Z123)),IF(Z123&gt;=Y123,ROUND((Z123-Y123)*1440,0),""),"")</f>
        <v/>
      </c>
      <c r="AE123" s="35" t="str">
        <f aca="false">IF(AND(ISNUMBER(Z123),ISNUMBER(AA123)),IF(AA123&gt;=Z123,ROUND((AA123-Z123)*1440,0),""),"")</f>
        <v/>
      </c>
      <c r="AF123" s="35" t="str">
        <f aca="false">IF(AND(ISNUMBER(AA123),ISNUMBER(AB123)),IF(AB123&gt;=AA123,ROUND((AB123-AA123)*1440,0),""),"")</f>
        <v/>
      </c>
      <c r="AG123" s="35" t="str">
        <f aca="false">IF(AND(W123="완료",ISNUMBER(X123)),IF(MAX(Y123:AB123)&gt;=X123,ROUND((MAX(Y123:AB123)-X123)*1440,0),""),"")</f>
        <v/>
      </c>
    </row>
    <row r="124" customFormat="false" ht="15" hidden="false" customHeight="false" outlineLevel="0" collapsed="false">
      <c r="A124" s="27" t="n">
        <v>120</v>
      </c>
      <c r="B124" s="28"/>
      <c r="C124" s="29"/>
      <c r="D124" s="29"/>
      <c r="E124" s="28"/>
      <c r="F124" s="30"/>
      <c r="G124" s="31"/>
      <c r="H124" s="28"/>
      <c r="I124" s="29"/>
      <c r="J124" s="29"/>
      <c r="K124" s="29"/>
      <c r="L124" s="29"/>
      <c r="M124" s="29"/>
      <c r="N124" s="29"/>
      <c r="O124" s="29"/>
      <c r="P124" s="29"/>
      <c r="Q124" s="29"/>
      <c r="R124" s="29"/>
      <c r="S124" s="28"/>
      <c r="T124" s="32" t="str">
        <f aca="false">IF(AND(K124="",L124=""),"",IF(OR(K124="-",L124="-"),"측정불가",IF(AND(ISNUMBER(K124),ISNUMBER(L124)),IF(OR(K124&gt;=설정!$C$9,L124&gt;=설정!$C$10),"긴급",IF(OR(K124&gt;=설정!$C$7,L124&gt;=설정!$C$8,K124&lt;설정!$C$11),"주의","정상")),"확인필요")))</f>
        <v/>
      </c>
      <c r="U124" s="32" t="str">
        <f aca="false">IF(M124="","",IF(M124="-","측정불가",IF(NOT(ISNUMBER(M124)),"확인필요",IF(M124&lt;설정!$C$15,"긴급(저혈당)",IF(M124&gt;=설정!$C$16,"긴급(고혈당)",IF(N124="공복",IF(M124&gt;=설정!$C$13,"주의","정상"),IF(N124="식후",IF(M124&gt;=설정!$C$14,"주의","정상"),"조건확인")))))))</f>
        <v/>
      </c>
      <c r="V124" s="32" t="str">
        <f aca="false">IF(OR(T124="긴급",LEFT(U124,2)="긴급",P124="O"),"대상","")</f>
        <v/>
      </c>
      <c r="W124" s="33" t="str">
        <f aca="false">IF(R124&lt;&gt;"",R124,IF(O124="O",IF(V124="대상",IF(Q124="O","완료","추가상담 대기"),"완료"),IF(COUNTA(K124:M124)=3,"상담 대기",IF(J124="O","측정 대기",IF(I124="O","운동평가 대기","미방문")))))</f>
        <v>미방문</v>
      </c>
      <c r="X124" s="34"/>
      <c r="Y124" s="34"/>
      <c r="Z124" s="34"/>
      <c r="AA124" s="34"/>
      <c r="AB124" s="34"/>
      <c r="AC124" s="35" t="str">
        <f aca="false">IF(AND(ISNUMBER(X124),ISNUMBER(Y124)),IF(Y124&gt;=X124,ROUND((Y124-X124)*1440,0),""),"")</f>
        <v/>
      </c>
      <c r="AD124" s="35" t="str">
        <f aca="false">IF(AND(ISNUMBER(Y124),ISNUMBER(Z124)),IF(Z124&gt;=Y124,ROUND((Z124-Y124)*1440,0),""),"")</f>
        <v/>
      </c>
      <c r="AE124" s="35" t="str">
        <f aca="false">IF(AND(ISNUMBER(Z124),ISNUMBER(AA124)),IF(AA124&gt;=Z124,ROUND((AA124-Z124)*1440,0),""),"")</f>
        <v/>
      </c>
      <c r="AF124" s="35" t="str">
        <f aca="false">IF(AND(ISNUMBER(AA124),ISNUMBER(AB124)),IF(AB124&gt;=AA124,ROUND((AB124-AA124)*1440,0),""),"")</f>
        <v/>
      </c>
      <c r="AG124" s="35" t="str">
        <f aca="false">IF(AND(W124="완료",ISNUMBER(X124)),IF(MAX(Y124:AB124)&gt;=X124,ROUND((MAX(Y124:AB124)-X124)*1440,0),""),"")</f>
        <v/>
      </c>
    </row>
    <row r="125" customFormat="false" ht="15" hidden="false" customHeight="false" outlineLevel="0" collapsed="false">
      <c r="A125" s="27" t="n">
        <v>121</v>
      </c>
      <c r="B125" s="28"/>
      <c r="C125" s="29"/>
      <c r="D125" s="29"/>
      <c r="E125" s="28"/>
      <c r="F125" s="30"/>
      <c r="G125" s="31"/>
      <c r="H125" s="28"/>
      <c r="I125" s="29"/>
      <c r="J125" s="29"/>
      <c r="K125" s="29"/>
      <c r="L125" s="29"/>
      <c r="M125" s="29"/>
      <c r="N125" s="29"/>
      <c r="O125" s="29"/>
      <c r="P125" s="29"/>
      <c r="Q125" s="29"/>
      <c r="R125" s="29"/>
      <c r="S125" s="28"/>
      <c r="T125" s="32" t="str">
        <f aca="false">IF(AND(K125="",L125=""),"",IF(OR(K125="-",L125="-"),"측정불가",IF(AND(ISNUMBER(K125),ISNUMBER(L125)),IF(OR(K125&gt;=설정!$C$9,L125&gt;=설정!$C$10),"긴급",IF(OR(K125&gt;=설정!$C$7,L125&gt;=설정!$C$8,K125&lt;설정!$C$11),"주의","정상")),"확인필요")))</f>
        <v/>
      </c>
      <c r="U125" s="32" t="str">
        <f aca="false">IF(M125="","",IF(M125="-","측정불가",IF(NOT(ISNUMBER(M125)),"확인필요",IF(M125&lt;설정!$C$15,"긴급(저혈당)",IF(M125&gt;=설정!$C$16,"긴급(고혈당)",IF(N125="공복",IF(M125&gt;=설정!$C$13,"주의","정상"),IF(N125="식후",IF(M125&gt;=설정!$C$14,"주의","정상"),"조건확인")))))))</f>
        <v/>
      </c>
      <c r="V125" s="32" t="str">
        <f aca="false">IF(OR(T125="긴급",LEFT(U125,2)="긴급",P125="O"),"대상","")</f>
        <v/>
      </c>
      <c r="W125" s="33" t="str">
        <f aca="false">IF(R125&lt;&gt;"",R125,IF(O125="O",IF(V125="대상",IF(Q125="O","완료","추가상담 대기"),"완료"),IF(COUNTA(K125:M125)=3,"상담 대기",IF(J125="O","측정 대기",IF(I125="O","운동평가 대기","미방문")))))</f>
        <v>미방문</v>
      </c>
      <c r="X125" s="34"/>
      <c r="Y125" s="34"/>
      <c r="Z125" s="34"/>
      <c r="AA125" s="34"/>
      <c r="AB125" s="34"/>
      <c r="AC125" s="35" t="str">
        <f aca="false">IF(AND(ISNUMBER(X125),ISNUMBER(Y125)),IF(Y125&gt;=X125,ROUND((Y125-X125)*1440,0),""),"")</f>
        <v/>
      </c>
      <c r="AD125" s="35" t="str">
        <f aca="false">IF(AND(ISNUMBER(Y125),ISNUMBER(Z125)),IF(Z125&gt;=Y125,ROUND((Z125-Y125)*1440,0),""),"")</f>
        <v/>
      </c>
      <c r="AE125" s="35" t="str">
        <f aca="false">IF(AND(ISNUMBER(Z125),ISNUMBER(AA125)),IF(AA125&gt;=Z125,ROUND((AA125-Z125)*1440,0),""),"")</f>
        <v/>
      </c>
      <c r="AF125" s="35" t="str">
        <f aca="false">IF(AND(ISNUMBER(AA125),ISNUMBER(AB125)),IF(AB125&gt;=AA125,ROUND((AB125-AA125)*1440,0),""),"")</f>
        <v/>
      </c>
      <c r="AG125" s="35" t="str">
        <f aca="false">IF(AND(W125="완료",ISNUMBER(X125)),IF(MAX(Y125:AB125)&gt;=X125,ROUND((MAX(Y125:AB125)-X125)*1440,0),""),"")</f>
        <v/>
      </c>
    </row>
    <row r="126" customFormat="false" ht="15" hidden="false" customHeight="false" outlineLevel="0" collapsed="false">
      <c r="A126" s="27" t="n">
        <v>122</v>
      </c>
      <c r="B126" s="28"/>
      <c r="C126" s="29"/>
      <c r="D126" s="29"/>
      <c r="E126" s="28"/>
      <c r="F126" s="30"/>
      <c r="G126" s="31"/>
      <c r="H126" s="28"/>
      <c r="I126" s="29"/>
      <c r="J126" s="29"/>
      <c r="K126" s="29"/>
      <c r="L126" s="29"/>
      <c r="M126" s="29"/>
      <c r="N126" s="29"/>
      <c r="O126" s="29"/>
      <c r="P126" s="29"/>
      <c r="Q126" s="29"/>
      <c r="R126" s="29"/>
      <c r="S126" s="28"/>
      <c r="T126" s="32" t="str">
        <f aca="false">IF(AND(K126="",L126=""),"",IF(OR(K126="-",L126="-"),"측정불가",IF(AND(ISNUMBER(K126),ISNUMBER(L126)),IF(OR(K126&gt;=설정!$C$9,L126&gt;=설정!$C$10),"긴급",IF(OR(K126&gt;=설정!$C$7,L126&gt;=설정!$C$8,K126&lt;설정!$C$11),"주의","정상")),"확인필요")))</f>
        <v/>
      </c>
      <c r="U126" s="32" t="str">
        <f aca="false">IF(M126="","",IF(M126="-","측정불가",IF(NOT(ISNUMBER(M126)),"확인필요",IF(M126&lt;설정!$C$15,"긴급(저혈당)",IF(M126&gt;=설정!$C$16,"긴급(고혈당)",IF(N126="공복",IF(M126&gt;=설정!$C$13,"주의","정상"),IF(N126="식후",IF(M126&gt;=설정!$C$14,"주의","정상"),"조건확인")))))))</f>
        <v/>
      </c>
      <c r="V126" s="32" t="str">
        <f aca="false">IF(OR(T126="긴급",LEFT(U126,2)="긴급",P126="O"),"대상","")</f>
        <v/>
      </c>
      <c r="W126" s="33" t="str">
        <f aca="false">IF(R126&lt;&gt;"",R126,IF(O126="O",IF(V126="대상",IF(Q126="O","완료","추가상담 대기"),"완료"),IF(COUNTA(K126:M126)=3,"상담 대기",IF(J126="O","측정 대기",IF(I126="O","운동평가 대기","미방문")))))</f>
        <v>미방문</v>
      </c>
      <c r="X126" s="34"/>
      <c r="Y126" s="34"/>
      <c r="Z126" s="34"/>
      <c r="AA126" s="34"/>
      <c r="AB126" s="34"/>
      <c r="AC126" s="35" t="str">
        <f aca="false">IF(AND(ISNUMBER(X126),ISNUMBER(Y126)),IF(Y126&gt;=X126,ROUND((Y126-X126)*1440,0),""),"")</f>
        <v/>
      </c>
      <c r="AD126" s="35" t="str">
        <f aca="false">IF(AND(ISNUMBER(Y126),ISNUMBER(Z126)),IF(Z126&gt;=Y126,ROUND((Z126-Y126)*1440,0),""),"")</f>
        <v/>
      </c>
      <c r="AE126" s="35" t="str">
        <f aca="false">IF(AND(ISNUMBER(Z126),ISNUMBER(AA126)),IF(AA126&gt;=Z126,ROUND((AA126-Z126)*1440,0),""),"")</f>
        <v/>
      </c>
      <c r="AF126" s="35" t="str">
        <f aca="false">IF(AND(ISNUMBER(AA126),ISNUMBER(AB126)),IF(AB126&gt;=AA126,ROUND((AB126-AA126)*1440,0),""),"")</f>
        <v/>
      </c>
      <c r="AG126" s="35" t="str">
        <f aca="false">IF(AND(W126="완료",ISNUMBER(X126)),IF(MAX(Y126:AB126)&gt;=X126,ROUND((MAX(Y126:AB126)-X126)*1440,0),""),"")</f>
        <v/>
      </c>
    </row>
    <row r="127" customFormat="false" ht="15" hidden="false" customHeight="false" outlineLevel="0" collapsed="false">
      <c r="A127" s="27" t="n">
        <v>123</v>
      </c>
      <c r="B127" s="28"/>
      <c r="C127" s="29"/>
      <c r="D127" s="29"/>
      <c r="E127" s="28"/>
      <c r="F127" s="30"/>
      <c r="G127" s="31"/>
      <c r="H127" s="28"/>
      <c r="I127" s="29"/>
      <c r="J127" s="29"/>
      <c r="K127" s="29"/>
      <c r="L127" s="29"/>
      <c r="M127" s="29"/>
      <c r="N127" s="29"/>
      <c r="O127" s="29"/>
      <c r="P127" s="29"/>
      <c r="Q127" s="29"/>
      <c r="R127" s="29"/>
      <c r="S127" s="28"/>
      <c r="T127" s="32" t="str">
        <f aca="false">IF(AND(K127="",L127=""),"",IF(OR(K127="-",L127="-"),"측정불가",IF(AND(ISNUMBER(K127),ISNUMBER(L127)),IF(OR(K127&gt;=설정!$C$9,L127&gt;=설정!$C$10),"긴급",IF(OR(K127&gt;=설정!$C$7,L127&gt;=설정!$C$8,K127&lt;설정!$C$11),"주의","정상")),"확인필요")))</f>
        <v/>
      </c>
      <c r="U127" s="32" t="str">
        <f aca="false">IF(M127="","",IF(M127="-","측정불가",IF(NOT(ISNUMBER(M127)),"확인필요",IF(M127&lt;설정!$C$15,"긴급(저혈당)",IF(M127&gt;=설정!$C$16,"긴급(고혈당)",IF(N127="공복",IF(M127&gt;=설정!$C$13,"주의","정상"),IF(N127="식후",IF(M127&gt;=설정!$C$14,"주의","정상"),"조건확인")))))))</f>
        <v/>
      </c>
      <c r="V127" s="32" t="str">
        <f aca="false">IF(OR(T127="긴급",LEFT(U127,2)="긴급",P127="O"),"대상","")</f>
        <v/>
      </c>
      <c r="W127" s="33" t="str">
        <f aca="false">IF(R127&lt;&gt;"",R127,IF(O127="O",IF(V127="대상",IF(Q127="O","완료","추가상담 대기"),"완료"),IF(COUNTA(K127:M127)=3,"상담 대기",IF(J127="O","측정 대기",IF(I127="O","운동평가 대기","미방문")))))</f>
        <v>미방문</v>
      </c>
      <c r="X127" s="34"/>
      <c r="Y127" s="34"/>
      <c r="Z127" s="34"/>
      <c r="AA127" s="34"/>
      <c r="AB127" s="34"/>
      <c r="AC127" s="35" t="str">
        <f aca="false">IF(AND(ISNUMBER(X127),ISNUMBER(Y127)),IF(Y127&gt;=X127,ROUND((Y127-X127)*1440,0),""),"")</f>
        <v/>
      </c>
      <c r="AD127" s="35" t="str">
        <f aca="false">IF(AND(ISNUMBER(Y127),ISNUMBER(Z127)),IF(Z127&gt;=Y127,ROUND((Z127-Y127)*1440,0),""),"")</f>
        <v/>
      </c>
      <c r="AE127" s="35" t="str">
        <f aca="false">IF(AND(ISNUMBER(Z127),ISNUMBER(AA127)),IF(AA127&gt;=Z127,ROUND((AA127-Z127)*1440,0),""),"")</f>
        <v/>
      </c>
      <c r="AF127" s="35" t="str">
        <f aca="false">IF(AND(ISNUMBER(AA127),ISNUMBER(AB127)),IF(AB127&gt;=AA127,ROUND((AB127-AA127)*1440,0),""),"")</f>
        <v/>
      </c>
      <c r="AG127" s="35" t="str">
        <f aca="false">IF(AND(W127="완료",ISNUMBER(X127)),IF(MAX(Y127:AB127)&gt;=X127,ROUND((MAX(Y127:AB127)-X127)*1440,0),""),"")</f>
        <v/>
      </c>
    </row>
    <row r="128" customFormat="false" ht="15" hidden="false" customHeight="false" outlineLevel="0" collapsed="false">
      <c r="A128" s="27" t="n">
        <v>124</v>
      </c>
      <c r="B128" s="28"/>
      <c r="C128" s="29"/>
      <c r="D128" s="29"/>
      <c r="E128" s="28"/>
      <c r="F128" s="30"/>
      <c r="G128" s="31"/>
      <c r="H128" s="28"/>
      <c r="I128" s="29"/>
      <c r="J128" s="29"/>
      <c r="K128" s="29"/>
      <c r="L128" s="29"/>
      <c r="M128" s="29"/>
      <c r="N128" s="29"/>
      <c r="O128" s="29"/>
      <c r="P128" s="29"/>
      <c r="Q128" s="29"/>
      <c r="R128" s="29"/>
      <c r="S128" s="28"/>
      <c r="T128" s="32" t="str">
        <f aca="false">IF(AND(K128="",L128=""),"",IF(OR(K128="-",L128="-"),"측정불가",IF(AND(ISNUMBER(K128),ISNUMBER(L128)),IF(OR(K128&gt;=설정!$C$9,L128&gt;=설정!$C$10),"긴급",IF(OR(K128&gt;=설정!$C$7,L128&gt;=설정!$C$8,K128&lt;설정!$C$11),"주의","정상")),"확인필요")))</f>
        <v/>
      </c>
      <c r="U128" s="32" t="str">
        <f aca="false">IF(M128="","",IF(M128="-","측정불가",IF(NOT(ISNUMBER(M128)),"확인필요",IF(M128&lt;설정!$C$15,"긴급(저혈당)",IF(M128&gt;=설정!$C$16,"긴급(고혈당)",IF(N128="공복",IF(M128&gt;=설정!$C$13,"주의","정상"),IF(N128="식후",IF(M128&gt;=설정!$C$14,"주의","정상"),"조건확인")))))))</f>
        <v/>
      </c>
      <c r="V128" s="32" t="str">
        <f aca="false">IF(OR(T128="긴급",LEFT(U128,2)="긴급",P128="O"),"대상","")</f>
        <v/>
      </c>
      <c r="W128" s="33" t="str">
        <f aca="false">IF(R128&lt;&gt;"",R128,IF(O128="O",IF(V128="대상",IF(Q128="O","완료","추가상담 대기"),"완료"),IF(COUNTA(K128:M128)=3,"상담 대기",IF(J128="O","측정 대기",IF(I128="O","운동평가 대기","미방문")))))</f>
        <v>미방문</v>
      </c>
      <c r="X128" s="34"/>
      <c r="Y128" s="34"/>
      <c r="Z128" s="34"/>
      <c r="AA128" s="34"/>
      <c r="AB128" s="34"/>
      <c r="AC128" s="35" t="str">
        <f aca="false">IF(AND(ISNUMBER(X128),ISNUMBER(Y128)),IF(Y128&gt;=X128,ROUND((Y128-X128)*1440,0),""),"")</f>
        <v/>
      </c>
      <c r="AD128" s="35" t="str">
        <f aca="false">IF(AND(ISNUMBER(Y128),ISNUMBER(Z128)),IF(Z128&gt;=Y128,ROUND((Z128-Y128)*1440,0),""),"")</f>
        <v/>
      </c>
      <c r="AE128" s="35" t="str">
        <f aca="false">IF(AND(ISNUMBER(Z128),ISNUMBER(AA128)),IF(AA128&gt;=Z128,ROUND((AA128-Z128)*1440,0),""),"")</f>
        <v/>
      </c>
      <c r="AF128" s="35" t="str">
        <f aca="false">IF(AND(ISNUMBER(AA128),ISNUMBER(AB128)),IF(AB128&gt;=AA128,ROUND((AB128-AA128)*1440,0),""),"")</f>
        <v/>
      </c>
      <c r="AG128" s="35" t="str">
        <f aca="false">IF(AND(W128="완료",ISNUMBER(X128)),IF(MAX(Y128:AB128)&gt;=X128,ROUND((MAX(Y128:AB128)-X128)*1440,0),""),"")</f>
        <v/>
      </c>
    </row>
    <row r="129" customFormat="false" ht="15" hidden="false" customHeight="false" outlineLevel="0" collapsed="false">
      <c r="A129" s="27" t="n">
        <v>125</v>
      </c>
      <c r="B129" s="28"/>
      <c r="C129" s="29"/>
      <c r="D129" s="29"/>
      <c r="E129" s="28"/>
      <c r="F129" s="30"/>
      <c r="G129" s="31"/>
      <c r="H129" s="28"/>
      <c r="I129" s="29"/>
      <c r="J129" s="29"/>
      <c r="K129" s="29"/>
      <c r="L129" s="29"/>
      <c r="M129" s="29"/>
      <c r="N129" s="29"/>
      <c r="O129" s="29"/>
      <c r="P129" s="29"/>
      <c r="Q129" s="29"/>
      <c r="R129" s="29"/>
      <c r="S129" s="28"/>
      <c r="T129" s="32" t="str">
        <f aca="false">IF(AND(K129="",L129=""),"",IF(OR(K129="-",L129="-"),"측정불가",IF(AND(ISNUMBER(K129),ISNUMBER(L129)),IF(OR(K129&gt;=설정!$C$9,L129&gt;=설정!$C$10),"긴급",IF(OR(K129&gt;=설정!$C$7,L129&gt;=설정!$C$8,K129&lt;설정!$C$11),"주의","정상")),"확인필요")))</f>
        <v/>
      </c>
      <c r="U129" s="32" t="str">
        <f aca="false">IF(M129="","",IF(M129="-","측정불가",IF(NOT(ISNUMBER(M129)),"확인필요",IF(M129&lt;설정!$C$15,"긴급(저혈당)",IF(M129&gt;=설정!$C$16,"긴급(고혈당)",IF(N129="공복",IF(M129&gt;=설정!$C$13,"주의","정상"),IF(N129="식후",IF(M129&gt;=설정!$C$14,"주의","정상"),"조건확인")))))))</f>
        <v/>
      </c>
      <c r="V129" s="32" t="str">
        <f aca="false">IF(OR(T129="긴급",LEFT(U129,2)="긴급",P129="O"),"대상","")</f>
        <v/>
      </c>
      <c r="W129" s="33" t="str">
        <f aca="false">IF(R129&lt;&gt;"",R129,IF(O129="O",IF(V129="대상",IF(Q129="O","완료","추가상담 대기"),"완료"),IF(COUNTA(K129:M129)=3,"상담 대기",IF(J129="O","측정 대기",IF(I129="O","운동평가 대기","미방문")))))</f>
        <v>미방문</v>
      </c>
      <c r="X129" s="34"/>
      <c r="Y129" s="34"/>
      <c r="Z129" s="34"/>
      <c r="AA129" s="34"/>
      <c r="AB129" s="34"/>
      <c r="AC129" s="35" t="str">
        <f aca="false">IF(AND(ISNUMBER(X129),ISNUMBER(Y129)),IF(Y129&gt;=X129,ROUND((Y129-X129)*1440,0),""),"")</f>
        <v/>
      </c>
      <c r="AD129" s="35" t="str">
        <f aca="false">IF(AND(ISNUMBER(Y129),ISNUMBER(Z129)),IF(Z129&gt;=Y129,ROUND((Z129-Y129)*1440,0),""),"")</f>
        <v/>
      </c>
      <c r="AE129" s="35" t="str">
        <f aca="false">IF(AND(ISNUMBER(Z129),ISNUMBER(AA129)),IF(AA129&gt;=Z129,ROUND((AA129-Z129)*1440,0),""),"")</f>
        <v/>
      </c>
      <c r="AF129" s="35" t="str">
        <f aca="false">IF(AND(ISNUMBER(AA129),ISNUMBER(AB129)),IF(AB129&gt;=AA129,ROUND((AB129-AA129)*1440,0),""),"")</f>
        <v/>
      </c>
      <c r="AG129" s="35" t="str">
        <f aca="false">IF(AND(W129="완료",ISNUMBER(X129)),IF(MAX(Y129:AB129)&gt;=X129,ROUND((MAX(Y129:AB129)-X129)*1440,0),""),"")</f>
        <v/>
      </c>
    </row>
    <row r="130" customFormat="false" ht="15" hidden="false" customHeight="false" outlineLevel="0" collapsed="false">
      <c r="A130" s="27" t="n">
        <v>126</v>
      </c>
      <c r="B130" s="28"/>
      <c r="C130" s="29"/>
      <c r="D130" s="29"/>
      <c r="E130" s="28"/>
      <c r="F130" s="30"/>
      <c r="G130" s="31"/>
      <c r="H130" s="28"/>
      <c r="I130" s="29"/>
      <c r="J130" s="29"/>
      <c r="K130" s="29"/>
      <c r="L130" s="29"/>
      <c r="M130" s="29"/>
      <c r="N130" s="29"/>
      <c r="O130" s="29"/>
      <c r="P130" s="29"/>
      <c r="Q130" s="29"/>
      <c r="R130" s="29"/>
      <c r="S130" s="28"/>
      <c r="T130" s="32" t="str">
        <f aca="false">IF(AND(K130="",L130=""),"",IF(OR(K130="-",L130="-"),"측정불가",IF(AND(ISNUMBER(K130),ISNUMBER(L130)),IF(OR(K130&gt;=설정!$C$9,L130&gt;=설정!$C$10),"긴급",IF(OR(K130&gt;=설정!$C$7,L130&gt;=설정!$C$8,K130&lt;설정!$C$11),"주의","정상")),"확인필요")))</f>
        <v/>
      </c>
      <c r="U130" s="32" t="str">
        <f aca="false">IF(M130="","",IF(M130="-","측정불가",IF(NOT(ISNUMBER(M130)),"확인필요",IF(M130&lt;설정!$C$15,"긴급(저혈당)",IF(M130&gt;=설정!$C$16,"긴급(고혈당)",IF(N130="공복",IF(M130&gt;=설정!$C$13,"주의","정상"),IF(N130="식후",IF(M130&gt;=설정!$C$14,"주의","정상"),"조건확인")))))))</f>
        <v/>
      </c>
      <c r="V130" s="32" t="str">
        <f aca="false">IF(OR(T130="긴급",LEFT(U130,2)="긴급",P130="O"),"대상","")</f>
        <v/>
      </c>
      <c r="W130" s="33" t="str">
        <f aca="false">IF(R130&lt;&gt;"",R130,IF(O130="O",IF(V130="대상",IF(Q130="O","완료","추가상담 대기"),"완료"),IF(COUNTA(K130:M130)=3,"상담 대기",IF(J130="O","측정 대기",IF(I130="O","운동평가 대기","미방문")))))</f>
        <v>미방문</v>
      </c>
      <c r="X130" s="34"/>
      <c r="Y130" s="34"/>
      <c r="Z130" s="34"/>
      <c r="AA130" s="34"/>
      <c r="AB130" s="34"/>
      <c r="AC130" s="35" t="str">
        <f aca="false">IF(AND(ISNUMBER(X130),ISNUMBER(Y130)),IF(Y130&gt;=X130,ROUND((Y130-X130)*1440,0),""),"")</f>
        <v/>
      </c>
      <c r="AD130" s="35" t="str">
        <f aca="false">IF(AND(ISNUMBER(Y130),ISNUMBER(Z130)),IF(Z130&gt;=Y130,ROUND((Z130-Y130)*1440,0),""),"")</f>
        <v/>
      </c>
      <c r="AE130" s="35" t="str">
        <f aca="false">IF(AND(ISNUMBER(Z130),ISNUMBER(AA130)),IF(AA130&gt;=Z130,ROUND((AA130-Z130)*1440,0),""),"")</f>
        <v/>
      </c>
      <c r="AF130" s="35" t="str">
        <f aca="false">IF(AND(ISNUMBER(AA130),ISNUMBER(AB130)),IF(AB130&gt;=AA130,ROUND((AB130-AA130)*1440,0),""),"")</f>
        <v/>
      </c>
      <c r="AG130" s="35" t="str">
        <f aca="false">IF(AND(W130="완료",ISNUMBER(X130)),IF(MAX(Y130:AB130)&gt;=X130,ROUND((MAX(Y130:AB130)-X130)*1440,0),""),"")</f>
        <v/>
      </c>
    </row>
    <row r="131" customFormat="false" ht="15" hidden="false" customHeight="false" outlineLevel="0" collapsed="false">
      <c r="A131" s="27" t="n">
        <v>127</v>
      </c>
      <c r="B131" s="28"/>
      <c r="C131" s="29"/>
      <c r="D131" s="29"/>
      <c r="E131" s="28"/>
      <c r="F131" s="30"/>
      <c r="G131" s="31"/>
      <c r="H131" s="28"/>
      <c r="I131" s="29"/>
      <c r="J131" s="29"/>
      <c r="K131" s="29"/>
      <c r="L131" s="29"/>
      <c r="M131" s="29"/>
      <c r="N131" s="29"/>
      <c r="O131" s="29"/>
      <c r="P131" s="29"/>
      <c r="Q131" s="29"/>
      <c r="R131" s="29"/>
      <c r="S131" s="28"/>
      <c r="T131" s="32" t="str">
        <f aca="false">IF(AND(K131="",L131=""),"",IF(OR(K131="-",L131="-"),"측정불가",IF(AND(ISNUMBER(K131),ISNUMBER(L131)),IF(OR(K131&gt;=설정!$C$9,L131&gt;=설정!$C$10),"긴급",IF(OR(K131&gt;=설정!$C$7,L131&gt;=설정!$C$8,K131&lt;설정!$C$11),"주의","정상")),"확인필요")))</f>
        <v/>
      </c>
      <c r="U131" s="32" t="str">
        <f aca="false">IF(M131="","",IF(M131="-","측정불가",IF(NOT(ISNUMBER(M131)),"확인필요",IF(M131&lt;설정!$C$15,"긴급(저혈당)",IF(M131&gt;=설정!$C$16,"긴급(고혈당)",IF(N131="공복",IF(M131&gt;=설정!$C$13,"주의","정상"),IF(N131="식후",IF(M131&gt;=설정!$C$14,"주의","정상"),"조건확인")))))))</f>
        <v/>
      </c>
      <c r="V131" s="32" t="str">
        <f aca="false">IF(OR(T131="긴급",LEFT(U131,2)="긴급",P131="O"),"대상","")</f>
        <v/>
      </c>
      <c r="W131" s="33" t="str">
        <f aca="false">IF(R131&lt;&gt;"",R131,IF(O131="O",IF(V131="대상",IF(Q131="O","완료","추가상담 대기"),"완료"),IF(COUNTA(K131:M131)=3,"상담 대기",IF(J131="O","측정 대기",IF(I131="O","운동평가 대기","미방문")))))</f>
        <v>미방문</v>
      </c>
      <c r="X131" s="34"/>
      <c r="Y131" s="34"/>
      <c r="Z131" s="34"/>
      <c r="AA131" s="34"/>
      <c r="AB131" s="34"/>
      <c r="AC131" s="35" t="str">
        <f aca="false">IF(AND(ISNUMBER(X131),ISNUMBER(Y131)),IF(Y131&gt;=X131,ROUND((Y131-X131)*1440,0),""),"")</f>
        <v/>
      </c>
      <c r="AD131" s="35" t="str">
        <f aca="false">IF(AND(ISNUMBER(Y131),ISNUMBER(Z131)),IF(Z131&gt;=Y131,ROUND((Z131-Y131)*1440,0),""),"")</f>
        <v/>
      </c>
      <c r="AE131" s="35" t="str">
        <f aca="false">IF(AND(ISNUMBER(Z131),ISNUMBER(AA131)),IF(AA131&gt;=Z131,ROUND((AA131-Z131)*1440,0),""),"")</f>
        <v/>
      </c>
      <c r="AF131" s="35" t="str">
        <f aca="false">IF(AND(ISNUMBER(AA131),ISNUMBER(AB131)),IF(AB131&gt;=AA131,ROUND((AB131-AA131)*1440,0),""),"")</f>
        <v/>
      </c>
      <c r="AG131" s="35" t="str">
        <f aca="false">IF(AND(W131="완료",ISNUMBER(X131)),IF(MAX(Y131:AB131)&gt;=X131,ROUND((MAX(Y131:AB131)-X131)*1440,0),""),"")</f>
        <v/>
      </c>
    </row>
    <row r="132" customFormat="false" ht="15" hidden="false" customHeight="false" outlineLevel="0" collapsed="false">
      <c r="A132" s="27" t="n">
        <v>128</v>
      </c>
      <c r="B132" s="28"/>
      <c r="C132" s="29"/>
      <c r="D132" s="29"/>
      <c r="E132" s="28"/>
      <c r="F132" s="30"/>
      <c r="G132" s="31"/>
      <c r="H132" s="28"/>
      <c r="I132" s="29"/>
      <c r="J132" s="29"/>
      <c r="K132" s="29"/>
      <c r="L132" s="29"/>
      <c r="M132" s="29"/>
      <c r="N132" s="29"/>
      <c r="O132" s="29"/>
      <c r="P132" s="29"/>
      <c r="Q132" s="29"/>
      <c r="R132" s="29"/>
      <c r="S132" s="28"/>
      <c r="T132" s="32" t="str">
        <f aca="false">IF(AND(K132="",L132=""),"",IF(OR(K132="-",L132="-"),"측정불가",IF(AND(ISNUMBER(K132),ISNUMBER(L132)),IF(OR(K132&gt;=설정!$C$9,L132&gt;=설정!$C$10),"긴급",IF(OR(K132&gt;=설정!$C$7,L132&gt;=설정!$C$8,K132&lt;설정!$C$11),"주의","정상")),"확인필요")))</f>
        <v/>
      </c>
      <c r="U132" s="32" t="str">
        <f aca="false">IF(M132="","",IF(M132="-","측정불가",IF(NOT(ISNUMBER(M132)),"확인필요",IF(M132&lt;설정!$C$15,"긴급(저혈당)",IF(M132&gt;=설정!$C$16,"긴급(고혈당)",IF(N132="공복",IF(M132&gt;=설정!$C$13,"주의","정상"),IF(N132="식후",IF(M132&gt;=설정!$C$14,"주의","정상"),"조건확인")))))))</f>
        <v/>
      </c>
      <c r="V132" s="32" t="str">
        <f aca="false">IF(OR(T132="긴급",LEFT(U132,2)="긴급",P132="O"),"대상","")</f>
        <v/>
      </c>
      <c r="W132" s="33" t="str">
        <f aca="false">IF(R132&lt;&gt;"",R132,IF(O132="O",IF(V132="대상",IF(Q132="O","완료","추가상담 대기"),"완료"),IF(COUNTA(K132:M132)=3,"상담 대기",IF(J132="O","측정 대기",IF(I132="O","운동평가 대기","미방문")))))</f>
        <v>미방문</v>
      </c>
      <c r="X132" s="34"/>
      <c r="Y132" s="34"/>
      <c r="Z132" s="34"/>
      <c r="AA132" s="34"/>
      <c r="AB132" s="34"/>
      <c r="AC132" s="35" t="str">
        <f aca="false">IF(AND(ISNUMBER(X132),ISNUMBER(Y132)),IF(Y132&gt;=X132,ROUND((Y132-X132)*1440,0),""),"")</f>
        <v/>
      </c>
      <c r="AD132" s="35" t="str">
        <f aca="false">IF(AND(ISNUMBER(Y132),ISNUMBER(Z132)),IF(Z132&gt;=Y132,ROUND((Z132-Y132)*1440,0),""),"")</f>
        <v/>
      </c>
      <c r="AE132" s="35" t="str">
        <f aca="false">IF(AND(ISNUMBER(Z132),ISNUMBER(AA132)),IF(AA132&gt;=Z132,ROUND((AA132-Z132)*1440,0),""),"")</f>
        <v/>
      </c>
      <c r="AF132" s="35" t="str">
        <f aca="false">IF(AND(ISNUMBER(AA132),ISNUMBER(AB132)),IF(AB132&gt;=AA132,ROUND((AB132-AA132)*1440,0),""),"")</f>
        <v/>
      </c>
      <c r="AG132" s="35" t="str">
        <f aca="false">IF(AND(W132="완료",ISNUMBER(X132)),IF(MAX(Y132:AB132)&gt;=X132,ROUND((MAX(Y132:AB132)-X132)*1440,0),""),"")</f>
        <v/>
      </c>
    </row>
    <row r="133" customFormat="false" ht="15" hidden="false" customHeight="false" outlineLevel="0" collapsed="false">
      <c r="A133" s="27" t="n">
        <v>129</v>
      </c>
      <c r="B133" s="28"/>
      <c r="C133" s="29"/>
      <c r="D133" s="29"/>
      <c r="E133" s="28"/>
      <c r="F133" s="30"/>
      <c r="G133" s="31"/>
      <c r="H133" s="28"/>
      <c r="I133" s="29"/>
      <c r="J133" s="29"/>
      <c r="K133" s="29"/>
      <c r="L133" s="29"/>
      <c r="M133" s="29"/>
      <c r="N133" s="29"/>
      <c r="O133" s="29"/>
      <c r="P133" s="29"/>
      <c r="Q133" s="29"/>
      <c r="R133" s="29"/>
      <c r="S133" s="28"/>
      <c r="T133" s="32" t="str">
        <f aca="false">IF(AND(K133="",L133=""),"",IF(OR(K133="-",L133="-"),"측정불가",IF(AND(ISNUMBER(K133),ISNUMBER(L133)),IF(OR(K133&gt;=설정!$C$9,L133&gt;=설정!$C$10),"긴급",IF(OR(K133&gt;=설정!$C$7,L133&gt;=설정!$C$8,K133&lt;설정!$C$11),"주의","정상")),"확인필요")))</f>
        <v/>
      </c>
      <c r="U133" s="32" t="str">
        <f aca="false">IF(M133="","",IF(M133="-","측정불가",IF(NOT(ISNUMBER(M133)),"확인필요",IF(M133&lt;설정!$C$15,"긴급(저혈당)",IF(M133&gt;=설정!$C$16,"긴급(고혈당)",IF(N133="공복",IF(M133&gt;=설정!$C$13,"주의","정상"),IF(N133="식후",IF(M133&gt;=설정!$C$14,"주의","정상"),"조건확인")))))))</f>
        <v/>
      </c>
      <c r="V133" s="32" t="str">
        <f aca="false">IF(OR(T133="긴급",LEFT(U133,2)="긴급",P133="O"),"대상","")</f>
        <v/>
      </c>
      <c r="W133" s="33" t="str">
        <f aca="false">IF(R133&lt;&gt;"",R133,IF(O133="O",IF(V133="대상",IF(Q133="O","완료","추가상담 대기"),"완료"),IF(COUNTA(K133:M133)=3,"상담 대기",IF(J133="O","측정 대기",IF(I133="O","운동평가 대기","미방문")))))</f>
        <v>미방문</v>
      </c>
      <c r="X133" s="34"/>
      <c r="Y133" s="34"/>
      <c r="Z133" s="34"/>
      <c r="AA133" s="34"/>
      <c r="AB133" s="34"/>
      <c r="AC133" s="35" t="str">
        <f aca="false">IF(AND(ISNUMBER(X133),ISNUMBER(Y133)),IF(Y133&gt;=X133,ROUND((Y133-X133)*1440,0),""),"")</f>
        <v/>
      </c>
      <c r="AD133" s="35" t="str">
        <f aca="false">IF(AND(ISNUMBER(Y133),ISNUMBER(Z133)),IF(Z133&gt;=Y133,ROUND((Z133-Y133)*1440,0),""),"")</f>
        <v/>
      </c>
      <c r="AE133" s="35" t="str">
        <f aca="false">IF(AND(ISNUMBER(Z133),ISNUMBER(AA133)),IF(AA133&gt;=Z133,ROUND((AA133-Z133)*1440,0),""),"")</f>
        <v/>
      </c>
      <c r="AF133" s="35" t="str">
        <f aca="false">IF(AND(ISNUMBER(AA133),ISNUMBER(AB133)),IF(AB133&gt;=AA133,ROUND((AB133-AA133)*1440,0),""),"")</f>
        <v/>
      </c>
      <c r="AG133" s="35" t="str">
        <f aca="false">IF(AND(W133="완료",ISNUMBER(X133)),IF(MAX(Y133:AB133)&gt;=X133,ROUND((MAX(Y133:AB133)-X133)*1440,0),""),"")</f>
        <v/>
      </c>
    </row>
    <row r="134" customFormat="false" ht="15" hidden="false" customHeight="false" outlineLevel="0" collapsed="false">
      <c r="A134" s="27" t="n">
        <v>130</v>
      </c>
      <c r="B134" s="28"/>
      <c r="C134" s="29"/>
      <c r="D134" s="29"/>
      <c r="E134" s="28"/>
      <c r="F134" s="30"/>
      <c r="G134" s="31"/>
      <c r="H134" s="28"/>
      <c r="I134" s="29"/>
      <c r="J134" s="29"/>
      <c r="K134" s="29"/>
      <c r="L134" s="29"/>
      <c r="M134" s="29"/>
      <c r="N134" s="29"/>
      <c r="O134" s="29"/>
      <c r="P134" s="29"/>
      <c r="Q134" s="29"/>
      <c r="R134" s="29"/>
      <c r="S134" s="28"/>
      <c r="T134" s="32" t="str">
        <f aca="false">IF(AND(K134="",L134=""),"",IF(OR(K134="-",L134="-"),"측정불가",IF(AND(ISNUMBER(K134),ISNUMBER(L134)),IF(OR(K134&gt;=설정!$C$9,L134&gt;=설정!$C$10),"긴급",IF(OR(K134&gt;=설정!$C$7,L134&gt;=설정!$C$8,K134&lt;설정!$C$11),"주의","정상")),"확인필요")))</f>
        <v/>
      </c>
      <c r="U134" s="32" t="str">
        <f aca="false">IF(M134="","",IF(M134="-","측정불가",IF(NOT(ISNUMBER(M134)),"확인필요",IF(M134&lt;설정!$C$15,"긴급(저혈당)",IF(M134&gt;=설정!$C$16,"긴급(고혈당)",IF(N134="공복",IF(M134&gt;=설정!$C$13,"주의","정상"),IF(N134="식후",IF(M134&gt;=설정!$C$14,"주의","정상"),"조건확인")))))))</f>
        <v/>
      </c>
      <c r="V134" s="32" t="str">
        <f aca="false">IF(OR(T134="긴급",LEFT(U134,2)="긴급",P134="O"),"대상","")</f>
        <v/>
      </c>
      <c r="W134" s="33" t="str">
        <f aca="false">IF(R134&lt;&gt;"",R134,IF(O134="O",IF(V134="대상",IF(Q134="O","완료","추가상담 대기"),"완료"),IF(COUNTA(K134:M134)=3,"상담 대기",IF(J134="O","측정 대기",IF(I134="O","운동평가 대기","미방문")))))</f>
        <v>미방문</v>
      </c>
      <c r="X134" s="34"/>
      <c r="Y134" s="34"/>
      <c r="Z134" s="34"/>
      <c r="AA134" s="34"/>
      <c r="AB134" s="34"/>
      <c r="AC134" s="35" t="str">
        <f aca="false">IF(AND(ISNUMBER(X134),ISNUMBER(Y134)),IF(Y134&gt;=X134,ROUND((Y134-X134)*1440,0),""),"")</f>
        <v/>
      </c>
      <c r="AD134" s="35" t="str">
        <f aca="false">IF(AND(ISNUMBER(Y134),ISNUMBER(Z134)),IF(Z134&gt;=Y134,ROUND((Z134-Y134)*1440,0),""),"")</f>
        <v/>
      </c>
      <c r="AE134" s="35" t="str">
        <f aca="false">IF(AND(ISNUMBER(Z134),ISNUMBER(AA134)),IF(AA134&gt;=Z134,ROUND((AA134-Z134)*1440,0),""),"")</f>
        <v/>
      </c>
      <c r="AF134" s="35" t="str">
        <f aca="false">IF(AND(ISNUMBER(AA134),ISNUMBER(AB134)),IF(AB134&gt;=AA134,ROUND((AB134-AA134)*1440,0),""),"")</f>
        <v/>
      </c>
      <c r="AG134" s="35" t="str">
        <f aca="false">IF(AND(W134="완료",ISNUMBER(X134)),IF(MAX(Y134:AB134)&gt;=X134,ROUND((MAX(Y134:AB134)-X134)*1440,0),""),"")</f>
        <v/>
      </c>
    </row>
    <row r="135" customFormat="false" ht="15" hidden="false" customHeight="false" outlineLevel="0" collapsed="false">
      <c r="A135" s="27" t="n">
        <v>131</v>
      </c>
      <c r="B135" s="28"/>
      <c r="C135" s="29"/>
      <c r="D135" s="29"/>
      <c r="E135" s="28"/>
      <c r="F135" s="30"/>
      <c r="G135" s="31"/>
      <c r="H135" s="28"/>
      <c r="I135" s="29"/>
      <c r="J135" s="29"/>
      <c r="K135" s="29"/>
      <c r="L135" s="29"/>
      <c r="M135" s="29"/>
      <c r="N135" s="29"/>
      <c r="O135" s="29"/>
      <c r="P135" s="29"/>
      <c r="Q135" s="29"/>
      <c r="R135" s="29"/>
      <c r="S135" s="28"/>
      <c r="T135" s="32" t="str">
        <f aca="false">IF(AND(K135="",L135=""),"",IF(OR(K135="-",L135="-"),"측정불가",IF(AND(ISNUMBER(K135),ISNUMBER(L135)),IF(OR(K135&gt;=설정!$C$9,L135&gt;=설정!$C$10),"긴급",IF(OR(K135&gt;=설정!$C$7,L135&gt;=설정!$C$8,K135&lt;설정!$C$11),"주의","정상")),"확인필요")))</f>
        <v/>
      </c>
      <c r="U135" s="32" t="str">
        <f aca="false">IF(M135="","",IF(M135="-","측정불가",IF(NOT(ISNUMBER(M135)),"확인필요",IF(M135&lt;설정!$C$15,"긴급(저혈당)",IF(M135&gt;=설정!$C$16,"긴급(고혈당)",IF(N135="공복",IF(M135&gt;=설정!$C$13,"주의","정상"),IF(N135="식후",IF(M135&gt;=설정!$C$14,"주의","정상"),"조건확인")))))))</f>
        <v/>
      </c>
      <c r="V135" s="32" t="str">
        <f aca="false">IF(OR(T135="긴급",LEFT(U135,2)="긴급",P135="O"),"대상","")</f>
        <v/>
      </c>
      <c r="W135" s="33" t="str">
        <f aca="false">IF(R135&lt;&gt;"",R135,IF(O135="O",IF(V135="대상",IF(Q135="O","완료","추가상담 대기"),"완료"),IF(COUNTA(K135:M135)=3,"상담 대기",IF(J135="O","측정 대기",IF(I135="O","운동평가 대기","미방문")))))</f>
        <v>미방문</v>
      </c>
      <c r="X135" s="34"/>
      <c r="Y135" s="34"/>
      <c r="Z135" s="34"/>
      <c r="AA135" s="34"/>
      <c r="AB135" s="34"/>
      <c r="AC135" s="35" t="str">
        <f aca="false">IF(AND(ISNUMBER(X135),ISNUMBER(Y135)),IF(Y135&gt;=X135,ROUND((Y135-X135)*1440,0),""),"")</f>
        <v/>
      </c>
      <c r="AD135" s="35" t="str">
        <f aca="false">IF(AND(ISNUMBER(Y135),ISNUMBER(Z135)),IF(Z135&gt;=Y135,ROUND((Z135-Y135)*1440,0),""),"")</f>
        <v/>
      </c>
      <c r="AE135" s="35" t="str">
        <f aca="false">IF(AND(ISNUMBER(Z135),ISNUMBER(AA135)),IF(AA135&gt;=Z135,ROUND((AA135-Z135)*1440,0),""),"")</f>
        <v/>
      </c>
      <c r="AF135" s="35" t="str">
        <f aca="false">IF(AND(ISNUMBER(AA135),ISNUMBER(AB135)),IF(AB135&gt;=AA135,ROUND((AB135-AA135)*1440,0),""),"")</f>
        <v/>
      </c>
      <c r="AG135" s="35" t="str">
        <f aca="false">IF(AND(W135="완료",ISNUMBER(X135)),IF(MAX(Y135:AB135)&gt;=X135,ROUND((MAX(Y135:AB135)-X135)*1440,0),""),"")</f>
        <v/>
      </c>
    </row>
    <row r="136" customFormat="false" ht="15" hidden="false" customHeight="false" outlineLevel="0" collapsed="false">
      <c r="A136" s="27" t="n">
        <v>132</v>
      </c>
      <c r="B136" s="28"/>
      <c r="C136" s="29"/>
      <c r="D136" s="29"/>
      <c r="E136" s="28"/>
      <c r="F136" s="30"/>
      <c r="G136" s="31"/>
      <c r="H136" s="28"/>
      <c r="I136" s="29"/>
      <c r="J136" s="29"/>
      <c r="K136" s="29"/>
      <c r="L136" s="29"/>
      <c r="M136" s="29"/>
      <c r="N136" s="29"/>
      <c r="O136" s="29"/>
      <c r="P136" s="29"/>
      <c r="Q136" s="29"/>
      <c r="R136" s="29"/>
      <c r="S136" s="28"/>
      <c r="T136" s="32" t="str">
        <f aca="false">IF(AND(K136="",L136=""),"",IF(OR(K136="-",L136="-"),"측정불가",IF(AND(ISNUMBER(K136),ISNUMBER(L136)),IF(OR(K136&gt;=설정!$C$9,L136&gt;=설정!$C$10),"긴급",IF(OR(K136&gt;=설정!$C$7,L136&gt;=설정!$C$8,K136&lt;설정!$C$11),"주의","정상")),"확인필요")))</f>
        <v/>
      </c>
      <c r="U136" s="32" t="str">
        <f aca="false">IF(M136="","",IF(M136="-","측정불가",IF(NOT(ISNUMBER(M136)),"확인필요",IF(M136&lt;설정!$C$15,"긴급(저혈당)",IF(M136&gt;=설정!$C$16,"긴급(고혈당)",IF(N136="공복",IF(M136&gt;=설정!$C$13,"주의","정상"),IF(N136="식후",IF(M136&gt;=설정!$C$14,"주의","정상"),"조건확인")))))))</f>
        <v/>
      </c>
      <c r="V136" s="32" t="str">
        <f aca="false">IF(OR(T136="긴급",LEFT(U136,2)="긴급",P136="O"),"대상","")</f>
        <v/>
      </c>
      <c r="W136" s="33" t="str">
        <f aca="false">IF(R136&lt;&gt;"",R136,IF(O136="O",IF(V136="대상",IF(Q136="O","완료","추가상담 대기"),"완료"),IF(COUNTA(K136:M136)=3,"상담 대기",IF(J136="O","측정 대기",IF(I136="O","운동평가 대기","미방문")))))</f>
        <v>미방문</v>
      </c>
      <c r="X136" s="34"/>
      <c r="Y136" s="34"/>
      <c r="Z136" s="34"/>
      <c r="AA136" s="34"/>
      <c r="AB136" s="34"/>
      <c r="AC136" s="35" t="str">
        <f aca="false">IF(AND(ISNUMBER(X136),ISNUMBER(Y136)),IF(Y136&gt;=X136,ROUND((Y136-X136)*1440,0),""),"")</f>
        <v/>
      </c>
      <c r="AD136" s="35" t="str">
        <f aca="false">IF(AND(ISNUMBER(Y136),ISNUMBER(Z136)),IF(Z136&gt;=Y136,ROUND((Z136-Y136)*1440,0),""),"")</f>
        <v/>
      </c>
      <c r="AE136" s="35" t="str">
        <f aca="false">IF(AND(ISNUMBER(Z136),ISNUMBER(AA136)),IF(AA136&gt;=Z136,ROUND((AA136-Z136)*1440,0),""),"")</f>
        <v/>
      </c>
      <c r="AF136" s="35" t="str">
        <f aca="false">IF(AND(ISNUMBER(AA136),ISNUMBER(AB136)),IF(AB136&gt;=AA136,ROUND((AB136-AA136)*1440,0),""),"")</f>
        <v/>
      </c>
      <c r="AG136" s="35" t="str">
        <f aca="false">IF(AND(W136="완료",ISNUMBER(X136)),IF(MAX(Y136:AB136)&gt;=X136,ROUND((MAX(Y136:AB136)-X136)*1440,0),""),"")</f>
        <v/>
      </c>
    </row>
    <row r="137" customFormat="false" ht="15" hidden="false" customHeight="false" outlineLevel="0" collapsed="false">
      <c r="A137" s="27" t="n">
        <v>133</v>
      </c>
      <c r="B137" s="28"/>
      <c r="C137" s="29"/>
      <c r="D137" s="29"/>
      <c r="E137" s="28"/>
      <c r="F137" s="30"/>
      <c r="G137" s="31"/>
      <c r="H137" s="28"/>
      <c r="I137" s="29"/>
      <c r="J137" s="29"/>
      <c r="K137" s="29"/>
      <c r="L137" s="29"/>
      <c r="M137" s="29"/>
      <c r="N137" s="29"/>
      <c r="O137" s="29"/>
      <c r="P137" s="29"/>
      <c r="Q137" s="29"/>
      <c r="R137" s="29"/>
      <c r="S137" s="28"/>
      <c r="T137" s="32" t="str">
        <f aca="false">IF(AND(K137="",L137=""),"",IF(OR(K137="-",L137="-"),"측정불가",IF(AND(ISNUMBER(K137),ISNUMBER(L137)),IF(OR(K137&gt;=설정!$C$9,L137&gt;=설정!$C$10),"긴급",IF(OR(K137&gt;=설정!$C$7,L137&gt;=설정!$C$8,K137&lt;설정!$C$11),"주의","정상")),"확인필요")))</f>
        <v/>
      </c>
      <c r="U137" s="32" t="str">
        <f aca="false">IF(M137="","",IF(M137="-","측정불가",IF(NOT(ISNUMBER(M137)),"확인필요",IF(M137&lt;설정!$C$15,"긴급(저혈당)",IF(M137&gt;=설정!$C$16,"긴급(고혈당)",IF(N137="공복",IF(M137&gt;=설정!$C$13,"주의","정상"),IF(N137="식후",IF(M137&gt;=설정!$C$14,"주의","정상"),"조건확인")))))))</f>
        <v/>
      </c>
      <c r="V137" s="32" t="str">
        <f aca="false">IF(OR(T137="긴급",LEFT(U137,2)="긴급",P137="O"),"대상","")</f>
        <v/>
      </c>
      <c r="W137" s="33" t="str">
        <f aca="false">IF(R137&lt;&gt;"",R137,IF(O137="O",IF(V137="대상",IF(Q137="O","완료","추가상담 대기"),"완료"),IF(COUNTA(K137:M137)=3,"상담 대기",IF(J137="O","측정 대기",IF(I137="O","운동평가 대기","미방문")))))</f>
        <v>미방문</v>
      </c>
      <c r="X137" s="34"/>
      <c r="Y137" s="34"/>
      <c r="Z137" s="34"/>
      <c r="AA137" s="34"/>
      <c r="AB137" s="34"/>
      <c r="AC137" s="35" t="str">
        <f aca="false">IF(AND(ISNUMBER(X137),ISNUMBER(Y137)),IF(Y137&gt;=X137,ROUND((Y137-X137)*1440,0),""),"")</f>
        <v/>
      </c>
      <c r="AD137" s="35" t="str">
        <f aca="false">IF(AND(ISNUMBER(Y137),ISNUMBER(Z137)),IF(Z137&gt;=Y137,ROUND((Z137-Y137)*1440,0),""),"")</f>
        <v/>
      </c>
      <c r="AE137" s="35" t="str">
        <f aca="false">IF(AND(ISNUMBER(Z137),ISNUMBER(AA137)),IF(AA137&gt;=Z137,ROUND((AA137-Z137)*1440,0),""),"")</f>
        <v/>
      </c>
      <c r="AF137" s="35" t="str">
        <f aca="false">IF(AND(ISNUMBER(AA137),ISNUMBER(AB137)),IF(AB137&gt;=AA137,ROUND((AB137-AA137)*1440,0),""),"")</f>
        <v/>
      </c>
      <c r="AG137" s="35" t="str">
        <f aca="false">IF(AND(W137="완료",ISNUMBER(X137)),IF(MAX(Y137:AB137)&gt;=X137,ROUND((MAX(Y137:AB137)-X137)*1440,0),""),"")</f>
        <v/>
      </c>
    </row>
    <row r="138" customFormat="false" ht="15" hidden="false" customHeight="false" outlineLevel="0" collapsed="false">
      <c r="A138" s="27" t="n">
        <v>134</v>
      </c>
      <c r="B138" s="28"/>
      <c r="C138" s="29"/>
      <c r="D138" s="29"/>
      <c r="E138" s="28"/>
      <c r="F138" s="30"/>
      <c r="G138" s="31"/>
      <c r="H138" s="28"/>
      <c r="I138" s="29"/>
      <c r="J138" s="29"/>
      <c r="K138" s="29"/>
      <c r="L138" s="29"/>
      <c r="M138" s="29"/>
      <c r="N138" s="29"/>
      <c r="O138" s="29"/>
      <c r="P138" s="29"/>
      <c r="Q138" s="29"/>
      <c r="R138" s="29"/>
      <c r="S138" s="28"/>
      <c r="T138" s="32" t="str">
        <f aca="false">IF(AND(K138="",L138=""),"",IF(OR(K138="-",L138="-"),"측정불가",IF(AND(ISNUMBER(K138),ISNUMBER(L138)),IF(OR(K138&gt;=설정!$C$9,L138&gt;=설정!$C$10),"긴급",IF(OR(K138&gt;=설정!$C$7,L138&gt;=설정!$C$8,K138&lt;설정!$C$11),"주의","정상")),"확인필요")))</f>
        <v/>
      </c>
      <c r="U138" s="32" t="str">
        <f aca="false">IF(M138="","",IF(M138="-","측정불가",IF(NOT(ISNUMBER(M138)),"확인필요",IF(M138&lt;설정!$C$15,"긴급(저혈당)",IF(M138&gt;=설정!$C$16,"긴급(고혈당)",IF(N138="공복",IF(M138&gt;=설정!$C$13,"주의","정상"),IF(N138="식후",IF(M138&gt;=설정!$C$14,"주의","정상"),"조건확인")))))))</f>
        <v/>
      </c>
      <c r="V138" s="32" t="str">
        <f aca="false">IF(OR(T138="긴급",LEFT(U138,2)="긴급",P138="O"),"대상","")</f>
        <v/>
      </c>
      <c r="W138" s="33" t="str">
        <f aca="false">IF(R138&lt;&gt;"",R138,IF(O138="O",IF(V138="대상",IF(Q138="O","완료","추가상담 대기"),"완료"),IF(COUNTA(K138:M138)=3,"상담 대기",IF(J138="O","측정 대기",IF(I138="O","운동평가 대기","미방문")))))</f>
        <v>미방문</v>
      </c>
      <c r="X138" s="34"/>
      <c r="Y138" s="34"/>
      <c r="Z138" s="34"/>
      <c r="AA138" s="34"/>
      <c r="AB138" s="34"/>
      <c r="AC138" s="35" t="str">
        <f aca="false">IF(AND(ISNUMBER(X138),ISNUMBER(Y138)),IF(Y138&gt;=X138,ROUND((Y138-X138)*1440,0),""),"")</f>
        <v/>
      </c>
      <c r="AD138" s="35" t="str">
        <f aca="false">IF(AND(ISNUMBER(Y138),ISNUMBER(Z138)),IF(Z138&gt;=Y138,ROUND((Z138-Y138)*1440,0),""),"")</f>
        <v/>
      </c>
      <c r="AE138" s="35" t="str">
        <f aca="false">IF(AND(ISNUMBER(Z138),ISNUMBER(AA138)),IF(AA138&gt;=Z138,ROUND((AA138-Z138)*1440,0),""),"")</f>
        <v/>
      </c>
      <c r="AF138" s="35" t="str">
        <f aca="false">IF(AND(ISNUMBER(AA138),ISNUMBER(AB138)),IF(AB138&gt;=AA138,ROUND((AB138-AA138)*1440,0),""),"")</f>
        <v/>
      </c>
      <c r="AG138" s="35" t="str">
        <f aca="false">IF(AND(W138="완료",ISNUMBER(X138)),IF(MAX(Y138:AB138)&gt;=X138,ROUND((MAX(Y138:AB138)-X138)*1440,0),""),"")</f>
        <v/>
      </c>
    </row>
    <row r="139" customFormat="false" ht="15" hidden="false" customHeight="false" outlineLevel="0" collapsed="false">
      <c r="A139" s="27" t="n">
        <v>135</v>
      </c>
      <c r="B139" s="28"/>
      <c r="C139" s="29"/>
      <c r="D139" s="29"/>
      <c r="E139" s="28"/>
      <c r="F139" s="30"/>
      <c r="G139" s="31"/>
      <c r="H139" s="28"/>
      <c r="I139" s="29"/>
      <c r="J139" s="29"/>
      <c r="K139" s="29"/>
      <c r="L139" s="29"/>
      <c r="M139" s="29"/>
      <c r="N139" s="29"/>
      <c r="O139" s="29"/>
      <c r="P139" s="29"/>
      <c r="Q139" s="29"/>
      <c r="R139" s="29"/>
      <c r="S139" s="28"/>
      <c r="T139" s="32" t="str">
        <f aca="false">IF(AND(K139="",L139=""),"",IF(OR(K139="-",L139="-"),"측정불가",IF(AND(ISNUMBER(K139),ISNUMBER(L139)),IF(OR(K139&gt;=설정!$C$9,L139&gt;=설정!$C$10),"긴급",IF(OR(K139&gt;=설정!$C$7,L139&gt;=설정!$C$8,K139&lt;설정!$C$11),"주의","정상")),"확인필요")))</f>
        <v/>
      </c>
      <c r="U139" s="32" t="str">
        <f aca="false">IF(M139="","",IF(M139="-","측정불가",IF(NOT(ISNUMBER(M139)),"확인필요",IF(M139&lt;설정!$C$15,"긴급(저혈당)",IF(M139&gt;=설정!$C$16,"긴급(고혈당)",IF(N139="공복",IF(M139&gt;=설정!$C$13,"주의","정상"),IF(N139="식후",IF(M139&gt;=설정!$C$14,"주의","정상"),"조건확인")))))))</f>
        <v/>
      </c>
      <c r="V139" s="32" t="str">
        <f aca="false">IF(OR(T139="긴급",LEFT(U139,2)="긴급",P139="O"),"대상","")</f>
        <v/>
      </c>
      <c r="W139" s="33" t="str">
        <f aca="false">IF(R139&lt;&gt;"",R139,IF(O139="O",IF(V139="대상",IF(Q139="O","완료","추가상담 대기"),"완료"),IF(COUNTA(K139:M139)=3,"상담 대기",IF(J139="O","측정 대기",IF(I139="O","운동평가 대기","미방문")))))</f>
        <v>미방문</v>
      </c>
      <c r="X139" s="34"/>
      <c r="Y139" s="34"/>
      <c r="Z139" s="34"/>
      <c r="AA139" s="34"/>
      <c r="AB139" s="34"/>
      <c r="AC139" s="35" t="str">
        <f aca="false">IF(AND(ISNUMBER(X139),ISNUMBER(Y139)),IF(Y139&gt;=X139,ROUND((Y139-X139)*1440,0),""),"")</f>
        <v/>
      </c>
      <c r="AD139" s="35" t="str">
        <f aca="false">IF(AND(ISNUMBER(Y139),ISNUMBER(Z139)),IF(Z139&gt;=Y139,ROUND((Z139-Y139)*1440,0),""),"")</f>
        <v/>
      </c>
      <c r="AE139" s="35" t="str">
        <f aca="false">IF(AND(ISNUMBER(Z139),ISNUMBER(AA139)),IF(AA139&gt;=Z139,ROUND((AA139-Z139)*1440,0),""),"")</f>
        <v/>
      </c>
      <c r="AF139" s="35" t="str">
        <f aca="false">IF(AND(ISNUMBER(AA139),ISNUMBER(AB139)),IF(AB139&gt;=AA139,ROUND((AB139-AA139)*1440,0),""),"")</f>
        <v/>
      </c>
      <c r="AG139" s="35" t="str">
        <f aca="false">IF(AND(W139="완료",ISNUMBER(X139)),IF(MAX(Y139:AB139)&gt;=X139,ROUND((MAX(Y139:AB139)-X139)*1440,0),""),"")</f>
        <v/>
      </c>
    </row>
    <row r="140" customFormat="false" ht="15" hidden="false" customHeight="false" outlineLevel="0" collapsed="false">
      <c r="A140" s="27" t="n">
        <v>136</v>
      </c>
      <c r="B140" s="28"/>
      <c r="C140" s="29"/>
      <c r="D140" s="29"/>
      <c r="E140" s="28"/>
      <c r="F140" s="30"/>
      <c r="G140" s="31"/>
      <c r="H140" s="28"/>
      <c r="I140" s="29"/>
      <c r="J140" s="29"/>
      <c r="K140" s="29"/>
      <c r="L140" s="29"/>
      <c r="M140" s="29"/>
      <c r="N140" s="29"/>
      <c r="O140" s="29"/>
      <c r="P140" s="29"/>
      <c r="Q140" s="29"/>
      <c r="R140" s="29"/>
      <c r="S140" s="28"/>
      <c r="T140" s="32" t="str">
        <f aca="false">IF(AND(K140="",L140=""),"",IF(OR(K140="-",L140="-"),"측정불가",IF(AND(ISNUMBER(K140),ISNUMBER(L140)),IF(OR(K140&gt;=설정!$C$9,L140&gt;=설정!$C$10),"긴급",IF(OR(K140&gt;=설정!$C$7,L140&gt;=설정!$C$8,K140&lt;설정!$C$11),"주의","정상")),"확인필요")))</f>
        <v/>
      </c>
      <c r="U140" s="32" t="str">
        <f aca="false">IF(M140="","",IF(M140="-","측정불가",IF(NOT(ISNUMBER(M140)),"확인필요",IF(M140&lt;설정!$C$15,"긴급(저혈당)",IF(M140&gt;=설정!$C$16,"긴급(고혈당)",IF(N140="공복",IF(M140&gt;=설정!$C$13,"주의","정상"),IF(N140="식후",IF(M140&gt;=설정!$C$14,"주의","정상"),"조건확인")))))))</f>
        <v/>
      </c>
      <c r="V140" s="32" t="str">
        <f aca="false">IF(OR(T140="긴급",LEFT(U140,2)="긴급",P140="O"),"대상","")</f>
        <v/>
      </c>
      <c r="W140" s="33" t="str">
        <f aca="false">IF(R140&lt;&gt;"",R140,IF(O140="O",IF(V140="대상",IF(Q140="O","완료","추가상담 대기"),"완료"),IF(COUNTA(K140:M140)=3,"상담 대기",IF(J140="O","측정 대기",IF(I140="O","운동평가 대기","미방문")))))</f>
        <v>미방문</v>
      </c>
      <c r="X140" s="34"/>
      <c r="Y140" s="34"/>
      <c r="Z140" s="34"/>
      <c r="AA140" s="34"/>
      <c r="AB140" s="34"/>
      <c r="AC140" s="35" t="str">
        <f aca="false">IF(AND(ISNUMBER(X140),ISNUMBER(Y140)),IF(Y140&gt;=X140,ROUND((Y140-X140)*1440,0),""),"")</f>
        <v/>
      </c>
      <c r="AD140" s="35" t="str">
        <f aca="false">IF(AND(ISNUMBER(Y140),ISNUMBER(Z140)),IF(Z140&gt;=Y140,ROUND((Z140-Y140)*1440,0),""),"")</f>
        <v/>
      </c>
      <c r="AE140" s="35" t="str">
        <f aca="false">IF(AND(ISNUMBER(Z140),ISNUMBER(AA140)),IF(AA140&gt;=Z140,ROUND((AA140-Z140)*1440,0),""),"")</f>
        <v/>
      </c>
      <c r="AF140" s="35" t="str">
        <f aca="false">IF(AND(ISNUMBER(AA140),ISNUMBER(AB140)),IF(AB140&gt;=AA140,ROUND((AB140-AA140)*1440,0),""),"")</f>
        <v/>
      </c>
      <c r="AG140" s="35" t="str">
        <f aca="false">IF(AND(W140="완료",ISNUMBER(X140)),IF(MAX(Y140:AB140)&gt;=X140,ROUND((MAX(Y140:AB140)-X140)*1440,0),""),"")</f>
        <v/>
      </c>
    </row>
    <row r="141" customFormat="false" ht="15" hidden="false" customHeight="false" outlineLevel="0" collapsed="false">
      <c r="A141" s="27" t="n">
        <v>137</v>
      </c>
      <c r="B141" s="28"/>
      <c r="C141" s="29"/>
      <c r="D141" s="29"/>
      <c r="E141" s="28"/>
      <c r="F141" s="30"/>
      <c r="G141" s="31"/>
      <c r="H141" s="28"/>
      <c r="I141" s="29"/>
      <c r="J141" s="29"/>
      <c r="K141" s="29"/>
      <c r="L141" s="29"/>
      <c r="M141" s="29"/>
      <c r="N141" s="29"/>
      <c r="O141" s="29"/>
      <c r="P141" s="29"/>
      <c r="Q141" s="29"/>
      <c r="R141" s="29"/>
      <c r="S141" s="28"/>
      <c r="T141" s="32" t="str">
        <f aca="false">IF(AND(K141="",L141=""),"",IF(OR(K141="-",L141="-"),"측정불가",IF(AND(ISNUMBER(K141),ISNUMBER(L141)),IF(OR(K141&gt;=설정!$C$9,L141&gt;=설정!$C$10),"긴급",IF(OR(K141&gt;=설정!$C$7,L141&gt;=설정!$C$8,K141&lt;설정!$C$11),"주의","정상")),"확인필요")))</f>
        <v/>
      </c>
      <c r="U141" s="32" t="str">
        <f aca="false">IF(M141="","",IF(M141="-","측정불가",IF(NOT(ISNUMBER(M141)),"확인필요",IF(M141&lt;설정!$C$15,"긴급(저혈당)",IF(M141&gt;=설정!$C$16,"긴급(고혈당)",IF(N141="공복",IF(M141&gt;=설정!$C$13,"주의","정상"),IF(N141="식후",IF(M141&gt;=설정!$C$14,"주의","정상"),"조건확인")))))))</f>
        <v/>
      </c>
      <c r="V141" s="32" t="str">
        <f aca="false">IF(OR(T141="긴급",LEFT(U141,2)="긴급",P141="O"),"대상","")</f>
        <v/>
      </c>
      <c r="W141" s="33" t="str">
        <f aca="false">IF(R141&lt;&gt;"",R141,IF(O141="O",IF(V141="대상",IF(Q141="O","완료","추가상담 대기"),"완료"),IF(COUNTA(K141:M141)=3,"상담 대기",IF(J141="O","측정 대기",IF(I141="O","운동평가 대기","미방문")))))</f>
        <v>미방문</v>
      </c>
      <c r="X141" s="34"/>
      <c r="Y141" s="34"/>
      <c r="Z141" s="34"/>
      <c r="AA141" s="34"/>
      <c r="AB141" s="34"/>
      <c r="AC141" s="35" t="str">
        <f aca="false">IF(AND(ISNUMBER(X141),ISNUMBER(Y141)),IF(Y141&gt;=X141,ROUND((Y141-X141)*1440,0),""),"")</f>
        <v/>
      </c>
      <c r="AD141" s="35" t="str">
        <f aca="false">IF(AND(ISNUMBER(Y141),ISNUMBER(Z141)),IF(Z141&gt;=Y141,ROUND((Z141-Y141)*1440,0),""),"")</f>
        <v/>
      </c>
      <c r="AE141" s="35" t="str">
        <f aca="false">IF(AND(ISNUMBER(Z141),ISNUMBER(AA141)),IF(AA141&gt;=Z141,ROUND((AA141-Z141)*1440,0),""),"")</f>
        <v/>
      </c>
      <c r="AF141" s="35" t="str">
        <f aca="false">IF(AND(ISNUMBER(AA141),ISNUMBER(AB141)),IF(AB141&gt;=AA141,ROUND((AB141-AA141)*1440,0),""),"")</f>
        <v/>
      </c>
      <c r="AG141" s="35" t="str">
        <f aca="false">IF(AND(W141="완료",ISNUMBER(X141)),IF(MAX(Y141:AB141)&gt;=X141,ROUND((MAX(Y141:AB141)-X141)*1440,0),""),"")</f>
        <v/>
      </c>
    </row>
    <row r="142" customFormat="false" ht="15" hidden="false" customHeight="false" outlineLevel="0" collapsed="false">
      <c r="A142" s="27" t="n">
        <v>138</v>
      </c>
      <c r="B142" s="28"/>
      <c r="C142" s="29"/>
      <c r="D142" s="29"/>
      <c r="E142" s="28"/>
      <c r="F142" s="30"/>
      <c r="G142" s="31"/>
      <c r="H142" s="28"/>
      <c r="I142" s="29"/>
      <c r="J142" s="29"/>
      <c r="K142" s="29"/>
      <c r="L142" s="29"/>
      <c r="M142" s="29"/>
      <c r="N142" s="29"/>
      <c r="O142" s="29"/>
      <c r="P142" s="29"/>
      <c r="Q142" s="29"/>
      <c r="R142" s="29"/>
      <c r="S142" s="28"/>
      <c r="T142" s="32" t="str">
        <f aca="false">IF(AND(K142="",L142=""),"",IF(OR(K142="-",L142="-"),"측정불가",IF(AND(ISNUMBER(K142),ISNUMBER(L142)),IF(OR(K142&gt;=설정!$C$9,L142&gt;=설정!$C$10),"긴급",IF(OR(K142&gt;=설정!$C$7,L142&gt;=설정!$C$8,K142&lt;설정!$C$11),"주의","정상")),"확인필요")))</f>
        <v/>
      </c>
      <c r="U142" s="32" t="str">
        <f aca="false">IF(M142="","",IF(M142="-","측정불가",IF(NOT(ISNUMBER(M142)),"확인필요",IF(M142&lt;설정!$C$15,"긴급(저혈당)",IF(M142&gt;=설정!$C$16,"긴급(고혈당)",IF(N142="공복",IF(M142&gt;=설정!$C$13,"주의","정상"),IF(N142="식후",IF(M142&gt;=설정!$C$14,"주의","정상"),"조건확인")))))))</f>
        <v/>
      </c>
      <c r="V142" s="32" t="str">
        <f aca="false">IF(OR(T142="긴급",LEFT(U142,2)="긴급",P142="O"),"대상","")</f>
        <v/>
      </c>
      <c r="W142" s="33" t="str">
        <f aca="false">IF(R142&lt;&gt;"",R142,IF(O142="O",IF(V142="대상",IF(Q142="O","완료","추가상담 대기"),"완료"),IF(COUNTA(K142:M142)=3,"상담 대기",IF(J142="O","측정 대기",IF(I142="O","운동평가 대기","미방문")))))</f>
        <v>미방문</v>
      </c>
      <c r="X142" s="34"/>
      <c r="Y142" s="34"/>
      <c r="Z142" s="34"/>
      <c r="AA142" s="34"/>
      <c r="AB142" s="34"/>
      <c r="AC142" s="35" t="str">
        <f aca="false">IF(AND(ISNUMBER(X142),ISNUMBER(Y142)),IF(Y142&gt;=X142,ROUND((Y142-X142)*1440,0),""),"")</f>
        <v/>
      </c>
      <c r="AD142" s="35" t="str">
        <f aca="false">IF(AND(ISNUMBER(Y142),ISNUMBER(Z142)),IF(Z142&gt;=Y142,ROUND((Z142-Y142)*1440,0),""),"")</f>
        <v/>
      </c>
      <c r="AE142" s="35" t="str">
        <f aca="false">IF(AND(ISNUMBER(Z142),ISNUMBER(AA142)),IF(AA142&gt;=Z142,ROUND((AA142-Z142)*1440,0),""),"")</f>
        <v/>
      </c>
      <c r="AF142" s="35" t="str">
        <f aca="false">IF(AND(ISNUMBER(AA142),ISNUMBER(AB142)),IF(AB142&gt;=AA142,ROUND((AB142-AA142)*1440,0),""),"")</f>
        <v/>
      </c>
      <c r="AG142" s="35" t="str">
        <f aca="false">IF(AND(W142="완료",ISNUMBER(X142)),IF(MAX(Y142:AB142)&gt;=X142,ROUND((MAX(Y142:AB142)-X142)*1440,0),""),"")</f>
        <v/>
      </c>
    </row>
    <row r="143" customFormat="false" ht="15" hidden="false" customHeight="false" outlineLevel="0" collapsed="false">
      <c r="A143" s="27" t="n">
        <v>139</v>
      </c>
      <c r="B143" s="28"/>
      <c r="C143" s="29"/>
      <c r="D143" s="29"/>
      <c r="E143" s="28"/>
      <c r="F143" s="30"/>
      <c r="G143" s="31"/>
      <c r="H143" s="28"/>
      <c r="I143" s="29"/>
      <c r="J143" s="29"/>
      <c r="K143" s="29"/>
      <c r="L143" s="29"/>
      <c r="M143" s="29"/>
      <c r="N143" s="29"/>
      <c r="O143" s="29"/>
      <c r="P143" s="29"/>
      <c r="Q143" s="29"/>
      <c r="R143" s="29"/>
      <c r="S143" s="28"/>
      <c r="T143" s="32" t="str">
        <f aca="false">IF(AND(K143="",L143=""),"",IF(OR(K143="-",L143="-"),"측정불가",IF(AND(ISNUMBER(K143),ISNUMBER(L143)),IF(OR(K143&gt;=설정!$C$9,L143&gt;=설정!$C$10),"긴급",IF(OR(K143&gt;=설정!$C$7,L143&gt;=설정!$C$8,K143&lt;설정!$C$11),"주의","정상")),"확인필요")))</f>
        <v/>
      </c>
      <c r="U143" s="32" t="str">
        <f aca="false">IF(M143="","",IF(M143="-","측정불가",IF(NOT(ISNUMBER(M143)),"확인필요",IF(M143&lt;설정!$C$15,"긴급(저혈당)",IF(M143&gt;=설정!$C$16,"긴급(고혈당)",IF(N143="공복",IF(M143&gt;=설정!$C$13,"주의","정상"),IF(N143="식후",IF(M143&gt;=설정!$C$14,"주의","정상"),"조건확인")))))))</f>
        <v/>
      </c>
      <c r="V143" s="32" t="str">
        <f aca="false">IF(OR(T143="긴급",LEFT(U143,2)="긴급",P143="O"),"대상","")</f>
        <v/>
      </c>
      <c r="W143" s="33" t="str">
        <f aca="false">IF(R143&lt;&gt;"",R143,IF(O143="O",IF(V143="대상",IF(Q143="O","완료","추가상담 대기"),"완료"),IF(COUNTA(K143:M143)=3,"상담 대기",IF(J143="O","측정 대기",IF(I143="O","운동평가 대기","미방문")))))</f>
        <v>미방문</v>
      </c>
      <c r="X143" s="34"/>
      <c r="Y143" s="34"/>
      <c r="Z143" s="34"/>
      <c r="AA143" s="34"/>
      <c r="AB143" s="34"/>
      <c r="AC143" s="35" t="str">
        <f aca="false">IF(AND(ISNUMBER(X143),ISNUMBER(Y143)),IF(Y143&gt;=X143,ROUND((Y143-X143)*1440,0),""),"")</f>
        <v/>
      </c>
      <c r="AD143" s="35" t="str">
        <f aca="false">IF(AND(ISNUMBER(Y143),ISNUMBER(Z143)),IF(Z143&gt;=Y143,ROUND((Z143-Y143)*1440,0),""),"")</f>
        <v/>
      </c>
      <c r="AE143" s="35" t="str">
        <f aca="false">IF(AND(ISNUMBER(Z143),ISNUMBER(AA143)),IF(AA143&gt;=Z143,ROUND((AA143-Z143)*1440,0),""),"")</f>
        <v/>
      </c>
      <c r="AF143" s="35" t="str">
        <f aca="false">IF(AND(ISNUMBER(AA143),ISNUMBER(AB143)),IF(AB143&gt;=AA143,ROUND((AB143-AA143)*1440,0),""),"")</f>
        <v/>
      </c>
      <c r="AG143" s="35" t="str">
        <f aca="false">IF(AND(W143="완료",ISNUMBER(X143)),IF(MAX(Y143:AB143)&gt;=X143,ROUND((MAX(Y143:AB143)-X143)*1440,0),""),"")</f>
        <v/>
      </c>
    </row>
    <row r="144" customFormat="false" ht="15" hidden="false" customHeight="false" outlineLevel="0" collapsed="false">
      <c r="A144" s="27" t="n">
        <v>140</v>
      </c>
      <c r="B144" s="28"/>
      <c r="C144" s="29"/>
      <c r="D144" s="29"/>
      <c r="E144" s="28"/>
      <c r="F144" s="30"/>
      <c r="G144" s="31"/>
      <c r="H144" s="28"/>
      <c r="I144" s="29"/>
      <c r="J144" s="29"/>
      <c r="K144" s="29"/>
      <c r="L144" s="29"/>
      <c r="M144" s="29"/>
      <c r="N144" s="29"/>
      <c r="O144" s="29"/>
      <c r="P144" s="29"/>
      <c r="Q144" s="29"/>
      <c r="R144" s="29"/>
      <c r="S144" s="28"/>
      <c r="T144" s="32" t="str">
        <f aca="false">IF(AND(K144="",L144=""),"",IF(OR(K144="-",L144="-"),"측정불가",IF(AND(ISNUMBER(K144),ISNUMBER(L144)),IF(OR(K144&gt;=설정!$C$9,L144&gt;=설정!$C$10),"긴급",IF(OR(K144&gt;=설정!$C$7,L144&gt;=설정!$C$8,K144&lt;설정!$C$11),"주의","정상")),"확인필요")))</f>
        <v/>
      </c>
      <c r="U144" s="32" t="str">
        <f aca="false">IF(M144="","",IF(M144="-","측정불가",IF(NOT(ISNUMBER(M144)),"확인필요",IF(M144&lt;설정!$C$15,"긴급(저혈당)",IF(M144&gt;=설정!$C$16,"긴급(고혈당)",IF(N144="공복",IF(M144&gt;=설정!$C$13,"주의","정상"),IF(N144="식후",IF(M144&gt;=설정!$C$14,"주의","정상"),"조건확인")))))))</f>
        <v/>
      </c>
      <c r="V144" s="32" t="str">
        <f aca="false">IF(OR(T144="긴급",LEFT(U144,2)="긴급",P144="O"),"대상","")</f>
        <v/>
      </c>
      <c r="W144" s="33" t="str">
        <f aca="false">IF(R144&lt;&gt;"",R144,IF(O144="O",IF(V144="대상",IF(Q144="O","완료","추가상담 대기"),"완료"),IF(COUNTA(K144:M144)=3,"상담 대기",IF(J144="O","측정 대기",IF(I144="O","운동평가 대기","미방문")))))</f>
        <v>미방문</v>
      </c>
      <c r="X144" s="34"/>
      <c r="Y144" s="34"/>
      <c r="Z144" s="34"/>
      <c r="AA144" s="34"/>
      <c r="AB144" s="34"/>
      <c r="AC144" s="35" t="str">
        <f aca="false">IF(AND(ISNUMBER(X144),ISNUMBER(Y144)),IF(Y144&gt;=X144,ROUND((Y144-X144)*1440,0),""),"")</f>
        <v/>
      </c>
      <c r="AD144" s="35" t="str">
        <f aca="false">IF(AND(ISNUMBER(Y144),ISNUMBER(Z144)),IF(Z144&gt;=Y144,ROUND((Z144-Y144)*1440,0),""),"")</f>
        <v/>
      </c>
      <c r="AE144" s="35" t="str">
        <f aca="false">IF(AND(ISNUMBER(Z144),ISNUMBER(AA144)),IF(AA144&gt;=Z144,ROUND((AA144-Z144)*1440,0),""),"")</f>
        <v/>
      </c>
      <c r="AF144" s="35" t="str">
        <f aca="false">IF(AND(ISNUMBER(AA144),ISNUMBER(AB144)),IF(AB144&gt;=AA144,ROUND((AB144-AA144)*1440,0),""),"")</f>
        <v/>
      </c>
      <c r="AG144" s="35" t="str">
        <f aca="false">IF(AND(W144="완료",ISNUMBER(X144)),IF(MAX(Y144:AB144)&gt;=X144,ROUND((MAX(Y144:AB144)-X144)*1440,0),""),"")</f>
        <v/>
      </c>
    </row>
    <row r="145" customFormat="false" ht="15" hidden="false" customHeight="false" outlineLevel="0" collapsed="false">
      <c r="A145" s="27" t="n">
        <v>141</v>
      </c>
      <c r="B145" s="28"/>
      <c r="C145" s="29"/>
      <c r="D145" s="29"/>
      <c r="E145" s="28"/>
      <c r="F145" s="30"/>
      <c r="G145" s="31"/>
      <c r="H145" s="28"/>
      <c r="I145" s="29"/>
      <c r="J145" s="29"/>
      <c r="K145" s="29"/>
      <c r="L145" s="29"/>
      <c r="M145" s="29"/>
      <c r="N145" s="29"/>
      <c r="O145" s="29"/>
      <c r="P145" s="29"/>
      <c r="Q145" s="29"/>
      <c r="R145" s="29"/>
      <c r="S145" s="28"/>
      <c r="T145" s="32" t="str">
        <f aca="false">IF(AND(K145="",L145=""),"",IF(OR(K145="-",L145="-"),"측정불가",IF(AND(ISNUMBER(K145),ISNUMBER(L145)),IF(OR(K145&gt;=설정!$C$9,L145&gt;=설정!$C$10),"긴급",IF(OR(K145&gt;=설정!$C$7,L145&gt;=설정!$C$8,K145&lt;설정!$C$11),"주의","정상")),"확인필요")))</f>
        <v/>
      </c>
      <c r="U145" s="32" t="str">
        <f aca="false">IF(M145="","",IF(M145="-","측정불가",IF(NOT(ISNUMBER(M145)),"확인필요",IF(M145&lt;설정!$C$15,"긴급(저혈당)",IF(M145&gt;=설정!$C$16,"긴급(고혈당)",IF(N145="공복",IF(M145&gt;=설정!$C$13,"주의","정상"),IF(N145="식후",IF(M145&gt;=설정!$C$14,"주의","정상"),"조건확인")))))))</f>
        <v/>
      </c>
      <c r="V145" s="32" t="str">
        <f aca="false">IF(OR(T145="긴급",LEFT(U145,2)="긴급",P145="O"),"대상","")</f>
        <v/>
      </c>
      <c r="W145" s="33" t="str">
        <f aca="false">IF(R145&lt;&gt;"",R145,IF(O145="O",IF(V145="대상",IF(Q145="O","완료","추가상담 대기"),"완료"),IF(COUNTA(K145:M145)=3,"상담 대기",IF(J145="O","측정 대기",IF(I145="O","운동평가 대기","미방문")))))</f>
        <v>미방문</v>
      </c>
      <c r="X145" s="34"/>
      <c r="Y145" s="34"/>
      <c r="Z145" s="34"/>
      <c r="AA145" s="34"/>
      <c r="AB145" s="34"/>
      <c r="AC145" s="35" t="str">
        <f aca="false">IF(AND(ISNUMBER(X145),ISNUMBER(Y145)),IF(Y145&gt;=X145,ROUND((Y145-X145)*1440,0),""),"")</f>
        <v/>
      </c>
      <c r="AD145" s="35" t="str">
        <f aca="false">IF(AND(ISNUMBER(Y145),ISNUMBER(Z145)),IF(Z145&gt;=Y145,ROUND((Z145-Y145)*1440,0),""),"")</f>
        <v/>
      </c>
      <c r="AE145" s="35" t="str">
        <f aca="false">IF(AND(ISNUMBER(Z145),ISNUMBER(AA145)),IF(AA145&gt;=Z145,ROUND((AA145-Z145)*1440,0),""),"")</f>
        <v/>
      </c>
      <c r="AF145" s="35" t="str">
        <f aca="false">IF(AND(ISNUMBER(AA145),ISNUMBER(AB145)),IF(AB145&gt;=AA145,ROUND((AB145-AA145)*1440,0),""),"")</f>
        <v/>
      </c>
      <c r="AG145" s="35" t="str">
        <f aca="false">IF(AND(W145="완료",ISNUMBER(X145)),IF(MAX(Y145:AB145)&gt;=X145,ROUND((MAX(Y145:AB145)-X145)*1440,0),""),"")</f>
        <v/>
      </c>
    </row>
    <row r="146" customFormat="false" ht="15" hidden="false" customHeight="false" outlineLevel="0" collapsed="false">
      <c r="A146" s="27" t="n">
        <v>142</v>
      </c>
      <c r="B146" s="28"/>
      <c r="C146" s="29"/>
      <c r="D146" s="29"/>
      <c r="E146" s="28"/>
      <c r="F146" s="30"/>
      <c r="G146" s="31"/>
      <c r="H146" s="28"/>
      <c r="I146" s="29"/>
      <c r="J146" s="29"/>
      <c r="K146" s="29"/>
      <c r="L146" s="29"/>
      <c r="M146" s="29"/>
      <c r="N146" s="29"/>
      <c r="O146" s="29"/>
      <c r="P146" s="29"/>
      <c r="Q146" s="29"/>
      <c r="R146" s="29"/>
      <c r="S146" s="28"/>
      <c r="T146" s="32" t="str">
        <f aca="false">IF(AND(K146="",L146=""),"",IF(OR(K146="-",L146="-"),"측정불가",IF(AND(ISNUMBER(K146),ISNUMBER(L146)),IF(OR(K146&gt;=설정!$C$9,L146&gt;=설정!$C$10),"긴급",IF(OR(K146&gt;=설정!$C$7,L146&gt;=설정!$C$8,K146&lt;설정!$C$11),"주의","정상")),"확인필요")))</f>
        <v/>
      </c>
      <c r="U146" s="32" t="str">
        <f aca="false">IF(M146="","",IF(M146="-","측정불가",IF(NOT(ISNUMBER(M146)),"확인필요",IF(M146&lt;설정!$C$15,"긴급(저혈당)",IF(M146&gt;=설정!$C$16,"긴급(고혈당)",IF(N146="공복",IF(M146&gt;=설정!$C$13,"주의","정상"),IF(N146="식후",IF(M146&gt;=설정!$C$14,"주의","정상"),"조건확인")))))))</f>
        <v/>
      </c>
      <c r="V146" s="32" t="str">
        <f aca="false">IF(OR(T146="긴급",LEFT(U146,2)="긴급",P146="O"),"대상","")</f>
        <v/>
      </c>
      <c r="W146" s="33" t="str">
        <f aca="false">IF(R146&lt;&gt;"",R146,IF(O146="O",IF(V146="대상",IF(Q146="O","완료","추가상담 대기"),"완료"),IF(COUNTA(K146:M146)=3,"상담 대기",IF(J146="O","측정 대기",IF(I146="O","운동평가 대기","미방문")))))</f>
        <v>미방문</v>
      </c>
      <c r="X146" s="34"/>
      <c r="Y146" s="34"/>
      <c r="Z146" s="34"/>
      <c r="AA146" s="34"/>
      <c r="AB146" s="34"/>
      <c r="AC146" s="35" t="str">
        <f aca="false">IF(AND(ISNUMBER(X146),ISNUMBER(Y146)),IF(Y146&gt;=X146,ROUND((Y146-X146)*1440,0),""),"")</f>
        <v/>
      </c>
      <c r="AD146" s="35" t="str">
        <f aca="false">IF(AND(ISNUMBER(Y146),ISNUMBER(Z146)),IF(Z146&gt;=Y146,ROUND((Z146-Y146)*1440,0),""),"")</f>
        <v/>
      </c>
      <c r="AE146" s="35" t="str">
        <f aca="false">IF(AND(ISNUMBER(Z146),ISNUMBER(AA146)),IF(AA146&gt;=Z146,ROUND((AA146-Z146)*1440,0),""),"")</f>
        <v/>
      </c>
      <c r="AF146" s="35" t="str">
        <f aca="false">IF(AND(ISNUMBER(AA146),ISNUMBER(AB146)),IF(AB146&gt;=AA146,ROUND((AB146-AA146)*1440,0),""),"")</f>
        <v/>
      </c>
      <c r="AG146" s="35" t="str">
        <f aca="false">IF(AND(W146="완료",ISNUMBER(X146)),IF(MAX(Y146:AB146)&gt;=X146,ROUND((MAX(Y146:AB146)-X146)*1440,0),""),"")</f>
        <v/>
      </c>
    </row>
    <row r="147" customFormat="false" ht="15" hidden="false" customHeight="false" outlineLevel="0" collapsed="false">
      <c r="A147" s="27" t="n">
        <v>143</v>
      </c>
      <c r="B147" s="28"/>
      <c r="C147" s="29"/>
      <c r="D147" s="29"/>
      <c r="E147" s="28"/>
      <c r="F147" s="30"/>
      <c r="G147" s="31"/>
      <c r="H147" s="28"/>
      <c r="I147" s="29"/>
      <c r="J147" s="29"/>
      <c r="K147" s="29"/>
      <c r="L147" s="29"/>
      <c r="M147" s="29"/>
      <c r="N147" s="29"/>
      <c r="O147" s="29"/>
      <c r="P147" s="29"/>
      <c r="Q147" s="29"/>
      <c r="R147" s="29"/>
      <c r="S147" s="28"/>
      <c r="T147" s="32" t="str">
        <f aca="false">IF(AND(K147="",L147=""),"",IF(OR(K147="-",L147="-"),"측정불가",IF(AND(ISNUMBER(K147),ISNUMBER(L147)),IF(OR(K147&gt;=설정!$C$9,L147&gt;=설정!$C$10),"긴급",IF(OR(K147&gt;=설정!$C$7,L147&gt;=설정!$C$8,K147&lt;설정!$C$11),"주의","정상")),"확인필요")))</f>
        <v/>
      </c>
      <c r="U147" s="32" t="str">
        <f aca="false">IF(M147="","",IF(M147="-","측정불가",IF(NOT(ISNUMBER(M147)),"확인필요",IF(M147&lt;설정!$C$15,"긴급(저혈당)",IF(M147&gt;=설정!$C$16,"긴급(고혈당)",IF(N147="공복",IF(M147&gt;=설정!$C$13,"주의","정상"),IF(N147="식후",IF(M147&gt;=설정!$C$14,"주의","정상"),"조건확인")))))))</f>
        <v/>
      </c>
      <c r="V147" s="32" t="str">
        <f aca="false">IF(OR(T147="긴급",LEFT(U147,2)="긴급",P147="O"),"대상","")</f>
        <v/>
      </c>
      <c r="W147" s="33" t="str">
        <f aca="false">IF(R147&lt;&gt;"",R147,IF(O147="O",IF(V147="대상",IF(Q147="O","완료","추가상담 대기"),"완료"),IF(COUNTA(K147:M147)=3,"상담 대기",IF(J147="O","측정 대기",IF(I147="O","운동평가 대기","미방문")))))</f>
        <v>미방문</v>
      </c>
      <c r="X147" s="34"/>
      <c r="Y147" s="34"/>
      <c r="Z147" s="34"/>
      <c r="AA147" s="34"/>
      <c r="AB147" s="34"/>
      <c r="AC147" s="35" t="str">
        <f aca="false">IF(AND(ISNUMBER(X147),ISNUMBER(Y147)),IF(Y147&gt;=X147,ROUND((Y147-X147)*1440,0),""),"")</f>
        <v/>
      </c>
      <c r="AD147" s="35" t="str">
        <f aca="false">IF(AND(ISNUMBER(Y147),ISNUMBER(Z147)),IF(Z147&gt;=Y147,ROUND((Z147-Y147)*1440,0),""),"")</f>
        <v/>
      </c>
      <c r="AE147" s="35" t="str">
        <f aca="false">IF(AND(ISNUMBER(Z147),ISNUMBER(AA147)),IF(AA147&gt;=Z147,ROUND((AA147-Z147)*1440,0),""),"")</f>
        <v/>
      </c>
      <c r="AF147" s="35" t="str">
        <f aca="false">IF(AND(ISNUMBER(AA147),ISNUMBER(AB147)),IF(AB147&gt;=AA147,ROUND((AB147-AA147)*1440,0),""),"")</f>
        <v/>
      </c>
      <c r="AG147" s="35" t="str">
        <f aca="false">IF(AND(W147="완료",ISNUMBER(X147)),IF(MAX(Y147:AB147)&gt;=X147,ROUND((MAX(Y147:AB147)-X147)*1440,0),""),"")</f>
        <v/>
      </c>
    </row>
    <row r="148" customFormat="false" ht="15" hidden="false" customHeight="false" outlineLevel="0" collapsed="false">
      <c r="A148" s="27" t="n">
        <v>144</v>
      </c>
      <c r="B148" s="28"/>
      <c r="C148" s="29"/>
      <c r="D148" s="29"/>
      <c r="E148" s="28"/>
      <c r="F148" s="30"/>
      <c r="G148" s="31"/>
      <c r="H148" s="28"/>
      <c r="I148" s="29"/>
      <c r="J148" s="29"/>
      <c r="K148" s="29"/>
      <c r="L148" s="29"/>
      <c r="M148" s="29"/>
      <c r="N148" s="29"/>
      <c r="O148" s="29"/>
      <c r="P148" s="29"/>
      <c r="Q148" s="29"/>
      <c r="R148" s="29"/>
      <c r="S148" s="28"/>
      <c r="T148" s="32" t="str">
        <f aca="false">IF(AND(K148="",L148=""),"",IF(OR(K148="-",L148="-"),"측정불가",IF(AND(ISNUMBER(K148),ISNUMBER(L148)),IF(OR(K148&gt;=설정!$C$9,L148&gt;=설정!$C$10),"긴급",IF(OR(K148&gt;=설정!$C$7,L148&gt;=설정!$C$8,K148&lt;설정!$C$11),"주의","정상")),"확인필요")))</f>
        <v/>
      </c>
      <c r="U148" s="32" t="str">
        <f aca="false">IF(M148="","",IF(M148="-","측정불가",IF(NOT(ISNUMBER(M148)),"확인필요",IF(M148&lt;설정!$C$15,"긴급(저혈당)",IF(M148&gt;=설정!$C$16,"긴급(고혈당)",IF(N148="공복",IF(M148&gt;=설정!$C$13,"주의","정상"),IF(N148="식후",IF(M148&gt;=설정!$C$14,"주의","정상"),"조건확인")))))))</f>
        <v/>
      </c>
      <c r="V148" s="32" t="str">
        <f aca="false">IF(OR(T148="긴급",LEFT(U148,2)="긴급",P148="O"),"대상","")</f>
        <v/>
      </c>
      <c r="W148" s="33" t="str">
        <f aca="false">IF(R148&lt;&gt;"",R148,IF(O148="O",IF(V148="대상",IF(Q148="O","완료","추가상담 대기"),"완료"),IF(COUNTA(K148:M148)=3,"상담 대기",IF(J148="O","측정 대기",IF(I148="O","운동평가 대기","미방문")))))</f>
        <v>미방문</v>
      </c>
      <c r="X148" s="34"/>
      <c r="Y148" s="34"/>
      <c r="Z148" s="34"/>
      <c r="AA148" s="34"/>
      <c r="AB148" s="34"/>
      <c r="AC148" s="35" t="str">
        <f aca="false">IF(AND(ISNUMBER(X148),ISNUMBER(Y148)),IF(Y148&gt;=X148,ROUND((Y148-X148)*1440,0),""),"")</f>
        <v/>
      </c>
      <c r="AD148" s="35" t="str">
        <f aca="false">IF(AND(ISNUMBER(Y148),ISNUMBER(Z148)),IF(Z148&gt;=Y148,ROUND((Z148-Y148)*1440,0),""),"")</f>
        <v/>
      </c>
      <c r="AE148" s="35" t="str">
        <f aca="false">IF(AND(ISNUMBER(Z148),ISNUMBER(AA148)),IF(AA148&gt;=Z148,ROUND((AA148-Z148)*1440,0),""),"")</f>
        <v/>
      </c>
      <c r="AF148" s="35" t="str">
        <f aca="false">IF(AND(ISNUMBER(AA148),ISNUMBER(AB148)),IF(AB148&gt;=AA148,ROUND((AB148-AA148)*1440,0),""),"")</f>
        <v/>
      </c>
      <c r="AG148" s="35" t="str">
        <f aca="false">IF(AND(W148="완료",ISNUMBER(X148)),IF(MAX(Y148:AB148)&gt;=X148,ROUND((MAX(Y148:AB148)-X148)*1440,0),""),"")</f>
        <v/>
      </c>
    </row>
    <row r="149" customFormat="false" ht="15" hidden="false" customHeight="false" outlineLevel="0" collapsed="false">
      <c r="A149" s="27" t="n">
        <v>145</v>
      </c>
      <c r="B149" s="28"/>
      <c r="C149" s="29"/>
      <c r="D149" s="29"/>
      <c r="E149" s="28"/>
      <c r="F149" s="30"/>
      <c r="G149" s="31"/>
      <c r="H149" s="28"/>
      <c r="I149" s="29"/>
      <c r="J149" s="29"/>
      <c r="K149" s="29"/>
      <c r="L149" s="29"/>
      <c r="M149" s="29"/>
      <c r="N149" s="29"/>
      <c r="O149" s="29"/>
      <c r="P149" s="29"/>
      <c r="Q149" s="29"/>
      <c r="R149" s="29"/>
      <c r="S149" s="28"/>
      <c r="T149" s="32" t="str">
        <f aca="false">IF(AND(K149="",L149=""),"",IF(OR(K149="-",L149="-"),"측정불가",IF(AND(ISNUMBER(K149),ISNUMBER(L149)),IF(OR(K149&gt;=설정!$C$9,L149&gt;=설정!$C$10),"긴급",IF(OR(K149&gt;=설정!$C$7,L149&gt;=설정!$C$8,K149&lt;설정!$C$11),"주의","정상")),"확인필요")))</f>
        <v/>
      </c>
      <c r="U149" s="32" t="str">
        <f aca="false">IF(M149="","",IF(M149="-","측정불가",IF(NOT(ISNUMBER(M149)),"확인필요",IF(M149&lt;설정!$C$15,"긴급(저혈당)",IF(M149&gt;=설정!$C$16,"긴급(고혈당)",IF(N149="공복",IF(M149&gt;=설정!$C$13,"주의","정상"),IF(N149="식후",IF(M149&gt;=설정!$C$14,"주의","정상"),"조건확인")))))))</f>
        <v/>
      </c>
      <c r="V149" s="32" t="str">
        <f aca="false">IF(OR(T149="긴급",LEFT(U149,2)="긴급",P149="O"),"대상","")</f>
        <v/>
      </c>
      <c r="W149" s="33" t="str">
        <f aca="false">IF(R149&lt;&gt;"",R149,IF(O149="O",IF(V149="대상",IF(Q149="O","완료","추가상담 대기"),"완료"),IF(COUNTA(K149:M149)=3,"상담 대기",IF(J149="O","측정 대기",IF(I149="O","운동평가 대기","미방문")))))</f>
        <v>미방문</v>
      </c>
      <c r="X149" s="34"/>
      <c r="Y149" s="34"/>
      <c r="Z149" s="34"/>
      <c r="AA149" s="34"/>
      <c r="AB149" s="34"/>
      <c r="AC149" s="35" t="str">
        <f aca="false">IF(AND(ISNUMBER(X149),ISNUMBER(Y149)),IF(Y149&gt;=X149,ROUND((Y149-X149)*1440,0),""),"")</f>
        <v/>
      </c>
      <c r="AD149" s="35" t="str">
        <f aca="false">IF(AND(ISNUMBER(Y149),ISNUMBER(Z149)),IF(Z149&gt;=Y149,ROUND((Z149-Y149)*1440,0),""),"")</f>
        <v/>
      </c>
      <c r="AE149" s="35" t="str">
        <f aca="false">IF(AND(ISNUMBER(Z149),ISNUMBER(AA149)),IF(AA149&gt;=Z149,ROUND((AA149-Z149)*1440,0),""),"")</f>
        <v/>
      </c>
      <c r="AF149" s="35" t="str">
        <f aca="false">IF(AND(ISNUMBER(AA149),ISNUMBER(AB149)),IF(AB149&gt;=AA149,ROUND((AB149-AA149)*1440,0),""),"")</f>
        <v/>
      </c>
      <c r="AG149" s="35" t="str">
        <f aca="false">IF(AND(W149="완료",ISNUMBER(X149)),IF(MAX(Y149:AB149)&gt;=X149,ROUND((MAX(Y149:AB149)-X149)*1440,0),""),"")</f>
        <v/>
      </c>
    </row>
    <row r="150" customFormat="false" ht="15" hidden="false" customHeight="false" outlineLevel="0" collapsed="false">
      <c r="A150" s="27" t="n">
        <v>146</v>
      </c>
      <c r="B150" s="28"/>
      <c r="C150" s="29"/>
      <c r="D150" s="29"/>
      <c r="E150" s="28"/>
      <c r="F150" s="30"/>
      <c r="G150" s="31"/>
      <c r="H150" s="28"/>
      <c r="I150" s="29"/>
      <c r="J150" s="29"/>
      <c r="K150" s="29"/>
      <c r="L150" s="29"/>
      <c r="M150" s="29"/>
      <c r="N150" s="29"/>
      <c r="O150" s="29"/>
      <c r="P150" s="29"/>
      <c r="Q150" s="29"/>
      <c r="R150" s="29"/>
      <c r="S150" s="28"/>
      <c r="T150" s="32" t="str">
        <f aca="false">IF(AND(K150="",L150=""),"",IF(OR(K150="-",L150="-"),"측정불가",IF(AND(ISNUMBER(K150),ISNUMBER(L150)),IF(OR(K150&gt;=설정!$C$9,L150&gt;=설정!$C$10),"긴급",IF(OR(K150&gt;=설정!$C$7,L150&gt;=설정!$C$8,K150&lt;설정!$C$11),"주의","정상")),"확인필요")))</f>
        <v/>
      </c>
      <c r="U150" s="32" t="str">
        <f aca="false">IF(M150="","",IF(M150="-","측정불가",IF(NOT(ISNUMBER(M150)),"확인필요",IF(M150&lt;설정!$C$15,"긴급(저혈당)",IF(M150&gt;=설정!$C$16,"긴급(고혈당)",IF(N150="공복",IF(M150&gt;=설정!$C$13,"주의","정상"),IF(N150="식후",IF(M150&gt;=설정!$C$14,"주의","정상"),"조건확인")))))))</f>
        <v/>
      </c>
      <c r="V150" s="32" t="str">
        <f aca="false">IF(OR(T150="긴급",LEFT(U150,2)="긴급",P150="O"),"대상","")</f>
        <v/>
      </c>
      <c r="W150" s="33" t="str">
        <f aca="false">IF(R150&lt;&gt;"",R150,IF(O150="O",IF(V150="대상",IF(Q150="O","완료","추가상담 대기"),"완료"),IF(COUNTA(K150:M150)=3,"상담 대기",IF(J150="O","측정 대기",IF(I150="O","운동평가 대기","미방문")))))</f>
        <v>미방문</v>
      </c>
      <c r="X150" s="34"/>
      <c r="Y150" s="34"/>
      <c r="Z150" s="34"/>
      <c r="AA150" s="34"/>
      <c r="AB150" s="34"/>
      <c r="AC150" s="35" t="str">
        <f aca="false">IF(AND(ISNUMBER(X150),ISNUMBER(Y150)),IF(Y150&gt;=X150,ROUND((Y150-X150)*1440,0),""),"")</f>
        <v/>
      </c>
      <c r="AD150" s="35" t="str">
        <f aca="false">IF(AND(ISNUMBER(Y150),ISNUMBER(Z150)),IF(Z150&gt;=Y150,ROUND((Z150-Y150)*1440,0),""),"")</f>
        <v/>
      </c>
      <c r="AE150" s="35" t="str">
        <f aca="false">IF(AND(ISNUMBER(Z150),ISNUMBER(AA150)),IF(AA150&gt;=Z150,ROUND((AA150-Z150)*1440,0),""),"")</f>
        <v/>
      </c>
      <c r="AF150" s="35" t="str">
        <f aca="false">IF(AND(ISNUMBER(AA150),ISNUMBER(AB150)),IF(AB150&gt;=AA150,ROUND((AB150-AA150)*1440,0),""),"")</f>
        <v/>
      </c>
      <c r="AG150" s="35" t="str">
        <f aca="false">IF(AND(W150="완료",ISNUMBER(X150)),IF(MAX(Y150:AB150)&gt;=X150,ROUND((MAX(Y150:AB150)-X150)*1440,0),""),"")</f>
        <v/>
      </c>
    </row>
    <row r="151" customFormat="false" ht="15" hidden="false" customHeight="false" outlineLevel="0" collapsed="false">
      <c r="A151" s="27" t="n">
        <v>147</v>
      </c>
      <c r="B151" s="28"/>
      <c r="C151" s="29"/>
      <c r="D151" s="29"/>
      <c r="E151" s="28"/>
      <c r="F151" s="30"/>
      <c r="G151" s="31"/>
      <c r="H151" s="28"/>
      <c r="I151" s="29"/>
      <c r="J151" s="29"/>
      <c r="K151" s="29"/>
      <c r="L151" s="29"/>
      <c r="M151" s="29"/>
      <c r="N151" s="29"/>
      <c r="O151" s="29"/>
      <c r="P151" s="29"/>
      <c r="Q151" s="29"/>
      <c r="R151" s="29"/>
      <c r="S151" s="28"/>
      <c r="T151" s="32" t="str">
        <f aca="false">IF(AND(K151="",L151=""),"",IF(OR(K151="-",L151="-"),"측정불가",IF(AND(ISNUMBER(K151),ISNUMBER(L151)),IF(OR(K151&gt;=설정!$C$9,L151&gt;=설정!$C$10),"긴급",IF(OR(K151&gt;=설정!$C$7,L151&gt;=설정!$C$8,K151&lt;설정!$C$11),"주의","정상")),"확인필요")))</f>
        <v/>
      </c>
      <c r="U151" s="32" t="str">
        <f aca="false">IF(M151="","",IF(M151="-","측정불가",IF(NOT(ISNUMBER(M151)),"확인필요",IF(M151&lt;설정!$C$15,"긴급(저혈당)",IF(M151&gt;=설정!$C$16,"긴급(고혈당)",IF(N151="공복",IF(M151&gt;=설정!$C$13,"주의","정상"),IF(N151="식후",IF(M151&gt;=설정!$C$14,"주의","정상"),"조건확인")))))))</f>
        <v/>
      </c>
      <c r="V151" s="32" t="str">
        <f aca="false">IF(OR(T151="긴급",LEFT(U151,2)="긴급",P151="O"),"대상","")</f>
        <v/>
      </c>
      <c r="W151" s="33" t="str">
        <f aca="false">IF(R151&lt;&gt;"",R151,IF(O151="O",IF(V151="대상",IF(Q151="O","완료","추가상담 대기"),"완료"),IF(COUNTA(K151:M151)=3,"상담 대기",IF(J151="O","측정 대기",IF(I151="O","운동평가 대기","미방문")))))</f>
        <v>미방문</v>
      </c>
      <c r="X151" s="34"/>
      <c r="Y151" s="34"/>
      <c r="Z151" s="34"/>
      <c r="AA151" s="34"/>
      <c r="AB151" s="34"/>
      <c r="AC151" s="35" t="str">
        <f aca="false">IF(AND(ISNUMBER(X151),ISNUMBER(Y151)),IF(Y151&gt;=X151,ROUND((Y151-X151)*1440,0),""),"")</f>
        <v/>
      </c>
      <c r="AD151" s="35" t="str">
        <f aca="false">IF(AND(ISNUMBER(Y151),ISNUMBER(Z151)),IF(Z151&gt;=Y151,ROUND((Z151-Y151)*1440,0),""),"")</f>
        <v/>
      </c>
      <c r="AE151" s="35" t="str">
        <f aca="false">IF(AND(ISNUMBER(Z151),ISNUMBER(AA151)),IF(AA151&gt;=Z151,ROUND((AA151-Z151)*1440,0),""),"")</f>
        <v/>
      </c>
      <c r="AF151" s="35" t="str">
        <f aca="false">IF(AND(ISNUMBER(AA151),ISNUMBER(AB151)),IF(AB151&gt;=AA151,ROUND((AB151-AA151)*1440,0),""),"")</f>
        <v/>
      </c>
      <c r="AG151" s="35" t="str">
        <f aca="false">IF(AND(W151="완료",ISNUMBER(X151)),IF(MAX(Y151:AB151)&gt;=X151,ROUND((MAX(Y151:AB151)-X151)*1440,0),""),"")</f>
        <v/>
      </c>
    </row>
    <row r="152" customFormat="false" ht="15" hidden="false" customHeight="false" outlineLevel="0" collapsed="false">
      <c r="A152" s="27" t="n">
        <v>148</v>
      </c>
      <c r="B152" s="28"/>
      <c r="C152" s="29"/>
      <c r="D152" s="29"/>
      <c r="E152" s="28"/>
      <c r="F152" s="30"/>
      <c r="G152" s="31"/>
      <c r="H152" s="28"/>
      <c r="I152" s="29"/>
      <c r="J152" s="29"/>
      <c r="K152" s="29"/>
      <c r="L152" s="29"/>
      <c r="M152" s="29"/>
      <c r="N152" s="29"/>
      <c r="O152" s="29"/>
      <c r="P152" s="29"/>
      <c r="Q152" s="29"/>
      <c r="R152" s="29"/>
      <c r="S152" s="28"/>
      <c r="T152" s="32" t="str">
        <f aca="false">IF(AND(K152="",L152=""),"",IF(OR(K152="-",L152="-"),"측정불가",IF(AND(ISNUMBER(K152),ISNUMBER(L152)),IF(OR(K152&gt;=설정!$C$9,L152&gt;=설정!$C$10),"긴급",IF(OR(K152&gt;=설정!$C$7,L152&gt;=설정!$C$8,K152&lt;설정!$C$11),"주의","정상")),"확인필요")))</f>
        <v/>
      </c>
      <c r="U152" s="32" t="str">
        <f aca="false">IF(M152="","",IF(M152="-","측정불가",IF(NOT(ISNUMBER(M152)),"확인필요",IF(M152&lt;설정!$C$15,"긴급(저혈당)",IF(M152&gt;=설정!$C$16,"긴급(고혈당)",IF(N152="공복",IF(M152&gt;=설정!$C$13,"주의","정상"),IF(N152="식후",IF(M152&gt;=설정!$C$14,"주의","정상"),"조건확인")))))))</f>
        <v/>
      </c>
      <c r="V152" s="32" t="str">
        <f aca="false">IF(OR(T152="긴급",LEFT(U152,2)="긴급",P152="O"),"대상","")</f>
        <v/>
      </c>
      <c r="W152" s="33" t="str">
        <f aca="false">IF(R152&lt;&gt;"",R152,IF(O152="O",IF(V152="대상",IF(Q152="O","완료","추가상담 대기"),"완료"),IF(COUNTA(K152:M152)=3,"상담 대기",IF(J152="O","측정 대기",IF(I152="O","운동평가 대기","미방문")))))</f>
        <v>미방문</v>
      </c>
      <c r="X152" s="34"/>
      <c r="Y152" s="34"/>
      <c r="Z152" s="34"/>
      <c r="AA152" s="34"/>
      <c r="AB152" s="34"/>
      <c r="AC152" s="35" t="str">
        <f aca="false">IF(AND(ISNUMBER(X152),ISNUMBER(Y152)),IF(Y152&gt;=X152,ROUND((Y152-X152)*1440,0),""),"")</f>
        <v/>
      </c>
      <c r="AD152" s="35" t="str">
        <f aca="false">IF(AND(ISNUMBER(Y152),ISNUMBER(Z152)),IF(Z152&gt;=Y152,ROUND((Z152-Y152)*1440,0),""),"")</f>
        <v/>
      </c>
      <c r="AE152" s="35" t="str">
        <f aca="false">IF(AND(ISNUMBER(Z152),ISNUMBER(AA152)),IF(AA152&gt;=Z152,ROUND((AA152-Z152)*1440,0),""),"")</f>
        <v/>
      </c>
      <c r="AF152" s="35" t="str">
        <f aca="false">IF(AND(ISNUMBER(AA152),ISNUMBER(AB152)),IF(AB152&gt;=AA152,ROUND((AB152-AA152)*1440,0),""),"")</f>
        <v/>
      </c>
      <c r="AG152" s="35" t="str">
        <f aca="false">IF(AND(W152="완료",ISNUMBER(X152)),IF(MAX(Y152:AB152)&gt;=X152,ROUND((MAX(Y152:AB152)-X152)*1440,0),""),"")</f>
        <v/>
      </c>
    </row>
    <row r="153" customFormat="false" ht="15" hidden="false" customHeight="false" outlineLevel="0" collapsed="false">
      <c r="A153" s="27" t="n">
        <v>149</v>
      </c>
      <c r="B153" s="28"/>
      <c r="C153" s="29"/>
      <c r="D153" s="29"/>
      <c r="E153" s="28"/>
      <c r="F153" s="30"/>
      <c r="G153" s="31"/>
      <c r="H153" s="28"/>
      <c r="I153" s="29"/>
      <c r="J153" s="29"/>
      <c r="K153" s="29"/>
      <c r="L153" s="29"/>
      <c r="M153" s="29"/>
      <c r="N153" s="29"/>
      <c r="O153" s="29"/>
      <c r="P153" s="29"/>
      <c r="Q153" s="29"/>
      <c r="R153" s="29"/>
      <c r="S153" s="28"/>
      <c r="T153" s="32" t="str">
        <f aca="false">IF(AND(K153="",L153=""),"",IF(OR(K153="-",L153="-"),"측정불가",IF(AND(ISNUMBER(K153),ISNUMBER(L153)),IF(OR(K153&gt;=설정!$C$9,L153&gt;=설정!$C$10),"긴급",IF(OR(K153&gt;=설정!$C$7,L153&gt;=설정!$C$8,K153&lt;설정!$C$11),"주의","정상")),"확인필요")))</f>
        <v/>
      </c>
      <c r="U153" s="32" t="str">
        <f aca="false">IF(M153="","",IF(M153="-","측정불가",IF(NOT(ISNUMBER(M153)),"확인필요",IF(M153&lt;설정!$C$15,"긴급(저혈당)",IF(M153&gt;=설정!$C$16,"긴급(고혈당)",IF(N153="공복",IF(M153&gt;=설정!$C$13,"주의","정상"),IF(N153="식후",IF(M153&gt;=설정!$C$14,"주의","정상"),"조건확인")))))))</f>
        <v/>
      </c>
      <c r="V153" s="32" t="str">
        <f aca="false">IF(OR(T153="긴급",LEFT(U153,2)="긴급",P153="O"),"대상","")</f>
        <v/>
      </c>
      <c r="W153" s="33" t="str">
        <f aca="false">IF(R153&lt;&gt;"",R153,IF(O153="O",IF(V153="대상",IF(Q153="O","완료","추가상담 대기"),"완료"),IF(COUNTA(K153:M153)=3,"상담 대기",IF(J153="O","측정 대기",IF(I153="O","운동평가 대기","미방문")))))</f>
        <v>미방문</v>
      </c>
      <c r="X153" s="34"/>
      <c r="Y153" s="34"/>
      <c r="Z153" s="34"/>
      <c r="AA153" s="34"/>
      <c r="AB153" s="34"/>
      <c r="AC153" s="35" t="str">
        <f aca="false">IF(AND(ISNUMBER(X153),ISNUMBER(Y153)),IF(Y153&gt;=X153,ROUND((Y153-X153)*1440,0),""),"")</f>
        <v/>
      </c>
      <c r="AD153" s="35" t="str">
        <f aca="false">IF(AND(ISNUMBER(Y153),ISNUMBER(Z153)),IF(Z153&gt;=Y153,ROUND((Z153-Y153)*1440,0),""),"")</f>
        <v/>
      </c>
      <c r="AE153" s="35" t="str">
        <f aca="false">IF(AND(ISNUMBER(Z153),ISNUMBER(AA153)),IF(AA153&gt;=Z153,ROUND((AA153-Z153)*1440,0),""),"")</f>
        <v/>
      </c>
      <c r="AF153" s="35" t="str">
        <f aca="false">IF(AND(ISNUMBER(AA153),ISNUMBER(AB153)),IF(AB153&gt;=AA153,ROUND((AB153-AA153)*1440,0),""),"")</f>
        <v/>
      </c>
      <c r="AG153" s="35" t="str">
        <f aca="false">IF(AND(W153="완료",ISNUMBER(X153)),IF(MAX(Y153:AB153)&gt;=X153,ROUND((MAX(Y153:AB153)-X153)*1440,0),""),"")</f>
        <v/>
      </c>
    </row>
    <row r="154" customFormat="false" ht="15" hidden="false" customHeight="false" outlineLevel="0" collapsed="false">
      <c r="A154" s="27" t="n">
        <v>150</v>
      </c>
      <c r="B154" s="28"/>
      <c r="C154" s="29"/>
      <c r="D154" s="29"/>
      <c r="E154" s="28"/>
      <c r="F154" s="30"/>
      <c r="G154" s="31"/>
      <c r="H154" s="28"/>
      <c r="I154" s="29"/>
      <c r="J154" s="29"/>
      <c r="K154" s="29"/>
      <c r="L154" s="29"/>
      <c r="M154" s="29"/>
      <c r="N154" s="29"/>
      <c r="O154" s="29"/>
      <c r="P154" s="29"/>
      <c r="Q154" s="29"/>
      <c r="R154" s="29"/>
      <c r="S154" s="28"/>
      <c r="T154" s="32" t="str">
        <f aca="false">IF(AND(K154="",L154=""),"",IF(OR(K154="-",L154="-"),"측정불가",IF(AND(ISNUMBER(K154),ISNUMBER(L154)),IF(OR(K154&gt;=설정!$C$9,L154&gt;=설정!$C$10),"긴급",IF(OR(K154&gt;=설정!$C$7,L154&gt;=설정!$C$8,K154&lt;설정!$C$11),"주의","정상")),"확인필요")))</f>
        <v/>
      </c>
      <c r="U154" s="32" t="str">
        <f aca="false">IF(M154="","",IF(M154="-","측정불가",IF(NOT(ISNUMBER(M154)),"확인필요",IF(M154&lt;설정!$C$15,"긴급(저혈당)",IF(M154&gt;=설정!$C$16,"긴급(고혈당)",IF(N154="공복",IF(M154&gt;=설정!$C$13,"주의","정상"),IF(N154="식후",IF(M154&gt;=설정!$C$14,"주의","정상"),"조건확인")))))))</f>
        <v/>
      </c>
      <c r="V154" s="32" t="str">
        <f aca="false">IF(OR(T154="긴급",LEFT(U154,2)="긴급",P154="O"),"대상","")</f>
        <v/>
      </c>
      <c r="W154" s="33" t="str">
        <f aca="false">IF(R154&lt;&gt;"",R154,IF(O154="O",IF(V154="대상",IF(Q154="O","완료","추가상담 대기"),"완료"),IF(COUNTA(K154:M154)=3,"상담 대기",IF(J154="O","측정 대기",IF(I154="O","운동평가 대기","미방문")))))</f>
        <v>미방문</v>
      </c>
      <c r="X154" s="34"/>
      <c r="Y154" s="34"/>
      <c r="Z154" s="34"/>
      <c r="AA154" s="34"/>
      <c r="AB154" s="34"/>
      <c r="AC154" s="35" t="str">
        <f aca="false">IF(AND(ISNUMBER(X154),ISNUMBER(Y154)),IF(Y154&gt;=X154,ROUND((Y154-X154)*1440,0),""),"")</f>
        <v/>
      </c>
      <c r="AD154" s="35" t="str">
        <f aca="false">IF(AND(ISNUMBER(Y154),ISNUMBER(Z154)),IF(Z154&gt;=Y154,ROUND((Z154-Y154)*1440,0),""),"")</f>
        <v/>
      </c>
      <c r="AE154" s="35" t="str">
        <f aca="false">IF(AND(ISNUMBER(Z154),ISNUMBER(AA154)),IF(AA154&gt;=Z154,ROUND((AA154-Z154)*1440,0),""),"")</f>
        <v/>
      </c>
      <c r="AF154" s="35" t="str">
        <f aca="false">IF(AND(ISNUMBER(AA154),ISNUMBER(AB154)),IF(AB154&gt;=AA154,ROUND((AB154-AA154)*1440,0),""),"")</f>
        <v/>
      </c>
      <c r="AG154" s="35" t="str">
        <f aca="false">IF(AND(W154="완료",ISNUMBER(X154)),IF(MAX(Y154:AB154)&gt;=X154,ROUND((MAX(Y154:AB154)-X154)*1440,0),""),"")</f>
        <v/>
      </c>
    </row>
    <row r="155" customFormat="false" ht="15" hidden="false" customHeight="false" outlineLevel="0" collapsed="false">
      <c r="A155" s="27" t="n">
        <v>151</v>
      </c>
      <c r="B155" s="28"/>
      <c r="C155" s="29"/>
      <c r="D155" s="29"/>
      <c r="E155" s="28"/>
      <c r="F155" s="30"/>
      <c r="G155" s="31"/>
      <c r="H155" s="28"/>
      <c r="I155" s="29"/>
      <c r="J155" s="29"/>
      <c r="K155" s="29"/>
      <c r="L155" s="29"/>
      <c r="M155" s="29"/>
      <c r="N155" s="29"/>
      <c r="O155" s="29"/>
      <c r="P155" s="29"/>
      <c r="Q155" s="29"/>
      <c r="R155" s="29"/>
      <c r="S155" s="28"/>
      <c r="T155" s="32" t="str">
        <f aca="false">IF(AND(K155="",L155=""),"",IF(OR(K155="-",L155="-"),"측정불가",IF(AND(ISNUMBER(K155),ISNUMBER(L155)),IF(OR(K155&gt;=설정!$C$9,L155&gt;=설정!$C$10),"긴급",IF(OR(K155&gt;=설정!$C$7,L155&gt;=설정!$C$8,K155&lt;설정!$C$11),"주의","정상")),"확인필요")))</f>
        <v/>
      </c>
      <c r="U155" s="32" t="str">
        <f aca="false">IF(M155="","",IF(M155="-","측정불가",IF(NOT(ISNUMBER(M155)),"확인필요",IF(M155&lt;설정!$C$15,"긴급(저혈당)",IF(M155&gt;=설정!$C$16,"긴급(고혈당)",IF(N155="공복",IF(M155&gt;=설정!$C$13,"주의","정상"),IF(N155="식후",IF(M155&gt;=설정!$C$14,"주의","정상"),"조건확인")))))))</f>
        <v/>
      </c>
      <c r="V155" s="32" t="str">
        <f aca="false">IF(OR(T155="긴급",LEFT(U155,2)="긴급",P155="O"),"대상","")</f>
        <v/>
      </c>
      <c r="W155" s="33" t="str">
        <f aca="false">IF(R155&lt;&gt;"",R155,IF(O155="O",IF(V155="대상",IF(Q155="O","완료","추가상담 대기"),"완료"),IF(COUNTA(K155:M155)=3,"상담 대기",IF(J155="O","측정 대기",IF(I155="O","운동평가 대기","미방문")))))</f>
        <v>미방문</v>
      </c>
      <c r="X155" s="34"/>
      <c r="Y155" s="34"/>
      <c r="Z155" s="34"/>
      <c r="AA155" s="34"/>
      <c r="AB155" s="34"/>
      <c r="AC155" s="35" t="str">
        <f aca="false">IF(AND(ISNUMBER(X155),ISNUMBER(Y155)),IF(Y155&gt;=X155,ROUND((Y155-X155)*1440,0),""),"")</f>
        <v/>
      </c>
      <c r="AD155" s="35" t="str">
        <f aca="false">IF(AND(ISNUMBER(Y155),ISNUMBER(Z155)),IF(Z155&gt;=Y155,ROUND((Z155-Y155)*1440,0),""),"")</f>
        <v/>
      </c>
      <c r="AE155" s="35" t="str">
        <f aca="false">IF(AND(ISNUMBER(Z155),ISNUMBER(AA155)),IF(AA155&gt;=Z155,ROUND((AA155-Z155)*1440,0),""),"")</f>
        <v/>
      </c>
      <c r="AF155" s="35" t="str">
        <f aca="false">IF(AND(ISNUMBER(AA155),ISNUMBER(AB155)),IF(AB155&gt;=AA155,ROUND((AB155-AA155)*1440,0),""),"")</f>
        <v/>
      </c>
      <c r="AG155" s="35" t="str">
        <f aca="false">IF(AND(W155="완료",ISNUMBER(X155)),IF(MAX(Y155:AB155)&gt;=X155,ROUND((MAX(Y155:AB155)-X155)*1440,0),""),"")</f>
        <v/>
      </c>
    </row>
    <row r="156" customFormat="false" ht="15" hidden="false" customHeight="false" outlineLevel="0" collapsed="false">
      <c r="A156" s="27" t="n">
        <v>152</v>
      </c>
      <c r="B156" s="28"/>
      <c r="C156" s="29"/>
      <c r="D156" s="29"/>
      <c r="E156" s="28"/>
      <c r="F156" s="30"/>
      <c r="G156" s="31"/>
      <c r="H156" s="28"/>
      <c r="I156" s="29"/>
      <c r="J156" s="29"/>
      <c r="K156" s="29"/>
      <c r="L156" s="29"/>
      <c r="M156" s="29"/>
      <c r="N156" s="29"/>
      <c r="O156" s="29"/>
      <c r="P156" s="29"/>
      <c r="Q156" s="29"/>
      <c r="R156" s="29"/>
      <c r="S156" s="28"/>
      <c r="T156" s="32" t="str">
        <f aca="false">IF(AND(K156="",L156=""),"",IF(OR(K156="-",L156="-"),"측정불가",IF(AND(ISNUMBER(K156),ISNUMBER(L156)),IF(OR(K156&gt;=설정!$C$9,L156&gt;=설정!$C$10),"긴급",IF(OR(K156&gt;=설정!$C$7,L156&gt;=설정!$C$8,K156&lt;설정!$C$11),"주의","정상")),"확인필요")))</f>
        <v/>
      </c>
      <c r="U156" s="32" t="str">
        <f aca="false">IF(M156="","",IF(M156="-","측정불가",IF(NOT(ISNUMBER(M156)),"확인필요",IF(M156&lt;설정!$C$15,"긴급(저혈당)",IF(M156&gt;=설정!$C$16,"긴급(고혈당)",IF(N156="공복",IF(M156&gt;=설정!$C$13,"주의","정상"),IF(N156="식후",IF(M156&gt;=설정!$C$14,"주의","정상"),"조건확인")))))))</f>
        <v/>
      </c>
      <c r="V156" s="32" t="str">
        <f aca="false">IF(OR(T156="긴급",LEFT(U156,2)="긴급",P156="O"),"대상","")</f>
        <v/>
      </c>
      <c r="W156" s="33" t="str">
        <f aca="false">IF(R156&lt;&gt;"",R156,IF(O156="O",IF(V156="대상",IF(Q156="O","완료","추가상담 대기"),"완료"),IF(COUNTA(K156:M156)=3,"상담 대기",IF(J156="O","측정 대기",IF(I156="O","운동평가 대기","미방문")))))</f>
        <v>미방문</v>
      </c>
      <c r="X156" s="34"/>
      <c r="Y156" s="34"/>
      <c r="Z156" s="34"/>
      <c r="AA156" s="34"/>
      <c r="AB156" s="34"/>
      <c r="AC156" s="35" t="str">
        <f aca="false">IF(AND(ISNUMBER(X156),ISNUMBER(Y156)),IF(Y156&gt;=X156,ROUND((Y156-X156)*1440,0),""),"")</f>
        <v/>
      </c>
      <c r="AD156" s="35" t="str">
        <f aca="false">IF(AND(ISNUMBER(Y156),ISNUMBER(Z156)),IF(Z156&gt;=Y156,ROUND((Z156-Y156)*1440,0),""),"")</f>
        <v/>
      </c>
      <c r="AE156" s="35" t="str">
        <f aca="false">IF(AND(ISNUMBER(Z156),ISNUMBER(AA156)),IF(AA156&gt;=Z156,ROUND((AA156-Z156)*1440,0),""),"")</f>
        <v/>
      </c>
      <c r="AF156" s="35" t="str">
        <f aca="false">IF(AND(ISNUMBER(AA156),ISNUMBER(AB156)),IF(AB156&gt;=AA156,ROUND((AB156-AA156)*1440,0),""),"")</f>
        <v/>
      </c>
      <c r="AG156" s="35" t="str">
        <f aca="false">IF(AND(W156="완료",ISNUMBER(X156)),IF(MAX(Y156:AB156)&gt;=X156,ROUND((MAX(Y156:AB156)-X156)*1440,0),""),"")</f>
        <v/>
      </c>
    </row>
    <row r="157" customFormat="false" ht="15" hidden="false" customHeight="false" outlineLevel="0" collapsed="false">
      <c r="A157" s="27" t="n">
        <v>153</v>
      </c>
      <c r="B157" s="28"/>
      <c r="C157" s="29"/>
      <c r="D157" s="29"/>
      <c r="E157" s="28"/>
      <c r="F157" s="30"/>
      <c r="G157" s="31"/>
      <c r="H157" s="28"/>
      <c r="I157" s="29"/>
      <c r="J157" s="29"/>
      <c r="K157" s="29"/>
      <c r="L157" s="29"/>
      <c r="M157" s="29"/>
      <c r="N157" s="29"/>
      <c r="O157" s="29"/>
      <c r="P157" s="29"/>
      <c r="Q157" s="29"/>
      <c r="R157" s="29"/>
      <c r="S157" s="28"/>
      <c r="T157" s="32" t="str">
        <f aca="false">IF(AND(K157="",L157=""),"",IF(OR(K157="-",L157="-"),"측정불가",IF(AND(ISNUMBER(K157),ISNUMBER(L157)),IF(OR(K157&gt;=설정!$C$9,L157&gt;=설정!$C$10),"긴급",IF(OR(K157&gt;=설정!$C$7,L157&gt;=설정!$C$8,K157&lt;설정!$C$11),"주의","정상")),"확인필요")))</f>
        <v/>
      </c>
      <c r="U157" s="32" t="str">
        <f aca="false">IF(M157="","",IF(M157="-","측정불가",IF(NOT(ISNUMBER(M157)),"확인필요",IF(M157&lt;설정!$C$15,"긴급(저혈당)",IF(M157&gt;=설정!$C$16,"긴급(고혈당)",IF(N157="공복",IF(M157&gt;=설정!$C$13,"주의","정상"),IF(N157="식후",IF(M157&gt;=설정!$C$14,"주의","정상"),"조건확인")))))))</f>
        <v/>
      </c>
      <c r="V157" s="32" t="str">
        <f aca="false">IF(OR(T157="긴급",LEFT(U157,2)="긴급",P157="O"),"대상","")</f>
        <v/>
      </c>
      <c r="W157" s="33" t="str">
        <f aca="false">IF(R157&lt;&gt;"",R157,IF(O157="O",IF(V157="대상",IF(Q157="O","완료","추가상담 대기"),"완료"),IF(COUNTA(K157:M157)=3,"상담 대기",IF(J157="O","측정 대기",IF(I157="O","운동평가 대기","미방문")))))</f>
        <v>미방문</v>
      </c>
      <c r="X157" s="34"/>
      <c r="Y157" s="34"/>
      <c r="Z157" s="34"/>
      <c r="AA157" s="34"/>
      <c r="AB157" s="34"/>
      <c r="AC157" s="35" t="str">
        <f aca="false">IF(AND(ISNUMBER(X157),ISNUMBER(Y157)),IF(Y157&gt;=X157,ROUND((Y157-X157)*1440,0),""),"")</f>
        <v/>
      </c>
      <c r="AD157" s="35" t="str">
        <f aca="false">IF(AND(ISNUMBER(Y157),ISNUMBER(Z157)),IF(Z157&gt;=Y157,ROUND((Z157-Y157)*1440,0),""),"")</f>
        <v/>
      </c>
      <c r="AE157" s="35" t="str">
        <f aca="false">IF(AND(ISNUMBER(Z157),ISNUMBER(AA157)),IF(AA157&gt;=Z157,ROUND((AA157-Z157)*1440,0),""),"")</f>
        <v/>
      </c>
      <c r="AF157" s="35" t="str">
        <f aca="false">IF(AND(ISNUMBER(AA157),ISNUMBER(AB157)),IF(AB157&gt;=AA157,ROUND((AB157-AA157)*1440,0),""),"")</f>
        <v/>
      </c>
      <c r="AG157" s="35" t="str">
        <f aca="false">IF(AND(W157="완료",ISNUMBER(X157)),IF(MAX(Y157:AB157)&gt;=X157,ROUND((MAX(Y157:AB157)-X157)*1440,0),""),"")</f>
        <v/>
      </c>
    </row>
    <row r="158" customFormat="false" ht="15" hidden="false" customHeight="false" outlineLevel="0" collapsed="false">
      <c r="A158" s="27" t="n">
        <v>154</v>
      </c>
      <c r="B158" s="28"/>
      <c r="C158" s="29"/>
      <c r="D158" s="29"/>
      <c r="E158" s="28"/>
      <c r="F158" s="30"/>
      <c r="G158" s="31"/>
      <c r="H158" s="28"/>
      <c r="I158" s="29"/>
      <c r="J158" s="29"/>
      <c r="K158" s="29"/>
      <c r="L158" s="29"/>
      <c r="M158" s="29"/>
      <c r="N158" s="29"/>
      <c r="O158" s="29"/>
      <c r="P158" s="29"/>
      <c r="Q158" s="29"/>
      <c r="R158" s="29"/>
      <c r="S158" s="28"/>
      <c r="T158" s="32" t="str">
        <f aca="false">IF(AND(K158="",L158=""),"",IF(OR(K158="-",L158="-"),"측정불가",IF(AND(ISNUMBER(K158),ISNUMBER(L158)),IF(OR(K158&gt;=설정!$C$9,L158&gt;=설정!$C$10),"긴급",IF(OR(K158&gt;=설정!$C$7,L158&gt;=설정!$C$8,K158&lt;설정!$C$11),"주의","정상")),"확인필요")))</f>
        <v/>
      </c>
      <c r="U158" s="32" t="str">
        <f aca="false">IF(M158="","",IF(M158="-","측정불가",IF(NOT(ISNUMBER(M158)),"확인필요",IF(M158&lt;설정!$C$15,"긴급(저혈당)",IF(M158&gt;=설정!$C$16,"긴급(고혈당)",IF(N158="공복",IF(M158&gt;=설정!$C$13,"주의","정상"),IF(N158="식후",IF(M158&gt;=설정!$C$14,"주의","정상"),"조건확인")))))))</f>
        <v/>
      </c>
      <c r="V158" s="32" t="str">
        <f aca="false">IF(OR(T158="긴급",LEFT(U158,2)="긴급",P158="O"),"대상","")</f>
        <v/>
      </c>
      <c r="W158" s="33" t="str">
        <f aca="false">IF(R158&lt;&gt;"",R158,IF(O158="O",IF(V158="대상",IF(Q158="O","완료","추가상담 대기"),"완료"),IF(COUNTA(K158:M158)=3,"상담 대기",IF(J158="O","측정 대기",IF(I158="O","운동평가 대기","미방문")))))</f>
        <v>미방문</v>
      </c>
      <c r="X158" s="34"/>
      <c r="Y158" s="34"/>
      <c r="Z158" s="34"/>
      <c r="AA158" s="34"/>
      <c r="AB158" s="34"/>
      <c r="AC158" s="35" t="str">
        <f aca="false">IF(AND(ISNUMBER(X158),ISNUMBER(Y158)),IF(Y158&gt;=X158,ROUND((Y158-X158)*1440,0),""),"")</f>
        <v/>
      </c>
      <c r="AD158" s="35" t="str">
        <f aca="false">IF(AND(ISNUMBER(Y158),ISNUMBER(Z158)),IF(Z158&gt;=Y158,ROUND((Z158-Y158)*1440,0),""),"")</f>
        <v/>
      </c>
      <c r="AE158" s="35" t="str">
        <f aca="false">IF(AND(ISNUMBER(Z158),ISNUMBER(AA158)),IF(AA158&gt;=Z158,ROUND((AA158-Z158)*1440,0),""),"")</f>
        <v/>
      </c>
      <c r="AF158" s="35" t="str">
        <f aca="false">IF(AND(ISNUMBER(AA158),ISNUMBER(AB158)),IF(AB158&gt;=AA158,ROUND((AB158-AA158)*1440,0),""),"")</f>
        <v/>
      </c>
      <c r="AG158" s="35" t="str">
        <f aca="false">IF(AND(W158="완료",ISNUMBER(X158)),IF(MAX(Y158:AB158)&gt;=X158,ROUND((MAX(Y158:AB158)-X158)*1440,0),""),"")</f>
        <v/>
      </c>
    </row>
    <row r="159" customFormat="false" ht="15" hidden="false" customHeight="false" outlineLevel="0" collapsed="false">
      <c r="A159" s="27" t="n">
        <v>155</v>
      </c>
      <c r="B159" s="28"/>
      <c r="C159" s="29"/>
      <c r="D159" s="29"/>
      <c r="E159" s="28"/>
      <c r="F159" s="30"/>
      <c r="G159" s="31"/>
      <c r="H159" s="28"/>
      <c r="I159" s="29"/>
      <c r="J159" s="29"/>
      <c r="K159" s="29"/>
      <c r="L159" s="29"/>
      <c r="M159" s="29"/>
      <c r="N159" s="29"/>
      <c r="O159" s="29"/>
      <c r="P159" s="29"/>
      <c r="Q159" s="29"/>
      <c r="R159" s="29"/>
      <c r="S159" s="28"/>
      <c r="T159" s="32" t="str">
        <f aca="false">IF(AND(K159="",L159=""),"",IF(OR(K159="-",L159="-"),"측정불가",IF(AND(ISNUMBER(K159),ISNUMBER(L159)),IF(OR(K159&gt;=설정!$C$9,L159&gt;=설정!$C$10),"긴급",IF(OR(K159&gt;=설정!$C$7,L159&gt;=설정!$C$8,K159&lt;설정!$C$11),"주의","정상")),"확인필요")))</f>
        <v/>
      </c>
      <c r="U159" s="32" t="str">
        <f aca="false">IF(M159="","",IF(M159="-","측정불가",IF(NOT(ISNUMBER(M159)),"확인필요",IF(M159&lt;설정!$C$15,"긴급(저혈당)",IF(M159&gt;=설정!$C$16,"긴급(고혈당)",IF(N159="공복",IF(M159&gt;=설정!$C$13,"주의","정상"),IF(N159="식후",IF(M159&gt;=설정!$C$14,"주의","정상"),"조건확인")))))))</f>
        <v/>
      </c>
      <c r="V159" s="32" t="str">
        <f aca="false">IF(OR(T159="긴급",LEFT(U159,2)="긴급",P159="O"),"대상","")</f>
        <v/>
      </c>
      <c r="W159" s="33" t="str">
        <f aca="false">IF(R159&lt;&gt;"",R159,IF(O159="O",IF(V159="대상",IF(Q159="O","완료","추가상담 대기"),"완료"),IF(COUNTA(K159:M159)=3,"상담 대기",IF(J159="O","측정 대기",IF(I159="O","운동평가 대기","미방문")))))</f>
        <v>미방문</v>
      </c>
      <c r="X159" s="34"/>
      <c r="Y159" s="34"/>
      <c r="Z159" s="34"/>
      <c r="AA159" s="34"/>
      <c r="AB159" s="34"/>
      <c r="AC159" s="35" t="str">
        <f aca="false">IF(AND(ISNUMBER(X159),ISNUMBER(Y159)),IF(Y159&gt;=X159,ROUND((Y159-X159)*1440,0),""),"")</f>
        <v/>
      </c>
      <c r="AD159" s="35" t="str">
        <f aca="false">IF(AND(ISNUMBER(Y159),ISNUMBER(Z159)),IF(Z159&gt;=Y159,ROUND((Z159-Y159)*1440,0),""),"")</f>
        <v/>
      </c>
      <c r="AE159" s="35" t="str">
        <f aca="false">IF(AND(ISNUMBER(Z159),ISNUMBER(AA159)),IF(AA159&gt;=Z159,ROUND((AA159-Z159)*1440,0),""),"")</f>
        <v/>
      </c>
      <c r="AF159" s="35" t="str">
        <f aca="false">IF(AND(ISNUMBER(AA159),ISNUMBER(AB159)),IF(AB159&gt;=AA159,ROUND((AB159-AA159)*1440,0),""),"")</f>
        <v/>
      </c>
      <c r="AG159" s="35" t="str">
        <f aca="false">IF(AND(W159="완료",ISNUMBER(X159)),IF(MAX(Y159:AB159)&gt;=X159,ROUND((MAX(Y159:AB159)-X159)*1440,0),""),"")</f>
        <v/>
      </c>
    </row>
    <row r="160" customFormat="false" ht="15" hidden="false" customHeight="false" outlineLevel="0" collapsed="false">
      <c r="A160" s="27" t="n">
        <v>156</v>
      </c>
      <c r="B160" s="28"/>
      <c r="C160" s="29"/>
      <c r="D160" s="29"/>
      <c r="E160" s="28"/>
      <c r="F160" s="30"/>
      <c r="G160" s="31"/>
      <c r="H160" s="28"/>
      <c r="I160" s="29"/>
      <c r="J160" s="29"/>
      <c r="K160" s="29"/>
      <c r="L160" s="29"/>
      <c r="M160" s="29"/>
      <c r="N160" s="29"/>
      <c r="O160" s="29"/>
      <c r="P160" s="29"/>
      <c r="Q160" s="29"/>
      <c r="R160" s="29"/>
      <c r="S160" s="28"/>
      <c r="T160" s="32" t="str">
        <f aca="false">IF(AND(K160="",L160=""),"",IF(OR(K160="-",L160="-"),"측정불가",IF(AND(ISNUMBER(K160),ISNUMBER(L160)),IF(OR(K160&gt;=설정!$C$9,L160&gt;=설정!$C$10),"긴급",IF(OR(K160&gt;=설정!$C$7,L160&gt;=설정!$C$8,K160&lt;설정!$C$11),"주의","정상")),"확인필요")))</f>
        <v/>
      </c>
      <c r="U160" s="32" t="str">
        <f aca="false">IF(M160="","",IF(M160="-","측정불가",IF(NOT(ISNUMBER(M160)),"확인필요",IF(M160&lt;설정!$C$15,"긴급(저혈당)",IF(M160&gt;=설정!$C$16,"긴급(고혈당)",IF(N160="공복",IF(M160&gt;=설정!$C$13,"주의","정상"),IF(N160="식후",IF(M160&gt;=설정!$C$14,"주의","정상"),"조건확인")))))))</f>
        <v/>
      </c>
      <c r="V160" s="32" t="str">
        <f aca="false">IF(OR(T160="긴급",LEFT(U160,2)="긴급",P160="O"),"대상","")</f>
        <v/>
      </c>
      <c r="W160" s="33" t="str">
        <f aca="false">IF(R160&lt;&gt;"",R160,IF(O160="O",IF(V160="대상",IF(Q160="O","완료","추가상담 대기"),"완료"),IF(COUNTA(K160:M160)=3,"상담 대기",IF(J160="O","측정 대기",IF(I160="O","운동평가 대기","미방문")))))</f>
        <v>미방문</v>
      </c>
      <c r="X160" s="34"/>
      <c r="Y160" s="34"/>
      <c r="Z160" s="34"/>
      <c r="AA160" s="34"/>
      <c r="AB160" s="34"/>
      <c r="AC160" s="35" t="str">
        <f aca="false">IF(AND(ISNUMBER(X160),ISNUMBER(Y160)),IF(Y160&gt;=X160,ROUND((Y160-X160)*1440,0),""),"")</f>
        <v/>
      </c>
      <c r="AD160" s="35" t="str">
        <f aca="false">IF(AND(ISNUMBER(Y160),ISNUMBER(Z160)),IF(Z160&gt;=Y160,ROUND((Z160-Y160)*1440,0),""),"")</f>
        <v/>
      </c>
      <c r="AE160" s="35" t="str">
        <f aca="false">IF(AND(ISNUMBER(Z160),ISNUMBER(AA160)),IF(AA160&gt;=Z160,ROUND((AA160-Z160)*1440,0),""),"")</f>
        <v/>
      </c>
      <c r="AF160" s="35" t="str">
        <f aca="false">IF(AND(ISNUMBER(AA160),ISNUMBER(AB160)),IF(AB160&gt;=AA160,ROUND((AB160-AA160)*1440,0),""),"")</f>
        <v/>
      </c>
      <c r="AG160" s="35" t="str">
        <f aca="false">IF(AND(W160="완료",ISNUMBER(X160)),IF(MAX(Y160:AB160)&gt;=X160,ROUND((MAX(Y160:AB160)-X160)*1440,0),""),"")</f>
        <v/>
      </c>
    </row>
    <row r="161" customFormat="false" ht="15" hidden="false" customHeight="false" outlineLevel="0" collapsed="false">
      <c r="A161" s="27" t="n">
        <v>157</v>
      </c>
      <c r="B161" s="28"/>
      <c r="C161" s="29"/>
      <c r="D161" s="29"/>
      <c r="E161" s="28"/>
      <c r="F161" s="30"/>
      <c r="G161" s="31"/>
      <c r="H161" s="28"/>
      <c r="I161" s="29"/>
      <c r="J161" s="29"/>
      <c r="K161" s="29"/>
      <c r="L161" s="29"/>
      <c r="M161" s="29"/>
      <c r="N161" s="29"/>
      <c r="O161" s="29"/>
      <c r="P161" s="29"/>
      <c r="Q161" s="29"/>
      <c r="R161" s="29"/>
      <c r="S161" s="28"/>
      <c r="T161" s="32" t="str">
        <f aca="false">IF(AND(K161="",L161=""),"",IF(OR(K161="-",L161="-"),"측정불가",IF(AND(ISNUMBER(K161),ISNUMBER(L161)),IF(OR(K161&gt;=설정!$C$9,L161&gt;=설정!$C$10),"긴급",IF(OR(K161&gt;=설정!$C$7,L161&gt;=설정!$C$8,K161&lt;설정!$C$11),"주의","정상")),"확인필요")))</f>
        <v/>
      </c>
      <c r="U161" s="32" t="str">
        <f aca="false">IF(M161="","",IF(M161="-","측정불가",IF(NOT(ISNUMBER(M161)),"확인필요",IF(M161&lt;설정!$C$15,"긴급(저혈당)",IF(M161&gt;=설정!$C$16,"긴급(고혈당)",IF(N161="공복",IF(M161&gt;=설정!$C$13,"주의","정상"),IF(N161="식후",IF(M161&gt;=설정!$C$14,"주의","정상"),"조건확인")))))))</f>
        <v/>
      </c>
      <c r="V161" s="32" t="str">
        <f aca="false">IF(OR(T161="긴급",LEFT(U161,2)="긴급",P161="O"),"대상","")</f>
        <v/>
      </c>
      <c r="W161" s="33" t="str">
        <f aca="false">IF(R161&lt;&gt;"",R161,IF(O161="O",IF(V161="대상",IF(Q161="O","완료","추가상담 대기"),"완료"),IF(COUNTA(K161:M161)=3,"상담 대기",IF(J161="O","측정 대기",IF(I161="O","운동평가 대기","미방문")))))</f>
        <v>미방문</v>
      </c>
      <c r="X161" s="34"/>
      <c r="Y161" s="34"/>
      <c r="Z161" s="34"/>
      <c r="AA161" s="34"/>
      <c r="AB161" s="34"/>
      <c r="AC161" s="35" t="str">
        <f aca="false">IF(AND(ISNUMBER(X161),ISNUMBER(Y161)),IF(Y161&gt;=X161,ROUND((Y161-X161)*1440,0),""),"")</f>
        <v/>
      </c>
      <c r="AD161" s="35" t="str">
        <f aca="false">IF(AND(ISNUMBER(Y161),ISNUMBER(Z161)),IF(Z161&gt;=Y161,ROUND((Z161-Y161)*1440,0),""),"")</f>
        <v/>
      </c>
      <c r="AE161" s="35" t="str">
        <f aca="false">IF(AND(ISNUMBER(Z161),ISNUMBER(AA161)),IF(AA161&gt;=Z161,ROUND((AA161-Z161)*1440,0),""),"")</f>
        <v/>
      </c>
      <c r="AF161" s="35" t="str">
        <f aca="false">IF(AND(ISNUMBER(AA161),ISNUMBER(AB161)),IF(AB161&gt;=AA161,ROUND((AB161-AA161)*1440,0),""),"")</f>
        <v/>
      </c>
      <c r="AG161" s="35" t="str">
        <f aca="false">IF(AND(W161="완료",ISNUMBER(X161)),IF(MAX(Y161:AB161)&gt;=X161,ROUND((MAX(Y161:AB161)-X161)*1440,0),""),"")</f>
        <v/>
      </c>
    </row>
    <row r="162" customFormat="false" ht="15" hidden="false" customHeight="false" outlineLevel="0" collapsed="false">
      <c r="A162" s="27" t="n">
        <v>158</v>
      </c>
      <c r="B162" s="28"/>
      <c r="C162" s="29"/>
      <c r="D162" s="29"/>
      <c r="E162" s="28"/>
      <c r="F162" s="30"/>
      <c r="G162" s="31"/>
      <c r="H162" s="28"/>
      <c r="I162" s="29"/>
      <c r="J162" s="29"/>
      <c r="K162" s="29"/>
      <c r="L162" s="29"/>
      <c r="M162" s="29"/>
      <c r="N162" s="29"/>
      <c r="O162" s="29"/>
      <c r="P162" s="29"/>
      <c r="Q162" s="29"/>
      <c r="R162" s="29"/>
      <c r="S162" s="28"/>
      <c r="T162" s="32" t="str">
        <f aca="false">IF(AND(K162="",L162=""),"",IF(OR(K162="-",L162="-"),"측정불가",IF(AND(ISNUMBER(K162),ISNUMBER(L162)),IF(OR(K162&gt;=설정!$C$9,L162&gt;=설정!$C$10),"긴급",IF(OR(K162&gt;=설정!$C$7,L162&gt;=설정!$C$8,K162&lt;설정!$C$11),"주의","정상")),"확인필요")))</f>
        <v/>
      </c>
      <c r="U162" s="32" t="str">
        <f aca="false">IF(M162="","",IF(M162="-","측정불가",IF(NOT(ISNUMBER(M162)),"확인필요",IF(M162&lt;설정!$C$15,"긴급(저혈당)",IF(M162&gt;=설정!$C$16,"긴급(고혈당)",IF(N162="공복",IF(M162&gt;=설정!$C$13,"주의","정상"),IF(N162="식후",IF(M162&gt;=설정!$C$14,"주의","정상"),"조건확인")))))))</f>
        <v/>
      </c>
      <c r="V162" s="32" t="str">
        <f aca="false">IF(OR(T162="긴급",LEFT(U162,2)="긴급",P162="O"),"대상","")</f>
        <v/>
      </c>
      <c r="W162" s="33" t="str">
        <f aca="false">IF(R162&lt;&gt;"",R162,IF(O162="O",IF(V162="대상",IF(Q162="O","완료","추가상담 대기"),"완료"),IF(COUNTA(K162:M162)=3,"상담 대기",IF(J162="O","측정 대기",IF(I162="O","운동평가 대기","미방문")))))</f>
        <v>미방문</v>
      </c>
      <c r="X162" s="34"/>
      <c r="Y162" s="34"/>
      <c r="Z162" s="34"/>
      <c r="AA162" s="34"/>
      <c r="AB162" s="34"/>
      <c r="AC162" s="35" t="str">
        <f aca="false">IF(AND(ISNUMBER(X162),ISNUMBER(Y162)),IF(Y162&gt;=X162,ROUND((Y162-X162)*1440,0),""),"")</f>
        <v/>
      </c>
      <c r="AD162" s="35" t="str">
        <f aca="false">IF(AND(ISNUMBER(Y162),ISNUMBER(Z162)),IF(Z162&gt;=Y162,ROUND((Z162-Y162)*1440,0),""),"")</f>
        <v/>
      </c>
      <c r="AE162" s="35" t="str">
        <f aca="false">IF(AND(ISNUMBER(Z162),ISNUMBER(AA162)),IF(AA162&gt;=Z162,ROUND((AA162-Z162)*1440,0),""),"")</f>
        <v/>
      </c>
      <c r="AF162" s="35" t="str">
        <f aca="false">IF(AND(ISNUMBER(AA162),ISNUMBER(AB162)),IF(AB162&gt;=AA162,ROUND((AB162-AA162)*1440,0),""),"")</f>
        <v/>
      </c>
      <c r="AG162" s="35" t="str">
        <f aca="false">IF(AND(W162="완료",ISNUMBER(X162)),IF(MAX(Y162:AB162)&gt;=X162,ROUND((MAX(Y162:AB162)-X162)*1440,0),""),"")</f>
        <v/>
      </c>
    </row>
    <row r="163" customFormat="false" ht="15" hidden="false" customHeight="false" outlineLevel="0" collapsed="false">
      <c r="A163" s="27" t="n">
        <v>159</v>
      </c>
      <c r="B163" s="28"/>
      <c r="C163" s="29"/>
      <c r="D163" s="29"/>
      <c r="E163" s="28"/>
      <c r="F163" s="30"/>
      <c r="G163" s="31"/>
      <c r="H163" s="28"/>
      <c r="I163" s="29"/>
      <c r="J163" s="29"/>
      <c r="K163" s="29"/>
      <c r="L163" s="29"/>
      <c r="M163" s="29"/>
      <c r="N163" s="29"/>
      <c r="O163" s="29"/>
      <c r="P163" s="29"/>
      <c r="Q163" s="29"/>
      <c r="R163" s="29"/>
      <c r="S163" s="28"/>
      <c r="T163" s="32" t="str">
        <f aca="false">IF(AND(K163="",L163=""),"",IF(OR(K163="-",L163="-"),"측정불가",IF(AND(ISNUMBER(K163),ISNUMBER(L163)),IF(OR(K163&gt;=설정!$C$9,L163&gt;=설정!$C$10),"긴급",IF(OR(K163&gt;=설정!$C$7,L163&gt;=설정!$C$8,K163&lt;설정!$C$11),"주의","정상")),"확인필요")))</f>
        <v/>
      </c>
      <c r="U163" s="32" t="str">
        <f aca="false">IF(M163="","",IF(M163="-","측정불가",IF(NOT(ISNUMBER(M163)),"확인필요",IF(M163&lt;설정!$C$15,"긴급(저혈당)",IF(M163&gt;=설정!$C$16,"긴급(고혈당)",IF(N163="공복",IF(M163&gt;=설정!$C$13,"주의","정상"),IF(N163="식후",IF(M163&gt;=설정!$C$14,"주의","정상"),"조건확인")))))))</f>
        <v/>
      </c>
      <c r="V163" s="32" t="str">
        <f aca="false">IF(OR(T163="긴급",LEFT(U163,2)="긴급",P163="O"),"대상","")</f>
        <v/>
      </c>
      <c r="W163" s="33" t="str">
        <f aca="false">IF(R163&lt;&gt;"",R163,IF(O163="O",IF(V163="대상",IF(Q163="O","완료","추가상담 대기"),"완료"),IF(COUNTA(K163:M163)=3,"상담 대기",IF(J163="O","측정 대기",IF(I163="O","운동평가 대기","미방문")))))</f>
        <v>미방문</v>
      </c>
      <c r="X163" s="34"/>
      <c r="Y163" s="34"/>
      <c r="Z163" s="34"/>
      <c r="AA163" s="34"/>
      <c r="AB163" s="34"/>
      <c r="AC163" s="35" t="str">
        <f aca="false">IF(AND(ISNUMBER(X163),ISNUMBER(Y163)),IF(Y163&gt;=X163,ROUND((Y163-X163)*1440,0),""),"")</f>
        <v/>
      </c>
      <c r="AD163" s="35" t="str">
        <f aca="false">IF(AND(ISNUMBER(Y163),ISNUMBER(Z163)),IF(Z163&gt;=Y163,ROUND((Z163-Y163)*1440,0),""),"")</f>
        <v/>
      </c>
      <c r="AE163" s="35" t="str">
        <f aca="false">IF(AND(ISNUMBER(Z163),ISNUMBER(AA163)),IF(AA163&gt;=Z163,ROUND((AA163-Z163)*1440,0),""),"")</f>
        <v/>
      </c>
      <c r="AF163" s="35" t="str">
        <f aca="false">IF(AND(ISNUMBER(AA163),ISNUMBER(AB163)),IF(AB163&gt;=AA163,ROUND((AB163-AA163)*1440,0),""),"")</f>
        <v/>
      </c>
      <c r="AG163" s="35" t="str">
        <f aca="false">IF(AND(W163="완료",ISNUMBER(X163)),IF(MAX(Y163:AB163)&gt;=X163,ROUND((MAX(Y163:AB163)-X163)*1440,0),""),"")</f>
        <v/>
      </c>
    </row>
    <row r="164" customFormat="false" ht="15" hidden="false" customHeight="false" outlineLevel="0" collapsed="false">
      <c r="A164" s="27" t="n">
        <v>160</v>
      </c>
      <c r="B164" s="28"/>
      <c r="C164" s="29"/>
      <c r="D164" s="29"/>
      <c r="E164" s="28"/>
      <c r="F164" s="30"/>
      <c r="G164" s="31"/>
      <c r="H164" s="28"/>
      <c r="I164" s="29"/>
      <c r="J164" s="29"/>
      <c r="K164" s="29"/>
      <c r="L164" s="29"/>
      <c r="M164" s="29"/>
      <c r="N164" s="29"/>
      <c r="O164" s="29"/>
      <c r="P164" s="29"/>
      <c r="Q164" s="29"/>
      <c r="R164" s="29"/>
      <c r="S164" s="28"/>
      <c r="T164" s="32" t="str">
        <f aca="false">IF(AND(K164="",L164=""),"",IF(OR(K164="-",L164="-"),"측정불가",IF(AND(ISNUMBER(K164),ISNUMBER(L164)),IF(OR(K164&gt;=설정!$C$9,L164&gt;=설정!$C$10),"긴급",IF(OR(K164&gt;=설정!$C$7,L164&gt;=설정!$C$8,K164&lt;설정!$C$11),"주의","정상")),"확인필요")))</f>
        <v/>
      </c>
      <c r="U164" s="32" t="str">
        <f aca="false">IF(M164="","",IF(M164="-","측정불가",IF(NOT(ISNUMBER(M164)),"확인필요",IF(M164&lt;설정!$C$15,"긴급(저혈당)",IF(M164&gt;=설정!$C$16,"긴급(고혈당)",IF(N164="공복",IF(M164&gt;=설정!$C$13,"주의","정상"),IF(N164="식후",IF(M164&gt;=설정!$C$14,"주의","정상"),"조건확인")))))))</f>
        <v/>
      </c>
      <c r="V164" s="32" t="str">
        <f aca="false">IF(OR(T164="긴급",LEFT(U164,2)="긴급",P164="O"),"대상","")</f>
        <v/>
      </c>
      <c r="W164" s="33" t="str">
        <f aca="false">IF(R164&lt;&gt;"",R164,IF(O164="O",IF(V164="대상",IF(Q164="O","완료","추가상담 대기"),"완료"),IF(COUNTA(K164:M164)=3,"상담 대기",IF(J164="O","측정 대기",IF(I164="O","운동평가 대기","미방문")))))</f>
        <v>미방문</v>
      </c>
      <c r="X164" s="34"/>
      <c r="Y164" s="34"/>
      <c r="Z164" s="34"/>
      <c r="AA164" s="34"/>
      <c r="AB164" s="34"/>
      <c r="AC164" s="35" t="str">
        <f aca="false">IF(AND(ISNUMBER(X164),ISNUMBER(Y164)),IF(Y164&gt;=X164,ROUND((Y164-X164)*1440,0),""),"")</f>
        <v/>
      </c>
      <c r="AD164" s="35" t="str">
        <f aca="false">IF(AND(ISNUMBER(Y164),ISNUMBER(Z164)),IF(Z164&gt;=Y164,ROUND((Z164-Y164)*1440,0),""),"")</f>
        <v/>
      </c>
      <c r="AE164" s="35" t="str">
        <f aca="false">IF(AND(ISNUMBER(Z164),ISNUMBER(AA164)),IF(AA164&gt;=Z164,ROUND((AA164-Z164)*1440,0),""),"")</f>
        <v/>
      </c>
      <c r="AF164" s="35" t="str">
        <f aca="false">IF(AND(ISNUMBER(AA164),ISNUMBER(AB164)),IF(AB164&gt;=AA164,ROUND((AB164-AA164)*1440,0),""),"")</f>
        <v/>
      </c>
      <c r="AG164" s="35" t="str">
        <f aca="false">IF(AND(W164="완료",ISNUMBER(X164)),IF(MAX(Y164:AB164)&gt;=X164,ROUND((MAX(Y164:AB164)-X164)*1440,0),""),"")</f>
        <v/>
      </c>
    </row>
    <row r="165" customFormat="false" ht="15" hidden="false" customHeight="false" outlineLevel="0" collapsed="false">
      <c r="A165" s="27" t="n">
        <v>161</v>
      </c>
      <c r="B165" s="28"/>
      <c r="C165" s="29"/>
      <c r="D165" s="29"/>
      <c r="E165" s="28"/>
      <c r="F165" s="30"/>
      <c r="G165" s="31"/>
      <c r="H165" s="28"/>
      <c r="I165" s="29"/>
      <c r="J165" s="29"/>
      <c r="K165" s="29"/>
      <c r="L165" s="29"/>
      <c r="M165" s="29"/>
      <c r="N165" s="29"/>
      <c r="O165" s="29"/>
      <c r="P165" s="29"/>
      <c r="Q165" s="29"/>
      <c r="R165" s="29"/>
      <c r="S165" s="28"/>
      <c r="T165" s="32" t="str">
        <f aca="false">IF(AND(K165="",L165=""),"",IF(OR(K165="-",L165="-"),"측정불가",IF(AND(ISNUMBER(K165),ISNUMBER(L165)),IF(OR(K165&gt;=설정!$C$9,L165&gt;=설정!$C$10),"긴급",IF(OR(K165&gt;=설정!$C$7,L165&gt;=설정!$C$8,K165&lt;설정!$C$11),"주의","정상")),"확인필요")))</f>
        <v/>
      </c>
      <c r="U165" s="32" t="str">
        <f aca="false">IF(M165="","",IF(M165="-","측정불가",IF(NOT(ISNUMBER(M165)),"확인필요",IF(M165&lt;설정!$C$15,"긴급(저혈당)",IF(M165&gt;=설정!$C$16,"긴급(고혈당)",IF(N165="공복",IF(M165&gt;=설정!$C$13,"주의","정상"),IF(N165="식후",IF(M165&gt;=설정!$C$14,"주의","정상"),"조건확인")))))))</f>
        <v/>
      </c>
      <c r="V165" s="32" t="str">
        <f aca="false">IF(OR(T165="긴급",LEFT(U165,2)="긴급",P165="O"),"대상","")</f>
        <v/>
      </c>
      <c r="W165" s="33" t="str">
        <f aca="false">IF(R165&lt;&gt;"",R165,IF(O165="O",IF(V165="대상",IF(Q165="O","완료","추가상담 대기"),"완료"),IF(COUNTA(K165:M165)=3,"상담 대기",IF(J165="O","측정 대기",IF(I165="O","운동평가 대기","미방문")))))</f>
        <v>미방문</v>
      </c>
      <c r="X165" s="34"/>
      <c r="Y165" s="34"/>
      <c r="Z165" s="34"/>
      <c r="AA165" s="34"/>
      <c r="AB165" s="34"/>
      <c r="AC165" s="35" t="str">
        <f aca="false">IF(AND(ISNUMBER(X165),ISNUMBER(Y165)),IF(Y165&gt;=X165,ROUND((Y165-X165)*1440,0),""),"")</f>
        <v/>
      </c>
      <c r="AD165" s="35" t="str">
        <f aca="false">IF(AND(ISNUMBER(Y165),ISNUMBER(Z165)),IF(Z165&gt;=Y165,ROUND((Z165-Y165)*1440,0),""),"")</f>
        <v/>
      </c>
      <c r="AE165" s="35" t="str">
        <f aca="false">IF(AND(ISNUMBER(Z165),ISNUMBER(AA165)),IF(AA165&gt;=Z165,ROUND((AA165-Z165)*1440,0),""),"")</f>
        <v/>
      </c>
      <c r="AF165" s="35" t="str">
        <f aca="false">IF(AND(ISNUMBER(AA165),ISNUMBER(AB165)),IF(AB165&gt;=AA165,ROUND((AB165-AA165)*1440,0),""),"")</f>
        <v/>
      </c>
      <c r="AG165" s="35" t="str">
        <f aca="false">IF(AND(W165="완료",ISNUMBER(X165)),IF(MAX(Y165:AB165)&gt;=X165,ROUND((MAX(Y165:AB165)-X165)*1440,0),""),"")</f>
        <v/>
      </c>
    </row>
    <row r="166" customFormat="false" ht="15" hidden="false" customHeight="false" outlineLevel="0" collapsed="false">
      <c r="A166" s="27" t="n">
        <v>162</v>
      </c>
      <c r="B166" s="28"/>
      <c r="C166" s="29"/>
      <c r="D166" s="29"/>
      <c r="E166" s="28"/>
      <c r="F166" s="30"/>
      <c r="G166" s="31"/>
      <c r="H166" s="28"/>
      <c r="I166" s="29"/>
      <c r="J166" s="29"/>
      <c r="K166" s="29"/>
      <c r="L166" s="29"/>
      <c r="M166" s="29"/>
      <c r="N166" s="29"/>
      <c r="O166" s="29"/>
      <c r="P166" s="29"/>
      <c r="Q166" s="29"/>
      <c r="R166" s="29"/>
      <c r="S166" s="28"/>
      <c r="T166" s="32" t="str">
        <f aca="false">IF(AND(K166="",L166=""),"",IF(OR(K166="-",L166="-"),"측정불가",IF(AND(ISNUMBER(K166),ISNUMBER(L166)),IF(OR(K166&gt;=설정!$C$9,L166&gt;=설정!$C$10),"긴급",IF(OR(K166&gt;=설정!$C$7,L166&gt;=설정!$C$8,K166&lt;설정!$C$11),"주의","정상")),"확인필요")))</f>
        <v/>
      </c>
      <c r="U166" s="32" t="str">
        <f aca="false">IF(M166="","",IF(M166="-","측정불가",IF(NOT(ISNUMBER(M166)),"확인필요",IF(M166&lt;설정!$C$15,"긴급(저혈당)",IF(M166&gt;=설정!$C$16,"긴급(고혈당)",IF(N166="공복",IF(M166&gt;=설정!$C$13,"주의","정상"),IF(N166="식후",IF(M166&gt;=설정!$C$14,"주의","정상"),"조건확인")))))))</f>
        <v/>
      </c>
      <c r="V166" s="32" t="str">
        <f aca="false">IF(OR(T166="긴급",LEFT(U166,2)="긴급",P166="O"),"대상","")</f>
        <v/>
      </c>
      <c r="W166" s="33" t="str">
        <f aca="false">IF(R166&lt;&gt;"",R166,IF(O166="O",IF(V166="대상",IF(Q166="O","완료","추가상담 대기"),"완료"),IF(COUNTA(K166:M166)=3,"상담 대기",IF(J166="O","측정 대기",IF(I166="O","운동평가 대기","미방문")))))</f>
        <v>미방문</v>
      </c>
      <c r="X166" s="34"/>
      <c r="Y166" s="34"/>
      <c r="Z166" s="34"/>
      <c r="AA166" s="34"/>
      <c r="AB166" s="34"/>
      <c r="AC166" s="35" t="str">
        <f aca="false">IF(AND(ISNUMBER(X166),ISNUMBER(Y166)),IF(Y166&gt;=X166,ROUND((Y166-X166)*1440,0),""),"")</f>
        <v/>
      </c>
      <c r="AD166" s="35" t="str">
        <f aca="false">IF(AND(ISNUMBER(Y166),ISNUMBER(Z166)),IF(Z166&gt;=Y166,ROUND((Z166-Y166)*1440,0),""),"")</f>
        <v/>
      </c>
      <c r="AE166" s="35" t="str">
        <f aca="false">IF(AND(ISNUMBER(Z166),ISNUMBER(AA166)),IF(AA166&gt;=Z166,ROUND((AA166-Z166)*1440,0),""),"")</f>
        <v/>
      </c>
      <c r="AF166" s="35" t="str">
        <f aca="false">IF(AND(ISNUMBER(AA166),ISNUMBER(AB166)),IF(AB166&gt;=AA166,ROUND((AB166-AA166)*1440,0),""),"")</f>
        <v/>
      </c>
      <c r="AG166" s="35" t="str">
        <f aca="false">IF(AND(W166="완료",ISNUMBER(X166)),IF(MAX(Y166:AB166)&gt;=X166,ROUND((MAX(Y166:AB166)-X166)*1440,0),""),"")</f>
        <v/>
      </c>
    </row>
    <row r="167" customFormat="false" ht="15" hidden="false" customHeight="false" outlineLevel="0" collapsed="false">
      <c r="A167" s="27" t="n">
        <v>163</v>
      </c>
      <c r="B167" s="28"/>
      <c r="C167" s="29"/>
      <c r="D167" s="29"/>
      <c r="E167" s="28"/>
      <c r="F167" s="30"/>
      <c r="G167" s="31"/>
      <c r="H167" s="28"/>
      <c r="I167" s="29"/>
      <c r="J167" s="29"/>
      <c r="K167" s="29"/>
      <c r="L167" s="29"/>
      <c r="M167" s="29"/>
      <c r="N167" s="29"/>
      <c r="O167" s="29"/>
      <c r="P167" s="29"/>
      <c r="Q167" s="29"/>
      <c r="R167" s="29"/>
      <c r="S167" s="28"/>
      <c r="T167" s="32" t="str">
        <f aca="false">IF(AND(K167="",L167=""),"",IF(OR(K167="-",L167="-"),"측정불가",IF(AND(ISNUMBER(K167),ISNUMBER(L167)),IF(OR(K167&gt;=설정!$C$9,L167&gt;=설정!$C$10),"긴급",IF(OR(K167&gt;=설정!$C$7,L167&gt;=설정!$C$8,K167&lt;설정!$C$11),"주의","정상")),"확인필요")))</f>
        <v/>
      </c>
      <c r="U167" s="32" t="str">
        <f aca="false">IF(M167="","",IF(M167="-","측정불가",IF(NOT(ISNUMBER(M167)),"확인필요",IF(M167&lt;설정!$C$15,"긴급(저혈당)",IF(M167&gt;=설정!$C$16,"긴급(고혈당)",IF(N167="공복",IF(M167&gt;=설정!$C$13,"주의","정상"),IF(N167="식후",IF(M167&gt;=설정!$C$14,"주의","정상"),"조건확인")))))))</f>
        <v/>
      </c>
      <c r="V167" s="32" t="str">
        <f aca="false">IF(OR(T167="긴급",LEFT(U167,2)="긴급",P167="O"),"대상","")</f>
        <v/>
      </c>
      <c r="W167" s="33" t="str">
        <f aca="false">IF(R167&lt;&gt;"",R167,IF(O167="O",IF(V167="대상",IF(Q167="O","완료","추가상담 대기"),"완료"),IF(COUNTA(K167:M167)=3,"상담 대기",IF(J167="O","측정 대기",IF(I167="O","운동평가 대기","미방문")))))</f>
        <v>미방문</v>
      </c>
      <c r="X167" s="34"/>
      <c r="Y167" s="34"/>
      <c r="Z167" s="34"/>
      <c r="AA167" s="34"/>
      <c r="AB167" s="34"/>
      <c r="AC167" s="35" t="str">
        <f aca="false">IF(AND(ISNUMBER(X167),ISNUMBER(Y167)),IF(Y167&gt;=X167,ROUND((Y167-X167)*1440,0),""),"")</f>
        <v/>
      </c>
      <c r="AD167" s="35" t="str">
        <f aca="false">IF(AND(ISNUMBER(Y167),ISNUMBER(Z167)),IF(Z167&gt;=Y167,ROUND((Z167-Y167)*1440,0),""),"")</f>
        <v/>
      </c>
      <c r="AE167" s="35" t="str">
        <f aca="false">IF(AND(ISNUMBER(Z167),ISNUMBER(AA167)),IF(AA167&gt;=Z167,ROUND((AA167-Z167)*1440,0),""),"")</f>
        <v/>
      </c>
      <c r="AF167" s="35" t="str">
        <f aca="false">IF(AND(ISNUMBER(AA167),ISNUMBER(AB167)),IF(AB167&gt;=AA167,ROUND((AB167-AA167)*1440,0),""),"")</f>
        <v/>
      </c>
      <c r="AG167" s="35" t="str">
        <f aca="false">IF(AND(W167="완료",ISNUMBER(X167)),IF(MAX(Y167:AB167)&gt;=X167,ROUND((MAX(Y167:AB167)-X167)*1440,0),""),"")</f>
        <v/>
      </c>
    </row>
    <row r="168" customFormat="false" ht="15" hidden="false" customHeight="false" outlineLevel="0" collapsed="false">
      <c r="A168" s="27" t="n">
        <v>164</v>
      </c>
      <c r="B168" s="28"/>
      <c r="C168" s="29"/>
      <c r="D168" s="29"/>
      <c r="E168" s="28"/>
      <c r="F168" s="30"/>
      <c r="G168" s="31"/>
      <c r="H168" s="28"/>
      <c r="I168" s="29"/>
      <c r="J168" s="29"/>
      <c r="K168" s="29"/>
      <c r="L168" s="29"/>
      <c r="M168" s="29"/>
      <c r="N168" s="29"/>
      <c r="O168" s="29"/>
      <c r="P168" s="29"/>
      <c r="Q168" s="29"/>
      <c r="R168" s="29"/>
      <c r="S168" s="28"/>
      <c r="T168" s="32" t="str">
        <f aca="false">IF(AND(K168="",L168=""),"",IF(OR(K168="-",L168="-"),"측정불가",IF(AND(ISNUMBER(K168),ISNUMBER(L168)),IF(OR(K168&gt;=설정!$C$9,L168&gt;=설정!$C$10),"긴급",IF(OR(K168&gt;=설정!$C$7,L168&gt;=설정!$C$8,K168&lt;설정!$C$11),"주의","정상")),"확인필요")))</f>
        <v/>
      </c>
      <c r="U168" s="32" t="str">
        <f aca="false">IF(M168="","",IF(M168="-","측정불가",IF(NOT(ISNUMBER(M168)),"확인필요",IF(M168&lt;설정!$C$15,"긴급(저혈당)",IF(M168&gt;=설정!$C$16,"긴급(고혈당)",IF(N168="공복",IF(M168&gt;=설정!$C$13,"주의","정상"),IF(N168="식후",IF(M168&gt;=설정!$C$14,"주의","정상"),"조건확인")))))))</f>
        <v/>
      </c>
      <c r="V168" s="32" t="str">
        <f aca="false">IF(OR(T168="긴급",LEFT(U168,2)="긴급",P168="O"),"대상","")</f>
        <v/>
      </c>
      <c r="W168" s="33" t="str">
        <f aca="false">IF(R168&lt;&gt;"",R168,IF(O168="O",IF(V168="대상",IF(Q168="O","완료","추가상담 대기"),"완료"),IF(COUNTA(K168:M168)=3,"상담 대기",IF(J168="O","측정 대기",IF(I168="O","운동평가 대기","미방문")))))</f>
        <v>미방문</v>
      </c>
      <c r="X168" s="34"/>
      <c r="Y168" s="34"/>
      <c r="Z168" s="34"/>
      <c r="AA168" s="34"/>
      <c r="AB168" s="34"/>
      <c r="AC168" s="35" t="str">
        <f aca="false">IF(AND(ISNUMBER(X168),ISNUMBER(Y168)),IF(Y168&gt;=X168,ROUND((Y168-X168)*1440,0),""),"")</f>
        <v/>
      </c>
      <c r="AD168" s="35" t="str">
        <f aca="false">IF(AND(ISNUMBER(Y168),ISNUMBER(Z168)),IF(Z168&gt;=Y168,ROUND((Z168-Y168)*1440,0),""),"")</f>
        <v/>
      </c>
      <c r="AE168" s="35" t="str">
        <f aca="false">IF(AND(ISNUMBER(Z168),ISNUMBER(AA168)),IF(AA168&gt;=Z168,ROUND((AA168-Z168)*1440,0),""),"")</f>
        <v/>
      </c>
      <c r="AF168" s="35" t="str">
        <f aca="false">IF(AND(ISNUMBER(AA168),ISNUMBER(AB168)),IF(AB168&gt;=AA168,ROUND((AB168-AA168)*1440,0),""),"")</f>
        <v/>
      </c>
      <c r="AG168" s="35" t="str">
        <f aca="false">IF(AND(W168="완료",ISNUMBER(X168)),IF(MAX(Y168:AB168)&gt;=X168,ROUND((MAX(Y168:AB168)-X168)*1440,0),""),"")</f>
        <v/>
      </c>
    </row>
    <row r="169" customFormat="false" ht="15" hidden="false" customHeight="false" outlineLevel="0" collapsed="false">
      <c r="A169" s="27" t="n">
        <v>165</v>
      </c>
      <c r="B169" s="28"/>
      <c r="C169" s="29"/>
      <c r="D169" s="29"/>
      <c r="E169" s="28"/>
      <c r="F169" s="30"/>
      <c r="G169" s="31"/>
      <c r="H169" s="28"/>
      <c r="I169" s="29"/>
      <c r="J169" s="29"/>
      <c r="K169" s="29"/>
      <c r="L169" s="29"/>
      <c r="M169" s="29"/>
      <c r="N169" s="29"/>
      <c r="O169" s="29"/>
      <c r="P169" s="29"/>
      <c r="Q169" s="29"/>
      <c r="R169" s="29"/>
      <c r="S169" s="28"/>
      <c r="T169" s="32" t="str">
        <f aca="false">IF(AND(K169="",L169=""),"",IF(OR(K169="-",L169="-"),"측정불가",IF(AND(ISNUMBER(K169),ISNUMBER(L169)),IF(OR(K169&gt;=설정!$C$9,L169&gt;=설정!$C$10),"긴급",IF(OR(K169&gt;=설정!$C$7,L169&gt;=설정!$C$8,K169&lt;설정!$C$11),"주의","정상")),"확인필요")))</f>
        <v/>
      </c>
      <c r="U169" s="32" t="str">
        <f aca="false">IF(M169="","",IF(M169="-","측정불가",IF(NOT(ISNUMBER(M169)),"확인필요",IF(M169&lt;설정!$C$15,"긴급(저혈당)",IF(M169&gt;=설정!$C$16,"긴급(고혈당)",IF(N169="공복",IF(M169&gt;=설정!$C$13,"주의","정상"),IF(N169="식후",IF(M169&gt;=설정!$C$14,"주의","정상"),"조건확인")))))))</f>
        <v/>
      </c>
      <c r="V169" s="32" t="str">
        <f aca="false">IF(OR(T169="긴급",LEFT(U169,2)="긴급",P169="O"),"대상","")</f>
        <v/>
      </c>
      <c r="W169" s="33" t="str">
        <f aca="false">IF(R169&lt;&gt;"",R169,IF(O169="O",IF(V169="대상",IF(Q169="O","완료","추가상담 대기"),"완료"),IF(COUNTA(K169:M169)=3,"상담 대기",IF(J169="O","측정 대기",IF(I169="O","운동평가 대기","미방문")))))</f>
        <v>미방문</v>
      </c>
      <c r="X169" s="34"/>
      <c r="Y169" s="34"/>
      <c r="Z169" s="34"/>
      <c r="AA169" s="34"/>
      <c r="AB169" s="34"/>
      <c r="AC169" s="35" t="str">
        <f aca="false">IF(AND(ISNUMBER(X169),ISNUMBER(Y169)),IF(Y169&gt;=X169,ROUND((Y169-X169)*1440,0),""),"")</f>
        <v/>
      </c>
      <c r="AD169" s="35" t="str">
        <f aca="false">IF(AND(ISNUMBER(Y169),ISNUMBER(Z169)),IF(Z169&gt;=Y169,ROUND((Z169-Y169)*1440,0),""),"")</f>
        <v/>
      </c>
      <c r="AE169" s="35" t="str">
        <f aca="false">IF(AND(ISNUMBER(Z169),ISNUMBER(AA169)),IF(AA169&gt;=Z169,ROUND((AA169-Z169)*1440,0),""),"")</f>
        <v/>
      </c>
      <c r="AF169" s="35" t="str">
        <f aca="false">IF(AND(ISNUMBER(AA169),ISNUMBER(AB169)),IF(AB169&gt;=AA169,ROUND((AB169-AA169)*1440,0),""),"")</f>
        <v/>
      </c>
      <c r="AG169" s="35" t="str">
        <f aca="false">IF(AND(W169="완료",ISNUMBER(X169)),IF(MAX(Y169:AB169)&gt;=X169,ROUND((MAX(Y169:AB169)-X169)*1440,0),""),"")</f>
        <v/>
      </c>
    </row>
    <row r="170" customFormat="false" ht="15" hidden="false" customHeight="false" outlineLevel="0" collapsed="false">
      <c r="A170" s="27" t="n">
        <v>166</v>
      </c>
      <c r="B170" s="28"/>
      <c r="C170" s="29"/>
      <c r="D170" s="29"/>
      <c r="E170" s="28"/>
      <c r="F170" s="30"/>
      <c r="G170" s="31"/>
      <c r="H170" s="28"/>
      <c r="I170" s="29"/>
      <c r="J170" s="29"/>
      <c r="K170" s="29"/>
      <c r="L170" s="29"/>
      <c r="M170" s="29"/>
      <c r="N170" s="29"/>
      <c r="O170" s="29"/>
      <c r="P170" s="29"/>
      <c r="Q170" s="29"/>
      <c r="R170" s="29"/>
      <c r="S170" s="28"/>
      <c r="T170" s="32" t="str">
        <f aca="false">IF(AND(K170="",L170=""),"",IF(OR(K170="-",L170="-"),"측정불가",IF(AND(ISNUMBER(K170),ISNUMBER(L170)),IF(OR(K170&gt;=설정!$C$9,L170&gt;=설정!$C$10),"긴급",IF(OR(K170&gt;=설정!$C$7,L170&gt;=설정!$C$8,K170&lt;설정!$C$11),"주의","정상")),"확인필요")))</f>
        <v/>
      </c>
      <c r="U170" s="32" t="str">
        <f aca="false">IF(M170="","",IF(M170="-","측정불가",IF(NOT(ISNUMBER(M170)),"확인필요",IF(M170&lt;설정!$C$15,"긴급(저혈당)",IF(M170&gt;=설정!$C$16,"긴급(고혈당)",IF(N170="공복",IF(M170&gt;=설정!$C$13,"주의","정상"),IF(N170="식후",IF(M170&gt;=설정!$C$14,"주의","정상"),"조건확인")))))))</f>
        <v/>
      </c>
      <c r="V170" s="32" t="str">
        <f aca="false">IF(OR(T170="긴급",LEFT(U170,2)="긴급",P170="O"),"대상","")</f>
        <v/>
      </c>
      <c r="W170" s="33" t="str">
        <f aca="false">IF(R170&lt;&gt;"",R170,IF(O170="O",IF(V170="대상",IF(Q170="O","완료","추가상담 대기"),"완료"),IF(COUNTA(K170:M170)=3,"상담 대기",IF(J170="O","측정 대기",IF(I170="O","운동평가 대기","미방문")))))</f>
        <v>미방문</v>
      </c>
      <c r="X170" s="34"/>
      <c r="Y170" s="34"/>
      <c r="Z170" s="34"/>
      <c r="AA170" s="34"/>
      <c r="AB170" s="34"/>
      <c r="AC170" s="35" t="str">
        <f aca="false">IF(AND(ISNUMBER(X170),ISNUMBER(Y170)),IF(Y170&gt;=X170,ROUND((Y170-X170)*1440,0),""),"")</f>
        <v/>
      </c>
      <c r="AD170" s="35" t="str">
        <f aca="false">IF(AND(ISNUMBER(Y170),ISNUMBER(Z170)),IF(Z170&gt;=Y170,ROUND((Z170-Y170)*1440,0),""),"")</f>
        <v/>
      </c>
      <c r="AE170" s="35" t="str">
        <f aca="false">IF(AND(ISNUMBER(Z170),ISNUMBER(AA170)),IF(AA170&gt;=Z170,ROUND((AA170-Z170)*1440,0),""),"")</f>
        <v/>
      </c>
      <c r="AF170" s="35" t="str">
        <f aca="false">IF(AND(ISNUMBER(AA170),ISNUMBER(AB170)),IF(AB170&gt;=AA170,ROUND((AB170-AA170)*1440,0),""),"")</f>
        <v/>
      </c>
      <c r="AG170" s="35" t="str">
        <f aca="false">IF(AND(W170="완료",ISNUMBER(X170)),IF(MAX(Y170:AB170)&gt;=X170,ROUND((MAX(Y170:AB170)-X170)*1440,0),""),"")</f>
        <v/>
      </c>
    </row>
    <row r="171" customFormat="false" ht="15" hidden="false" customHeight="false" outlineLevel="0" collapsed="false">
      <c r="A171" s="27" t="n">
        <v>167</v>
      </c>
      <c r="B171" s="28"/>
      <c r="C171" s="29"/>
      <c r="D171" s="29"/>
      <c r="E171" s="28"/>
      <c r="F171" s="30"/>
      <c r="G171" s="31"/>
      <c r="H171" s="28"/>
      <c r="I171" s="29"/>
      <c r="J171" s="29"/>
      <c r="K171" s="29"/>
      <c r="L171" s="29"/>
      <c r="M171" s="29"/>
      <c r="N171" s="29"/>
      <c r="O171" s="29"/>
      <c r="P171" s="29"/>
      <c r="Q171" s="29"/>
      <c r="R171" s="29"/>
      <c r="S171" s="28"/>
      <c r="T171" s="32" t="str">
        <f aca="false">IF(AND(K171="",L171=""),"",IF(OR(K171="-",L171="-"),"측정불가",IF(AND(ISNUMBER(K171),ISNUMBER(L171)),IF(OR(K171&gt;=설정!$C$9,L171&gt;=설정!$C$10),"긴급",IF(OR(K171&gt;=설정!$C$7,L171&gt;=설정!$C$8,K171&lt;설정!$C$11),"주의","정상")),"확인필요")))</f>
        <v/>
      </c>
      <c r="U171" s="32" t="str">
        <f aca="false">IF(M171="","",IF(M171="-","측정불가",IF(NOT(ISNUMBER(M171)),"확인필요",IF(M171&lt;설정!$C$15,"긴급(저혈당)",IF(M171&gt;=설정!$C$16,"긴급(고혈당)",IF(N171="공복",IF(M171&gt;=설정!$C$13,"주의","정상"),IF(N171="식후",IF(M171&gt;=설정!$C$14,"주의","정상"),"조건확인")))))))</f>
        <v/>
      </c>
      <c r="V171" s="32" t="str">
        <f aca="false">IF(OR(T171="긴급",LEFT(U171,2)="긴급",P171="O"),"대상","")</f>
        <v/>
      </c>
      <c r="W171" s="33" t="str">
        <f aca="false">IF(R171&lt;&gt;"",R171,IF(O171="O",IF(V171="대상",IF(Q171="O","완료","추가상담 대기"),"완료"),IF(COUNTA(K171:M171)=3,"상담 대기",IF(J171="O","측정 대기",IF(I171="O","운동평가 대기","미방문")))))</f>
        <v>미방문</v>
      </c>
      <c r="X171" s="34"/>
      <c r="Y171" s="34"/>
      <c r="Z171" s="34"/>
      <c r="AA171" s="34"/>
      <c r="AB171" s="34"/>
      <c r="AC171" s="35" t="str">
        <f aca="false">IF(AND(ISNUMBER(X171),ISNUMBER(Y171)),IF(Y171&gt;=X171,ROUND((Y171-X171)*1440,0),""),"")</f>
        <v/>
      </c>
      <c r="AD171" s="35" t="str">
        <f aca="false">IF(AND(ISNUMBER(Y171),ISNUMBER(Z171)),IF(Z171&gt;=Y171,ROUND((Z171-Y171)*1440,0),""),"")</f>
        <v/>
      </c>
      <c r="AE171" s="35" t="str">
        <f aca="false">IF(AND(ISNUMBER(Z171),ISNUMBER(AA171)),IF(AA171&gt;=Z171,ROUND((AA171-Z171)*1440,0),""),"")</f>
        <v/>
      </c>
      <c r="AF171" s="35" t="str">
        <f aca="false">IF(AND(ISNUMBER(AA171),ISNUMBER(AB171)),IF(AB171&gt;=AA171,ROUND((AB171-AA171)*1440,0),""),"")</f>
        <v/>
      </c>
      <c r="AG171" s="35" t="str">
        <f aca="false">IF(AND(W171="완료",ISNUMBER(X171)),IF(MAX(Y171:AB171)&gt;=X171,ROUND((MAX(Y171:AB171)-X171)*1440,0),""),"")</f>
        <v/>
      </c>
    </row>
    <row r="172" customFormat="false" ht="15" hidden="false" customHeight="false" outlineLevel="0" collapsed="false">
      <c r="A172" s="27" t="n">
        <v>168</v>
      </c>
      <c r="B172" s="28"/>
      <c r="C172" s="29"/>
      <c r="D172" s="29"/>
      <c r="E172" s="28"/>
      <c r="F172" s="30"/>
      <c r="G172" s="31"/>
      <c r="H172" s="28"/>
      <c r="I172" s="29"/>
      <c r="J172" s="29"/>
      <c r="K172" s="29"/>
      <c r="L172" s="29"/>
      <c r="M172" s="29"/>
      <c r="N172" s="29"/>
      <c r="O172" s="29"/>
      <c r="P172" s="29"/>
      <c r="Q172" s="29"/>
      <c r="R172" s="29"/>
      <c r="S172" s="28"/>
      <c r="T172" s="32" t="str">
        <f aca="false">IF(AND(K172="",L172=""),"",IF(OR(K172="-",L172="-"),"측정불가",IF(AND(ISNUMBER(K172),ISNUMBER(L172)),IF(OR(K172&gt;=설정!$C$9,L172&gt;=설정!$C$10),"긴급",IF(OR(K172&gt;=설정!$C$7,L172&gt;=설정!$C$8,K172&lt;설정!$C$11),"주의","정상")),"확인필요")))</f>
        <v/>
      </c>
      <c r="U172" s="32" t="str">
        <f aca="false">IF(M172="","",IF(M172="-","측정불가",IF(NOT(ISNUMBER(M172)),"확인필요",IF(M172&lt;설정!$C$15,"긴급(저혈당)",IF(M172&gt;=설정!$C$16,"긴급(고혈당)",IF(N172="공복",IF(M172&gt;=설정!$C$13,"주의","정상"),IF(N172="식후",IF(M172&gt;=설정!$C$14,"주의","정상"),"조건확인")))))))</f>
        <v/>
      </c>
      <c r="V172" s="32" t="str">
        <f aca="false">IF(OR(T172="긴급",LEFT(U172,2)="긴급",P172="O"),"대상","")</f>
        <v/>
      </c>
      <c r="W172" s="33" t="str">
        <f aca="false">IF(R172&lt;&gt;"",R172,IF(O172="O",IF(V172="대상",IF(Q172="O","완료","추가상담 대기"),"완료"),IF(COUNTA(K172:M172)=3,"상담 대기",IF(J172="O","측정 대기",IF(I172="O","운동평가 대기","미방문")))))</f>
        <v>미방문</v>
      </c>
      <c r="X172" s="34"/>
      <c r="Y172" s="34"/>
      <c r="Z172" s="34"/>
      <c r="AA172" s="34"/>
      <c r="AB172" s="34"/>
      <c r="AC172" s="35" t="str">
        <f aca="false">IF(AND(ISNUMBER(X172),ISNUMBER(Y172)),IF(Y172&gt;=X172,ROUND((Y172-X172)*1440,0),""),"")</f>
        <v/>
      </c>
      <c r="AD172" s="35" t="str">
        <f aca="false">IF(AND(ISNUMBER(Y172),ISNUMBER(Z172)),IF(Z172&gt;=Y172,ROUND((Z172-Y172)*1440,0),""),"")</f>
        <v/>
      </c>
      <c r="AE172" s="35" t="str">
        <f aca="false">IF(AND(ISNUMBER(Z172),ISNUMBER(AA172)),IF(AA172&gt;=Z172,ROUND((AA172-Z172)*1440,0),""),"")</f>
        <v/>
      </c>
      <c r="AF172" s="35" t="str">
        <f aca="false">IF(AND(ISNUMBER(AA172),ISNUMBER(AB172)),IF(AB172&gt;=AA172,ROUND((AB172-AA172)*1440,0),""),"")</f>
        <v/>
      </c>
      <c r="AG172" s="35" t="str">
        <f aca="false">IF(AND(W172="완료",ISNUMBER(X172)),IF(MAX(Y172:AB172)&gt;=X172,ROUND((MAX(Y172:AB172)-X172)*1440,0),""),"")</f>
        <v/>
      </c>
    </row>
    <row r="173" customFormat="false" ht="15" hidden="false" customHeight="false" outlineLevel="0" collapsed="false">
      <c r="A173" s="27" t="n">
        <v>169</v>
      </c>
      <c r="B173" s="28"/>
      <c r="C173" s="29"/>
      <c r="D173" s="29"/>
      <c r="E173" s="28"/>
      <c r="F173" s="30"/>
      <c r="G173" s="31"/>
      <c r="H173" s="28"/>
      <c r="I173" s="29"/>
      <c r="J173" s="29"/>
      <c r="K173" s="29"/>
      <c r="L173" s="29"/>
      <c r="M173" s="29"/>
      <c r="N173" s="29"/>
      <c r="O173" s="29"/>
      <c r="P173" s="29"/>
      <c r="Q173" s="29"/>
      <c r="R173" s="29"/>
      <c r="S173" s="28"/>
      <c r="T173" s="32" t="str">
        <f aca="false">IF(AND(K173="",L173=""),"",IF(OR(K173="-",L173="-"),"측정불가",IF(AND(ISNUMBER(K173),ISNUMBER(L173)),IF(OR(K173&gt;=설정!$C$9,L173&gt;=설정!$C$10),"긴급",IF(OR(K173&gt;=설정!$C$7,L173&gt;=설정!$C$8,K173&lt;설정!$C$11),"주의","정상")),"확인필요")))</f>
        <v/>
      </c>
      <c r="U173" s="32" t="str">
        <f aca="false">IF(M173="","",IF(M173="-","측정불가",IF(NOT(ISNUMBER(M173)),"확인필요",IF(M173&lt;설정!$C$15,"긴급(저혈당)",IF(M173&gt;=설정!$C$16,"긴급(고혈당)",IF(N173="공복",IF(M173&gt;=설정!$C$13,"주의","정상"),IF(N173="식후",IF(M173&gt;=설정!$C$14,"주의","정상"),"조건확인")))))))</f>
        <v/>
      </c>
      <c r="V173" s="32" t="str">
        <f aca="false">IF(OR(T173="긴급",LEFT(U173,2)="긴급",P173="O"),"대상","")</f>
        <v/>
      </c>
      <c r="W173" s="33" t="str">
        <f aca="false">IF(R173&lt;&gt;"",R173,IF(O173="O",IF(V173="대상",IF(Q173="O","완료","추가상담 대기"),"완료"),IF(COUNTA(K173:M173)=3,"상담 대기",IF(J173="O","측정 대기",IF(I173="O","운동평가 대기","미방문")))))</f>
        <v>미방문</v>
      </c>
      <c r="X173" s="34"/>
      <c r="Y173" s="34"/>
      <c r="Z173" s="34"/>
      <c r="AA173" s="34"/>
      <c r="AB173" s="34"/>
      <c r="AC173" s="35" t="str">
        <f aca="false">IF(AND(ISNUMBER(X173),ISNUMBER(Y173)),IF(Y173&gt;=X173,ROUND((Y173-X173)*1440,0),""),"")</f>
        <v/>
      </c>
      <c r="AD173" s="35" t="str">
        <f aca="false">IF(AND(ISNUMBER(Y173),ISNUMBER(Z173)),IF(Z173&gt;=Y173,ROUND((Z173-Y173)*1440,0),""),"")</f>
        <v/>
      </c>
      <c r="AE173" s="35" t="str">
        <f aca="false">IF(AND(ISNUMBER(Z173),ISNUMBER(AA173)),IF(AA173&gt;=Z173,ROUND((AA173-Z173)*1440,0),""),"")</f>
        <v/>
      </c>
      <c r="AF173" s="35" t="str">
        <f aca="false">IF(AND(ISNUMBER(AA173),ISNUMBER(AB173)),IF(AB173&gt;=AA173,ROUND((AB173-AA173)*1440,0),""),"")</f>
        <v/>
      </c>
      <c r="AG173" s="35" t="str">
        <f aca="false">IF(AND(W173="완료",ISNUMBER(X173)),IF(MAX(Y173:AB173)&gt;=X173,ROUND((MAX(Y173:AB173)-X173)*1440,0),""),"")</f>
        <v/>
      </c>
    </row>
    <row r="174" customFormat="false" ht="15" hidden="false" customHeight="false" outlineLevel="0" collapsed="false">
      <c r="A174" s="27" t="n">
        <v>170</v>
      </c>
      <c r="B174" s="28"/>
      <c r="C174" s="29"/>
      <c r="D174" s="29"/>
      <c r="E174" s="28"/>
      <c r="F174" s="30"/>
      <c r="G174" s="31"/>
      <c r="H174" s="28"/>
      <c r="I174" s="29"/>
      <c r="J174" s="29"/>
      <c r="K174" s="29"/>
      <c r="L174" s="29"/>
      <c r="M174" s="29"/>
      <c r="N174" s="29"/>
      <c r="O174" s="29"/>
      <c r="P174" s="29"/>
      <c r="Q174" s="29"/>
      <c r="R174" s="29"/>
      <c r="S174" s="28"/>
      <c r="T174" s="32" t="str">
        <f aca="false">IF(AND(K174="",L174=""),"",IF(OR(K174="-",L174="-"),"측정불가",IF(AND(ISNUMBER(K174),ISNUMBER(L174)),IF(OR(K174&gt;=설정!$C$9,L174&gt;=설정!$C$10),"긴급",IF(OR(K174&gt;=설정!$C$7,L174&gt;=설정!$C$8,K174&lt;설정!$C$11),"주의","정상")),"확인필요")))</f>
        <v/>
      </c>
      <c r="U174" s="32" t="str">
        <f aca="false">IF(M174="","",IF(M174="-","측정불가",IF(NOT(ISNUMBER(M174)),"확인필요",IF(M174&lt;설정!$C$15,"긴급(저혈당)",IF(M174&gt;=설정!$C$16,"긴급(고혈당)",IF(N174="공복",IF(M174&gt;=설정!$C$13,"주의","정상"),IF(N174="식후",IF(M174&gt;=설정!$C$14,"주의","정상"),"조건확인")))))))</f>
        <v/>
      </c>
      <c r="V174" s="32" t="str">
        <f aca="false">IF(OR(T174="긴급",LEFT(U174,2)="긴급",P174="O"),"대상","")</f>
        <v/>
      </c>
      <c r="W174" s="33" t="str">
        <f aca="false">IF(R174&lt;&gt;"",R174,IF(O174="O",IF(V174="대상",IF(Q174="O","완료","추가상담 대기"),"완료"),IF(COUNTA(K174:M174)=3,"상담 대기",IF(J174="O","측정 대기",IF(I174="O","운동평가 대기","미방문")))))</f>
        <v>미방문</v>
      </c>
      <c r="X174" s="34"/>
      <c r="Y174" s="34"/>
      <c r="Z174" s="34"/>
      <c r="AA174" s="34"/>
      <c r="AB174" s="34"/>
      <c r="AC174" s="35" t="str">
        <f aca="false">IF(AND(ISNUMBER(X174),ISNUMBER(Y174)),IF(Y174&gt;=X174,ROUND((Y174-X174)*1440,0),""),"")</f>
        <v/>
      </c>
      <c r="AD174" s="35" t="str">
        <f aca="false">IF(AND(ISNUMBER(Y174),ISNUMBER(Z174)),IF(Z174&gt;=Y174,ROUND((Z174-Y174)*1440,0),""),"")</f>
        <v/>
      </c>
      <c r="AE174" s="35" t="str">
        <f aca="false">IF(AND(ISNUMBER(Z174),ISNUMBER(AA174)),IF(AA174&gt;=Z174,ROUND((AA174-Z174)*1440,0),""),"")</f>
        <v/>
      </c>
      <c r="AF174" s="35" t="str">
        <f aca="false">IF(AND(ISNUMBER(AA174),ISNUMBER(AB174)),IF(AB174&gt;=AA174,ROUND((AB174-AA174)*1440,0),""),"")</f>
        <v/>
      </c>
      <c r="AG174" s="35" t="str">
        <f aca="false">IF(AND(W174="완료",ISNUMBER(X174)),IF(MAX(Y174:AB174)&gt;=X174,ROUND((MAX(Y174:AB174)-X174)*1440,0),""),"")</f>
        <v/>
      </c>
    </row>
    <row r="175" customFormat="false" ht="15" hidden="false" customHeight="false" outlineLevel="0" collapsed="false">
      <c r="A175" s="27" t="n">
        <v>171</v>
      </c>
      <c r="B175" s="28"/>
      <c r="C175" s="29"/>
      <c r="D175" s="29"/>
      <c r="E175" s="28"/>
      <c r="F175" s="30"/>
      <c r="G175" s="31"/>
      <c r="H175" s="28"/>
      <c r="I175" s="29"/>
      <c r="J175" s="29"/>
      <c r="K175" s="29"/>
      <c r="L175" s="29"/>
      <c r="M175" s="29"/>
      <c r="N175" s="29"/>
      <c r="O175" s="29"/>
      <c r="P175" s="29"/>
      <c r="Q175" s="29"/>
      <c r="R175" s="29"/>
      <c r="S175" s="28"/>
      <c r="T175" s="32" t="str">
        <f aca="false">IF(AND(K175="",L175=""),"",IF(OR(K175="-",L175="-"),"측정불가",IF(AND(ISNUMBER(K175),ISNUMBER(L175)),IF(OR(K175&gt;=설정!$C$9,L175&gt;=설정!$C$10),"긴급",IF(OR(K175&gt;=설정!$C$7,L175&gt;=설정!$C$8,K175&lt;설정!$C$11),"주의","정상")),"확인필요")))</f>
        <v/>
      </c>
      <c r="U175" s="32" t="str">
        <f aca="false">IF(M175="","",IF(M175="-","측정불가",IF(NOT(ISNUMBER(M175)),"확인필요",IF(M175&lt;설정!$C$15,"긴급(저혈당)",IF(M175&gt;=설정!$C$16,"긴급(고혈당)",IF(N175="공복",IF(M175&gt;=설정!$C$13,"주의","정상"),IF(N175="식후",IF(M175&gt;=설정!$C$14,"주의","정상"),"조건확인")))))))</f>
        <v/>
      </c>
      <c r="V175" s="32" t="str">
        <f aca="false">IF(OR(T175="긴급",LEFT(U175,2)="긴급",P175="O"),"대상","")</f>
        <v/>
      </c>
      <c r="W175" s="33" t="str">
        <f aca="false">IF(R175&lt;&gt;"",R175,IF(O175="O",IF(V175="대상",IF(Q175="O","완료","추가상담 대기"),"완료"),IF(COUNTA(K175:M175)=3,"상담 대기",IF(J175="O","측정 대기",IF(I175="O","운동평가 대기","미방문")))))</f>
        <v>미방문</v>
      </c>
      <c r="X175" s="34"/>
      <c r="Y175" s="34"/>
      <c r="Z175" s="34"/>
      <c r="AA175" s="34"/>
      <c r="AB175" s="34"/>
      <c r="AC175" s="35" t="str">
        <f aca="false">IF(AND(ISNUMBER(X175),ISNUMBER(Y175)),IF(Y175&gt;=X175,ROUND((Y175-X175)*1440,0),""),"")</f>
        <v/>
      </c>
      <c r="AD175" s="35" t="str">
        <f aca="false">IF(AND(ISNUMBER(Y175),ISNUMBER(Z175)),IF(Z175&gt;=Y175,ROUND((Z175-Y175)*1440,0),""),"")</f>
        <v/>
      </c>
      <c r="AE175" s="35" t="str">
        <f aca="false">IF(AND(ISNUMBER(Z175),ISNUMBER(AA175)),IF(AA175&gt;=Z175,ROUND((AA175-Z175)*1440,0),""),"")</f>
        <v/>
      </c>
      <c r="AF175" s="35" t="str">
        <f aca="false">IF(AND(ISNUMBER(AA175),ISNUMBER(AB175)),IF(AB175&gt;=AA175,ROUND((AB175-AA175)*1440,0),""),"")</f>
        <v/>
      </c>
      <c r="AG175" s="35" t="str">
        <f aca="false">IF(AND(W175="완료",ISNUMBER(X175)),IF(MAX(Y175:AB175)&gt;=X175,ROUND((MAX(Y175:AB175)-X175)*1440,0),""),"")</f>
        <v/>
      </c>
    </row>
    <row r="176" customFormat="false" ht="15" hidden="false" customHeight="false" outlineLevel="0" collapsed="false">
      <c r="A176" s="27" t="n">
        <v>172</v>
      </c>
      <c r="B176" s="28"/>
      <c r="C176" s="29"/>
      <c r="D176" s="29"/>
      <c r="E176" s="28"/>
      <c r="F176" s="30"/>
      <c r="G176" s="31"/>
      <c r="H176" s="28"/>
      <c r="I176" s="29"/>
      <c r="J176" s="29"/>
      <c r="K176" s="29"/>
      <c r="L176" s="29"/>
      <c r="M176" s="29"/>
      <c r="N176" s="29"/>
      <c r="O176" s="29"/>
      <c r="P176" s="29"/>
      <c r="Q176" s="29"/>
      <c r="R176" s="29"/>
      <c r="S176" s="28"/>
      <c r="T176" s="32" t="str">
        <f aca="false">IF(AND(K176="",L176=""),"",IF(OR(K176="-",L176="-"),"측정불가",IF(AND(ISNUMBER(K176),ISNUMBER(L176)),IF(OR(K176&gt;=설정!$C$9,L176&gt;=설정!$C$10),"긴급",IF(OR(K176&gt;=설정!$C$7,L176&gt;=설정!$C$8,K176&lt;설정!$C$11),"주의","정상")),"확인필요")))</f>
        <v/>
      </c>
      <c r="U176" s="32" t="str">
        <f aca="false">IF(M176="","",IF(M176="-","측정불가",IF(NOT(ISNUMBER(M176)),"확인필요",IF(M176&lt;설정!$C$15,"긴급(저혈당)",IF(M176&gt;=설정!$C$16,"긴급(고혈당)",IF(N176="공복",IF(M176&gt;=설정!$C$13,"주의","정상"),IF(N176="식후",IF(M176&gt;=설정!$C$14,"주의","정상"),"조건확인")))))))</f>
        <v/>
      </c>
      <c r="V176" s="32" t="str">
        <f aca="false">IF(OR(T176="긴급",LEFT(U176,2)="긴급",P176="O"),"대상","")</f>
        <v/>
      </c>
      <c r="W176" s="33" t="str">
        <f aca="false">IF(R176&lt;&gt;"",R176,IF(O176="O",IF(V176="대상",IF(Q176="O","완료","추가상담 대기"),"완료"),IF(COUNTA(K176:M176)=3,"상담 대기",IF(J176="O","측정 대기",IF(I176="O","운동평가 대기","미방문")))))</f>
        <v>미방문</v>
      </c>
      <c r="X176" s="34"/>
      <c r="Y176" s="34"/>
      <c r="Z176" s="34"/>
      <c r="AA176" s="34"/>
      <c r="AB176" s="34"/>
      <c r="AC176" s="35" t="str">
        <f aca="false">IF(AND(ISNUMBER(X176),ISNUMBER(Y176)),IF(Y176&gt;=X176,ROUND((Y176-X176)*1440,0),""),"")</f>
        <v/>
      </c>
      <c r="AD176" s="35" t="str">
        <f aca="false">IF(AND(ISNUMBER(Y176),ISNUMBER(Z176)),IF(Z176&gt;=Y176,ROUND((Z176-Y176)*1440,0),""),"")</f>
        <v/>
      </c>
      <c r="AE176" s="35" t="str">
        <f aca="false">IF(AND(ISNUMBER(Z176),ISNUMBER(AA176)),IF(AA176&gt;=Z176,ROUND((AA176-Z176)*1440,0),""),"")</f>
        <v/>
      </c>
      <c r="AF176" s="35" t="str">
        <f aca="false">IF(AND(ISNUMBER(AA176),ISNUMBER(AB176)),IF(AB176&gt;=AA176,ROUND((AB176-AA176)*1440,0),""),"")</f>
        <v/>
      </c>
      <c r="AG176" s="35" t="str">
        <f aca="false">IF(AND(W176="완료",ISNUMBER(X176)),IF(MAX(Y176:AB176)&gt;=X176,ROUND((MAX(Y176:AB176)-X176)*1440,0),""),"")</f>
        <v/>
      </c>
    </row>
    <row r="177" customFormat="false" ht="15" hidden="false" customHeight="false" outlineLevel="0" collapsed="false">
      <c r="A177" s="27" t="n">
        <v>173</v>
      </c>
      <c r="B177" s="28"/>
      <c r="C177" s="29"/>
      <c r="D177" s="29"/>
      <c r="E177" s="28"/>
      <c r="F177" s="30"/>
      <c r="G177" s="31"/>
      <c r="H177" s="28"/>
      <c r="I177" s="29"/>
      <c r="J177" s="29"/>
      <c r="K177" s="29"/>
      <c r="L177" s="29"/>
      <c r="M177" s="29"/>
      <c r="N177" s="29"/>
      <c r="O177" s="29"/>
      <c r="P177" s="29"/>
      <c r="Q177" s="29"/>
      <c r="R177" s="29"/>
      <c r="S177" s="28"/>
      <c r="T177" s="32" t="str">
        <f aca="false">IF(AND(K177="",L177=""),"",IF(OR(K177="-",L177="-"),"측정불가",IF(AND(ISNUMBER(K177),ISNUMBER(L177)),IF(OR(K177&gt;=설정!$C$9,L177&gt;=설정!$C$10),"긴급",IF(OR(K177&gt;=설정!$C$7,L177&gt;=설정!$C$8,K177&lt;설정!$C$11),"주의","정상")),"확인필요")))</f>
        <v/>
      </c>
      <c r="U177" s="32" t="str">
        <f aca="false">IF(M177="","",IF(M177="-","측정불가",IF(NOT(ISNUMBER(M177)),"확인필요",IF(M177&lt;설정!$C$15,"긴급(저혈당)",IF(M177&gt;=설정!$C$16,"긴급(고혈당)",IF(N177="공복",IF(M177&gt;=설정!$C$13,"주의","정상"),IF(N177="식후",IF(M177&gt;=설정!$C$14,"주의","정상"),"조건확인")))))))</f>
        <v/>
      </c>
      <c r="V177" s="32" t="str">
        <f aca="false">IF(OR(T177="긴급",LEFT(U177,2)="긴급",P177="O"),"대상","")</f>
        <v/>
      </c>
      <c r="W177" s="33" t="str">
        <f aca="false">IF(R177&lt;&gt;"",R177,IF(O177="O",IF(V177="대상",IF(Q177="O","완료","추가상담 대기"),"완료"),IF(COUNTA(K177:M177)=3,"상담 대기",IF(J177="O","측정 대기",IF(I177="O","운동평가 대기","미방문")))))</f>
        <v>미방문</v>
      </c>
      <c r="X177" s="34"/>
      <c r="Y177" s="34"/>
      <c r="Z177" s="34"/>
      <c r="AA177" s="34"/>
      <c r="AB177" s="34"/>
      <c r="AC177" s="35" t="str">
        <f aca="false">IF(AND(ISNUMBER(X177),ISNUMBER(Y177)),IF(Y177&gt;=X177,ROUND((Y177-X177)*1440,0),""),"")</f>
        <v/>
      </c>
      <c r="AD177" s="35" t="str">
        <f aca="false">IF(AND(ISNUMBER(Y177),ISNUMBER(Z177)),IF(Z177&gt;=Y177,ROUND((Z177-Y177)*1440,0),""),"")</f>
        <v/>
      </c>
      <c r="AE177" s="35" t="str">
        <f aca="false">IF(AND(ISNUMBER(Z177),ISNUMBER(AA177)),IF(AA177&gt;=Z177,ROUND((AA177-Z177)*1440,0),""),"")</f>
        <v/>
      </c>
      <c r="AF177" s="35" t="str">
        <f aca="false">IF(AND(ISNUMBER(AA177),ISNUMBER(AB177)),IF(AB177&gt;=AA177,ROUND((AB177-AA177)*1440,0),""),"")</f>
        <v/>
      </c>
      <c r="AG177" s="35" t="str">
        <f aca="false">IF(AND(W177="완료",ISNUMBER(X177)),IF(MAX(Y177:AB177)&gt;=X177,ROUND((MAX(Y177:AB177)-X177)*1440,0),""),"")</f>
        <v/>
      </c>
    </row>
    <row r="178" customFormat="false" ht="15" hidden="false" customHeight="false" outlineLevel="0" collapsed="false">
      <c r="A178" s="27" t="n">
        <v>174</v>
      </c>
      <c r="B178" s="28"/>
      <c r="C178" s="29"/>
      <c r="D178" s="29"/>
      <c r="E178" s="28"/>
      <c r="F178" s="30"/>
      <c r="G178" s="31"/>
      <c r="H178" s="28"/>
      <c r="I178" s="29"/>
      <c r="J178" s="29"/>
      <c r="K178" s="29"/>
      <c r="L178" s="29"/>
      <c r="M178" s="29"/>
      <c r="N178" s="29"/>
      <c r="O178" s="29"/>
      <c r="P178" s="29"/>
      <c r="Q178" s="29"/>
      <c r="R178" s="29"/>
      <c r="S178" s="28"/>
      <c r="T178" s="32" t="str">
        <f aca="false">IF(AND(K178="",L178=""),"",IF(OR(K178="-",L178="-"),"측정불가",IF(AND(ISNUMBER(K178),ISNUMBER(L178)),IF(OR(K178&gt;=설정!$C$9,L178&gt;=설정!$C$10),"긴급",IF(OR(K178&gt;=설정!$C$7,L178&gt;=설정!$C$8,K178&lt;설정!$C$11),"주의","정상")),"확인필요")))</f>
        <v/>
      </c>
      <c r="U178" s="32" t="str">
        <f aca="false">IF(M178="","",IF(M178="-","측정불가",IF(NOT(ISNUMBER(M178)),"확인필요",IF(M178&lt;설정!$C$15,"긴급(저혈당)",IF(M178&gt;=설정!$C$16,"긴급(고혈당)",IF(N178="공복",IF(M178&gt;=설정!$C$13,"주의","정상"),IF(N178="식후",IF(M178&gt;=설정!$C$14,"주의","정상"),"조건확인")))))))</f>
        <v/>
      </c>
      <c r="V178" s="32" t="str">
        <f aca="false">IF(OR(T178="긴급",LEFT(U178,2)="긴급",P178="O"),"대상","")</f>
        <v/>
      </c>
      <c r="W178" s="33" t="str">
        <f aca="false">IF(R178&lt;&gt;"",R178,IF(O178="O",IF(V178="대상",IF(Q178="O","완료","추가상담 대기"),"완료"),IF(COUNTA(K178:M178)=3,"상담 대기",IF(J178="O","측정 대기",IF(I178="O","운동평가 대기","미방문")))))</f>
        <v>미방문</v>
      </c>
      <c r="X178" s="34"/>
      <c r="Y178" s="34"/>
      <c r="Z178" s="34"/>
      <c r="AA178" s="34"/>
      <c r="AB178" s="34"/>
      <c r="AC178" s="35" t="str">
        <f aca="false">IF(AND(ISNUMBER(X178),ISNUMBER(Y178)),IF(Y178&gt;=X178,ROUND((Y178-X178)*1440,0),""),"")</f>
        <v/>
      </c>
      <c r="AD178" s="35" t="str">
        <f aca="false">IF(AND(ISNUMBER(Y178),ISNUMBER(Z178)),IF(Z178&gt;=Y178,ROUND((Z178-Y178)*1440,0),""),"")</f>
        <v/>
      </c>
      <c r="AE178" s="35" t="str">
        <f aca="false">IF(AND(ISNUMBER(Z178),ISNUMBER(AA178)),IF(AA178&gt;=Z178,ROUND((AA178-Z178)*1440,0),""),"")</f>
        <v/>
      </c>
      <c r="AF178" s="35" t="str">
        <f aca="false">IF(AND(ISNUMBER(AA178),ISNUMBER(AB178)),IF(AB178&gt;=AA178,ROUND((AB178-AA178)*1440,0),""),"")</f>
        <v/>
      </c>
      <c r="AG178" s="35" t="str">
        <f aca="false">IF(AND(W178="완료",ISNUMBER(X178)),IF(MAX(Y178:AB178)&gt;=X178,ROUND((MAX(Y178:AB178)-X178)*1440,0),""),"")</f>
        <v/>
      </c>
    </row>
    <row r="179" customFormat="false" ht="15" hidden="false" customHeight="false" outlineLevel="0" collapsed="false">
      <c r="A179" s="27" t="n">
        <v>175</v>
      </c>
      <c r="B179" s="28"/>
      <c r="C179" s="29"/>
      <c r="D179" s="29"/>
      <c r="E179" s="28"/>
      <c r="F179" s="30"/>
      <c r="G179" s="31"/>
      <c r="H179" s="28"/>
      <c r="I179" s="29"/>
      <c r="J179" s="29"/>
      <c r="K179" s="29"/>
      <c r="L179" s="29"/>
      <c r="M179" s="29"/>
      <c r="N179" s="29"/>
      <c r="O179" s="29"/>
      <c r="P179" s="29"/>
      <c r="Q179" s="29"/>
      <c r="R179" s="29"/>
      <c r="S179" s="28"/>
      <c r="T179" s="32" t="str">
        <f aca="false">IF(AND(K179="",L179=""),"",IF(OR(K179="-",L179="-"),"측정불가",IF(AND(ISNUMBER(K179),ISNUMBER(L179)),IF(OR(K179&gt;=설정!$C$9,L179&gt;=설정!$C$10),"긴급",IF(OR(K179&gt;=설정!$C$7,L179&gt;=설정!$C$8,K179&lt;설정!$C$11),"주의","정상")),"확인필요")))</f>
        <v/>
      </c>
      <c r="U179" s="32" t="str">
        <f aca="false">IF(M179="","",IF(M179="-","측정불가",IF(NOT(ISNUMBER(M179)),"확인필요",IF(M179&lt;설정!$C$15,"긴급(저혈당)",IF(M179&gt;=설정!$C$16,"긴급(고혈당)",IF(N179="공복",IF(M179&gt;=설정!$C$13,"주의","정상"),IF(N179="식후",IF(M179&gt;=설정!$C$14,"주의","정상"),"조건확인")))))))</f>
        <v/>
      </c>
      <c r="V179" s="32" t="str">
        <f aca="false">IF(OR(T179="긴급",LEFT(U179,2)="긴급",P179="O"),"대상","")</f>
        <v/>
      </c>
      <c r="W179" s="33" t="str">
        <f aca="false">IF(R179&lt;&gt;"",R179,IF(O179="O",IF(V179="대상",IF(Q179="O","완료","추가상담 대기"),"완료"),IF(COUNTA(K179:M179)=3,"상담 대기",IF(J179="O","측정 대기",IF(I179="O","운동평가 대기","미방문")))))</f>
        <v>미방문</v>
      </c>
      <c r="X179" s="34"/>
      <c r="Y179" s="34"/>
      <c r="Z179" s="34"/>
      <c r="AA179" s="34"/>
      <c r="AB179" s="34"/>
      <c r="AC179" s="35" t="str">
        <f aca="false">IF(AND(ISNUMBER(X179),ISNUMBER(Y179)),IF(Y179&gt;=X179,ROUND((Y179-X179)*1440,0),""),"")</f>
        <v/>
      </c>
      <c r="AD179" s="35" t="str">
        <f aca="false">IF(AND(ISNUMBER(Y179),ISNUMBER(Z179)),IF(Z179&gt;=Y179,ROUND((Z179-Y179)*1440,0),""),"")</f>
        <v/>
      </c>
      <c r="AE179" s="35" t="str">
        <f aca="false">IF(AND(ISNUMBER(Z179),ISNUMBER(AA179)),IF(AA179&gt;=Z179,ROUND((AA179-Z179)*1440,0),""),"")</f>
        <v/>
      </c>
      <c r="AF179" s="35" t="str">
        <f aca="false">IF(AND(ISNUMBER(AA179),ISNUMBER(AB179)),IF(AB179&gt;=AA179,ROUND((AB179-AA179)*1440,0),""),"")</f>
        <v/>
      </c>
      <c r="AG179" s="35" t="str">
        <f aca="false">IF(AND(W179="완료",ISNUMBER(X179)),IF(MAX(Y179:AB179)&gt;=X179,ROUND((MAX(Y179:AB179)-X179)*1440,0),""),"")</f>
        <v/>
      </c>
    </row>
    <row r="180" customFormat="false" ht="15" hidden="false" customHeight="false" outlineLevel="0" collapsed="false">
      <c r="A180" s="27" t="n">
        <v>176</v>
      </c>
      <c r="B180" s="28"/>
      <c r="C180" s="29"/>
      <c r="D180" s="29"/>
      <c r="E180" s="28"/>
      <c r="F180" s="30"/>
      <c r="G180" s="31"/>
      <c r="H180" s="28"/>
      <c r="I180" s="29"/>
      <c r="J180" s="29"/>
      <c r="K180" s="29"/>
      <c r="L180" s="29"/>
      <c r="M180" s="29"/>
      <c r="N180" s="29"/>
      <c r="O180" s="29"/>
      <c r="P180" s="29"/>
      <c r="Q180" s="29"/>
      <c r="R180" s="29"/>
      <c r="S180" s="28"/>
      <c r="T180" s="32" t="str">
        <f aca="false">IF(AND(K180="",L180=""),"",IF(OR(K180="-",L180="-"),"측정불가",IF(AND(ISNUMBER(K180),ISNUMBER(L180)),IF(OR(K180&gt;=설정!$C$9,L180&gt;=설정!$C$10),"긴급",IF(OR(K180&gt;=설정!$C$7,L180&gt;=설정!$C$8,K180&lt;설정!$C$11),"주의","정상")),"확인필요")))</f>
        <v/>
      </c>
      <c r="U180" s="32" t="str">
        <f aca="false">IF(M180="","",IF(M180="-","측정불가",IF(NOT(ISNUMBER(M180)),"확인필요",IF(M180&lt;설정!$C$15,"긴급(저혈당)",IF(M180&gt;=설정!$C$16,"긴급(고혈당)",IF(N180="공복",IF(M180&gt;=설정!$C$13,"주의","정상"),IF(N180="식후",IF(M180&gt;=설정!$C$14,"주의","정상"),"조건확인")))))))</f>
        <v/>
      </c>
      <c r="V180" s="32" t="str">
        <f aca="false">IF(OR(T180="긴급",LEFT(U180,2)="긴급",P180="O"),"대상","")</f>
        <v/>
      </c>
      <c r="W180" s="33" t="str">
        <f aca="false">IF(R180&lt;&gt;"",R180,IF(O180="O",IF(V180="대상",IF(Q180="O","완료","추가상담 대기"),"완료"),IF(COUNTA(K180:M180)=3,"상담 대기",IF(J180="O","측정 대기",IF(I180="O","운동평가 대기","미방문")))))</f>
        <v>미방문</v>
      </c>
      <c r="X180" s="34"/>
      <c r="Y180" s="34"/>
      <c r="Z180" s="34"/>
      <c r="AA180" s="34"/>
      <c r="AB180" s="34"/>
      <c r="AC180" s="35" t="str">
        <f aca="false">IF(AND(ISNUMBER(X180),ISNUMBER(Y180)),IF(Y180&gt;=X180,ROUND((Y180-X180)*1440,0),""),"")</f>
        <v/>
      </c>
      <c r="AD180" s="35" t="str">
        <f aca="false">IF(AND(ISNUMBER(Y180),ISNUMBER(Z180)),IF(Z180&gt;=Y180,ROUND((Z180-Y180)*1440,0),""),"")</f>
        <v/>
      </c>
      <c r="AE180" s="35" t="str">
        <f aca="false">IF(AND(ISNUMBER(Z180),ISNUMBER(AA180)),IF(AA180&gt;=Z180,ROUND((AA180-Z180)*1440,0),""),"")</f>
        <v/>
      </c>
      <c r="AF180" s="35" t="str">
        <f aca="false">IF(AND(ISNUMBER(AA180),ISNUMBER(AB180)),IF(AB180&gt;=AA180,ROUND((AB180-AA180)*1440,0),""),"")</f>
        <v/>
      </c>
      <c r="AG180" s="35" t="str">
        <f aca="false">IF(AND(W180="완료",ISNUMBER(X180)),IF(MAX(Y180:AB180)&gt;=X180,ROUND((MAX(Y180:AB180)-X180)*1440,0),""),"")</f>
        <v/>
      </c>
    </row>
    <row r="181" customFormat="false" ht="15" hidden="false" customHeight="false" outlineLevel="0" collapsed="false">
      <c r="A181" s="27" t="n">
        <v>177</v>
      </c>
      <c r="B181" s="28"/>
      <c r="C181" s="29"/>
      <c r="D181" s="29"/>
      <c r="E181" s="28"/>
      <c r="F181" s="30"/>
      <c r="G181" s="31"/>
      <c r="H181" s="28"/>
      <c r="I181" s="29"/>
      <c r="J181" s="29"/>
      <c r="K181" s="29"/>
      <c r="L181" s="29"/>
      <c r="M181" s="29"/>
      <c r="N181" s="29"/>
      <c r="O181" s="29"/>
      <c r="P181" s="29"/>
      <c r="Q181" s="29"/>
      <c r="R181" s="29"/>
      <c r="S181" s="28"/>
      <c r="T181" s="32" t="str">
        <f aca="false">IF(AND(K181="",L181=""),"",IF(OR(K181="-",L181="-"),"측정불가",IF(AND(ISNUMBER(K181),ISNUMBER(L181)),IF(OR(K181&gt;=설정!$C$9,L181&gt;=설정!$C$10),"긴급",IF(OR(K181&gt;=설정!$C$7,L181&gt;=설정!$C$8,K181&lt;설정!$C$11),"주의","정상")),"확인필요")))</f>
        <v/>
      </c>
      <c r="U181" s="32" t="str">
        <f aca="false">IF(M181="","",IF(M181="-","측정불가",IF(NOT(ISNUMBER(M181)),"확인필요",IF(M181&lt;설정!$C$15,"긴급(저혈당)",IF(M181&gt;=설정!$C$16,"긴급(고혈당)",IF(N181="공복",IF(M181&gt;=설정!$C$13,"주의","정상"),IF(N181="식후",IF(M181&gt;=설정!$C$14,"주의","정상"),"조건확인")))))))</f>
        <v/>
      </c>
      <c r="V181" s="32" t="str">
        <f aca="false">IF(OR(T181="긴급",LEFT(U181,2)="긴급",P181="O"),"대상","")</f>
        <v/>
      </c>
      <c r="W181" s="33" t="str">
        <f aca="false">IF(R181&lt;&gt;"",R181,IF(O181="O",IF(V181="대상",IF(Q181="O","완료","추가상담 대기"),"완료"),IF(COUNTA(K181:M181)=3,"상담 대기",IF(J181="O","측정 대기",IF(I181="O","운동평가 대기","미방문")))))</f>
        <v>미방문</v>
      </c>
      <c r="X181" s="34"/>
      <c r="Y181" s="34"/>
      <c r="Z181" s="34"/>
      <c r="AA181" s="34"/>
      <c r="AB181" s="34"/>
      <c r="AC181" s="35" t="str">
        <f aca="false">IF(AND(ISNUMBER(X181),ISNUMBER(Y181)),IF(Y181&gt;=X181,ROUND((Y181-X181)*1440,0),""),"")</f>
        <v/>
      </c>
      <c r="AD181" s="35" t="str">
        <f aca="false">IF(AND(ISNUMBER(Y181),ISNUMBER(Z181)),IF(Z181&gt;=Y181,ROUND((Z181-Y181)*1440,0),""),"")</f>
        <v/>
      </c>
      <c r="AE181" s="35" t="str">
        <f aca="false">IF(AND(ISNUMBER(Z181),ISNUMBER(AA181)),IF(AA181&gt;=Z181,ROUND((AA181-Z181)*1440,0),""),"")</f>
        <v/>
      </c>
      <c r="AF181" s="35" t="str">
        <f aca="false">IF(AND(ISNUMBER(AA181),ISNUMBER(AB181)),IF(AB181&gt;=AA181,ROUND((AB181-AA181)*1440,0),""),"")</f>
        <v/>
      </c>
      <c r="AG181" s="35" t="str">
        <f aca="false">IF(AND(W181="완료",ISNUMBER(X181)),IF(MAX(Y181:AB181)&gt;=X181,ROUND((MAX(Y181:AB181)-X181)*1440,0),""),"")</f>
        <v/>
      </c>
    </row>
    <row r="182" customFormat="false" ht="15" hidden="false" customHeight="false" outlineLevel="0" collapsed="false">
      <c r="A182" s="27" t="n">
        <v>178</v>
      </c>
      <c r="B182" s="28"/>
      <c r="C182" s="29"/>
      <c r="D182" s="29"/>
      <c r="E182" s="28"/>
      <c r="F182" s="30"/>
      <c r="G182" s="31"/>
      <c r="H182" s="28"/>
      <c r="I182" s="29"/>
      <c r="J182" s="29"/>
      <c r="K182" s="29"/>
      <c r="L182" s="29"/>
      <c r="M182" s="29"/>
      <c r="N182" s="29"/>
      <c r="O182" s="29"/>
      <c r="P182" s="29"/>
      <c r="Q182" s="29"/>
      <c r="R182" s="29"/>
      <c r="S182" s="28"/>
      <c r="T182" s="32" t="str">
        <f aca="false">IF(AND(K182="",L182=""),"",IF(OR(K182="-",L182="-"),"측정불가",IF(AND(ISNUMBER(K182),ISNUMBER(L182)),IF(OR(K182&gt;=설정!$C$9,L182&gt;=설정!$C$10),"긴급",IF(OR(K182&gt;=설정!$C$7,L182&gt;=설정!$C$8,K182&lt;설정!$C$11),"주의","정상")),"확인필요")))</f>
        <v/>
      </c>
      <c r="U182" s="32" t="str">
        <f aca="false">IF(M182="","",IF(M182="-","측정불가",IF(NOT(ISNUMBER(M182)),"확인필요",IF(M182&lt;설정!$C$15,"긴급(저혈당)",IF(M182&gt;=설정!$C$16,"긴급(고혈당)",IF(N182="공복",IF(M182&gt;=설정!$C$13,"주의","정상"),IF(N182="식후",IF(M182&gt;=설정!$C$14,"주의","정상"),"조건확인")))))))</f>
        <v/>
      </c>
      <c r="V182" s="32" t="str">
        <f aca="false">IF(OR(T182="긴급",LEFT(U182,2)="긴급",P182="O"),"대상","")</f>
        <v/>
      </c>
      <c r="W182" s="33" t="str">
        <f aca="false">IF(R182&lt;&gt;"",R182,IF(O182="O",IF(V182="대상",IF(Q182="O","완료","추가상담 대기"),"완료"),IF(COUNTA(K182:M182)=3,"상담 대기",IF(J182="O","측정 대기",IF(I182="O","운동평가 대기","미방문")))))</f>
        <v>미방문</v>
      </c>
      <c r="X182" s="34"/>
      <c r="Y182" s="34"/>
      <c r="Z182" s="34"/>
      <c r="AA182" s="34"/>
      <c r="AB182" s="34"/>
      <c r="AC182" s="35" t="str">
        <f aca="false">IF(AND(ISNUMBER(X182),ISNUMBER(Y182)),IF(Y182&gt;=X182,ROUND((Y182-X182)*1440,0),""),"")</f>
        <v/>
      </c>
      <c r="AD182" s="35" t="str">
        <f aca="false">IF(AND(ISNUMBER(Y182),ISNUMBER(Z182)),IF(Z182&gt;=Y182,ROUND((Z182-Y182)*1440,0),""),"")</f>
        <v/>
      </c>
      <c r="AE182" s="35" t="str">
        <f aca="false">IF(AND(ISNUMBER(Z182),ISNUMBER(AA182)),IF(AA182&gt;=Z182,ROUND((AA182-Z182)*1440,0),""),"")</f>
        <v/>
      </c>
      <c r="AF182" s="35" t="str">
        <f aca="false">IF(AND(ISNUMBER(AA182),ISNUMBER(AB182)),IF(AB182&gt;=AA182,ROUND((AB182-AA182)*1440,0),""),"")</f>
        <v/>
      </c>
      <c r="AG182" s="35" t="str">
        <f aca="false">IF(AND(W182="완료",ISNUMBER(X182)),IF(MAX(Y182:AB182)&gt;=X182,ROUND((MAX(Y182:AB182)-X182)*1440,0),""),"")</f>
        <v/>
      </c>
    </row>
    <row r="183" customFormat="false" ht="15" hidden="false" customHeight="false" outlineLevel="0" collapsed="false">
      <c r="A183" s="27" t="n">
        <v>179</v>
      </c>
      <c r="B183" s="28"/>
      <c r="C183" s="29"/>
      <c r="D183" s="29"/>
      <c r="E183" s="28"/>
      <c r="F183" s="30"/>
      <c r="G183" s="31"/>
      <c r="H183" s="28"/>
      <c r="I183" s="29"/>
      <c r="J183" s="29"/>
      <c r="K183" s="29"/>
      <c r="L183" s="29"/>
      <c r="M183" s="29"/>
      <c r="N183" s="29"/>
      <c r="O183" s="29"/>
      <c r="P183" s="29"/>
      <c r="Q183" s="29"/>
      <c r="R183" s="29"/>
      <c r="S183" s="28"/>
      <c r="T183" s="32" t="str">
        <f aca="false">IF(AND(K183="",L183=""),"",IF(OR(K183="-",L183="-"),"측정불가",IF(AND(ISNUMBER(K183),ISNUMBER(L183)),IF(OR(K183&gt;=설정!$C$9,L183&gt;=설정!$C$10),"긴급",IF(OR(K183&gt;=설정!$C$7,L183&gt;=설정!$C$8,K183&lt;설정!$C$11),"주의","정상")),"확인필요")))</f>
        <v/>
      </c>
      <c r="U183" s="32" t="str">
        <f aca="false">IF(M183="","",IF(M183="-","측정불가",IF(NOT(ISNUMBER(M183)),"확인필요",IF(M183&lt;설정!$C$15,"긴급(저혈당)",IF(M183&gt;=설정!$C$16,"긴급(고혈당)",IF(N183="공복",IF(M183&gt;=설정!$C$13,"주의","정상"),IF(N183="식후",IF(M183&gt;=설정!$C$14,"주의","정상"),"조건확인")))))))</f>
        <v/>
      </c>
      <c r="V183" s="32" t="str">
        <f aca="false">IF(OR(T183="긴급",LEFT(U183,2)="긴급",P183="O"),"대상","")</f>
        <v/>
      </c>
      <c r="W183" s="33" t="str">
        <f aca="false">IF(R183&lt;&gt;"",R183,IF(O183="O",IF(V183="대상",IF(Q183="O","완료","추가상담 대기"),"완료"),IF(COUNTA(K183:M183)=3,"상담 대기",IF(J183="O","측정 대기",IF(I183="O","운동평가 대기","미방문")))))</f>
        <v>미방문</v>
      </c>
      <c r="X183" s="34"/>
      <c r="Y183" s="34"/>
      <c r="Z183" s="34"/>
      <c r="AA183" s="34"/>
      <c r="AB183" s="34"/>
      <c r="AC183" s="35" t="str">
        <f aca="false">IF(AND(ISNUMBER(X183),ISNUMBER(Y183)),IF(Y183&gt;=X183,ROUND((Y183-X183)*1440,0),""),"")</f>
        <v/>
      </c>
      <c r="AD183" s="35" t="str">
        <f aca="false">IF(AND(ISNUMBER(Y183),ISNUMBER(Z183)),IF(Z183&gt;=Y183,ROUND((Z183-Y183)*1440,0),""),"")</f>
        <v/>
      </c>
      <c r="AE183" s="35" t="str">
        <f aca="false">IF(AND(ISNUMBER(Z183),ISNUMBER(AA183)),IF(AA183&gt;=Z183,ROUND((AA183-Z183)*1440,0),""),"")</f>
        <v/>
      </c>
      <c r="AF183" s="35" t="str">
        <f aca="false">IF(AND(ISNUMBER(AA183),ISNUMBER(AB183)),IF(AB183&gt;=AA183,ROUND((AB183-AA183)*1440,0),""),"")</f>
        <v/>
      </c>
      <c r="AG183" s="35" t="str">
        <f aca="false">IF(AND(W183="완료",ISNUMBER(X183)),IF(MAX(Y183:AB183)&gt;=X183,ROUND((MAX(Y183:AB183)-X183)*1440,0),""),"")</f>
        <v/>
      </c>
    </row>
    <row r="184" customFormat="false" ht="15" hidden="false" customHeight="false" outlineLevel="0" collapsed="false">
      <c r="A184" s="27" t="n">
        <v>180</v>
      </c>
      <c r="B184" s="28"/>
      <c r="C184" s="29"/>
      <c r="D184" s="29"/>
      <c r="E184" s="28"/>
      <c r="F184" s="30"/>
      <c r="G184" s="31"/>
      <c r="H184" s="28"/>
      <c r="I184" s="29"/>
      <c r="J184" s="29"/>
      <c r="K184" s="29"/>
      <c r="L184" s="29"/>
      <c r="M184" s="29"/>
      <c r="N184" s="29"/>
      <c r="O184" s="29"/>
      <c r="P184" s="29"/>
      <c r="Q184" s="29"/>
      <c r="R184" s="29"/>
      <c r="S184" s="28"/>
      <c r="T184" s="32" t="str">
        <f aca="false">IF(AND(K184="",L184=""),"",IF(OR(K184="-",L184="-"),"측정불가",IF(AND(ISNUMBER(K184),ISNUMBER(L184)),IF(OR(K184&gt;=설정!$C$9,L184&gt;=설정!$C$10),"긴급",IF(OR(K184&gt;=설정!$C$7,L184&gt;=설정!$C$8,K184&lt;설정!$C$11),"주의","정상")),"확인필요")))</f>
        <v/>
      </c>
      <c r="U184" s="32" t="str">
        <f aca="false">IF(M184="","",IF(M184="-","측정불가",IF(NOT(ISNUMBER(M184)),"확인필요",IF(M184&lt;설정!$C$15,"긴급(저혈당)",IF(M184&gt;=설정!$C$16,"긴급(고혈당)",IF(N184="공복",IF(M184&gt;=설정!$C$13,"주의","정상"),IF(N184="식후",IF(M184&gt;=설정!$C$14,"주의","정상"),"조건확인")))))))</f>
        <v/>
      </c>
      <c r="V184" s="32" t="str">
        <f aca="false">IF(OR(T184="긴급",LEFT(U184,2)="긴급",P184="O"),"대상","")</f>
        <v/>
      </c>
      <c r="W184" s="33" t="str">
        <f aca="false">IF(R184&lt;&gt;"",R184,IF(O184="O",IF(V184="대상",IF(Q184="O","완료","추가상담 대기"),"완료"),IF(COUNTA(K184:M184)=3,"상담 대기",IF(J184="O","측정 대기",IF(I184="O","운동평가 대기","미방문")))))</f>
        <v>미방문</v>
      </c>
      <c r="X184" s="34"/>
      <c r="Y184" s="34"/>
      <c r="Z184" s="34"/>
      <c r="AA184" s="34"/>
      <c r="AB184" s="34"/>
      <c r="AC184" s="35" t="str">
        <f aca="false">IF(AND(ISNUMBER(X184),ISNUMBER(Y184)),IF(Y184&gt;=X184,ROUND((Y184-X184)*1440,0),""),"")</f>
        <v/>
      </c>
      <c r="AD184" s="35" t="str">
        <f aca="false">IF(AND(ISNUMBER(Y184),ISNUMBER(Z184)),IF(Z184&gt;=Y184,ROUND((Z184-Y184)*1440,0),""),"")</f>
        <v/>
      </c>
      <c r="AE184" s="35" t="str">
        <f aca="false">IF(AND(ISNUMBER(Z184),ISNUMBER(AA184)),IF(AA184&gt;=Z184,ROUND((AA184-Z184)*1440,0),""),"")</f>
        <v/>
      </c>
      <c r="AF184" s="35" t="str">
        <f aca="false">IF(AND(ISNUMBER(AA184),ISNUMBER(AB184)),IF(AB184&gt;=AA184,ROUND((AB184-AA184)*1440,0),""),"")</f>
        <v/>
      </c>
      <c r="AG184" s="35" t="str">
        <f aca="false">IF(AND(W184="완료",ISNUMBER(X184)),IF(MAX(Y184:AB184)&gt;=X184,ROUND((MAX(Y184:AB184)-X184)*1440,0),""),"")</f>
        <v/>
      </c>
    </row>
    <row r="185" customFormat="false" ht="15" hidden="false" customHeight="false" outlineLevel="0" collapsed="false">
      <c r="A185" s="27" t="n">
        <v>181</v>
      </c>
      <c r="B185" s="28"/>
      <c r="C185" s="29"/>
      <c r="D185" s="29"/>
      <c r="E185" s="28"/>
      <c r="F185" s="30"/>
      <c r="G185" s="31"/>
      <c r="H185" s="28"/>
      <c r="I185" s="29"/>
      <c r="J185" s="29"/>
      <c r="K185" s="29"/>
      <c r="L185" s="29"/>
      <c r="M185" s="29"/>
      <c r="N185" s="29"/>
      <c r="O185" s="29"/>
      <c r="P185" s="29"/>
      <c r="Q185" s="29"/>
      <c r="R185" s="29"/>
      <c r="S185" s="28"/>
      <c r="T185" s="32" t="str">
        <f aca="false">IF(AND(K185="",L185=""),"",IF(OR(K185="-",L185="-"),"측정불가",IF(AND(ISNUMBER(K185),ISNUMBER(L185)),IF(OR(K185&gt;=설정!$C$9,L185&gt;=설정!$C$10),"긴급",IF(OR(K185&gt;=설정!$C$7,L185&gt;=설정!$C$8,K185&lt;설정!$C$11),"주의","정상")),"확인필요")))</f>
        <v/>
      </c>
      <c r="U185" s="32" t="str">
        <f aca="false">IF(M185="","",IF(M185="-","측정불가",IF(NOT(ISNUMBER(M185)),"확인필요",IF(M185&lt;설정!$C$15,"긴급(저혈당)",IF(M185&gt;=설정!$C$16,"긴급(고혈당)",IF(N185="공복",IF(M185&gt;=설정!$C$13,"주의","정상"),IF(N185="식후",IF(M185&gt;=설정!$C$14,"주의","정상"),"조건확인")))))))</f>
        <v/>
      </c>
      <c r="V185" s="32" t="str">
        <f aca="false">IF(OR(T185="긴급",LEFT(U185,2)="긴급",P185="O"),"대상","")</f>
        <v/>
      </c>
      <c r="W185" s="33" t="str">
        <f aca="false">IF(R185&lt;&gt;"",R185,IF(O185="O",IF(V185="대상",IF(Q185="O","완료","추가상담 대기"),"완료"),IF(COUNTA(K185:M185)=3,"상담 대기",IF(J185="O","측정 대기",IF(I185="O","운동평가 대기","미방문")))))</f>
        <v>미방문</v>
      </c>
      <c r="X185" s="34"/>
      <c r="Y185" s="34"/>
      <c r="Z185" s="34"/>
      <c r="AA185" s="34"/>
      <c r="AB185" s="34"/>
      <c r="AC185" s="35" t="str">
        <f aca="false">IF(AND(ISNUMBER(X185),ISNUMBER(Y185)),IF(Y185&gt;=X185,ROUND((Y185-X185)*1440,0),""),"")</f>
        <v/>
      </c>
      <c r="AD185" s="35" t="str">
        <f aca="false">IF(AND(ISNUMBER(Y185),ISNUMBER(Z185)),IF(Z185&gt;=Y185,ROUND((Z185-Y185)*1440,0),""),"")</f>
        <v/>
      </c>
      <c r="AE185" s="35" t="str">
        <f aca="false">IF(AND(ISNUMBER(Z185),ISNUMBER(AA185)),IF(AA185&gt;=Z185,ROUND((AA185-Z185)*1440,0),""),"")</f>
        <v/>
      </c>
      <c r="AF185" s="35" t="str">
        <f aca="false">IF(AND(ISNUMBER(AA185),ISNUMBER(AB185)),IF(AB185&gt;=AA185,ROUND((AB185-AA185)*1440,0),""),"")</f>
        <v/>
      </c>
      <c r="AG185" s="35" t="str">
        <f aca="false">IF(AND(W185="완료",ISNUMBER(X185)),IF(MAX(Y185:AB185)&gt;=X185,ROUND((MAX(Y185:AB185)-X185)*1440,0),""),"")</f>
        <v/>
      </c>
    </row>
    <row r="186" customFormat="false" ht="15" hidden="false" customHeight="false" outlineLevel="0" collapsed="false">
      <c r="A186" s="27" t="n">
        <v>182</v>
      </c>
      <c r="B186" s="28"/>
      <c r="C186" s="29"/>
      <c r="D186" s="29"/>
      <c r="E186" s="28"/>
      <c r="F186" s="30"/>
      <c r="G186" s="31"/>
      <c r="H186" s="28"/>
      <c r="I186" s="29"/>
      <c r="J186" s="29"/>
      <c r="K186" s="29"/>
      <c r="L186" s="29"/>
      <c r="M186" s="29"/>
      <c r="N186" s="29"/>
      <c r="O186" s="29"/>
      <c r="P186" s="29"/>
      <c r="Q186" s="29"/>
      <c r="R186" s="29"/>
      <c r="S186" s="28"/>
      <c r="T186" s="32" t="str">
        <f aca="false">IF(AND(K186="",L186=""),"",IF(OR(K186="-",L186="-"),"측정불가",IF(AND(ISNUMBER(K186),ISNUMBER(L186)),IF(OR(K186&gt;=설정!$C$9,L186&gt;=설정!$C$10),"긴급",IF(OR(K186&gt;=설정!$C$7,L186&gt;=설정!$C$8,K186&lt;설정!$C$11),"주의","정상")),"확인필요")))</f>
        <v/>
      </c>
      <c r="U186" s="32" t="str">
        <f aca="false">IF(M186="","",IF(M186="-","측정불가",IF(NOT(ISNUMBER(M186)),"확인필요",IF(M186&lt;설정!$C$15,"긴급(저혈당)",IF(M186&gt;=설정!$C$16,"긴급(고혈당)",IF(N186="공복",IF(M186&gt;=설정!$C$13,"주의","정상"),IF(N186="식후",IF(M186&gt;=설정!$C$14,"주의","정상"),"조건확인")))))))</f>
        <v/>
      </c>
      <c r="V186" s="32" t="str">
        <f aca="false">IF(OR(T186="긴급",LEFT(U186,2)="긴급",P186="O"),"대상","")</f>
        <v/>
      </c>
      <c r="W186" s="33" t="str">
        <f aca="false">IF(R186&lt;&gt;"",R186,IF(O186="O",IF(V186="대상",IF(Q186="O","완료","추가상담 대기"),"완료"),IF(COUNTA(K186:M186)=3,"상담 대기",IF(J186="O","측정 대기",IF(I186="O","운동평가 대기","미방문")))))</f>
        <v>미방문</v>
      </c>
      <c r="X186" s="34"/>
      <c r="Y186" s="34"/>
      <c r="Z186" s="34"/>
      <c r="AA186" s="34"/>
      <c r="AB186" s="34"/>
      <c r="AC186" s="35" t="str">
        <f aca="false">IF(AND(ISNUMBER(X186),ISNUMBER(Y186)),IF(Y186&gt;=X186,ROUND((Y186-X186)*1440,0),""),"")</f>
        <v/>
      </c>
      <c r="AD186" s="35" t="str">
        <f aca="false">IF(AND(ISNUMBER(Y186),ISNUMBER(Z186)),IF(Z186&gt;=Y186,ROUND((Z186-Y186)*1440,0),""),"")</f>
        <v/>
      </c>
      <c r="AE186" s="35" t="str">
        <f aca="false">IF(AND(ISNUMBER(Z186),ISNUMBER(AA186)),IF(AA186&gt;=Z186,ROUND((AA186-Z186)*1440,0),""),"")</f>
        <v/>
      </c>
      <c r="AF186" s="35" t="str">
        <f aca="false">IF(AND(ISNUMBER(AA186),ISNUMBER(AB186)),IF(AB186&gt;=AA186,ROUND((AB186-AA186)*1440,0),""),"")</f>
        <v/>
      </c>
      <c r="AG186" s="35" t="str">
        <f aca="false">IF(AND(W186="완료",ISNUMBER(X186)),IF(MAX(Y186:AB186)&gt;=X186,ROUND((MAX(Y186:AB186)-X186)*1440,0),""),"")</f>
        <v/>
      </c>
    </row>
    <row r="187" customFormat="false" ht="15" hidden="false" customHeight="false" outlineLevel="0" collapsed="false">
      <c r="A187" s="27" t="n">
        <v>183</v>
      </c>
      <c r="B187" s="28"/>
      <c r="C187" s="29"/>
      <c r="D187" s="29"/>
      <c r="E187" s="28"/>
      <c r="F187" s="30"/>
      <c r="G187" s="31"/>
      <c r="H187" s="28"/>
      <c r="I187" s="29"/>
      <c r="J187" s="29"/>
      <c r="K187" s="29"/>
      <c r="L187" s="29"/>
      <c r="M187" s="29"/>
      <c r="N187" s="29"/>
      <c r="O187" s="29"/>
      <c r="P187" s="29"/>
      <c r="Q187" s="29"/>
      <c r="R187" s="29"/>
      <c r="S187" s="28"/>
      <c r="T187" s="32" t="str">
        <f aca="false">IF(AND(K187="",L187=""),"",IF(OR(K187="-",L187="-"),"측정불가",IF(AND(ISNUMBER(K187),ISNUMBER(L187)),IF(OR(K187&gt;=설정!$C$9,L187&gt;=설정!$C$10),"긴급",IF(OR(K187&gt;=설정!$C$7,L187&gt;=설정!$C$8,K187&lt;설정!$C$11),"주의","정상")),"확인필요")))</f>
        <v/>
      </c>
      <c r="U187" s="32" t="str">
        <f aca="false">IF(M187="","",IF(M187="-","측정불가",IF(NOT(ISNUMBER(M187)),"확인필요",IF(M187&lt;설정!$C$15,"긴급(저혈당)",IF(M187&gt;=설정!$C$16,"긴급(고혈당)",IF(N187="공복",IF(M187&gt;=설정!$C$13,"주의","정상"),IF(N187="식후",IF(M187&gt;=설정!$C$14,"주의","정상"),"조건확인")))))))</f>
        <v/>
      </c>
      <c r="V187" s="32" t="str">
        <f aca="false">IF(OR(T187="긴급",LEFT(U187,2)="긴급",P187="O"),"대상","")</f>
        <v/>
      </c>
      <c r="W187" s="33" t="str">
        <f aca="false">IF(R187&lt;&gt;"",R187,IF(O187="O",IF(V187="대상",IF(Q187="O","완료","추가상담 대기"),"완료"),IF(COUNTA(K187:M187)=3,"상담 대기",IF(J187="O","측정 대기",IF(I187="O","운동평가 대기","미방문")))))</f>
        <v>미방문</v>
      </c>
      <c r="X187" s="34"/>
      <c r="Y187" s="34"/>
      <c r="Z187" s="34"/>
      <c r="AA187" s="34"/>
      <c r="AB187" s="34"/>
      <c r="AC187" s="35" t="str">
        <f aca="false">IF(AND(ISNUMBER(X187),ISNUMBER(Y187)),IF(Y187&gt;=X187,ROUND((Y187-X187)*1440,0),""),"")</f>
        <v/>
      </c>
      <c r="AD187" s="35" t="str">
        <f aca="false">IF(AND(ISNUMBER(Y187),ISNUMBER(Z187)),IF(Z187&gt;=Y187,ROUND((Z187-Y187)*1440,0),""),"")</f>
        <v/>
      </c>
      <c r="AE187" s="35" t="str">
        <f aca="false">IF(AND(ISNUMBER(Z187),ISNUMBER(AA187)),IF(AA187&gt;=Z187,ROUND((AA187-Z187)*1440,0),""),"")</f>
        <v/>
      </c>
      <c r="AF187" s="35" t="str">
        <f aca="false">IF(AND(ISNUMBER(AA187),ISNUMBER(AB187)),IF(AB187&gt;=AA187,ROUND((AB187-AA187)*1440,0),""),"")</f>
        <v/>
      </c>
      <c r="AG187" s="35" t="str">
        <f aca="false">IF(AND(W187="완료",ISNUMBER(X187)),IF(MAX(Y187:AB187)&gt;=X187,ROUND((MAX(Y187:AB187)-X187)*1440,0),""),"")</f>
        <v/>
      </c>
    </row>
    <row r="188" customFormat="false" ht="15" hidden="false" customHeight="false" outlineLevel="0" collapsed="false">
      <c r="A188" s="27" t="n">
        <v>184</v>
      </c>
      <c r="B188" s="28"/>
      <c r="C188" s="29"/>
      <c r="D188" s="29"/>
      <c r="E188" s="28"/>
      <c r="F188" s="30"/>
      <c r="G188" s="31"/>
      <c r="H188" s="28"/>
      <c r="I188" s="29"/>
      <c r="J188" s="29"/>
      <c r="K188" s="29"/>
      <c r="L188" s="29"/>
      <c r="M188" s="29"/>
      <c r="N188" s="29"/>
      <c r="O188" s="29"/>
      <c r="P188" s="29"/>
      <c r="Q188" s="29"/>
      <c r="R188" s="29"/>
      <c r="S188" s="28"/>
      <c r="T188" s="32" t="str">
        <f aca="false">IF(AND(K188="",L188=""),"",IF(OR(K188="-",L188="-"),"측정불가",IF(AND(ISNUMBER(K188),ISNUMBER(L188)),IF(OR(K188&gt;=설정!$C$9,L188&gt;=설정!$C$10),"긴급",IF(OR(K188&gt;=설정!$C$7,L188&gt;=설정!$C$8,K188&lt;설정!$C$11),"주의","정상")),"확인필요")))</f>
        <v/>
      </c>
      <c r="U188" s="32" t="str">
        <f aca="false">IF(M188="","",IF(M188="-","측정불가",IF(NOT(ISNUMBER(M188)),"확인필요",IF(M188&lt;설정!$C$15,"긴급(저혈당)",IF(M188&gt;=설정!$C$16,"긴급(고혈당)",IF(N188="공복",IF(M188&gt;=설정!$C$13,"주의","정상"),IF(N188="식후",IF(M188&gt;=설정!$C$14,"주의","정상"),"조건확인")))))))</f>
        <v/>
      </c>
      <c r="V188" s="32" t="str">
        <f aca="false">IF(OR(T188="긴급",LEFT(U188,2)="긴급",P188="O"),"대상","")</f>
        <v/>
      </c>
      <c r="W188" s="33" t="str">
        <f aca="false">IF(R188&lt;&gt;"",R188,IF(O188="O",IF(V188="대상",IF(Q188="O","완료","추가상담 대기"),"완료"),IF(COUNTA(K188:M188)=3,"상담 대기",IF(J188="O","측정 대기",IF(I188="O","운동평가 대기","미방문")))))</f>
        <v>미방문</v>
      </c>
      <c r="X188" s="34"/>
      <c r="Y188" s="34"/>
      <c r="Z188" s="34"/>
      <c r="AA188" s="34"/>
      <c r="AB188" s="34"/>
      <c r="AC188" s="35" t="str">
        <f aca="false">IF(AND(ISNUMBER(X188),ISNUMBER(Y188)),IF(Y188&gt;=X188,ROUND((Y188-X188)*1440,0),""),"")</f>
        <v/>
      </c>
      <c r="AD188" s="35" t="str">
        <f aca="false">IF(AND(ISNUMBER(Y188),ISNUMBER(Z188)),IF(Z188&gt;=Y188,ROUND((Z188-Y188)*1440,0),""),"")</f>
        <v/>
      </c>
      <c r="AE188" s="35" t="str">
        <f aca="false">IF(AND(ISNUMBER(Z188),ISNUMBER(AA188)),IF(AA188&gt;=Z188,ROUND((AA188-Z188)*1440,0),""),"")</f>
        <v/>
      </c>
      <c r="AF188" s="35" t="str">
        <f aca="false">IF(AND(ISNUMBER(AA188),ISNUMBER(AB188)),IF(AB188&gt;=AA188,ROUND((AB188-AA188)*1440,0),""),"")</f>
        <v/>
      </c>
      <c r="AG188" s="35" t="str">
        <f aca="false">IF(AND(W188="완료",ISNUMBER(X188)),IF(MAX(Y188:AB188)&gt;=X188,ROUND((MAX(Y188:AB188)-X188)*1440,0),""),"")</f>
        <v/>
      </c>
    </row>
    <row r="189" customFormat="false" ht="15" hidden="false" customHeight="false" outlineLevel="0" collapsed="false">
      <c r="A189" s="27" t="n">
        <v>185</v>
      </c>
      <c r="B189" s="28"/>
      <c r="C189" s="29"/>
      <c r="D189" s="29"/>
      <c r="E189" s="28"/>
      <c r="F189" s="30"/>
      <c r="G189" s="31"/>
      <c r="H189" s="28"/>
      <c r="I189" s="29"/>
      <c r="J189" s="29"/>
      <c r="K189" s="29"/>
      <c r="L189" s="29"/>
      <c r="M189" s="29"/>
      <c r="N189" s="29"/>
      <c r="O189" s="29"/>
      <c r="P189" s="29"/>
      <c r="Q189" s="29"/>
      <c r="R189" s="29"/>
      <c r="S189" s="28"/>
      <c r="T189" s="32" t="str">
        <f aca="false">IF(AND(K189="",L189=""),"",IF(OR(K189="-",L189="-"),"측정불가",IF(AND(ISNUMBER(K189),ISNUMBER(L189)),IF(OR(K189&gt;=설정!$C$9,L189&gt;=설정!$C$10),"긴급",IF(OR(K189&gt;=설정!$C$7,L189&gt;=설정!$C$8,K189&lt;설정!$C$11),"주의","정상")),"확인필요")))</f>
        <v/>
      </c>
      <c r="U189" s="32" t="str">
        <f aca="false">IF(M189="","",IF(M189="-","측정불가",IF(NOT(ISNUMBER(M189)),"확인필요",IF(M189&lt;설정!$C$15,"긴급(저혈당)",IF(M189&gt;=설정!$C$16,"긴급(고혈당)",IF(N189="공복",IF(M189&gt;=설정!$C$13,"주의","정상"),IF(N189="식후",IF(M189&gt;=설정!$C$14,"주의","정상"),"조건확인")))))))</f>
        <v/>
      </c>
      <c r="V189" s="32" t="str">
        <f aca="false">IF(OR(T189="긴급",LEFT(U189,2)="긴급",P189="O"),"대상","")</f>
        <v/>
      </c>
      <c r="W189" s="33" t="str">
        <f aca="false">IF(R189&lt;&gt;"",R189,IF(O189="O",IF(V189="대상",IF(Q189="O","완료","추가상담 대기"),"완료"),IF(COUNTA(K189:M189)=3,"상담 대기",IF(J189="O","측정 대기",IF(I189="O","운동평가 대기","미방문")))))</f>
        <v>미방문</v>
      </c>
      <c r="X189" s="34"/>
      <c r="Y189" s="34"/>
      <c r="Z189" s="34"/>
      <c r="AA189" s="34"/>
      <c r="AB189" s="34"/>
      <c r="AC189" s="35" t="str">
        <f aca="false">IF(AND(ISNUMBER(X189),ISNUMBER(Y189)),IF(Y189&gt;=X189,ROUND((Y189-X189)*1440,0),""),"")</f>
        <v/>
      </c>
      <c r="AD189" s="35" t="str">
        <f aca="false">IF(AND(ISNUMBER(Y189),ISNUMBER(Z189)),IF(Z189&gt;=Y189,ROUND((Z189-Y189)*1440,0),""),"")</f>
        <v/>
      </c>
      <c r="AE189" s="35" t="str">
        <f aca="false">IF(AND(ISNUMBER(Z189),ISNUMBER(AA189)),IF(AA189&gt;=Z189,ROUND((AA189-Z189)*1440,0),""),"")</f>
        <v/>
      </c>
      <c r="AF189" s="35" t="str">
        <f aca="false">IF(AND(ISNUMBER(AA189),ISNUMBER(AB189)),IF(AB189&gt;=AA189,ROUND((AB189-AA189)*1440,0),""),"")</f>
        <v/>
      </c>
      <c r="AG189" s="35" t="str">
        <f aca="false">IF(AND(W189="완료",ISNUMBER(X189)),IF(MAX(Y189:AB189)&gt;=X189,ROUND((MAX(Y189:AB189)-X189)*1440,0),""),"")</f>
        <v/>
      </c>
    </row>
    <row r="190" customFormat="false" ht="15" hidden="false" customHeight="false" outlineLevel="0" collapsed="false">
      <c r="A190" s="27" t="n">
        <v>186</v>
      </c>
      <c r="B190" s="28"/>
      <c r="C190" s="29"/>
      <c r="D190" s="29"/>
      <c r="E190" s="28"/>
      <c r="F190" s="30"/>
      <c r="G190" s="31"/>
      <c r="H190" s="28"/>
      <c r="I190" s="29"/>
      <c r="J190" s="29"/>
      <c r="K190" s="29"/>
      <c r="L190" s="29"/>
      <c r="M190" s="29"/>
      <c r="N190" s="29"/>
      <c r="O190" s="29"/>
      <c r="P190" s="29"/>
      <c r="Q190" s="29"/>
      <c r="R190" s="29"/>
      <c r="S190" s="28"/>
      <c r="T190" s="32" t="str">
        <f aca="false">IF(AND(K190="",L190=""),"",IF(OR(K190="-",L190="-"),"측정불가",IF(AND(ISNUMBER(K190),ISNUMBER(L190)),IF(OR(K190&gt;=설정!$C$9,L190&gt;=설정!$C$10),"긴급",IF(OR(K190&gt;=설정!$C$7,L190&gt;=설정!$C$8,K190&lt;설정!$C$11),"주의","정상")),"확인필요")))</f>
        <v/>
      </c>
      <c r="U190" s="32" t="str">
        <f aca="false">IF(M190="","",IF(M190="-","측정불가",IF(NOT(ISNUMBER(M190)),"확인필요",IF(M190&lt;설정!$C$15,"긴급(저혈당)",IF(M190&gt;=설정!$C$16,"긴급(고혈당)",IF(N190="공복",IF(M190&gt;=설정!$C$13,"주의","정상"),IF(N190="식후",IF(M190&gt;=설정!$C$14,"주의","정상"),"조건확인")))))))</f>
        <v/>
      </c>
      <c r="V190" s="32" t="str">
        <f aca="false">IF(OR(T190="긴급",LEFT(U190,2)="긴급",P190="O"),"대상","")</f>
        <v/>
      </c>
      <c r="W190" s="33" t="str">
        <f aca="false">IF(R190&lt;&gt;"",R190,IF(O190="O",IF(V190="대상",IF(Q190="O","완료","추가상담 대기"),"완료"),IF(COUNTA(K190:M190)=3,"상담 대기",IF(J190="O","측정 대기",IF(I190="O","운동평가 대기","미방문")))))</f>
        <v>미방문</v>
      </c>
      <c r="X190" s="34"/>
      <c r="Y190" s="34"/>
      <c r="Z190" s="34"/>
      <c r="AA190" s="34"/>
      <c r="AB190" s="34"/>
      <c r="AC190" s="35" t="str">
        <f aca="false">IF(AND(ISNUMBER(X190),ISNUMBER(Y190)),IF(Y190&gt;=X190,ROUND((Y190-X190)*1440,0),""),"")</f>
        <v/>
      </c>
      <c r="AD190" s="35" t="str">
        <f aca="false">IF(AND(ISNUMBER(Y190),ISNUMBER(Z190)),IF(Z190&gt;=Y190,ROUND((Z190-Y190)*1440,0),""),"")</f>
        <v/>
      </c>
      <c r="AE190" s="35" t="str">
        <f aca="false">IF(AND(ISNUMBER(Z190),ISNUMBER(AA190)),IF(AA190&gt;=Z190,ROUND((AA190-Z190)*1440,0),""),"")</f>
        <v/>
      </c>
      <c r="AF190" s="35" t="str">
        <f aca="false">IF(AND(ISNUMBER(AA190),ISNUMBER(AB190)),IF(AB190&gt;=AA190,ROUND((AB190-AA190)*1440,0),""),"")</f>
        <v/>
      </c>
      <c r="AG190" s="35" t="str">
        <f aca="false">IF(AND(W190="완료",ISNUMBER(X190)),IF(MAX(Y190:AB190)&gt;=X190,ROUND((MAX(Y190:AB190)-X190)*1440,0),""),"")</f>
        <v/>
      </c>
    </row>
    <row r="191" customFormat="false" ht="15" hidden="false" customHeight="false" outlineLevel="0" collapsed="false">
      <c r="A191" s="27" t="n">
        <v>187</v>
      </c>
      <c r="B191" s="28"/>
      <c r="C191" s="29"/>
      <c r="D191" s="29"/>
      <c r="E191" s="28"/>
      <c r="F191" s="30"/>
      <c r="G191" s="31"/>
      <c r="H191" s="28"/>
      <c r="I191" s="29"/>
      <c r="J191" s="29"/>
      <c r="K191" s="29"/>
      <c r="L191" s="29"/>
      <c r="M191" s="29"/>
      <c r="N191" s="29"/>
      <c r="O191" s="29"/>
      <c r="P191" s="29"/>
      <c r="Q191" s="29"/>
      <c r="R191" s="29"/>
      <c r="S191" s="28"/>
      <c r="T191" s="32" t="str">
        <f aca="false">IF(AND(K191="",L191=""),"",IF(OR(K191="-",L191="-"),"측정불가",IF(AND(ISNUMBER(K191),ISNUMBER(L191)),IF(OR(K191&gt;=설정!$C$9,L191&gt;=설정!$C$10),"긴급",IF(OR(K191&gt;=설정!$C$7,L191&gt;=설정!$C$8,K191&lt;설정!$C$11),"주의","정상")),"확인필요")))</f>
        <v/>
      </c>
      <c r="U191" s="32" t="str">
        <f aca="false">IF(M191="","",IF(M191="-","측정불가",IF(NOT(ISNUMBER(M191)),"확인필요",IF(M191&lt;설정!$C$15,"긴급(저혈당)",IF(M191&gt;=설정!$C$16,"긴급(고혈당)",IF(N191="공복",IF(M191&gt;=설정!$C$13,"주의","정상"),IF(N191="식후",IF(M191&gt;=설정!$C$14,"주의","정상"),"조건확인")))))))</f>
        <v/>
      </c>
      <c r="V191" s="32" t="str">
        <f aca="false">IF(OR(T191="긴급",LEFT(U191,2)="긴급",P191="O"),"대상","")</f>
        <v/>
      </c>
      <c r="W191" s="33" t="str">
        <f aca="false">IF(R191&lt;&gt;"",R191,IF(O191="O",IF(V191="대상",IF(Q191="O","완료","추가상담 대기"),"완료"),IF(COUNTA(K191:M191)=3,"상담 대기",IF(J191="O","측정 대기",IF(I191="O","운동평가 대기","미방문")))))</f>
        <v>미방문</v>
      </c>
      <c r="X191" s="34"/>
      <c r="Y191" s="34"/>
      <c r="Z191" s="34"/>
      <c r="AA191" s="34"/>
      <c r="AB191" s="34"/>
      <c r="AC191" s="35" t="str">
        <f aca="false">IF(AND(ISNUMBER(X191),ISNUMBER(Y191)),IF(Y191&gt;=X191,ROUND((Y191-X191)*1440,0),""),"")</f>
        <v/>
      </c>
      <c r="AD191" s="35" t="str">
        <f aca="false">IF(AND(ISNUMBER(Y191),ISNUMBER(Z191)),IF(Z191&gt;=Y191,ROUND((Z191-Y191)*1440,0),""),"")</f>
        <v/>
      </c>
      <c r="AE191" s="35" t="str">
        <f aca="false">IF(AND(ISNUMBER(Z191),ISNUMBER(AA191)),IF(AA191&gt;=Z191,ROUND((AA191-Z191)*1440,0),""),"")</f>
        <v/>
      </c>
      <c r="AF191" s="35" t="str">
        <f aca="false">IF(AND(ISNUMBER(AA191),ISNUMBER(AB191)),IF(AB191&gt;=AA191,ROUND((AB191-AA191)*1440,0),""),"")</f>
        <v/>
      </c>
      <c r="AG191" s="35" t="str">
        <f aca="false">IF(AND(W191="완료",ISNUMBER(X191)),IF(MAX(Y191:AB191)&gt;=X191,ROUND((MAX(Y191:AB191)-X191)*1440,0),""),"")</f>
        <v/>
      </c>
    </row>
    <row r="192" customFormat="false" ht="15" hidden="false" customHeight="false" outlineLevel="0" collapsed="false">
      <c r="A192" s="27" t="n">
        <v>188</v>
      </c>
      <c r="B192" s="28"/>
      <c r="C192" s="29"/>
      <c r="D192" s="29"/>
      <c r="E192" s="28"/>
      <c r="F192" s="30"/>
      <c r="G192" s="31"/>
      <c r="H192" s="28"/>
      <c r="I192" s="29"/>
      <c r="J192" s="29"/>
      <c r="K192" s="29"/>
      <c r="L192" s="29"/>
      <c r="M192" s="29"/>
      <c r="N192" s="29"/>
      <c r="O192" s="29"/>
      <c r="P192" s="29"/>
      <c r="Q192" s="29"/>
      <c r="R192" s="29"/>
      <c r="S192" s="28"/>
      <c r="T192" s="32" t="str">
        <f aca="false">IF(AND(K192="",L192=""),"",IF(OR(K192="-",L192="-"),"측정불가",IF(AND(ISNUMBER(K192),ISNUMBER(L192)),IF(OR(K192&gt;=설정!$C$9,L192&gt;=설정!$C$10),"긴급",IF(OR(K192&gt;=설정!$C$7,L192&gt;=설정!$C$8,K192&lt;설정!$C$11),"주의","정상")),"확인필요")))</f>
        <v/>
      </c>
      <c r="U192" s="32" t="str">
        <f aca="false">IF(M192="","",IF(M192="-","측정불가",IF(NOT(ISNUMBER(M192)),"확인필요",IF(M192&lt;설정!$C$15,"긴급(저혈당)",IF(M192&gt;=설정!$C$16,"긴급(고혈당)",IF(N192="공복",IF(M192&gt;=설정!$C$13,"주의","정상"),IF(N192="식후",IF(M192&gt;=설정!$C$14,"주의","정상"),"조건확인")))))))</f>
        <v/>
      </c>
      <c r="V192" s="32" t="str">
        <f aca="false">IF(OR(T192="긴급",LEFT(U192,2)="긴급",P192="O"),"대상","")</f>
        <v/>
      </c>
      <c r="W192" s="33" t="str">
        <f aca="false">IF(R192&lt;&gt;"",R192,IF(O192="O",IF(V192="대상",IF(Q192="O","완료","추가상담 대기"),"완료"),IF(COUNTA(K192:M192)=3,"상담 대기",IF(J192="O","측정 대기",IF(I192="O","운동평가 대기","미방문")))))</f>
        <v>미방문</v>
      </c>
      <c r="X192" s="34"/>
      <c r="Y192" s="34"/>
      <c r="Z192" s="34"/>
      <c r="AA192" s="34"/>
      <c r="AB192" s="34"/>
      <c r="AC192" s="35" t="str">
        <f aca="false">IF(AND(ISNUMBER(X192),ISNUMBER(Y192)),IF(Y192&gt;=X192,ROUND((Y192-X192)*1440,0),""),"")</f>
        <v/>
      </c>
      <c r="AD192" s="35" t="str">
        <f aca="false">IF(AND(ISNUMBER(Y192),ISNUMBER(Z192)),IF(Z192&gt;=Y192,ROUND((Z192-Y192)*1440,0),""),"")</f>
        <v/>
      </c>
      <c r="AE192" s="35" t="str">
        <f aca="false">IF(AND(ISNUMBER(Z192),ISNUMBER(AA192)),IF(AA192&gt;=Z192,ROUND((AA192-Z192)*1440,0),""),"")</f>
        <v/>
      </c>
      <c r="AF192" s="35" t="str">
        <f aca="false">IF(AND(ISNUMBER(AA192),ISNUMBER(AB192)),IF(AB192&gt;=AA192,ROUND((AB192-AA192)*1440,0),""),"")</f>
        <v/>
      </c>
      <c r="AG192" s="35" t="str">
        <f aca="false">IF(AND(W192="완료",ISNUMBER(X192)),IF(MAX(Y192:AB192)&gt;=X192,ROUND((MAX(Y192:AB192)-X192)*1440,0),""),"")</f>
        <v/>
      </c>
    </row>
    <row r="193" customFormat="false" ht="15" hidden="false" customHeight="false" outlineLevel="0" collapsed="false">
      <c r="A193" s="27" t="n">
        <v>189</v>
      </c>
      <c r="B193" s="28"/>
      <c r="C193" s="29"/>
      <c r="D193" s="29"/>
      <c r="E193" s="28"/>
      <c r="F193" s="30"/>
      <c r="G193" s="31"/>
      <c r="H193" s="28"/>
      <c r="I193" s="29"/>
      <c r="J193" s="29"/>
      <c r="K193" s="29"/>
      <c r="L193" s="29"/>
      <c r="M193" s="29"/>
      <c r="N193" s="29"/>
      <c r="O193" s="29"/>
      <c r="P193" s="29"/>
      <c r="Q193" s="29"/>
      <c r="R193" s="29"/>
      <c r="S193" s="28"/>
      <c r="T193" s="32" t="str">
        <f aca="false">IF(AND(K193="",L193=""),"",IF(OR(K193="-",L193="-"),"측정불가",IF(AND(ISNUMBER(K193),ISNUMBER(L193)),IF(OR(K193&gt;=설정!$C$9,L193&gt;=설정!$C$10),"긴급",IF(OR(K193&gt;=설정!$C$7,L193&gt;=설정!$C$8,K193&lt;설정!$C$11),"주의","정상")),"확인필요")))</f>
        <v/>
      </c>
      <c r="U193" s="32" t="str">
        <f aca="false">IF(M193="","",IF(M193="-","측정불가",IF(NOT(ISNUMBER(M193)),"확인필요",IF(M193&lt;설정!$C$15,"긴급(저혈당)",IF(M193&gt;=설정!$C$16,"긴급(고혈당)",IF(N193="공복",IF(M193&gt;=설정!$C$13,"주의","정상"),IF(N193="식후",IF(M193&gt;=설정!$C$14,"주의","정상"),"조건확인")))))))</f>
        <v/>
      </c>
      <c r="V193" s="32" t="str">
        <f aca="false">IF(OR(T193="긴급",LEFT(U193,2)="긴급",P193="O"),"대상","")</f>
        <v/>
      </c>
      <c r="W193" s="33" t="str">
        <f aca="false">IF(R193&lt;&gt;"",R193,IF(O193="O",IF(V193="대상",IF(Q193="O","완료","추가상담 대기"),"완료"),IF(COUNTA(K193:M193)=3,"상담 대기",IF(J193="O","측정 대기",IF(I193="O","운동평가 대기","미방문")))))</f>
        <v>미방문</v>
      </c>
      <c r="X193" s="34"/>
      <c r="Y193" s="34"/>
      <c r="Z193" s="34"/>
      <c r="AA193" s="34"/>
      <c r="AB193" s="34"/>
      <c r="AC193" s="35" t="str">
        <f aca="false">IF(AND(ISNUMBER(X193),ISNUMBER(Y193)),IF(Y193&gt;=X193,ROUND((Y193-X193)*1440,0),""),"")</f>
        <v/>
      </c>
      <c r="AD193" s="35" t="str">
        <f aca="false">IF(AND(ISNUMBER(Y193),ISNUMBER(Z193)),IF(Z193&gt;=Y193,ROUND((Z193-Y193)*1440,0),""),"")</f>
        <v/>
      </c>
      <c r="AE193" s="35" t="str">
        <f aca="false">IF(AND(ISNUMBER(Z193),ISNUMBER(AA193)),IF(AA193&gt;=Z193,ROUND((AA193-Z193)*1440,0),""),"")</f>
        <v/>
      </c>
      <c r="AF193" s="35" t="str">
        <f aca="false">IF(AND(ISNUMBER(AA193),ISNUMBER(AB193)),IF(AB193&gt;=AA193,ROUND((AB193-AA193)*1440,0),""),"")</f>
        <v/>
      </c>
      <c r="AG193" s="35" t="str">
        <f aca="false">IF(AND(W193="완료",ISNUMBER(X193)),IF(MAX(Y193:AB193)&gt;=X193,ROUND((MAX(Y193:AB193)-X193)*1440,0),""),"")</f>
        <v/>
      </c>
    </row>
    <row r="194" customFormat="false" ht="15" hidden="false" customHeight="false" outlineLevel="0" collapsed="false">
      <c r="A194" s="27" t="n">
        <v>190</v>
      </c>
      <c r="B194" s="28"/>
      <c r="C194" s="29"/>
      <c r="D194" s="29"/>
      <c r="E194" s="28"/>
      <c r="F194" s="30"/>
      <c r="G194" s="31"/>
      <c r="H194" s="28"/>
      <c r="I194" s="29"/>
      <c r="J194" s="29"/>
      <c r="K194" s="29"/>
      <c r="L194" s="29"/>
      <c r="M194" s="29"/>
      <c r="N194" s="29"/>
      <c r="O194" s="29"/>
      <c r="P194" s="29"/>
      <c r="Q194" s="29"/>
      <c r="R194" s="29"/>
      <c r="S194" s="28"/>
      <c r="T194" s="32" t="str">
        <f aca="false">IF(AND(K194="",L194=""),"",IF(OR(K194="-",L194="-"),"측정불가",IF(AND(ISNUMBER(K194),ISNUMBER(L194)),IF(OR(K194&gt;=설정!$C$9,L194&gt;=설정!$C$10),"긴급",IF(OR(K194&gt;=설정!$C$7,L194&gt;=설정!$C$8,K194&lt;설정!$C$11),"주의","정상")),"확인필요")))</f>
        <v/>
      </c>
      <c r="U194" s="32" t="str">
        <f aca="false">IF(M194="","",IF(M194="-","측정불가",IF(NOT(ISNUMBER(M194)),"확인필요",IF(M194&lt;설정!$C$15,"긴급(저혈당)",IF(M194&gt;=설정!$C$16,"긴급(고혈당)",IF(N194="공복",IF(M194&gt;=설정!$C$13,"주의","정상"),IF(N194="식후",IF(M194&gt;=설정!$C$14,"주의","정상"),"조건확인")))))))</f>
        <v/>
      </c>
      <c r="V194" s="32" t="str">
        <f aca="false">IF(OR(T194="긴급",LEFT(U194,2)="긴급",P194="O"),"대상","")</f>
        <v/>
      </c>
      <c r="W194" s="33" t="str">
        <f aca="false">IF(R194&lt;&gt;"",R194,IF(O194="O",IF(V194="대상",IF(Q194="O","완료","추가상담 대기"),"완료"),IF(COUNTA(K194:M194)=3,"상담 대기",IF(J194="O","측정 대기",IF(I194="O","운동평가 대기","미방문")))))</f>
        <v>미방문</v>
      </c>
      <c r="X194" s="34"/>
      <c r="Y194" s="34"/>
      <c r="Z194" s="34"/>
      <c r="AA194" s="34"/>
      <c r="AB194" s="34"/>
      <c r="AC194" s="35" t="str">
        <f aca="false">IF(AND(ISNUMBER(X194),ISNUMBER(Y194)),IF(Y194&gt;=X194,ROUND((Y194-X194)*1440,0),""),"")</f>
        <v/>
      </c>
      <c r="AD194" s="35" t="str">
        <f aca="false">IF(AND(ISNUMBER(Y194),ISNUMBER(Z194)),IF(Z194&gt;=Y194,ROUND((Z194-Y194)*1440,0),""),"")</f>
        <v/>
      </c>
      <c r="AE194" s="35" t="str">
        <f aca="false">IF(AND(ISNUMBER(Z194),ISNUMBER(AA194)),IF(AA194&gt;=Z194,ROUND((AA194-Z194)*1440,0),""),"")</f>
        <v/>
      </c>
      <c r="AF194" s="35" t="str">
        <f aca="false">IF(AND(ISNUMBER(AA194),ISNUMBER(AB194)),IF(AB194&gt;=AA194,ROUND((AB194-AA194)*1440,0),""),"")</f>
        <v/>
      </c>
      <c r="AG194" s="35" t="str">
        <f aca="false">IF(AND(W194="완료",ISNUMBER(X194)),IF(MAX(Y194:AB194)&gt;=X194,ROUND((MAX(Y194:AB194)-X194)*1440,0),""),"")</f>
        <v/>
      </c>
    </row>
    <row r="195" customFormat="false" ht="15" hidden="false" customHeight="false" outlineLevel="0" collapsed="false">
      <c r="A195" s="27" t="n">
        <v>191</v>
      </c>
      <c r="B195" s="28"/>
      <c r="C195" s="29"/>
      <c r="D195" s="29"/>
      <c r="E195" s="28"/>
      <c r="F195" s="30"/>
      <c r="G195" s="31"/>
      <c r="H195" s="28"/>
      <c r="I195" s="29"/>
      <c r="J195" s="29"/>
      <c r="K195" s="29"/>
      <c r="L195" s="29"/>
      <c r="M195" s="29"/>
      <c r="N195" s="29"/>
      <c r="O195" s="29"/>
      <c r="P195" s="29"/>
      <c r="Q195" s="29"/>
      <c r="R195" s="29"/>
      <c r="S195" s="28"/>
      <c r="T195" s="32" t="str">
        <f aca="false">IF(AND(K195="",L195=""),"",IF(OR(K195="-",L195="-"),"측정불가",IF(AND(ISNUMBER(K195),ISNUMBER(L195)),IF(OR(K195&gt;=설정!$C$9,L195&gt;=설정!$C$10),"긴급",IF(OR(K195&gt;=설정!$C$7,L195&gt;=설정!$C$8,K195&lt;설정!$C$11),"주의","정상")),"확인필요")))</f>
        <v/>
      </c>
      <c r="U195" s="32" t="str">
        <f aca="false">IF(M195="","",IF(M195="-","측정불가",IF(NOT(ISNUMBER(M195)),"확인필요",IF(M195&lt;설정!$C$15,"긴급(저혈당)",IF(M195&gt;=설정!$C$16,"긴급(고혈당)",IF(N195="공복",IF(M195&gt;=설정!$C$13,"주의","정상"),IF(N195="식후",IF(M195&gt;=설정!$C$14,"주의","정상"),"조건확인")))))))</f>
        <v/>
      </c>
      <c r="V195" s="32" t="str">
        <f aca="false">IF(OR(T195="긴급",LEFT(U195,2)="긴급",P195="O"),"대상","")</f>
        <v/>
      </c>
      <c r="W195" s="33" t="str">
        <f aca="false">IF(R195&lt;&gt;"",R195,IF(O195="O",IF(V195="대상",IF(Q195="O","완료","추가상담 대기"),"완료"),IF(COUNTA(K195:M195)=3,"상담 대기",IF(J195="O","측정 대기",IF(I195="O","운동평가 대기","미방문")))))</f>
        <v>미방문</v>
      </c>
      <c r="X195" s="34"/>
      <c r="Y195" s="34"/>
      <c r="Z195" s="34"/>
      <c r="AA195" s="34"/>
      <c r="AB195" s="34"/>
      <c r="AC195" s="35" t="str">
        <f aca="false">IF(AND(ISNUMBER(X195),ISNUMBER(Y195)),IF(Y195&gt;=X195,ROUND((Y195-X195)*1440,0),""),"")</f>
        <v/>
      </c>
      <c r="AD195" s="35" t="str">
        <f aca="false">IF(AND(ISNUMBER(Y195),ISNUMBER(Z195)),IF(Z195&gt;=Y195,ROUND((Z195-Y195)*1440,0),""),"")</f>
        <v/>
      </c>
      <c r="AE195" s="35" t="str">
        <f aca="false">IF(AND(ISNUMBER(Z195),ISNUMBER(AA195)),IF(AA195&gt;=Z195,ROUND((AA195-Z195)*1440,0),""),"")</f>
        <v/>
      </c>
      <c r="AF195" s="35" t="str">
        <f aca="false">IF(AND(ISNUMBER(AA195),ISNUMBER(AB195)),IF(AB195&gt;=AA195,ROUND((AB195-AA195)*1440,0),""),"")</f>
        <v/>
      </c>
      <c r="AG195" s="35" t="str">
        <f aca="false">IF(AND(W195="완료",ISNUMBER(X195)),IF(MAX(Y195:AB195)&gt;=X195,ROUND((MAX(Y195:AB195)-X195)*1440,0),""),"")</f>
        <v/>
      </c>
    </row>
    <row r="196" customFormat="false" ht="15" hidden="false" customHeight="false" outlineLevel="0" collapsed="false">
      <c r="A196" s="27" t="n">
        <v>192</v>
      </c>
      <c r="B196" s="28"/>
      <c r="C196" s="29"/>
      <c r="D196" s="29"/>
      <c r="E196" s="28"/>
      <c r="F196" s="30"/>
      <c r="G196" s="31"/>
      <c r="H196" s="28"/>
      <c r="I196" s="29"/>
      <c r="J196" s="29"/>
      <c r="K196" s="29"/>
      <c r="L196" s="29"/>
      <c r="M196" s="29"/>
      <c r="N196" s="29"/>
      <c r="O196" s="29"/>
      <c r="P196" s="29"/>
      <c r="Q196" s="29"/>
      <c r="R196" s="29"/>
      <c r="S196" s="28"/>
      <c r="T196" s="32" t="str">
        <f aca="false">IF(AND(K196="",L196=""),"",IF(OR(K196="-",L196="-"),"측정불가",IF(AND(ISNUMBER(K196),ISNUMBER(L196)),IF(OR(K196&gt;=설정!$C$9,L196&gt;=설정!$C$10),"긴급",IF(OR(K196&gt;=설정!$C$7,L196&gt;=설정!$C$8,K196&lt;설정!$C$11),"주의","정상")),"확인필요")))</f>
        <v/>
      </c>
      <c r="U196" s="32" t="str">
        <f aca="false">IF(M196="","",IF(M196="-","측정불가",IF(NOT(ISNUMBER(M196)),"확인필요",IF(M196&lt;설정!$C$15,"긴급(저혈당)",IF(M196&gt;=설정!$C$16,"긴급(고혈당)",IF(N196="공복",IF(M196&gt;=설정!$C$13,"주의","정상"),IF(N196="식후",IF(M196&gt;=설정!$C$14,"주의","정상"),"조건확인")))))))</f>
        <v/>
      </c>
      <c r="V196" s="32" t="str">
        <f aca="false">IF(OR(T196="긴급",LEFT(U196,2)="긴급",P196="O"),"대상","")</f>
        <v/>
      </c>
      <c r="W196" s="33" t="str">
        <f aca="false">IF(R196&lt;&gt;"",R196,IF(O196="O",IF(V196="대상",IF(Q196="O","완료","추가상담 대기"),"완료"),IF(COUNTA(K196:M196)=3,"상담 대기",IF(J196="O","측정 대기",IF(I196="O","운동평가 대기","미방문")))))</f>
        <v>미방문</v>
      </c>
      <c r="X196" s="34"/>
      <c r="Y196" s="34"/>
      <c r="Z196" s="34"/>
      <c r="AA196" s="34"/>
      <c r="AB196" s="34"/>
      <c r="AC196" s="35" t="str">
        <f aca="false">IF(AND(ISNUMBER(X196),ISNUMBER(Y196)),IF(Y196&gt;=X196,ROUND((Y196-X196)*1440,0),""),"")</f>
        <v/>
      </c>
      <c r="AD196" s="35" t="str">
        <f aca="false">IF(AND(ISNUMBER(Y196),ISNUMBER(Z196)),IF(Z196&gt;=Y196,ROUND((Z196-Y196)*1440,0),""),"")</f>
        <v/>
      </c>
      <c r="AE196" s="35" t="str">
        <f aca="false">IF(AND(ISNUMBER(Z196),ISNUMBER(AA196)),IF(AA196&gt;=Z196,ROUND((AA196-Z196)*1440,0),""),"")</f>
        <v/>
      </c>
      <c r="AF196" s="35" t="str">
        <f aca="false">IF(AND(ISNUMBER(AA196),ISNUMBER(AB196)),IF(AB196&gt;=AA196,ROUND((AB196-AA196)*1440,0),""),"")</f>
        <v/>
      </c>
      <c r="AG196" s="35" t="str">
        <f aca="false">IF(AND(W196="완료",ISNUMBER(X196)),IF(MAX(Y196:AB196)&gt;=X196,ROUND((MAX(Y196:AB196)-X196)*1440,0),""),"")</f>
        <v/>
      </c>
    </row>
    <row r="197" customFormat="false" ht="15" hidden="false" customHeight="false" outlineLevel="0" collapsed="false">
      <c r="A197" s="27" t="n">
        <v>193</v>
      </c>
      <c r="B197" s="28"/>
      <c r="C197" s="29"/>
      <c r="D197" s="29"/>
      <c r="E197" s="28"/>
      <c r="F197" s="30"/>
      <c r="G197" s="31"/>
      <c r="H197" s="28"/>
      <c r="I197" s="29"/>
      <c r="J197" s="29"/>
      <c r="K197" s="29"/>
      <c r="L197" s="29"/>
      <c r="M197" s="29"/>
      <c r="N197" s="29"/>
      <c r="O197" s="29"/>
      <c r="P197" s="29"/>
      <c r="Q197" s="29"/>
      <c r="R197" s="29"/>
      <c r="S197" s="28"/>
      <c r="T197" s="32" t="str">
        <f aca="false">IF(AND(K197="",L197=""),"",IF(OR(K197="-",L197="-"),"측정불가",IF(AND(ISNUMBER(K197),ISNUMBER(L197)),IF(OR(K197&gt;=설정!$C$9,L197&gt;=설정!$C$10),"긴급",IF(OR(K197&gt;=설정!$C$7,L197&gt;=설정!$C$8,K197&lt;설정!$C$11),"주의","정상")),"확인필요")))</f>
        <v/>
      </c>
      <c r="U197" s="32" t="str">
        <f aca="false">IF(M197="","",IF(M197="-","측정불가",IF(NOT(ISNUMBER(M197)),"확인필요",IF(M197&lt;설정!$C$15,"긴급(저혈당)",IF(M197&gt;=설정!$C$16,"긴급(고혈당)",IF(N197="공복",IF(M197&gt;=설정!$C$13,"주의","정상"),IF(N197="식후",IF(M197&gt;=설정!$C$14,"주의","정상"),"조건확인")))))))</f>
        <v/>
      </c>
      <c r="V197" s="32" t="str">
        <f aca="false">IF(OR(T197="긴급",LEFT(U197,2)="긴급",P197="O"),"대상","")</f>
        <v/>
      </c>
      <c r="W197" s="33" t="str">
        <f aca="false">IF(R197&lt;&gt;"",R197,IF(O197="O",IF(V197="대상",IF(Q197="O","완료","추가상담 대기"),"완료"),IF(COUNTA(K197:M197)=3,"상담 대기",IF(J197="O","측정 대기",IF(I197="O","운동평가 대기","미방문")))))</f>
        <v>미방문</v>
      </c>
      <c r="X197" s="34"/>
      <c r="Y197" s="34"/>
      <c r="Z197" s="34"/>
      <c r="AA197" s="34"/>
      <c r="AB197" s="34"/>
      <c r="AC197" s="35" t="str">
        <f aca="false">IF(AND(ISNUMBER(X197),ISNUMBER(Y197)),IF(Y197&gt;=X197,ROUND((Y197-X197)*1440,0),""),"")</f>
        <v/>
      </c>
      <c r="AD197" s="35" t="str">
        <f aca="false">IF(AND(ISNUMBER(Y197),ISNUMBER(Z197)),IF(Z197&gt;=Y197,ROUND((Z197-Y197)*1440,0),""),"")</f>
        <v/>
      </c>
      <c r="AE197" s="35" t="str">
        <f aca="false">IF(AND(ISNUMBER(Z197),ISNUMBER(AA197)),IF(AA197&gt;=Z197,ROUND((AA197-Z197)*1440,0),""),"")</f>
        <v/>
      </c>
      <c r="AF197" s="35" t="str">
        <f aca="false">IF(AND(ISNUMBER(AA197),ISNUMBER(AB197)),IF(AB197&gt;=AA197,ROUND((AB197-AA197)*1440,0),""),"")</f>
        <v/>
      </c>
      <c r="AG197" s="35" t="str">
        <f aca="false">IF(AND(W197="완료",ISNUMBER(X197)),IF(MAX(Y197:AB197)&gt;=X197,ROUND((MAX(Y197:AB197)-X197)*1440,0),""),"")</f>
        <v/>
      </c>
    </row>
    <row r="198" customFormat="false" ht="15" hidden="false" customHeight="false" outlineLevel="0" collapsed="false">
      <c r="A198" s="27" t="n">
        <v>194</v>
      </c>
      <c r="B198" s="28"/>
      <c r="C198" s="29"/>
      <c r="D198" s="29"/>
      <c r="E198" s="28"/>
      <c r="F198" s="30"/>
      <c r="G198" s="31"/>
      <c r="H198" s="28"/>
      <c r="I198" s="29"/>
      <c r="J198" s="29"/>
      <c r="K198" s="29"/>
      <c r="L198" s="29"/>
      <c r="M198" s="29"/>
      <c r="N198" s="29"/>
      <c r="O198" s="29"/>
      <c r="P198" s="29"/>
      <c r="Q198" s="29"/>
      <c r="R198" s="29"/>
      <c r="S198" s="28"/>
      <c r="T198" s="32" t="str">
        <f aca="false">IF(AND(K198="",L198=""),"",IF(OR(K198="-",L198="-"),"측정불가",IF(AND(ISNUMBER(K198),ISNUMBER(L198)),IF(OR(K198&gt;=설정!$C$9,L198&gt;=설정!$C$10),"긴급",IF(OR(K198&gt;=설정!$C$7,L198&gt;=설정!$C$8,K198&lt;설정!$C$11),"주의","정상")),"확인필요")))</f>
        <v/>
      </c>
      <c r="U198" s="32" t="str">
        <f aca="false">IF(M198="","",IF(M198="-","측정불가",IF(NOT(ISNUMBER(M198)),"확인필요",IF(M198&lt;설정!$C$15,"긴급(저혈당)",IF(M198&gt;=설정!$C$16,"긴급(고혈당)",IF(N198="공복",IF(M198&gt;=설정!$C$13,"주의","정상"),IF(N198="식후",IF(M198&gt;=설정!$C$14,"주의","정상"),"조건확인")))))))</f>
        <v/>
      </c>
      <c r="V198" s="32" t="str">
        <f aca="false">IF(OR(T198="긴급",LEFT(U198,2)="긴급",P198="O"),"대상","")</f>
        <v/>
      </c>
      <c r="W198" s="33" t="str">
        <f aca="false">IF(R198&lt;&gt;"",R198,IF(O198="O",IF(V198="대상",IF(Q198="O","완료","추가상담 대기"),"완료"),IF(COUNTA(K198:M198)=3,"상담 대기",IF(J198="O","측정 대기",IF(I198="O","운동평가 대기","미방문")))))</f>
        <v>미방문</v>
      </c>
      <c r="X198" s="34"/>
      <c r="Y198" s="34"/>
      <c r="Z198" s="34"/>
      <c r="AA198" s="34"/>
      <c r="AB198" s="34"/>
      <c r="AC198" s="35" t="str">
        <f aca="false">IF(AND(ISNUMBER(X198),ISNUMBER(Y198)),IF(Y198&gt;=X198,ROUND((Y198-X198)*1440,0),""),"")</f>
        <v/>
      </c>
      <c r="AD198" s="35" t="str">
        <f aca="false">IF(AND(ISNUMBER(Y198),ISNUMBER(Z198)),IF(Z198&gt;=Y198,ROUND((Z198-Y198)*1440,0),""),"")</f>
        <v/>
      </c>
      <c r="AE198" s="35" t="str">
        <f aca="false">IF(AND(ISNUMBER(Z198),ISNUMBER(AA198)),IF(AA198&gt;=Z198,ROUND((AA198-Z198)*1440,0),""),"")</f>
        <v/>
      </c>
      <c r="AF198" s="35" t="str">
        <f aca="false">IF(AND(ISNUMBER(AA198),ISNUMBER(AB198)),IF(AB198&gt;=AA198,ROUND((AB198-AA198)*1440,0),""),"")</f>
        <v/>
      </c>
      <c r="AG198" s="35" t="str">
        <f aca="false">IF(AND(W198="완료",ISNUMBER(X198)),IF(MAX(Y198:AB198)&gt;=X198,ROUND((MAX(Y198:AB198)-X198)*1440,0),""),"")</f>
        <v/>
      </c>
    </row>
    <row r="199" customFormat="false" ht="15" hidden="false" customHeight="false" outlineLevel="0" collapsed="false">
      <c r="A199" s="27" t="n">
        <v>195</v>
      </c>
      <c r="B199" s="28"/>
      <c r="C199" s="29"/>
      <c r="D199" s="29"/>
      <c r="E199" s="28"/>
      <c r="F199" s="30"/>
      <c r="G199" s="31"/>
      <c r="H199" s="28"/>
      <c r="I199" s="29"/>
      <c r="J199" s="29"/>
      <c r="K199" s="29"/>
      <c r="L199" s="29"/>
      <c r="M199" s="29"/>
      <c r="N199" s="29"/>
      <c r="O199" s="29"/>
      <c r="P199" s="29"/>
      <c r="Q199" s="29"/>
      <c r="R199" s="29"/>
      <c r="S199" s="28"/>
      <c r="T199" s="32" t="str">
        <f aca="false">IF(AND(K199="",L199=""),"",IF(OR(K199="-",L199="-"),"측정불가",IF(AND(ISNUMBER(K199),ISNUMBER(L199)),IF(OR(K199&gt;=설정!$C$9,L199&gt;=설정!$C$10),"긴급",IF(OR(K199&gt;=설정!$C$7,L199&gt;=설정!$C$8,K199&lt;설정!$C$11),"주의","정상")),"확인필요")))</f>
        <v/>
      </c>
      <c r="U199" s="32" t="str">
        <f aca="false">IF(M199="","",IF(M199="-","측정불가",IF(NOT(ISNUMBER(M199)),"확인필요",IF(M199&lt;설정!$C$15,"긴급(저혈당)",IF(M199&gt;=설정!$C$16,"긴급(고혈당)",IF(N199="공복",IF(M199&gt;=설정!$C$13,"주의","정상"),IF(N199="식후",IF(M199&gt;=설정!$C$14,"주의","정상"),"조건확인")))))))</f>
        <v/>
      </c>
      <c r="V199" s="32" t="str">
        <f aca="false">IF(OR(T199="긴급",LEFT(U199,2)="긴급",P199="O"),"대상","")</f>
        <v/>
      </c>
      <c r="W199" s="33" t="str">
        <f aca="false">IF(R199&lt;&gt;"",R199,IF(O199="O",IF(V199="대상",IF(Q199="O","완료","추가상담 대기"),"완료"),IF(COUNTA(K199:M199)=3,"상담 대기",IF(J199="O","측정 대기",IF(I199="O","운동평가 대기","미방문")))))</f>
        <v>미방문</v>
      </c>
      <c r="X199" s="34"/>
      <c r="Y199" s="34"/>
      <c r="Z199" s="34"/>
      <c r="AA199" s="34"/>
      <c r="AB199" s="34"/>
      <c r="AC199" s="35" t="str">
        <f aca="false">IF(AND(ISNUMBER(X199),ISNUMBER(Y199)),IF(Y199&gt;=X199,ROUND((Y199-X199)*1440,0),""),"")</f>
        <v/>
      </c>
      <c r="AD199" s="35" t="str">
        <f aca="false">IF(AND(ISNUMBER(Y199),ISNUMBER(Z199)),IF(Z199&gt;=Y199,ROUND((Z199-Y199)*1440,0),""),"")</f>
        <v/>
      </c>
      <c r="AE199" s="35" t="str">
        <f aca="false">IF(AND(ISNUMBER(Z199),ISNUMBER(AA199)),IF(AA199&gt;=Z199,ROUND((AA199-Z199)*1440,0),""),"")</f>
        <v/>
      </c>
      <c r="AF199" s="35" t="str">
        <f aca="false">IF(AND(ISNUMBER(AA199),ISNUMBER(AB199)),IF(AB199&gt;=AA199,ROUND((AB199-AA199)*1440,0),""),"")</f>
        <v/>
      </c>
      <c r="AG199" s="35" t="str">
        <f aca="false">IF(AND(W199="완료",ISNUMBER(X199)),IF(MAX(Y199:AB199)&gt;=X199,ROUND((MAX(Y199:AB199)-X199)*1440,0),""),"")</f>
        <v/>
      </c>
    </row>
    <row r="200" customFormat="false" ht="15" hidden="false" customHeight="false" outlineLevel="0" collapsed="false">
      <c r="A200" s="27" t="n">
        <v>196</v>
      </c>
      <c r="B200" s="28"/>
      <c r="C200" s="29"/>
      <c r="D200" s="29"/>
      <c r="E200" s="28"/>
      <c r="F200" s="30"/>
      <c r="G200" s="31"/>
      <c r="H200" s="28"/>
      <c r="I200" s="29"/>
      <c r="J200" s="29"/>
      <c r="K200" s="29"/>
      <c r="L200" s="29"/>
      <c r="M200" s="29"/>
      <c r="N200" s="29"/>
      <c r="O200" s="29"/>
      <c r="P200" s="29"/>
      <c r="Q200" s="29"/>
      <c r="R200" s="29"/>
      <c r="S200" s="28"/>
      <c r="T200" s="32" t="str">
        <f aca="false">IF(AND(K200="",L200=""),"",IF(OR(K200="-",L200="-"),"측정불가",IF(AND(ISNUMBER(K200),ISNUMBER(L200)),IF(OR(K200&gt;=설정!$C$9,L200&gt;=설정!$C$10),"긴급",IF(OR(K200&gt;=설정!$C$7,L200&gt;=설정!$C$8,K200&lt;설정!$C$11),"주의","정상")),"확인필요")))</f>
        <v/>
      </c>
      <c r="U200" s="32" t="str">
        <f aca="false">IF(M200="","",IF(M200="-","측정불가",IF(NOT(ISNUMBER(M200)),"확인필요",IF(M200&lt;설정!$C$15,"긴급(저혈당)",IF(M200&gt;=설정!$C$16,"긴급(고혈당)",IF(N200="공복",IF(M200&gt;=설정!$C$13,"주의","정상"),IF(N200="식후",IF(M200&gt;=설정!$C$14,"주의","정상"),"조건확인")))))))</f>
        <v/>
      </c>
      <c r="V200" s="32" t="str">
        <f aca="false">IF(OR(T200="긴급",LEFT(U200,2)="긴급",P200="O"),"대상","")</f>
        <v/>
      </c>
      <c r="W200" s="33" t="str">
        <f aca="false">IF(R200&lt;&gt;"",R200,IF(O200="O",IF(V200="대상",IF(Q200="O","완료","추가상담 대기"),"완료"),IF(COUNTA(K200:M200)=3,"상담 대기",IF(J200="O","측정 대기",IF(I200="O","운동평가 대기","미방문")))))</f>
        <v>미방문</v>
      </c>
      <c r="X200" s="34"/>
      <c r="Y200" s="34"/>
      <c r="Z200" s="34"/>
      <c r="AA200" s="34"/>
      <c r="AB200" s="34"/>
      <c r="AC200" s="35" t="str">
        <f aca="false">IF(AND(ISNUMBER(X200),ISNUMBER(Y200)),IF(Y200&gt;=X200,ROUND((Y200-X200)*1440,0),""),"")</f>
        <v/>
      </c>
      <c r="AD200" s="35" t="str">
        <f aca="false">IF(AND(ISNUMBER(Y200),ISNUMBER(Z200)),IF(Z200&gt;=Y200,ROUND((Z200-Y200)*1440,0),""),"")</f>
        <v/>
      </c>
      <c r="AE200" s="35" t="str">
        <f aca="false">IF(AND(ISNUMBER(Z200),ISNUMBER(AA200)),IF(AA200&gt;=Z200,ROUND((AA200-Z200)*1440,0),""),"")</f>
        <v/>
      </c>
      <c r="AF200" s="35" t="str">
        <f aca="false">IF(AND(ISNUMBER(AA200),ISNUMBER(AB200)),IF(AB200&gt;=AA200,ROUND((AB200-AA200)*1440,0),""),"")</f>
        <v/>
      </c>
      <c r="AG200" s="35" t="str">
        <f aca="false">IF(AND(W200="완료",ISNUMBER(X200)),IF(MAX(Y200:AB200)&gt;=X200,ROUND((MAX(Y200:AB200)-X200)*1440,0),""),"")</f>
        <v/>
      </c>
    </row>
    <row r="201" customFormat="false" ht="15" hidden="false" customHeight="false" outlineLevel="0" collapsed="false">
      <c r="A201" s="27" t="n">
        <v>197</v>
      </c>
      <c r="B201" s="28"/>
      <c r="C201" s="29"/>
      <c r="D201" s="29"/>
      <c r="E201" s="28"/>
      <c r="F201" s="30"/>
      <c r="G201" s="31"/>
      <c r="H201" s="28"/>
      <c r="I201" s="29"/>
      <c r="J201" s="29"/>
      <c r="K201" s="29"/>
      <c r="L201" s="29"/>
      <c r="M201" s="29"/>
      <c r="N201" s="29"/>
      <c r="O201" s="29"/>
      <c r="P201" s="29"/>
      <c r="Q201" s="29"/>
      <c r="R201" s="29"/>
      <c r="S201" s="28"/>
      <c r="T201" s="32" t="str">
        <f aca="false">IF(AND(K201="",L201=""),"",IF(OR(K201="-",L201="-"),"측정불가",IF(AND(ISNUMBER(K201),ISNUMBER(L201)),IF(OR(K201&gt;=설정!$C$9,L201&gt;=설정!$C$10),"긴급",IF(OR(K201&gt;=설정!$C$7,L201&gt;=설정!$C$8,K201&lt;설정!$C$11),"주의","정상")),"확인필요")))</f>
        <v/>
      </c>
      <c r="U201" s="32" t="str">
        <f aca="false">IF(M201="","",IF(M201="-","측정불가",IF(NOT(ISNUMBER(M201)),"확인필요",IF(M201&lt;설정!$C$15,"긴급(저혈당)",IF(M201&gt;=설정!$C$16,"긴급(고혈당)",IF(N201="공복",IF(M201&gt;=설정!$C$13,"주의","정상"),IF(N201="식후",IF(M201&gt;=설정!$C$14,"주의","정상"),"조건확인")))))))</f>
        <v/>
      </c>
      <c r="V201" s="32" t="str">
        <f aca="false">IF(OR(T201="긴급",LEFT(U201,2)="긴급",P201="O"),"대상","")</f>
        <v/>
      </c>
      <c r="W201" s="33" t="str">
        <f aca="false">IF(R201&lt;&gt;"",R201,IF(O201="O",IF(V201="대상",IF(Q201="O","완료","추가상담 대기"),"완료"),IF(COUNTA(K201:M201)=3,"상담 대기",IF(J201="O","측정 대기",IF(I201="O","운동평가 대기","미방문")))))</f>
        <v>미방문</v>
      </c>
      <c r="X201" s="34"/>
      <c r="Y201" s="34"/>
      <c r="Z201" s="34"/>
      <c r="AA201" s="34"/>
      <c r="AB201" s="34"/>
      <c r="AC201" s="35" t="str">
        <f aca="false">IF(AND(ISNUMBER(X201),ISNUMBER(Y201)),IF(Y201&gt;=X201,ROUND((Y201-X201)*1440,0),""),"")</f>
        <v/>
      </c>
      <c r="AD201" s="35" t="str">
        <f aca="false">IF(AND(ISNUMBER(Y201),ISNUMBER(Z201)),IF(Z201&gt;=Y201,ROUND((Z201-Y201)*1440,0),""),"")</f>
        <v/>
      </c>
      <c r="AE201" s="35" t="str">
        <f aca="false">IF(AND(ISNUMBER(Z201),ISNUMBER(AA201)),IF(AA201&gt;=Z201,ROUND((AA201-Z201)*1440,0),""),"")</f>
        <v/>
      </c>
      <c r="AF201" s="35" t="str">
        <f aca="false">IF(AND(ISNUMBER(AA201),ISNUMBER(AB201)),IF(AB201&gt;=AA201,ROUND((AB201-AA201)*1440,0),""),"")</f>
        <v/>
      </c>
      <c r="AG201" s="35" t="str">
        <f aca="false">IF(AND(W201="완료",ISNUMBER(X201)),IF(MAX(Y201:AB201)&gt;=X201,ROUND((MAX(Y201:AB201)-X201)*1440,0),""),"")</f>
        <v/>
      </c>
    </row>
    <row r="202" customFormat="false" ht="15" hidden="false" customHeight="false" outlineLevel="0" collapsed="false">
      <c r="A202" s="27" t="n">
        <v>198</v>
      </c>
      <c r="B202" s="28"/>
      <c r="C202" s="29"/>
      <c r="D202" s="29"/>
      <c r="E202" s="28"/>
      <c r="F202" s="30"/>
      <c r="G202" s="31"/>
      <c r="H202" s="28"/>
      <c r="I202" s="29"/>
      <c r="J202" s="29"/>
      <c r="K202" s="29"/>
      <c r="L202" s="29"/>
      <c r="M202" s="29"/>
      <c r="N202" s="29"/>
      <c r="O202" s="29"/>
      <c r="P202" s="29"/>
      <c r="Q202" s="29"/>
      <c r="R202" s="29"/>
      <c r="S202" s="28"/>
      <c r="T202" s="32" t="str">
        <f aca="false">IF(AND(K202="",L202=""),"",IF(OR(K202="-",L202="-"),"측정불가",IF(AND(ISNUMBER(K202),ISNUMBER(L202)),IF(OR(K202&gt;=설정!$C$9,L202&gt;=설정!$C$10),"긴급",IF(OR(K202&gt;=설정!$C$7,L202&gt;=설정!$C$8,K202&lt;설정!$C$11),"주의","정상")),"확인필요")))</f>
        <v/>
      </c>
      <c r="U202" s="32" t="str">
        <f aca="false">IF(M202="","",IF(M202="-","측정불가",IF(NOT(ISNUMBER(M202)),"확인필요",IF(M202&lt;설정!$C$15,"긴급(저혈당)",IF(M202&gt;=설정!$C$16,"긴급(고혈당)",IF(N202="공복",IF(M202&gt;=설정!$C$13,"주의","정상"),IF(N202="식후",IF(M202&gt;=설정!$C$14,"주의","정상"),"조건확인")))))))</f>
        <v/>
      </c>
      <c r="V202" s="32" t="str">
        <f aca="false">IF(OR(T202="긴급",LEFT(U202,2)="긴급",P202="O"),"대상","")</f>
        <v/>
      </c>
      <c r="W202" s="33" t="str">
        <f aca="false">IF(R202&lt;&gt;"",R202,IF(O202="O",IF(V202="대상",IF(Q202="O","완료","추가상담 대기"),"완료"),IF(COUNTA(K202:M202)=3,"상담 대기",IF(J202="O","측정 대기",IF(I202="O","운동평가 대기","미방문")))))</f>
        <v>미방문</v>
      </c>
      <c r="X202" s="34"/>
      <c r="Y202" s="34"/>
      <c r="Z202" s="34"/>
      <c r="AA202" s="34"/>
      <c r="AB202" s="34"/>
      <c r="AC202" s="35" t="str">
        <f aca="false">IF(AND(ISNUMBER(X202),ISNUMBER(Y202)),IF(Y202&gt;=X202,ROUND((Y202-X202)*1440,0),""),"")</f>
        <v/>
      </c>
      <c r="AD202" s="35" t="str">
        <f aca="false">IF(AND(ISNUMBER(Y202),ISNUMBER(Z202)),IF(Z202&gt;=Y202,ROUND((Z202-Y202)*1440,0),""),"")</f>
        <v/>
      </c>
      <c r="AE202" s="35" t="str">
        <f aca="false">IF(AND(ISNUMBER(Z202),ISNUMBER(AA202)),IF(AA202&gt;=Z202,ROUND((AA202-Z202)*1440,0),""),"")</f>
        <v/>
      </c>
      <c r="AF202" s="35" t="str">
        <f aca="false">IF(AND(ISNUMBER(AA202),ISNUMBER(AB202)),IF(AB202&gt;=AA202,ROUND((AB202-AA202)*1440,0),""),"")</f>
        <v/>
      </c>
      <c r="AG202" s="35" t="str">
        <f aca="false">IF(AND(W202="완료",ISNUMBER(X202)),IF(MAX(Y202:AB202)&gt;=X202,ROUND((MAX(Y202:AB202)-X202)*1440,0),""),"")</f>
        <v/>
      </c>
    </row>
    <row r="203" customFormat="false" ht="15" hidden="false" customHeight="false" outlineLevel="0" collapsed="false">
      <c r="A203" s="27" t="n">
        <v>199</v>
      </c>
      <c r="B203" s="28"/>
      <c r="C203" s="29"/>
      <c r="D203" s="29"/>
      <c r="E203" s="28"/>
      <c r="F203" s="30"/>
      <c r="G203" s="31"/>
      <c r="H203" s="28"/>
      <c r="I203" s="29"/>
      <c r="J203" s="29"/>
      <c r="K203" s="29"/>
      <c r="L203" s="29"/>
      <c r="M203" s="29"/>
      <c r="N203" s="29"/>
      <c r="O203" s="29"/>
      <c r="P203" s="29"/>
      <c r="Q203" s="29"/>
      <c r="R203" s="29"/>
      <c r="S203" s="28"/>
      <c r="T203" s="32" t="str">
        <f aca="false">IF(AND(K203="",L203=""),"",IF(OR(K203="-",L203="-"),"측정불가",IF(AND(ISNUMBER(K203),ISNUMBER(L203)),IF(OR(K203&gt;=설정!$C$9,L203&gt;=설정!$C$10),"긴급",IF(OR(K203&gt;=설정!$C$7,L203&gt;=설정!$C$8,K203&lt;설정!$C$11),"주의","정상")),"확인필요")))</f>
        <v/>
      </c>
      <c r="U203" s="32" t="str">
        <f aca="false">IF(M203="","",IF(M203="-","측정불가",IF(NOT(ISNUMBER(M203)),"확인필요",IF(M203&lt;설정!$C$15,"긴급(저혈당)",IF(M203&gt;=설정!$C$16,"긴급(고혈당)",IF(N203="공복",IF(M203&gt;=설정!$C$13,"주의","정상"),IF(N203="식후",IF(M203&gt;=설정!$C$14,"주의","정상"),"조건확인")))))))</f>
        <v/>
      </c>
      <c r="V203" s="32" t="str">
        <f aca="false">IF(OR(T203="긴급",LEFT(U203,2)="긴급",P203="O"),"대상","")</f>
        <v/>
      </c>
      <c r="W203" s="33" t="str">
        <f aca="false">IF(R203&lt;&gt;"",R203,IF(O203="O",IF(V203="대상",IF(Q203="O","완료","추가상담 대기"),"완료"),IF(COUNTA(K203:M203)=3,"상담 대기",IF(J203="O","측정 대기",IF(I203="O","운동평가 대기","미방문")))))</f>
        <v>미방문</v>
      </c>
      <c r="X203" s="34"/>
      <c r="Y203" s="34"/>
      <c r="Z203" s="34"/>
      <c r="AA203" s="34"/>
      <c r="AB203" s="34"/>
      <c r="AC203" s="35" t="str">
        <f aca="false">IF(AND(ISNUMBER(X203),ISNUMBER(Y203)),IF(Y203&gt;=X203,ROUND((Y203-X203)*1440,0),""),"")</f>
        <v/>
      </c>
      <c r="AD203" s="35" t="str">
        <f aca="false">IF(AND(ISNUMBER(Y203),ISNUMBER(Z203)),IF(Z203&gt;=Y203,ROUND((Z203-Y203)*1440,0),""),"")</f>
        <v/>
      </c>
      <c r="AE203" s="35" t="str">
        <f aca="false">IF(AND(ISNUMBER(Z203),ISNUMBER(AA203)),IF(AA203&gt;=Z203,ROUND((AA203-Z203)*1440,0),""),"")</f>
        <v/>
      </c>
      <c r="AF203" s="35" t="str">
        <f aca="false">IF(AND(ISNUMBER(AA203),ISNUMBER(AB203)),IF(AB203&gt;=AA203,ROUND((AB203-AA203)*1440,0),""),"")</f>
        <v/>
      </c>
      <c r="AG203" s="35" t="str">
        <f aca="false">IF(AND(W203="완료",ISNUMBER(X203)),IF(MAX(Y203:AB203)&gt;=X203,ROUND((MAX(Y203:AB203)-X203)*1440,0),""),"")</f>
        <v/>
      </c>
    </row>
    <row r="204" customFormat="false" ht="15" hidden="false" customHeight="false" outlineLevel="0" collapsed="false">
      <c r="A204" s="27" t="n">
        <v>200</v>
      </c>
      <c r="B204" s="28"/>
      <c r="C204" s="29"/>
      <c r="D204" s="29"/>
      <c r="E204" s="28"/>
      <c r="F204" s="30"/>
      <c r="G204" s="31"/>
      <c r="H204" s="28"/>
      <c r="I204" s="29"/>
      <c r="J204" s="29"/>
      <c r="K204" s="29"/>
      <c r="L204" s="29"/>
      <c r="M204" s="29"/>
      <c r="N204" s="29"/>
      <c r="O204" s="29"/>
      <c r="P204" s="29"/>
      <c r="Q204" s="29"/>
      <c r="R204" s="29"/>
      <c r="S204" s="28"/>
      <c r="T204" s="32" t="str">
        <f aca="false">IF(AND(K204="",L204=""),"",IF(OR(K204="-",L204="-"),"측정불가",IF(AND(ISNUMBER(K204),ISNUMBER(L204)),IF(OR(K204&gt;=설정!$C$9,L204&gt;=설정!$C$10),"긴급",IF(OR(K204&gt;=설정!$C$7,L204&gt;=설정!$C$8,K204&lt;설정!$C$11),"주의","정상")),"확인필요")))</f>
        <v/>
      </c>
      <c r="U204" s="32" t="str">
        <f aca="false">IF(M204="","",IF(M204="-","측정불가",IF(NOT(ISNUMBER(M204)),"확인필요",IF(M204&lt;설정!$C$15,"긴급(저혈당)",IF(M204&gt;=설정!$C$16,"긴급(고혈당)",IF(N204="공복",IF(M204&gt;=설정!$C$13,"주의","정상"),IF(N204="식후",IF(M204&gt;=설정!$C$14,"주의","정상"),"조건확인")))))))</f>
        <v/>
      </c>
      <c r="V204" s="32" t="str">
        <f aca="false">IF(OR(T204="긴급",LEFT(U204,2)="긴급",P204="O"),"대상","")</f>
        <v/>
      </c>
      <c r="W204" s="33" t="str">
        <f aca="false">IF(R204&lt;&gt;"",R204,IF(O204="O",IF(V204="대상",IF(Q204="O","완료","추가상담 대기"),"완료"),IF(COUNTA(K204:M204)=3,"상담 대기",IF(J204="O","측정 대기",IF(I204="O","운동평가 대기","미방문")))))</f>
        <v>미방문</v>
      </c>
      <c r="X204" s="34"/>
      <c r="Y204" s="34"/>
      <c r="Z204" s="34"/>
      <c r="AA204" s="34"/>
      <c r="AB204" s="34"/>
      <c r="AC204" s="35" t="str">
        <f aca="false">IF(AND(ISNUMBER(X204),ISNUMBER(Y204)),IF(Y204&gt;=X204,ROUND((Y204-X204)*1440,0),""),"")</f>
        <v/>
      </c>
      <c r="AD204" s="35" t="str">
        <f aca="false">IF(AND(ISNUMBER(Y204),ISNUMBER(Z204)),IF(Z204&gt;=Y204,ROUND((Z204-Y204)*1440,0),""),"")</f>
        <v/>
      </c>
      <c r="AE204" s="35" t="str">
        <f aca="false">IF(AND(ISNUMBER(Z204),ISNUMBER(AA204)),IF(AA204&gt;=Z204,ROUND((AA204-Z204)*1440,0),""),"")</f>
        <v/>
      </c>
      <c r="AF204" s="35" t="str">
        <f aca="false">IF(AND(ISNUMBER(AA204),ISNUMBER(AB204)),IF(AB204&gt;=AA204,ROUND((AB204-AA204)*1440,0),""),"")</f>
        <v/>
      </c>
      <c r="AG204" s="35" t="str">
        <f aca="false">IF(AND(W204="완료",ISNUMBER(X204)),IF(MAX(Y204:AB204)&gt;=X204,ROUND((MAX(Y204:AB204)-X204)*1440,0),""),"")</f>
        <v/>
      </c>
    </row>
    <row r="205" customFormat="false" ht="15" hidden="false" customHeight="false" outlineLevel="0" collapsed="false">
      <c r="A205" s="27" t="n">
        <v>201</v>
      </c>
      <c r="B205" s="28"/>
      <c r="C205" s="29"/>
      <c r="D205" s="29"/>
      <c r="E205" s="28"/>
      <c r="F205" s="30"/>
      <c r="G205" s="31"/>
      <c r="H205" s="28"/>
      <c r="I205" s="29"/>
      <c r="J205" s="29"/>
      <c r="K205" s="29"/>
      <c r="L205" s="29"/>
      <c r="M205" s="29"/>
      <c r="N205" s="29"/>
      <c r="O205" s="29"/>
      <c r="P205" s="29"/>
      <c r="Q205" s="29"/>
      <c r="R205" s="29"/>
      <c r="S205" s="28"/>
      <c r="T205" s="32" t="str">
        <f aca="false">IF(AND(K205="",L205=""),"",IF(OR(K205="-",L205="-"),"측정불가",IF(AND(ISNUMBER(K205),ISNUMBER(L205)),IF(OR(K205&gt;=설정!$C$9,L205&gt;=설정!$C$10),"긴급",IF(OR(K205&gt;=설정!$C$7,L205&gt;=설정!$C$8,K205&lt;설정!$C$11),"주의","정상")),"확인필요")))</f>
        <v/>
      </c>
      <c r="U205" s="32" t="str">
        <f aca="false">IF(M205="","",IF(M205="-","측정불가",IF(NOT(ISNUMBER(M205)),"확인필요",IF(M205&lt;설정!$C$15,"긴급(저혈당)",IF(M205&gt;=설정!$C$16,"긴급(고혈당)",IF(N205="공복",IF(M205&gt;=설정!$C$13,"주의","정상"),IF(N205="식후",IF(M205&gt;=설정!$C$14,"주의","정상"),"조건확인")))))))</f>
        <v/>
      </c>
      <c r="V205" s="32" t="str">
        <f aca="false">IF(OR(T205="긴급",LEFT(U205,2)="긴급",P205="O"),"대상","")</f>
        <v/>
      </c>
      <c r="W205" s="33" t="str">
        <f aca="false">IF(R205&lt;&gt;"",R205,IF(O205="O",IF(V205="대상",IF(Q205="O","완료","추가상담 대기"),"완료"),IF(COUNTA(K205:M205)=3,"상담 대기",IF(J205="O","측정 대기",IF(I205="O","운동평가 대기","미방문")))))</f>
        <v>미방문</v>
      </c>
      <c r="X205" s="34"/>
      <c r="Y205" s="34"/>
      <c r="Z205" s="34"/>
      <c r="AA205" s="34"/>
      <c r="AB205" s="34"/>
      <c r="AC205" s="35" t="str">
        <f aca="false">IF(AND(ISNUMBER(X205),ISNUMBER(Y205)),IF(Y205&gt;=X205,ROUND((Y205-X205)*1440,0),""),"")</f>
        <v/>
      </c>
      <c r="AD205" s="35" t="str">
        <f aca="false">IF(AND(ISNUMBER(Y205),ISNUMBER(Z205)),IF(Z205&gt;=Y205,ROUND((Z205-Y205)*1440,0),""),"")</f>
        <v/>
      </c>
      <c r="AE205" s="35" t="str">
        <f aca="false">IF(AND(ISNUMBER(Z205),ISNUMBER(AA205)),IF(AA205&gt;=Z205,ROUND((AA205-Z205)*1440,0),""),"")</f>
        <v/>
      </c>
      <c r="AF205" s="35" t="str">
        <f aca="false">IF(AND(ISNUMBER(AA205),ISNUMBER(AB205)),IF(AB205&gt;=AA205,ROUND((AB205-AA205)*1440,0),""),"")</f>
        <v/>
      </c>
      <c r="AG205" s="35" t="str">
        <f aca="false">IF(AND(W205="완료",ISNUMBER(X205)),IF(MAX(Y205:AB205)&gt;=X205,ROUND((MAX(Y205:AB205)-X205)*1440,0),""),"")</f>
        <v/>
      </c>
    </row>
    <row r="206" customFormat="false" ht="15" hidden="false" customHeight="false" outlineLevel="0" collapsed="false">
      <c r="A206" s="27" t="n">
        <v>202</v>
      </c>
      <c r="B206" s="28"/>
      <c r="C206" s="29"/>
      <c r="D206" s="29"/>
      <c r="E206" s="28"/>
      <c r="F206" s="30"/>
      <c r="G206" s="31"/>
      <c r="H206" s="28"/>
      <c r="I206" s="29"/>
      <c r="J206" s="29"/>
      <c r="K206" s="29"/>
      <c r="L206" s="29"/>
      <c r="M206" s="29"/>
      <c r="N206" s="29"/>
      <c r="O206" s="29"/>
      <c r="P206" s="29"/>
      <c r="Q206" s="29"/>
      <c r="R206" s="29"/>
      <c r="S206" s="28"/>
      <c r="T206" s="32" t="str">
        <f aca="false">IF(AND(K206="",L206=""),"",IF(OR(K206="-",L206="-"),"측정불가",IF(AND(ISNUMBER(K206),ISNUMBER(L206)),IF(OR(K206&gt;=설정!$C$9,L206&gt;=설정!$C$10),"긴급",IF(OR(K206&gt;=설정!$C$7,L206&gt;=설정!$C$8,K206&lt;설정!$C$11),"주의","정상")),"확인필요")))</f>
        <v/>
      </c>
      <c r="U206" s="32" t="str">
        <f aca="false">IF(M206="","",IF(M206="-","측정불가",IF(NOT(ISNUMBER(M206)),"확인필요",IF(M206&lt;설정!$C$15,"긴급(저혈당)",IF(M206&gt;=설정!$C$16,"긴급(고혈당)",IF(N206="공복",IF(M206&gt;=설정!$C$13,"주의","정상"),IF(N206="식후",IF(M206&gt;=설정!$C$14,"주의","정상"),"조건확인")))))))</f>
        <v/>
      </c>
      <c r="V206" s="32" t="str">
        <f aca="false">IF(OR(T206="긴급",LEFT(U206,2)="긴급",P206="O"),"대상","")</f>
        <v/>
      </c>
      <c r="W206" s="33" t="str">
        <f aca="false">IF(R206&lt;&gt;"",R206,IF(O206="O",IF(V206="대상",IF(Q206="O","완료","추가상담 대기"),"완료"),IF(COUNTA(K206:M206)=3,"상담 대기",IF(J206="O","측정 대기",IF(I206="O","운동평가 대기","미방문")))))</f>
        <v>미방문</v>
      </c>
      <c r="X206" s="34"/>
      <c r="Y206" s="34"/>
      <c r="Z206" s="34"/>
      <c r="AA206" s="34"/>
      <c r="AB206" s="34"/>
      <c r="AC206" s="35" t="str">
        <f aca="false">IF(AND(ISNUMBER(X206),ISNUMBER(Y206)),IF(Y206&gt;=X206,ROUND((Y206-X206)*1440,0),""),"")</f>
        <v/>
      </c>
      <c r="AD206" s="35" t="str">
        <f aca="false">IF(AND(ISNUMBER(Y206),ISNUMBER(Z206)),IF(Z206&gt;=Y206,ROUND((Z206-Y206)*1440,0),""),"")</f>
        <v/>
      </c>
      <c r="AE206" s="35" t="str">
        <f aca="false">IF(AND(ISNUMBER(Z206),ISNUMBER(AA206)),IF(AA206&gt;=Z206,ROUND((AA206-Z206)*1440,0),""),"")</f>
        <v/>
      </c>
      <c r="AF206" s="35" t="str">
        <f aca="false">IF(AND(ISNUMBER(AA206),ISNUMBER(AB206)),IF(AB206&gt;=AA206,ROUND((AB206-AA206)*1440,0),""),"")</f>
        <v/>
      </c>
      <c r="AG206" s="35" t="str">
        <f aca="false">IF(AND(W206="완료",ISNUMBER(X206)),IF(MAX(Y206:AB206)&gt;=X206,ROUND((MAX(Y206:AB206)-X206)*1440,0),""),"")</f>
        <v/>
      </c>
    </row>
    <row r="207" customFormat="false" ht="15" hidden="false" customHeight="false" outlineLevel="0" collapsed="false">
      <c r="A207" s="27" t="n">
        <v>203</v>
      </c>
      <c r="B207" s="28"/>
      <c r="C207" s="29"/>
      <c r="D207" s="29"/>
      <c r="E207" s="28"/>
      <c r="F207" s="30"/>
      <c r="G207" s="31"/>
      <c r="H207" s="28"/>
      <c r="I207" s="29"/>
      <c r="J207" s="29"/>
      <c r="K207" s="29"/>
      <c r="L207" s="29"/>
      <c r="M207" s="29"/>
      <c r="N207" s="29"/>
      <c r="O207" s="29"/>
      <c r="P207" s="29"/>
      <c r="Q207" s="29"/>
      <c r="R207" s="29"/>
      <c r="S207" s="28"/>
      <c r="T207" s="32" t="str">
        <f aca="false">IF(AND(K207="",L207=""),"",IF(OR(K207="-",L207="-"),"측정불가",IF(AND(ISNUMBER(K207),ISNUMBER(L207)),IF(OR(K207&gt;=설정!$C$9,L207&gt;=설정!$C$10),"긴급",IF(OR(K207&gt;=설정!$C$7,L207&gt;=설정!$C$8,K207&lt;설정!$C$11),"주의","정상")),"확인필요")))</f>
        <v/>
      </c>
      <c r="U207" s="32" t="str">
        <f aca="false">IF(M207="","",IF(M207="-","측정불가",IF(NOT(ISNUMBER(M207)),"확인필요",IF(M207&lt;설정!$C$15,"긴급(저혈당)",IF(M207&gt;=설정!$C$16,"긴급(고혈당)",IF(N207="공복",IF(M207&gt;=설정!$C$13,"주의","정상"),IF(N207="식후",IF(M207&gt;=설정!$C$14,"주의","정상"),"조건확인")))))))</f>
        <v/>
      </c>
      <c r="V207" s="32" t="str">
        <f aca="false">IF(OR(T207="긴급",LEFT(U207,2)="긴급",P207="O"),"대상","")</f>
        <v/>
      </c>
      <c r="W207" s="33" t="str">
        <f aca="false">IF(R207&lt;&gt;"",R207,IF(O207="O",IF(V207="대상",IF(Q207="O","완료","추가상담 대기"),"완료"),IF(COUNTA(K207:M207)=3,"상담 대기",IF(J207="O","측정 대기",IF(I207="O","운동평가 대기","미방문")))))</f>
        <v>미방문</v>
      </c>
      <c r="X207" s="34"/>
      <c r="Y207" s="34"/>
      <c r="Z207" s="34"/>
      <c r="AA207" s="34"/>
      <c r="AB207" s="34"/>
      <c r="AC207" s="35" t="str">
        <f aca="false">IF(AND(ISNUMBER(X207),ISNUMBER(Y207)),IF(Y207&gt;=X207,ROUND((Y207-X207)*1440,0),""),"")</f>
        <v/>
      </c>
      <c r="AD207" s="35" t="str">
        <f aca="false">IF(AND(ISNUMBER(Y207),ISNUMBER(Z207)),IF(Z207&gt;=Y207,ROUND((Z207-Y207)*1440,0),""),"")</f>
        <v/>
      </c>
      <c r="AE207" s="35" t="str">
        <f aca="false">IF(AND(ISNUMBER(Z207),ISNUMBER(AA207)),IF(AA207&gt;=Z207,ROUND((AA207-Z207)*1440,0),""),"")</f>
        <v/>
      </c>
      <c r="AF207" s="35" t="str">
        <f aca="false">IF(AND(ISNUMBER(AA207),ISNUMBER(AB207)),IF(AB207&gt;=AA207,ROUND((AB207-AA207)*1440,0),""),"")</f>
        <v/>
      </c>
      <c r="AG207" s="35" t="str">
        <f aca="false">IF(AND(W207="완료",ISNUMBER(X207)),IF(MAX(Y207:AB207)&gt;=X207,ROUND((MAX(Y207:AB207)-X207)*1440,0),""),"")</f>
        <v/>
      </c>
    </row>
    <row r="208" customFormat="false" ht="15" hidden="false" customHeight="false" outlineLevel="0" collapsed="false">
      <c r="A208" s="27" t="n">
        <v>204</v>
      </c>
      <c r="B208" s="28"/>
      <c r="C208" s="29"/>
      <c r="D208" s="29"/>
      <c r="E208" s="28"/>
      <c r="F208" s="30"/>
      <c r="G208" s="31"/>
      <c r="H208" s="28"/>
      <c r="I208" s="29"/>
      <c r="J208" s="29"/>
      <c r="K208" s="29"/>
      <c r="L208" s="29"/>
      <c r="M208" s="29"/>
      <c r="N208" s="29"/>
      <c r="O208" s="29"/>
      <c r="P208" s="29"/>
      <c r="Q208" s="29"/>
      <c r="R208" s="29"/>
      <c r="S208" s="28"/>
      <c r="T208" s="32" t="str">
        <f aca="false">IF(AND(K208="",L208=""),"",IF(OR(K208="-",L208="-"),"측정불가",IF(AND(ISNUMBER(K208),ISNUMBER(L208)),IF(OR(K208&gt;=설정!$C$9,L208&gt;=설정!$C$10),"긴급",IF(OR(K208&gt;=설정!$C$7,L208&gt;=설정!$C$8,K208&lt;설정!$C$11),"주의","정상")),"확인필요")))</f>
        <v/>
      </c>
      <c r="U208" s="32" t="str">
        <f aca="false">IF(M208="","",IF(M208="-","측정불가",IF(NOT(ISNUMBER(M208)),"확인필요",IF(M208&lt;설정!$C$15,"긴급(저혈당)",IF(M208&gt;=설정!$C$16,"긴급(고혈당)",IF(N208="공복",IF(M208&gt;=설정!$C$13,"주의","정상"),IF(N208="식후",IF(M208&gt;=설정!$C$14,"주의","정상"),"조건확인")))))))</f>
        <v/>
      </c>
      <c r="V208" s="32" t="str">
        <f aca="false">IF(OR(T208="긴급",LEFT(U208,2)="긴급",P208="O"),"대상","")</f>
        <v/>
      </c>
      <c r="W208" s="33" t="str">
        <f aca="false">IF(R208&lt;&gt;"",R208,IF(O208="O",IF(V208="대상",IF(Q208="O","완료","추가상담 대기"),"완료"),IF(COUNTA(K208:M208)=3,"상담 대기",IF(J208="O","측정 대기",IF(I208="O","운동평가 대기","미방문")))))</f>
        <v>미방문</v>
      </c>
      <c r="X208" s="34"/>
      <c r="Y208" s="34"/>
      <c r="Z208" s="34"/>
      <c r="AA208" s="34"/>
      <c r="AB208" s="34"/>
      <c r="AC208" s="35" t="str">
        <f aca="false">IF(AND(ISNUMBER(X208),ISNUMBER(Y208)),IF(Y208&gt;=X208,ROUND((Y208-X208)*1440,0),""),"")</f>
        <v/>
      </c>
      <c r="AD208" s="35" t="str">
        <f aca="false">IF(AND(ISNUMBER(Y208),ISNUMBER(Z208)),IF(Z208&gt;=Y208,ROUND((Z208-Y208)*1440,0),""),"")</f>
        <v/>
      </c>
      <c r="AE208" s="35" t="str">
        <f aca="false">IF(AND(ISNUMBER(Z208),ISNUMBER(AA208)),IF(AA208&gt;=Z208,ROUND((AA208-Z208)*1440,0),""),"")</f>
        <v/>
      </c>
      <c r="AF208" s="35" t="str">
        <f aca="false">IF(AND(ISNUMBER(AA208),ISNUMBER(AB208)),IF(AB208&gt;=AA208,ROUND((AB208-AA208)*1440,0),""),"")</f>
        <v/>
      </c>
      <c r="AG208" s="35" t="str">
        <f aca="false">IF(AND(W208="완료",ISNUMBER(X208)),IF(MAX(Y208:AB208)&gt;=X208,ROUND((MAX(Y208:AB208)-X208)*1440,0),""),"")</f>
        <v/>
      </c>
    </row>
    <row r="209" customFormat="false" ht="15" hidden="false" customHeight="false" outlineLevel="0" collapsed="false">
      <c r="A209" s="27" t="n">
        <v>205</v>
      </c>
      <c r="B209" s="28"/>
      <c r="C209" s="29"/>
      <c r="D209" s="29"/>
      <c r="E209" s="28"/>
      <c r="F209" s="30"/>
      <c r="G209" s="31"/>
      <c r="H209" s="28"/>
      <c r="I209" s="29"/>
      <c r="J209" s="29"/>
      <c r="K209" s="29"/>
      <c r="L209" s="29"/>
      <c r="M209" s="29"/>
      <c r="N209" s="29"/>
      <c r="O209" s="29"/>
      <c r="P209" s="29"/>
      <c r="Q209" s="29"/>
      <c r="R209" s="29"/>
      <c r="S209" s="28"/>
      <c r="T209" s="32" t="str">
        <f aca="false">IF(AND(K209="",L209=""),"",IF(OR(K209="-",L209="-"),"측정불가",IF(AND(ISNUMBER(K209),ISNUMBER(L209)),IF(OR(K209&gt;=설정!$C$9,L209&gt;=설정!$C$10),"긴급",IF(OR(K209&gt;=설정!$C$7,L209&gt;=설정!$C$8,K209&lt;설정!$C$11),"주의","정상")),"확인필요")))</f>
        <v/>
      </c>
      <c r="U209" s="32" t="str">
        <f aca="false">IF(M209="","",IF(M209="-","측정불가",IF(NOT(ISNUMBER(M209)),"확인필요",IF(M209&lt;설정!$C$15,"긴급(저혈당)",IF(M209&gt;=설정!$C$16,"긴급(고혈당)",IF(N209="공복",IF(M209&gt;=설정!$C$13,"주의","정상"),IF(N209="식후",IF(M209&gt;=설정!$C$14,"주의","정상"),"조건확인")))))))</f>
        <v/>
      </c>
      <c r="V209" s="32" t="str">
        <f aca="false">IF(OR(T209="긴급",LEFT(U209,2)="긴급",P209="O"),"대상","")</f>
        <v/>
      </c>
      <c r="W209" s="33" t="str">
        <f aca="false">IF(R209&lt;&gt;"",R209,IF(O209="O",IF(V209="대상",IF(Q209="O","완료","추가상담 대기"),"완료"),IF(COUNTA(K209:M209)=3,"상담 대기",IF(J209="O","측정 대기",IF(I209="O","운동평가 대기","미방문")))))</f>
        <v>미방문</v>
      </c>
      <c r="X209" s="34"/>
      <c r="Y209" s="34"/>
      <c r="Z209" s="34"/>
      <c r="AA209" s="34"/>
      <c r="AB209" s="34"/>
      <c r="AC209" s="35" t="str">
        <f aca="false">IF(AND(ISNUMBER(X209),ISNUMBER(Y209)),IF(Y209&gt;=X209,ROUND((Y209-X209)*1440,0),""),"")</f>
        <v/>
      </c>
      <c r="AD209" s="35" t="str">
        <f aca="false">IF(AND(ISNUMBER(Y209),ISNUMBER(Z209)),IF(Z209&gt;=Y209,ROUND((Z209-Y209)*1440,0),""),"")</f>
        <v/>
      </c>
      <c r="AE209" s="35" t="str">
        <f aca="false">IF(AND(ISNUMBER(Z209),ISNUMBER(AA209)),IF(AA209&gt;=Z209,ROUND((AA209-Z209)*1440,0),""),"")</f>
        <v/>
      </c>
      <c r="AF209" s="35" t="str">
        <f aca="false">IF(AND(ISNUMBER(AA209),ISNUMBER(AB209)),IF(AB209&gt;=AA209,ROUND((AB209-AA209)*1440,0),""),"")</f>
        <v/>
      </c>
      <c r="AG209" s="35" t="str">
        <f aca="false">IF(AND(W209="완료",ISNUMBER(X209)),IF(MAX(Y209:AB209)&gt;=X209,ROUND((MAX(Y209:AB209)-X209)*1440,0),""),"")</f>
        <v/>
      </c>
    </row>
    <row r="210" customFormat="false" ht="15" hidden="false" customHeight="false" outlineLevel="0" collapsed="false">
      <c r="A210" s="27" t="n">
        <v>206</v>
      </c>
      <c r="B210" s="28"/>
      <c r="C210" s="29"/>
      <c r="D210" s="29"/>
      <c r="E210" s="28"/>
      <c r="F210" s="30"/>
      <c r="G210" s="31"/>
      <c r="H210" s="28"/>
      <c r="I210" s="29"/>
      <c r="J210" s="29"/>
      <c r="K210" s="29"/>
      <c r="L210" s="29"/>
      <c r="M210" s="29"/>
      <c r="N210" s="29"/>
      <c r="O210" s="29"/>
      <c r="P210" s="29"/>
      <c r="Q210" s="29"/>
      <c r="R210" s="29"/>
      <c r="S210" s="28"/>
      <c r="T210" s="32" t="str">
        <f aca="false">IF(AND(K210="",L210=""),"",IF(OR(K210="-",L210="-"),"측정불가",IF(AND(ISNUMBER(K210),ISNUMBER(L210)),IF(OR(K210&gt;=설정!$C$9,L210&gt;=설정!$C$10),"긴급",IF(OR(K210&gt;=설정!$C$7,L210&gt;=설정!$C$8,K210&lt;설정!$C$11),"주의","정상")),"확인필요")))</f>
        <v/>
      </c>
      <c r="U210" s="32" t="str">
        <f aca="false">IF(M210="","",IF(M210="-","측정불가",IF(NOT(ISNUMBER(M210)),"확인필요",IF(M210&lt;설정!$C$15,"긴급(저혈당)",IF(M210&gt;=설정!$C$16,"긴급(고혈당)",IF(N210="공복",IF(M210&gt;=설정!$C$13,"주의","정상"),IF(N210="식후",IF(M210&gt;=설정!$C$14,"주의","정상"),"조건확인")))))))</f>
        <v/>
      </c>
      <c r="V210" s="32" t="str">
        <f aca="false">IF(OR(T210="긴급",LEFT(U210,2)="긴급",P210="O"),"대상","")</f>
        <v/>
      </c>
      <c r="W210" s="33" t="str">
        <f aca="false">IF(R210&lt;&gt;"",R210,IF(O210="O",IF(V210="대상",IF(Q210="O","완료","추가상담 대기"),"완료"),IF(COUNTA(K210:M210)=3,"상담 대기",IF(J210="O","측정 대기",IF(I210="O","운동평가 대기","미방문")))))</f>
        <v>미방문</v>
      </c>
      <c r="X210" s="34"/>
      <c r="Y210" s="34"/>
      <c r="Z210" s="34"/>
      <c r="AA210" s="34"/>
      <c r="AB210" s="34"/>
      <c r="AC210" s="35" t="str">
        <f aca="false">IF(AND(ISNUMBER(X210),ISNUMBER(Y210)),IF(Y210&gt;=X210,ROUND((Y210-X210)*1440,0),""),"")</f>
        <v/>
      </c>
      <c r="AD210" s="35" t="str">
        <f aca="false">IF(AND(ISNUMBER(Y210),ISNUMBER(Z210)),IF(Z210&gt;=Y210,ROUND((Z210-Y210)*1440,0),""),"")</f>
        <v/>
      </c>
      <c r="AE210" s="35" t="str">
        <f aca="false">IF(AND(ISNUMBER(Z210),ISNUMBER(AA210)),IF(AA210&gt;=Z210,ROUND((AA210-Z210)*1440,0),""),"")</f>
        <v/>
      </c>
      <c r="AF210" s="35" t="str">
        <f aca="false">IF(AND(ISNUMBER(AA210),ISNUMBER(AB210)),IF(AB210&gt;=AA210,ROUND((AB210-AA210)*1440,0),""),"")</f>
        <v/>
      </c>
      <c r="AG210" s="35" t="str">
        <f aca="false">IF(AND(W210="완료",ISNUMBER(X210)),IF(MAX(Y210:AB210)&gt;=X210,ROUND((MAX(Y210:AB210)-X210)*1440,0),""),"")</f>
        <v/>
      </c>
    </row>
    <row r="211" customFormat="false" ht="15" hidden="false" customHeight="false" outlineLevel="0" collapsed="false">
      <c r="A211" s="27" t="n">
        <v>207</v>
      </c>
      <c r="B211" s="28"/>
      <c r="C211" s="29"/>
      <c r="D211" s="29"/>
      <c r="E211" s="28"/>
      <c r="F211" s="30"/>
      <c r="G211" s="31"/>
      <c r="H211" s="28"/>
      <c r="I211" s="29"/>
      <c r="J211" s="29"/>
      <c r="K211" s="29"/>
      <c r="L211" s="29"/>
      <c r="M211" s="29"/>
      <c r="N211" s="29"/>
      <c r="O211" s="29"/>
      <c r="P211" s="29"/>
      <c r="Q211" s="29"/>
      <c r="R211" s="29"/>
      <c r="S211" s="28"/>
      <c r="T211" s="32" t="str">
        <f aca="false">IF(AND(K211="",L211=""),"",IF(OR(K211="-",L211="-"),"측정불가",IF(AND(ISNUMBER(K211),ISNUMBER(L211)),IF(OR(K211&gt;=설정!$C$9,L211&gt;=설정!$C$10),"긴급",IF(OR(K211&gt;=설정!$C$7,L211&gt;=설정!$C$8,K211&lt;설정!$C$11),"주의","정상")),"확인필요")))</f>
        <v/>
      </c>
      <c r="U211" s="32" t="str">
        <f aca="false">IF(M211="","",IF(M211="-","측정불가",IF(NOT(ISNUMBER(M211)),"확인필요",IF(M211&lt;설정!$C$15,"긴급(저혈당)",IF(M211&gt;=설정!$C$16,"긴급(고혈당)",IF(N211="공복",IF(M211&gt;=설정!$C$13,"주의","정상"),IF(N211="식후",IF(M211&gt;=설정!$C$14,"주의","정상"),"조건확인")))))))</f>
        <v/>
      </c>
      <c r="V211" s="32" t="str">
        <f aca="false">IF(OR(T211="긴급",LEFT(U211,2)="긴급",P211="O"),"대상","")</f>
        <v/>
      </c>
      <c r="W211" s="33" t="str">
        <f aca="false">IF(R211&lt;&gt;"",R211,IF(O211="O",IF(V211="대상",IF(Q211="O","완료","추가상담 대기"),"완료"),IF(COUNTA(K211:M211)=3,"상담 대기",IF(J211="O","측정 대기",IF(I211="O","운동평가 대기","미방문")))))</f>
        <v>미방문</v>
      </c>
      <c r="X211" s="34"/>
      <c r="Y211" s="34"/>
      <c r="Z211" s="34"/>
      <c r="AA211" s="34"/>
      <c r="AB211" s="34"/>
      <c r="AC211" s="35" t="str">
        <f aca="false">IF(AND(ISNUMBER(X211),ISNUMBER(Y211)),IF(Y211&gt;=X211,ROUND((Y211-X211)*1440,0),""),"")</f>
        <v/>
      </c>
      <c r="AD211" s="35" t="str">
        <f aca="false">IF(AND(ISNUMBER(Y211),ISNUMBER(Z211)),IF(Z211&gt;=Y211,ROUND((Z211-Y211)*1440,0),""),"")</f>
        <v/>
      </c>
      <c r="AE211" s="35" t="str">
        <f aca="false">IF(AND(ISNUMBER(Z211),ISNUMBER(AA211)),IF(AA211&gt;=Z211,ROUND((AA211-Z211)*1440,0),""),"")</f>
        <v/>
      </c>
      <c r="AF211" s="35" t="str">
        <f aca="false">IF(AND(ISNUMBER(AA211),ISNUMBER(AB211)),IF(AB211&gt;=AA211,ROUND((AB211-AA211)*1440,0),""),"")</f>
        <v/>
      </c>
      <c r="AG211" s="35" t="str">
        <f aca="false">IF(AND(W211="완료",ISNUMBER(X211)),IF(MAX(Y211:AB211)&gt;=X211,ROUND((MAX(Y211:AB211)-X211)*1440,0),""),"")</f>
        <v/>
      </c>
    </row>
    <row r="212" customFormat="false" ht="15" hidden="false" customHeight="false" outlineLevel="0" collapsed="false">
      <c r="A212" s="27" t="n">
        <v>208</v>
      </c>
      <c r="B212" s="28"/>
      <c r="C212" s="29"/>
      <c r="D212" s="29"/>
      <c r="E212" s="28"/>
      <c r="F212" s="30"/>
      <c r="G212" s="31"/>
      <c r="H212" s="28"/>
      <c r="I212" s="29"/>
      <c r="J212" s="29"/>
      <c r="K212" s="29"/>
      <c r="L212" s="29"/>
      <c r="M212" s="29"/>
      <c r="N212" s="29"/>
      <c r="O212" s="29"/>
      <c r="P212" s="29"/>
      <c r="Q212" s="29"/>
      <c r="R212" s="29"/>
      <c r="S212" s="28"/>
      <c r="T212" s="32" t="str">
        <f aca="false">IF(AND(K212="",L212=""),"",IF(OR(K212="-",L212="-"),"측정불가",IF(AND(ISNUMBER(K212),ISNUMBER(L212)),IF(OR(K212&gt;=설정!$C$9,L212&gt;=설정!$C$10),"긴급",IF(OR(K212&gt;=설정!$C$7,L212&gt;=설정!$C$8,K212&lt;설정!$C$11),"주의","정상")),"확인필요")))</f>
        <v/>
      </c>
      <c r="U212" s="32" t="str">
        <f aca="false">IF(M212="","",IF(M212="-","측정불가",IF(NOT(ISNUMBER(M212)),"확인필요",IF(M212&lt;설정!$C$15,"긴급(저혈당)",IF(M212&gt;=설정!$C$16,"긴급(고혈당)",IF(N212="공복",IF(M212&gt;=설정!$C$13,"주의","정상"),IF(N212="식후",IF(M212&gt;=설정!$C$14,"주의","정상"),"조건확인")))))))</f>
        <v/>
      </c>
      <c r="V212" s="32" t="str">
        <f aca="false">IF(OR(T212="긴급",LEFT(U212,2)="긴급",P212="O"),"대상","")</f>
        <v/>
      </c>
      <c r="W212" s="33" t="str">
        <f aca="false">IF(R212&lt;&gt;"",R212,IF(O212="O",IF(V212="대상",IF(Q212="O","완료","추가상담 대기"),"완료"),IF(COUNTA(K212:M212)=3,"상담 대기",IF(J212="O","측정 대기",IF(I212="O","운동평가 대기","미방문")))))</f>
        <v>미방문</v>
      </c>
      <c r="X212" s="34"/>
      <c r="Y212" s="34"/>
      <c r="Z212" s="34"/>
      <c r="AA212" s="34"/>
      <c r="AB212" s="34"/>
      <c r="AC212" s="35" t="str">
        <f aca="false">IF(AND(ISNUMBER(X212),ISNUMBER(Y212)),IF(Y212&gt;=X212,ROUND((Y212-X212)*1440,0),""),"")</f>
        <v/>
      </c>
      <c r="AD212" s="35" t="str">
        <f aca="false">IF(AND(ISNUMBER(Y212),ISNUMBER(Z212)),IF(Z212&gt;=Y212,ROUND((Z212-Y212)*1440,0),""),"")</f>
        <v/>
      </c>
      <c r="AE212" s="35" t="str">
        <f aca="false">IF(AND(ISNUMBER(Z212),ISNUMBER(AA212)),IF(AA212&gt;=Z212,ROUND((AA212-Z212)*1440,0),""),"")</f>
        <v/>
      </c>
      <c r="AF212" s="35" t="str">
        <f aca="false">IF(AND(ISNUMBER(AA212),ISNUMBER(AB212)),IF(AB212&gt;=AA212,ROUND((AB212-AA212)*1440,0),""),"")</f>
        <v/>
      </c>
      <c r="AG212" s="35" t="str">
        <f aca="false">IF(AND(W212="완료",ISNUMBER(X212)),IF(MAX(Y212:AB212)&gt;=X212,ROUND((MAX(Y212:AB212)-X212)*1440,0),""),"")</f>
        <v/>
      </c>
    </row>
    <row r="213" customFormat="false" ht="15" hidden="false" customHeight="false" outlineLevel="0" collapsed="false">
      <c r="A213" s="27" t="n">
        <v>209</v>
      </c>
      <c r="B213" s="28"/>
      <c r="C213" s="29"/>
      <c r="D213" s="29"/>
      <c r="E213" s="28"/>
      <c r="F213" s="30"/>
      <c r="G213" s="31"/>
      <c r="H213" s="28"/>
      <c r="I213" s="29"/>
      <c r="J213" s="29"/>
      <c r="K213" s="29"/>
      <c r="L213" s="29"/>
      <c r="M213" s="29"/>
      <c r="N213" s="29"/>
      <c r="O213" s="29"/>
      <c r="P213" s="29"/>
      <c r="Q213" s="29"/>
      <c r="R213" s="29"/>
      <c r="S213" s="28"/>
      <c r="T213" s="32" t="str">
        <f aca="false">IF(AND(K213="",L213=""),"",IF(OR(K213="-",L213="-"),"측정불가",IF(AND(ISNUMBER(K213),ISNUMBER(L213)),IF(OR(K213&gt;=설정!$C$9,L213&gt;=설정!$C$10),"긴급",IF(OR(K213&gt;=설정!$C$7,L213&gt;=설정!$C$8,K213&lt;설정!$C$11),"주의","정상")),"확인필요")))</f>
        <v/>
      </c>
      <c r="U213" s="32" t="str">
        <f aca="false">IF(M213="","",IF(M213="-","측정불가",IF(NOT(ISNUMBER(M213)),"확인필요",IF(M213&lt;설정!$C$15,"긴급(저혈당)",IF(M213&gt;=설정!$C$16,"긴급(고혈당)",IF(N213="공복",IF(M213&gt;=설정!$C$13,"주의","정상"),IF(N213="식후",IF(M213&gt;=설정!$C$14,"주의","정상"),"조건확인")))))))</f>
        <v/>
      </c>
      <c r="V213" s="32" t="str">
        <f aca="false">IF(OR(T213="긴급",LEFT(U213,2)="긴급",P213="O"),"대상","")</f>
        <v/>
      </c>
      <c r="W213" s="33" t="str">
        <f aca="false">IF(R213&lt;&gt;"",R213,IF(O213="O",IF(V213="대상",IF(Q213="O","완료","추가상담 대기"),"완료"),IF(COUNTA(K213:M213)=3,"상담 대기",IF(J213="O","측정 대기",IF(I213="O","운동평가 대기","미방문")))))</f>
        <v>미방문</v>
      </c>
      <c r="X213" s="34"/>
      <c r="Y213" s="34"/>
      <c r="Z213" s="34"/>
      <c r="AA213" s="34"/>
      <c r="AB213" s="34"/>
      <c r="AC213" s="35" t="str">
        <f aca="false">IF(AND(ISNUMBER(X213),ISNUMBER(Y213)),IF(Y213&gt;=X213,ROUND((Y213-X213)*1440,0),""),"")</f>
        <v/>
      </c>
      <c r="AD213" s="35" t="str">
        <f aca="false">IF(AND(ISNUMBER(Y213),ISNUMBER(Z213)),IF(Z213&gt;=Y213,ROUND((Z213-Y213)*1440,0),""),"")</f>
        <v/>
      </c>
      <c r="AE213" s="35" t="str">
        <f aca="false">IF(AND(ISNUMBER(Z213),ISNUMBER(AA213)),IF(AA213&gt;=Z213,ROUND((AA213-Z213)*1440,0),""),"")</f>
        <v/>
      </c>
      <c r="AF213" s="35" t="str">
        <f aca="false">IF(AND(ISNUMBER(AA213),ISNUMBER(AB213)),IF(AB213&gt;=AA213,ROUND((AB213-AA213)*1440,0),""),"")</f>
        <v/>
      </c>
      <c r="AG213" s="35" t="str">
        <f aca="false">IF(AND(W213="완료",ISNUMBER(X213)),IF(MAX(Y213:AB213)&gt;=X213,ROUND((MAX(Y213:AB213)-X213)*1440,0),""),"")</f>
        <v/>
      </c>
    </row>
    <row r="214" customFormat="false" ht="15" hidden="false" customHeight="false" outlineLevel="0" collapsed="false">
      <c r="A214" s="27" t="n">
        <v>210</v>
      </c>
      <c r="B214" s="28"/>
      <c r="C214" s="29"/>
      <c r="D214" s="29"/>
      <c r="E214" s="28"/>
      <c r="F214" s="30"/>
      <c r="G214" s="31"/>
      <c r="H214" s="28"/>
      <c r="I214" s="29"/>
      <c r="J214" s="29"/>
      <c r="K214" s="29"/>
      <c r="L214" s="29"/>
      <c r="M214" s="29"/>
      <c r="N214" s="29"/>
      <c r="O214" s="29"/>
      <c r="P214" s="29"/>
      <c r="Q214" s="29"/>
      <c r="R214" s="29"/>
      <c r="S214" s="28"/>
      <c r="T214" s="32" t="str">
        <f aca="false">IF(AND(K214="",L214=""),"",IF(OR(K214="-",L214="-"),"측정불가",IF(AND(ISNUMBER(K214),ISNUMBER(L214)),IF(OR(K214&gt;=설정!$C$9,L214&gt;=설정!$C$10),"긴급",IF(OR(K214&gt;=설정!$C$7,L214&gt;=설정!$C$8,K214&lt;설정!$C$11),"주의","정상")),"확인필요")))</f>
        <v/>
      </c>
      <c r="U214" s="32" t="str">
        <f aca="false">IF(M214="","",IF(M214="-","측정불가",IF(NOT(ISNUMBER(M214)),"확인필요",IF(M214&lt;설정!$C$15,"긴급(저혈당)",IF(M214&gt;=설정!$C$16,"긴급(고혈당)",IF(N214="공복",IF(M214&gt;=설정!$C$13,"주의","정상"),IF(N214="식후",IF(M214&gt;=설정!$C$14,"주의","정상"),"조건확인")))))))</f>
        <v/>
      </c>
      <c r="V214" s="32" t="str">
        <f aca="false">IF(OR(T214="긴급",LEFT(U214,2)="긴급",P214="O"),"대상","")</f>
        <v/>
      </c>
      <c r="W214" s="33" t="str">
        <f aca="false">IF(R214&lt;&gt;"",R214,IF(O214="O",IF(V214="대상",IF(Q214="O","완료","추가상담 대기"),"완료"),IF(COUNTA(K214:M214)=3,"상담 대기",IF(J214="O","측정 대기",IF(I214="O","운동평가 대기","미방문")))))</f>
        <v>미방문</v>
      </c>
      <c r="X214" s="34"/>
      <c r="Y214" s="34"/>
      <c r="Z214" s="34"/>
      <c r="AA214" s="34"/>
      <c r="AB214" s="34"/>
      <c r="AC214" s="35" t="str">
        <f aca="false">IF(AND(ISNUMBER(X214),ISNUMBER(Y214)),IF(Y214&gt;=X214,ROUND((Y214-X214)*1440,0),""),"")</f>
        <v/>
      </c>
      <c r="AD214" s="35" t="str">
        <f aca="false">IF(AND(ISNUMBER(Y214),ISNUMBER(Z214)),IF(Z214&gt;=Y214,ROUND((Z214-Y214)*1440,0),""),"")</f>
        <v/>
      </c>
      <c r="AE214" s="35" t="str">
        <f aca="false">IF(AND(ISNUMBER(Z214),ISNUMBER(AA214)),IF(AA214&gt;=Z214,ROUND((AA214-Z214)*1440,0),""),"")</f>
        <v/>
      </c>
      <c r="AF214" s="35" t="str">
        <f aca="false">IF(AND(ISNUMBER(AA214),ISNUMBER(AB214)),IF(AB214&gt;=AA214,ROUND((AB214-AA214)*1440,0),""),"")</f>
        <v/>
      </c>
      <c r="AG214" s="35" t="str">
        <f aca="false">IF(AND(W214="완료",ISNUMBER(X214)),IF(MAX(Y214:AB214)&gt;=X214,ROUND((MAX(Y214:AB214)-X214)*1440,0),""),"")</f>
        <v/>
      </c>
    </row>
    <row r="215" customFormat="false" ht="15" hidden="false" customHeight="false" outlineLevel="0" collapsed="false">
      <c r="A215" s="27" t="n">
        <v>211</v>
      </c>
      <c r="B215" s="28"/>
      <c r="C215" s="29"/>
      <c r="D215" s="29"/>
      <c r="E215" s="28"/>
      <c r="F215" s="30"/>
      <c r="G215" s="31"/>
      <c r="H215" s="28"/>
      <c r="I215" s="29"/>
      <c r="J215" s="29"/>
      <c r="K215" s="29"/>
      <c r="L215" s="29"/>
      <c r="M215" s="29"/>
      <c r="N215" s="29"/>
      <c r="O215" s="29"/>
      <c r="P215" s="29"/>
      <c r="Q215" s="29"/>
      <c r="R215" s="29"/>
      <c r="S215" s="28"/>
      <c r="T215" s="32" t="str">
        <f aca="false">IF(AND(K215="",L215=""),"",IF(OR(K215="-",L215="-"),"측정불가",IF(AND(ISNUMBER(K215),ISNUMBER(L215)),IF(OR(K215&gt;=설정!$C$9,L215&gt;=설정!$C$10),"긴급",IF(OR(K215&gt;=설정!$C$7,L215&gt;=설정!$C$8,K215&lt;설정!$C$11),"주의","정상")),"확인필요")))</f>
        <v/>
      </c>
      <c r="U215" s="32" t="str">
        <f aca="false">IF(M215="","",IF(M215="-","측정불가",IF(NOT(ISNUMBER(M215)),"확인필요",IF(M215&lt;설정!$C$15,"긴급(저혈당)",IF(M215&gt;=설정!$C$16,"긴급(고혈당)",IF(N215="공복",IF(M215&gt;=설정!$C$13,"주의","정상"),IF(N215="식후",IF(M215&gt;=설정!$C$14,"주의","정상"),"조건확인")))))))</f>
        <v/>
      </c>
      <c r="V215" s="32" t="str">
        <f aca="false">IF(OR(T215="긴급",LEFT(U215,2)="긴급",P215="O"),"대상","")</f>
        <v/>
      </c>
      <c r="W215" s="33" t="str">
        <f aca="false">IF(R215&lt;&gt;"",R215,IF(O215="O",IF(V215="대상",IF(Q215="O","완료","추가상담 대기"),"완료"),IF(COUNTA(K215:M215)=3,"상담 대기",IF(J215="O","측정 대기",IF(I215="O","운동평가 대기","미방문")))))</f>
        <v>미방문</v>
      </c>
      <c r="X215" s="34"/>
      <c r="Y215" s="34"/>
      <c r="Z215" s="34"/>
      <c r="AA215" s="34"/>
      <c r="AB215" s="34"/>
      <c r="AC215" s="35" t="str">
        <f aca="false">IF(AND(ISNUMBER(X215),ISNUMBER(Y215)),IF(Y215&gt;=X215,ROUND((Y215-X215)*1440,0),""),"")</f>
        <v/>
      </c>
      <c r="AD215" s="35" t="str">
        <f aca="false">IF(AND(ISNUMBER(Y215),ISNUMBER(Z215)),IF(Z215&gt;=Y215,ROUND((Z215-Y215)*1440,0),""),"")</f>
        <v/>
      </c>
      <c r="AE215" s="35" t="str">
        <f aca="false">IF(AND(ISNUMBER(Z215),ISNUMBER(AA215)),IF(AA215&gt;=Z215,ROUND((AA215-Z215)*1440,0),""),"")</f>
        <v/>
      </c>
      <c r="AF215" s="35" t="str">
        <f aca="false">IF(AND(ISNUMBER(AA215),ISNUMBER(AB215)),IF(AB215&gt;=AA215,ROUND((AB215-AA215)*1440,0),""),"")</f>
        <v/>
      </c>
      <c r="AG215" s="35" t="str">
        <f aca="false">IF(AND(W215="완료",ISNUMBER(X215)),IF(MAX(Y215:AB215)&gt;=X215,ROUND((MAX(Y215:AB215)-X215)*1440,0),""),"")</f>
        <v/>
      </c>
    </row>
    <row r="216" customFormat="false" ht="15" hidden="false" customHeight="false" outlineLevel="0" collapsed="false">
      <c r="A216" s="27" t="n">
        <v>212</v>
      </c>
      <c r="B216" s="28"/>
      <c r="C216" s="29"/>
      <c r="D216" s="29"/>
      <c r="E216" s="28"/>
      <c r="F216" s="30"/>
      <c r="G216" s="31"/>
      <c r="H216" s="28"/>
      <c r="I216" s="29"/>
      <c r="J216" s="29"/>
      <c r="K216" s="29"/>
      <c r="L216" s="29"/>
      <c r="M216" s="29"/>
      <c r="N216" s="29"/>
      <c r="O216" s="29"/>
      <c r="P216" s="29"/>
      <c r="Q216" s="29"/>
      <c r="R216" s="29"/>
      <c r="S216" s="28"/>
      <c r="T216" s="32" t="str">
        <f aca="false">IF(AND(K216="",L216=""),"",IF(OR(K216="-",L216="-"),"측정불가",IF(AND(ISNUMBER(K216),ISNUMBER(L216)),IF(OR(K216&gt;=설정!$C$9,L216&gt;=설정!$C$10),"긴급",IF(OR(K216&gt;=설정!$C$7,L216&gt;=설정!$C$8,K216&lt;설정!$C$11),"주의","정상")),"확인필요")))</f>
        <v/>
      </c>
      <c r="U216" s="32" t="str">
        <f aca="false">IF(M216="","",IF(M216="-","측정불가",IF(NOT(ISNUMBER(M216)),"확인필요",IF(M216&lt;설정!$C$15,"긴급(저혈당)",IF(M216&gt;=설정!$C$16,"긴급(고혈당)",IF(N216="공복",IF(M216&gt;=설정!$C$13,"주의","정상"),IF(N216="식후",IF(M216&gt;=설정!$C$14,"주의","정상"),"조건확인")))))))</f>
        <v/>
      </c>
      <c r="V216" s="32" t="str">
        <f aca="false">IF(OR(T216="긴급",LEFT(U216,2)="긴급",P216="O"),"대상","")</f>
        <v/>
      </c>
      <c r="W216" s="33" t="str">
        <f aca="false">IF(R216&lt;&gt;"",R216,IF(O216="O",IF(V216="대상",IF(Q216="O","완료","추가상담 대기"),"완료"),IF(COUNTA(K216:M216)=3,"상담 대기",IF(J216="O","측정 대기",IF(I216="O","운동평가 대기","미방문")))))</f>
        <v>미방문</v>
      </c>
      <c r="X216" s="34"/>
      <c r="Y216" s="34"/>
      <c r="Z216" s="34"/>
      <c r="AA216" s="34"/>
      <c r="AB216" s="34"/>
      <c r="AC216" s="35" t="str">
        <f aca="false">IF(AND(ISNUMBER(X216),ISNUMBER(Y216)),IF(Y216&gt;=X216,ROUND((Y216-X216)*1440,0),""),"")</f>
        <v/>
      </c>
      <c r="AD216" s="35" t="str">
        <f aca="false">IF(AND(ISNUMBER(Y216),ISNUMBER(Z216)),IF(Z216&gt;=Y216,ROUND((Z216-Y216)*1440,0),""),"")</f>
        <v/>
      </c>
      <c r="AE216" s="35" t="str">
        <f aca="false">IF(AND(ISNUMBER(Z216),ISNUMBER(AA216)),IF(AA216&gt;=Z216,ROUND((AA216-Z216)*1440,0),""),"")</f>
        <v/>
      </c>
      <c r="AF216" s="35" t="str">
        <f aca="false">IF(AND(ISNUMBER(AA216),ISNUMBER(AB216)),IF(AB216&gt;=AA216,ROUND((AB216-AA216)*1440,0),""),"")</f>
        <v/>
      </c>
      <c r="AG216" s="35" t="str">
        <f aca="false">IF(AND(W216="완료",ISNUMBER(X216)),IF(MAX(Y216:AB216)&gt;=X216,ROUND((MAX(Y216:AB216)-X216)*1440,0),""),"")</f>
        <v/>
      </c>
    </row>
    <row r="217" customFormat="false" ht="15" hidden="false" customHeight="false" outlineLevel="0" collapsed="false">
      <c r="A217" s="27" t="n">
        <v>213</v>
      </c>
      <c r="B217" s="28"/>
      <c r="C217" s="29"/>
      <c r="D217" s="29"/>
      <c r="E217" s="28"/>
      <c r="F217" s="30"/>
      <c r="G217" s="31"/>
      <c r="H217" s="28"/>
      <c r="I217" s="29"/>
      <c r="J217" s="29"/>
      <c r="K217" s="29"/>
      <c r="L217" s="29"/>
      <c r="M217" s="29"/>
      <c r="N217" s="29"/>
      <c r="O217" s="29"/>
      <c r="P217" s="29"/>
      <c r="Q217" s="29"/>
      <c r="R217" s="29"/>
      <c r="S217" s="28"/>
      <c r="T217" s="32" t="str">
        <f aca="false">IF(AND(K217="",L217=""),"",IF(OR(K217="-",L217="-"),"측정불가",IF(AND(ISNUMBER(K217),ISNUMBER(L217)),IF(OR(K217&gt;=설정!$C$9,L217&gt;=설정!$C$10),"긴급",IF(OR(K217&gt;=설정!$C$7,L217&gt;=설정!$C$8,K217&lt;설정!$C$11),"주의","정상")),"확인필요")))</f>
        <v/>
      </c>
      <c r="U217" s="32" t="str">
        <f aca="false">IF(M217="","",IF(M217="-","측정불가",IF(NOT(ISNUMBER(M217)),"확인필요",IF(M217&lt;설정!$C$15,"긴급(저혈당)",IF(M217&gt;=설정!$C$16,"긴급(고혈당)",IF(N217="공복",IF(M217&gt;=설정!$C$13,"주의","정상"),IF(N217="식후",IF(M217&gt;=설정!$C$14,"주의","정상"),"조건확인")))))))</f>
        <v/>
      </c>
      <c r="V217" s="32" t="str">
        <f aca="false">IF(OR(T217="긴급",LEFT(U217,2)="긴급",P217="O"),"대상","")</f>
        <v/>
      </c>
      <c r="W217" s="33" t="str">
        <f aca="false">IF(R217&lt;&gt;"",R217,IF(O217="O",IF(V217="대상",IF(Q217="O","완료","추가상담 대기"),"완료"),IF(COUNTA(K217:M217)=3,"상담 대기",IF(J217="O","측정 대기",IF(I217="O","운동평가 대기","미방문")))))</f>
        <v>미방문</v>
      </c>
      <c r="X217" s="34"/>
      <c r="Y217" s="34"/>
      <c r="Z217" s="34"/>
      <c r="AA217" s="34"/>
      <c r="AB217" s="34"/>
      <c r="AC217" s="35" t="str">
        <f aca="false">IF(AND(ISNUMBER(X217),ISNUMBER(Y217)),IF(Y217&gt;=X217,ROUND((Y217-X217)*1440,0),""),"")</f>
        <v/>
      </c>
      <c r="AD217" s="35" t="str">
        <f aca="false">IF(AND(ISNUMBER(Y217),ISNUMBER(Z217)),IF(Z217&gt;=Y217,ROUND((Z217-Y217)*1440,0),""),"")</f>
        <v/>
      </c>
      <c r="AE217" s="35" t="str">
        <f aca="false">IF(AND(ISNUMBER(Z217),ISNUMBER(AA217)),IF(AA217&gt;=Z217,ROUND((AA217-Z217)*1440,0),""),"")</f>
        <v/>
      </c>
      <c r="AF217" s="35" t="str">
        <f aca="false">IF(AND(ISNUMBER(AA217),ISNUMBER(AB217)),IF(AB217&gt;=AA217,ROUND((AB217-AA217)*1440,0),""),"")</f>
        <v/>
      </c>
      <c r="AG217" s="35" t="str">
        <f aca="false">IF(AND(W217="완료",ISNUMBER(X217)),IF(MAX(Y217:AB217)&gt;=X217,ROUND((MAX(Y217:AB217)-X217)*1440,0),""),"")</f>
        <v/>
      </c>
    </row>
    <row r="218" customFormat="false" ht="15" hidden="false" customHeight="false" outlineLevel="0" collapsed="false">
      <c r="A218" s="27" t="n">
        <v>214</v>
      </c>
      <c r="B218" s="28"/>
      <c r="C218" s="29"/>
      <c r="D218" s="29"/>
      <c r="E218" s="28"/>
      <c r="F218" s="30"/>
      <c r="G218" s="31"/>
      <c r="H218" s="28"/>
      <c r="I218" s="29"/>
      <c r="J218" s="29"/>
      <c r="K218" s="29"/>
      <c r="L218" s="29"/>
      <c r="M218" s="29"/>
      <c r="N218" s="29"/>
      <c r="O218" s="29"/>
      <c r="P218" s="29"/>
      <c r="Q218" s="29"/>
      <c r="R218" s="29"/>
      <c r="S218" s="28"/>
      <c r="T218" s="32" t="str">
        <f aca="false">IF(AND(K218="",L218=""),"",IF(OR(K218="-",L218="-"),"측정불가",IF(AND(ISNUMBER(K218),ISNUMBER(L218)),IF(OR(K218&gt;=설정!$C$9,L218&gt;=설정!$C$10),"긴급",IF(OR(K218&gt;=설정!$C$7,L218&gt;=설정!$C$8,K218&lt;설정!$C$11),"주의","정상")),"확인필요")))</f>
        <v/>
      </c>
      <c r="U218" s="32" t="str">
        <f aca="false">IF(M218="","",IF(M218="-","측정불가",IF(NOT(ISNUMBER(M218)),"확인필요",IF(M218&lt;설정!$C$15,"긴급(저혈당)",IF(M218&gt;=설정!$C$16,"긴급(고혈당)",IF(N218="공복",IF(M218&gt;=설정!$C$13,"주의","정상"),IF(N218="식후",IF(M218&gt;=설정!$C$14,"주의","정상"),"조건확인")))))))</f>
        <v/>
      </c>
      <c r="V218" s="32" t="str">
        <f aca="false">IF(OR(T218="긴급",LEFT(U218,2)="긴급",P218="O"),"대상","")</f>
        <v/>
      </c>
      <c r="W218" s="33" t="str">
        <f aca="false">IF(R218&lt;&gt;"",R218,IF(O218="O",IF(V218="대상",IF(Q218="O","완료","추가상담 대기"),"완료"),IF(COUNTA(K218:M218)=3,"상담 대기",IF(J218="O","측정 대기",IF(I218="O","운동평가 대기","미방문")))))</f>
        <v>미방문</v>
      </c>
      <c r="X218" s="34"/>
      <c r="Y218" s="34"/>
      <c r="Z218" s="34"/>
      <c r="AA218" s="34"/>
      <c r="AB218" s="34"/>
      <c r="AC218" s="35" t="str">
        <f aca="false">IF(AND(ISNUMBER(X218),ISNUMBER(Y218)),IF(Y218&gt;=X218,ROUND((Y218-X218)*1440,0),""),"")</f>
        <v/>
      </c>
      <c r="AD218" s="35" t="str">
        <f aca="false">IF(AND(ISNUMBER(Y218),ISNUMBER(Z218)),IF(Z218&gt;=Y218,ROUND((Z218-Y218)*1440,0),""),"")</f>
        <v/>
      </c>
      <c r="AE218" s="35" t="str">
        <f aca="false">IF(AND(ISNUMBER(Z218),ISNUMBER(AA218)),IF(AA218&gt;=Z218,ROUND((AA218-Z218)*1440,0),""),"")</f>
        <v/>
      </c>
      <c r="AF218" s="35" t="str">
        <f aca="false">IF(AND(ISNUMBER(AA218),ISNUMBER(AB218)),IF(AB218&gt;=AA218,ROUND((AB218-AA218)*1440,0),""),"")</f>
        <v/>
      </c>
      <c r="AG218" s="35" t="str">
        <f aca="false">IF(AND(W218="완료",ISNUMBER(X218)),IF(MAX(Y218:AB218)&gt;=X218,ROUND((MAX(Y218:AB218)-X218)*1440,0),""),"")</f>
        <v/>
      </c>
    </row>
    <row r="219" customFormat="false" ht="15" hidden="false" customHeight="false" outlineLevel="0" collapsed="false">
      <c r="A219" s="27" t="n">
        <v>215</v>
      </c>
      <c r="B219" s="28"/>
      <c r="C219" s="29"/>
      <c r="D219" s="29"/>
      <c r="E219" s="28"/>
      <c r="F219" s="30"/>
      <c r="G219" s="31"/>
      <c r="H219" s="28"/>
      <c r="I219" s="29"/>
      <c r="J219" s="29"/>
      <c r="K219" s="29"/>
      <c r="L219" s="29"/>
      <c r="M219" s="29"/>
      <c r="N219" s="29"/>
      <c r="O219" s="29"/>
      <c r="P219" s="29"/>
      <c r="Q219" s="29"/>
      <c r="R219" s="29"/>
      <c r="S219" s="28"/>
      <c r="T219" s="32" t="str">
        <f aca="false">IF(AND(K219="",L219=""),"",IF(OR(K219="-",L219="-"),"측정불가",IF(AND(ISNUMBER(K219),ISNUMBER(L219)),IF(OR(K219&gt;=설정!$C$9,L219&gt;=설정!$C$10),"긴급",IF(OR(K219&gt;=설정!$C$7,L219&gt;=설정!$C$8,K219&lt;설정!$C$11),"주의","정상")),"확인필요")))</f>
        <v/>
      </c>
      <c r="U219" s="32" t="str">
        <f aca="false">IF(M219="","",IF(M219="-","측정불가",IF(NOT(ISNUMBER(M219)),"확인필요",IF(M219&lt;설정!$C$15,"긴급(저혈당)",IF(M219&gt;=설정!$C$16,"긴급(고혈당)",IF(N219="공복",IF(M219&gt;=설정!$C$13,"주의","정상"),IF(N219="식후",IF(M219&gt;=설정!$C$14,"주의","정상"),"조건확인")))))))</f>
        <v/>
      </c>
      <c r="V219" s="32" t="str">
        <f aca="false">IF(OR(T219="긴급",LEFT(U219,2)="긴급",P219="O"),"대상","")</f>
        <v/>
      </c>
      <c r="W219" s="33" t="str">
        <f aca="false">IF(R219&lt;&gt;"",R219,IF(O219="O",IF(V219="대상",IF(Q219="O","완료","추가상담 대기"),"완료"),IF(COUNTA(K219:M219)=3,"상담 대기",IF(J219="O","측정 대기",IF(I219="O","운동평가 대기","미방문")))))</f>
        <v>미방문</v>
      </c>
      <c r="X219" s="34"/>
      <c r="Y219" s="34"/>
      <c r="Z219" s="34"/>
      <c r="AA219" s="34"/>
      <c r="AB219" s="34"/>
      <c r="AC219" s="35" t="str">
        <f aca="false">IF(AND(ISNUMBER(X219),ISNUMBER(Y219)),IF(Y219&gt;=X219,ROUND((Y219-X219)*1440,0),""),"")</f>
        <v/>
      </c>
      <c r="AD219" s="35" t="str">
        <f aca="false">IF(AND(ISNUMBER(Y219),ISNUMBER(Z219)),IF(Z219&gt;=Y219,ROUND((Z219-Y219)*1440,0),""),"")</f>
        <v/>
      </c>
      <c r="AE219" s="35" t="str">
        <f aca="false">IF(AND(ISNUMBER(Z219),ISNUMBER(AA219)),IF(AA219&gt;=Z219,ROUND((AA219-Z219)*1440,0),""),"")</f>
        <v/>
      </c>
      <c r="AF219" s="35" t="str">
        <f aca="false">IF(AND(ISNUMBER(AA219),ISNUMBER(AB219)),IF(AB219&gt;=AA219,ROUND((AB219-AA219)*1440,0),""),"")</f>
        <v/>
      </c>
      <c r="AG219" s="35" t="str">
        <f aca="false">IF(AND(W219="완료",ISNUMBER(X219)),IF(MAX(Y219:AB219)&gt;=X219,ROUND((MAX(Y219:AB219)-X219)*1440,0),""),"")</f>
        <v/>
      </c>
    </row>
    <row r="220" customFormat="false" ht="15" hidden="false" customHeight="false" outlineLevel="0" collapsed="false">
      <c r="A220" s="27" t="n">
        <v>216</v>
      </c>
      <c r="B220" s="28"/>
      <c r="C220" s="29"/>
      <c r="D220" s="29"/>
      <c r="E220" s="28"/>
      <c r="F220" s="30"/>
      <c r="G220" s="31"/>
      <c r="H220" s="28"/>
      <c r="I220" s="29"/>
      <c r="J220" s="29"/>
      <c r="K220" s="29"/>
      <c r="L220" s="29"/>
      <c r="M220" s="29"/>
      <c r="N220" s="29"/>
      <c r="O220" s="29"/>
      <c r="P220" s="29"/>
      <c r="Q220" s="29"/>
      <c r="R220" s="29"/>
      <c r="S220" s="28"/>
      <c r="T220" s="32" t="str">
        <f aca="false">IF(AND(K220="",L220=""),"",IF(OR(K220="-",L220="-"),"측정불가",IF(AND(ISNUMBER(K220),ISNUMBER(L220)),IF(OR(K220&gt;=설정!$C$9,L220&gt;=설정!$C$10),"긴급",IF(OR(K220&gt;=설정!$C$7,L220&gt;=설정!$C$8,K220&lt;설정!$C$11),"주의","정상")),"확인필요")))</f>
        <v/>
      </c>
      <c r="U220" s="32" t="str">
        <f aca="false">IF(M220="","",IF(M220="-","측정불가",IF(NOT(ISNUMBER(M220)),"확인필요",IF(M220&lt;설정!$C$15,"긴급(저혈당)",IF(M220&gt;=설정!$C$16,"긴급(고혈당)",IF(N220="공복",IF(M220&gt;=설정!$C$13,"주의","정상"),IF(N220="식후",IF(M220&gt;=설정!$C$14,"주의","정상"),"조건확인")))))))</f>
        <v/>
      </c>
      <c r="V220" s="32" t="str">
        <f aca="false">IF(OR(T220="긴급",LEFT(U220,2)="긴급",P220="O"),"대상","")</f>
        <v/>
      </c>
      <c r="W220" s="33" t="str">
        <f aca="false">IF(R220&lt;&gt;"",R220,IF(O220="O",IF(V220="대상",IF(Q220="O","완료","추가상담 대기"),"완료"),IF(COUNTA(K220:M220)=3,"상담 대기",IF(J220="O","측정 대기",IF(I220="O","운동평가 대기","미방문")))))</f>
        <v>미방문</v>
      </c>
      <c r="X220" s="34"/>
      <c r="Y220" s="34"/>
      <c r="Z220" s="34"/>
      <c r="AA220" s="34"/>
      <c r="AB220" s="34"/>
      <c r="AC220" s="35" t="str">
        <f aca="false">IF(AND(ISNUMBER(X220),ISNUMBER(Y220)),IF(Y220&gt;=X220,ROUND((Y220-X220)*1440,0),""),"")</f>
        <v/>
      </c>
      <c r="AD220" s="35" t="str">
        <f aca="false">IF(AND(ISNUMBER(Y220),ISNUMBER(Z220)),IF(Z220&gt;=Y220,ROUND((Z220-Y220)*1440,0),""),"")</f>
        <v/>
      </c>
      <c r="AE220" s="35" t="str">
        <f aca="false">IF(AND(ISNUMBER(Z220),ISNUMBER(AA220)),IF(AA220&gt;=Z220,ROUND((AA220-Z220)*1440,0),""),"")</f>
        <v/>
      </c>
      <c r="AF220" s="35" t="str">
        <f aca="false">IF(AND(ISNUMBER(AA220),ISNUMBER(AB220)),IF(AB220&gt;=AA220,ROUND((AB220-AA220)*1440,0),""),"")</f>
        <v/>
      </c>
      <c r="AG220" s="35" t="str">
        <f aca="false">IF(AND(W220="완료",ISNUMBER(X220)),IF(MAX(Y220:AB220)&gt;=X220,ROUND((MAX(Y220:AB220)-X220)*1440,0),""),"")</f>
        <v/>
      </c>
    </row>
    <row r="221" customFormat="false" ht="15" hidden="false" customHeight="false" outlineLevel="0" collapsed="false">
      <c r="A221" s="27" t="n">
        <v>217</v>
      </c>
      <c r="B221" s="28"/>
      <c r="C221" s="29"/>
      <c r="D221" s="29"/>
      <c r="E221" s="28"/>
      <c r="F221" s="30"/>
      <c r="G221" s="31"/>
      <c r="H221" s="28"/>
      <c r="I221" s="29"/>
      <c r="J221" s="29"/>
      <c r="K221" s="29"/>
      <c r="L221" s="29"/>
      <c r="M221" s="29"/>
      <c r="N221" s="29"/>
      <c r="O221" s="29"/>
      <c r="P221" s="29"/>
      <c r="Q221" s="29"/>
      <c r="R221" s="29"/>
      <c r="S221" s="28"/>
      <c r="T221" s="32" t="str">
        <f aca="false">IF(AND(K221="",L221=""),"",IF(OR(K221="-",L221="-"),"측정불가",IF(AND(ISNUMBER(K221),ISNUMBER(L221)),IF(OR(K221&gt;=설정!$C$9,L221&gt;=설정!$C$10),"긴급",IF(OR(K221&gt;=설정!$C$7,L221&gt;=설정!$C$8,K221&lt;설정!$C$11),"주의","정상")),"확인필요")))</f>
        <v/>
      </c>
      <c r="U221" s="32" t="str">
        <f aca="false">IF(M221="","",IF(M221="-","측정불가",IF(NOT(ISNUMBER(M221)),"확인필요",IF(M221&lt;설정!$C$15,"긴급(저혈당)",IF(M221&gt;=설정!$C$16,"긴급(고혈당)",IF(N221="공복",IF(M221&gt;=설정!$C$13,"주의","정상"),IF(N221="식후",IF(M221&gt;=설정!$C$14,"주의","정상"),"조건확인")))))))</f>
        <v/>
      </c>
      <c r="V221" s="32" t="str">
        <f aca="false">IF(OR(T221="긴급",LEFT(U221,2)="긴급",P221="O"),"대상","")</f>
        <v/>
      </c>
      <c r="W221" s="33" t="str">
        <f aca="false">IF(R221&lt;&gt;"",R221,IF(O221="O",IF(V221="대상",IF(Q221="O","완료","추가상담 대기"),"완료"),IF(COUNTA(K221:M221)=3,"상담 대기",IF(J221="O","측정 대기",IF(I221="O","운동평가 대기","미방문")))))</f>
        <v>미방문</v>
      </c>
      <c r="X221" s="34"/>
      <c r="Y221" s="34"/>
      <c r="Z221" s="34"/>
      <c r="AA221" s="34"/>
      <c r="AB221" s="34"/>
      <c r="AC221" s="35" t="str">
        <f aca="false">IF(AND(ISNUMBER(X221),ISNUMBER(Y221)),IF(Y221&gt;=X221,ROUND((Y221-X221)*1440,0),""),"")</f>
        <v/>
      </c>
      <c r="AD221" s="35" t="str">
        <f aca="false">IF(AND(ISNUMBER(Y221),ISNUMBER(Z221)),IF(Z221&gt;=Y221,ROUND((Z221-Y221)*1440,0),""),"")</f>
        <v/>
      </c>
      <c r="AE221" s="35" t="str">
        <f aca="false">IF(AND(ISNUMBER(Z221),ISNUMBER(AA221)),IF(AA221&gt;=Z221,ROUND((AA221-Z221)*1440,0),""),"")</f>
        <v/>
      </c>
      <c r="AF221" s="35" t="str">
        <f aca="false">IF(AND(ISNUMBER(AA221),ISNUMBER(AB221)),IF(AB221&gt;=AA221,ROUND((AB221-AA221)*1440,0),""),"")</f>
        <v/>
      </c>
      <c r="AG221" s="35" t="str">
        <f aca="false">IF(AND(W221="완료",ISNUMBER(X221)),IF(MAX(Y221:AB221)&gt;=X221,ROUND((MAX(Y221:AB221)-X221)*1440,0),""),"")</f>
        <v/>
      </c>
    </row>
    <row r="222" customFormat="false" ht="15" hidden="false" customHeight="false" outlineLevel="0" collapsed="false">
      <c r="A222" s="27" t="n">
        <v>218</v>
      </c>
      <c r="B222" s="28"/>
      <c r="C222" s="29"/>
      <c r="D222" s="29"/>
      <c r="E222" s="28"/>
      <c r="F222" s="30"/>
      <c r="G222" s="31"/>
      <c r="H222" s="28"/>
      <c r="I222" s="29"/>
      <c r="J222" s="29"/>
      <c r="K222" s="29"/>
      <c r="L222" s="29"/>
      <c r="M222" s="29"/>
      <c r="N222" s="29"/>
      <c r="O222" s="29"/>
      <c r="P222" s="29"/>
      <c r="Q222" s="29"/>
      <c r="R222" s="29"/>
      <c r="S222" s="28"/>
      <c r="T222" s="32" t="str">
        <f aca="false">IF(AND(K222="",L222=""),"",IF(OR(K222="-",L222="-"),"측정불가",IF(AND(ISNUMBER(K222),ISNUMBER(L222)),IF(OR(K222&gt;=설정!$C$9,L222&gt;=설정!$C$10),"긴급",IF(OR(K222&gt;=설정!$C$7,L222&gt;=설정!$C$8,K222&lt;설정!$C$11),"주의","정상")),"확인필요")))</f>
        <v/>
      </c>
      <c r="U222" s="32" t="str">
        <f aca="false">IF(M222="","",IF(M222="-","측정불가",IF(NOT(ISNUMBER(M222)),"확인필요",IF(M222&lt;설정!$C$15,"긴급(저혈당)",IF(M222&gt;=설정!$C$16,"긴급(고혈당)",IF(N222="공복",IF(M222&gt;=설정!$C$13,"주의","정상"),IF(N222="식후",IF(M222&gt;=설정!$C$14,"주의","정상"),"조건확인")))))))</f>
        <v/>
      </c>
      <c r="V222" s="32" t="str">
        <f aca="false">IF(OR(T222="긴급",LEFT(U222,2)="긴급",P222="O"),"대상","")</f>
        <v/>
      </c>
      <c r="W222" s="33" t="str">
        <f aca="false">IF(R222&lt;&gt;"",R222,IF(O222="O",IF(V222="대상",IF(Q222="O","완료","추가상담 대기"),"완료"),IF(COUNTA(K222:M222)=3,"상담 대기",IF(J222="O","측정 대기",IF(I222="O","운동평가 대기","미방문")))))</f>
        <v>미방문</v>
      </c>
      <c r="X222" s="34"/>
      <c r="Y222" s="34"/>
      <c r="Z222" s="34"/>
      <c r="AA222" s="34"/>
      <c r="AB222" s="34"/>
      <c r="AC222" s="35" t="str">
        <f aca="false">IF(AND(ISNUMBER(X222),ISNUMBER(Y222)),IF(Y222&gt;=X222,ROUND((Y222-X222)*1440,0),""),"")</f>
        <v/>
      </c>
      <c r="AD222" s="35" t="str">
        <f aca="false">IF(AND(ISNUMBER(Y222),ISNUMBER(Z222)),IF(Z222&gt;=Y222,ROUND((Z222-Y222)*1440,0),""),"")</f>
        <v/>
      </c>
      <c r="AE222" s="35" t="str">
        <f aca="false">IF(AND(ISNUMBER(Z222),ISNUMBER(AA222)),IF(AA222&gt;=Z222,ROUND((AA222-Z222)*1440,0),""),"")</f>
        <v/>
      </c>
      <c r="AF222" s="35" t="str">
        <f aca="false">IF(AND(ISNUMBER(AA222),ISNUMBER(AB222)),IF(AB222&gt;=AA222,ROUND((AB222-AA222)*1440,0),""),"")</f>
        <v/>
      </c>
      <c r="AG222" s="35" t="str">
        <f aca="false">IF(AND(W222="완료",ISNUMBER(X222)),IF(MAX(Y222:AB222)&gt;=X222,ROUND((MAX(Y222:AB222)-X222)*1440,0),""),"")</f>
        <v/>
      </c>
    </row>
    <row r="223" customFormat="false" ht="15" hidden="false" customHeight="false" outlineLevel="0" collapsed="false">
      <c r="A223" s="27" t="n">
        <v>219</v>
      </c>
      <c r="B223" s="28"/>
      <c r="C223" s="29"/>
      <c r="D223" s="29"/>
      <c r="E223" s="28"/>
      <c r="F223" s="30"/>
      <c r="G223" s="31"/>
      <c r="H223" s="28"/>
      <c r="I223" s="29"/>
      <c r="J223" s="29"/>
      <c r="K223" s="29"/>
      <c r="L223" s="29"/>
      <c r="M223" s="29"/>
      <c r="N223" s="29"/>
      <c r="O223" s="29"/>
      <c r="P223" s="29"/>
      <c r="Q223" s="29"/>
      <c r="R223" s="29"/>
      <c r="S223" s="28"/>
      <c r="T223" s="32" t="str">
        <f aca="false">IF(AND(K223="",L223=""),"",IF(OR(K223="-",L223="-"),"측정불가",IF(AND(ISNUMBER(K223),ISNUMBER(L223)),IF(OR(K223&gt;=설정!$C$9,L223&gt;=설정!$C$10),"긴급",IF(OR(K223&gt;=설정!$C$7,L223&gt;=설정!$C$8,K223&lt;설정!$C$11),"주의","정상")),"확인필요")))</f>
        <v/>
      </c>
      <c r="U223" s="32" t="str">
        <f aca="false">IF(M223="","",IF(M223="-","측정불가",IF(NOT(ISNUMBER(M223)),"확인필요",IF(M223&lt;설정!$C$15,"긴급(저혈당)",IF(M223&gt;=설정!$C$16,"긴급(고혈당)",IF(N223="공복",IF(M223&gt;=설정!$C$13,"주의","정상"),IF(N223="식후",IF(M223&gt;=설정!$C$14,"주의","정상"),"조건확인")))))))</f>
        <v/>
      </c>
      <c r="V223" s="32" t="str">
        <f aca="false">IF(OR(T223="긴급",LEFT(U223,2)="긴급",P223="O"),"대상","")</f>
        <v/>
      </c>
      <c r="W223" s="33" t="str">
        <f aca="false">IF(R223&lt;&gt;"",R223,IF(O223="O",IF(V223="대상",IF(Q223="O","완료","추가상담 대기"),"완료"),IF(COUNTA(K223:M223)=3,"상담 대기",IF(J223="O","측정 대기",IF(I223="O","운동평가 대기","미방문")))))</f>
        <v>미방문</v>
      </c>
      <c r="X223" s="34"/>
      <c r="Y223" s="34"/>
      <c r="Z223" s="34"/>
      <c r="AA223" s="34"/>
      <c r="AB223" s="34"/>
      <c r="AC223" s="35" t="str">
        <f aca="false">IF(AND(ISNUMBER(X223),ISNUMBER(Y223)),IF(Y223&gt;=X223,ROUND((Y223-X223)*1440,0),""),"")</f>
        <v/>
      </c>
      <c r="AD223" s="35" t="str">
        <f aca="false">IF(AND(ISNUMBER(Y223),ISNUMBER(Z223)),IF(Z223&gt;=Y223,ROUND((Z223-Y223)*1440,0),""),"")</f>
        <v/>
      </c>
      <c r="AE223" s="35" t="str">
        <f aca="false">IF(AND(ISNUMBER(Z223),ISNUMBER(AA223)),IF(AA223&gt;=Z223,ROUND((AA223-Z223)*1440,0),""),"")</f>
        <v/>
      </c>
      <c r="AF223" s="35" t="str">
        <f aca="false">IF(AND(ISNUMBER(AA223),ISNUMBER(AB223)),IF(AB223&gt;=AA223,ROUND((AB223-AA223)*1440,0),""),"")</f>
        <v/>
      </c>
      <c r="AG223" s="35" t="str">
        <f aca="false">IF(AND(W223="완료",ISNUMBER(X223)),IF(MAX(Y223:AB223)&gt;=X223,ROUND((MAX(Y223:AB223)-X223)*1440,0),""),"")</f>
        <v/>
      </c>
    </row>
    <row r="224" customFormat="false" ht="15" hidden="false" customHeight="false" outlineLevel="0" collapsed="false">
      <c r="A224" s="27" t="n">
        <v>220</v>
      </c>
      <c r="B224" s="28"/>
      <c r="C224" s="29"/>
      <c r="D224" s="29"/>
      <c r="E224" s="28"/>
      <c r="F224" s="30"/>
      <c r="G224" s="31"/>
      <c r="H224" s="28"/>
      <c r="I224" s="29"/>
      <c r="J224" s="29"/>
      <c r="K224" s="29"/>
      <c r="L224" s="29"/>
      <c r="M224" s="29"/>
      <c r="N224" s="29"/>
      <c r="O224" s="29"/>
      <c r="P224" s="29"/>
      <c r="Q224" s="29"/>
      <c r="R224" s="29"/>
      <c r="S224" s="28"/>
      <c r="T224" s="32" t="str">
        <f aca="false">IF(AND(K224="",L224=""),"",IF(OR(K224="-",L224="-"),"측정불가",IF(AND(ISNUMBER(K224),ISNUMBER(L224)),IF(OR(K224&gt;=설정!$C$9,L224&gt;=설정!$C$10),"긴급",IF(OR(K224&gt;=설정!$C$7,L224&gt;=설정!$C$8,K224&lt;설정!$C$11),"주의","정상")),"확인필요")))</f>
        <v/>
      </c>
      <c r="U224" s="32" t="str">
        <f aca="false">IF(M224="","",IF(M224="-","측정불가",IF(NOT(ISNUMBER(M224)),"확인필요",IF(M224&lt;설정!$C$15,"긴급(저혈당)",IF(M224&gt;=설정!$C$16,"긴급(고혈당)",IF(N224="공복",IF(M224&gt;=설정!$C$13,"주의","정상"),IF(N224="식후",IF(M224&gt;=설정!$C$14,"주의","정상"),"조건확인")))))))</f>
        <v/>
      </c>
      <c r="V224" s="32" t="str">
        <f aca="false">IF(OR(T224="긴급",LEFT(U224,2)="긴급",P224="O"),"대상","")</f>
        <v/>
      </c>
      <c r="W224" s="33" t="str">
        <f aca="false">IF(R224&lt;&gt;"",R224,IF(O224="O",IF(V224="대상",IF(Q224="O","완료","추가상담 대기"),"완료"),IF(COUNTA(K224:M224)=3,"상담 대기",IF(J224="O","측정 대기",IF(I224="O","운동평가 대기","미방문")))))</f>
        <v>미방문</v>
      </c>
      <c r="X224" s="34"/>
      <c r="Y224" s="34"/>
      <c r="Z224" s="34"/>
      <c r="AA224" s="34"/>
      <c r="AB224" s="34"/>
      <c r="AC224" s="35" t="str">
        <f aca="false">IF(AND(ISNUMBER(X224),ISNUMBER(Y224)),IF(Y224&gt;=X224,ROUND((Y224-X224)*1440,0),""),"")</f>
        <v/>
      </c>
      <c r="AD224" s="35" t="str">
        <f aca="false">IF(AND(ISNUMBER(Y224),ISNUMBER(Z224)),IF(Z224&gt;=Y224,ROUND((Z224-Y224)*1440,0),""),"")</f>
        <v/>
      </c>
      <c r="AE224" s="35" t="str">
        <f aca="false">IF(AND(ISNUMBER(Z224),ISNUMBER(AA224)),IF(AA224&gt;=Z224,ROUND((AA224-Z224)*1440,0),""),"")</f>
        <v/>
      </c>
      <c r="AF224" s="35" t="str">
        <f aca="false">IF(AND(ISNUMBER(AA224),ISNUMBER(AB224)),IF(AB224&gt;=AA224,ROUND((AB224-AA224)*1440,0),""),"")</f>
        <v/>
      </c>
      <c r="AG224" s="35" t="str">
        <f aca="false">IF(AND(W224="완료",ISNUMBER(X224)),IF(MAX(Y224:AB224)&gt;=X224,ROUND((MAX(Y224:AB224)-X224)*1440,0),""),"")</f>
        <v/>
      </c>
    </row>
    <row r="225" customFormat="false" ht="15" hidden="false" customHeight="false" outlineLevel="0" collapsed="false">
      <c r="A225" s="27" t="n">
        <v>221</v>
      </c>
      <c r="B225" s="28"/>
      <c r="C225" s="29"/>
      <c r="D225" s="29"/>
      <c r="E225" s="28"/>
      <c r="F225" s="30"/>
      <c r="G225" s="31"/>
      <c r="H225" s="28"/>
      <c r="I225" s="29"/>
      <c r="J225" s="29"/>
      <c r="K225" s="29"/>
      <c r="L225" s="29"/>
      <c r="M225" s="29"/>
      <c r="N225" s="29"/>
      <c r="O225" s="29"/>
      <c r="P225" s="29"/>
      <c r="Q225" s="29"/>
      <c r="R225" s="29"/>
      <c r="S225" s="28"/>
      <c r="T225" s="32" t="str">
        <f aca="false">IF(AND(K225="",L225=""),"",IF(OR(K225="-",L225="-"),"측정불가",IF(AND(ISNUMBER(K225),ISNUMBER(L225)),IF(OR(K225&gt;=설정!$C$9,L225&gt;=설정!$C$10),"긴급",IF(OR(K225&gt;=설정!$C$7,L225&gt;=설정!$C$8,K225&lt;설정!$C$11),"주의","정상")),"확인필요")))</f>
        <v/>
      </c>
      <c r="U225" s="32" t="str">
        <f aca="false">IF(M225="","",IF(M225="-","측정불가",IF(NOT(ISNUMBER(M225)),"확인필요",IF(M225&lt;설정!$C$15,"긴급(저혈당)",IF(M225&gt;=설정!$C$16,"긴급(고혈당)",IF(N225="공복",IF(M225&gt;=설정!$C$13,"주의","정상"),IF(N225="식후",IF(M225&gt;=설정!$C$14,"주의","정상"),"조건확인")))))))</f>
        <v/>
      </c>
      <c r="V225" s="32" t="str">
        <f aca="false">IF(OR(T225="긴급",LEFT(U225,2)="긴급",P225="O"),"대상","")</f>
        <v/>
      </c>
      <c r="W225" s="33" t="str">
        <f aca="false">IF(R225&lt;&gt;"",R225,IF(O225="O",IF(V225="대상",IF(Q225="O","완료","추가상담 대기"),"완료"),IF(COUNTA(K225:M225)=3,"상담 대기",IF(J225="O","측정 대기",IF(I225="O","운동평가 대기","미방문")))))</f>
        <v>미방문</v>
      </c>
      <c r="X225" s="34"/>
      <c r="Y225" s="34"/>
      <c r="Z225" s="34"/>
      <c r="AA225" s="34"/>
      <c r="AB225" s="34"/>
      <c r="AC225" s="35" t="str">
        <f aca="false">IF(AND(ISNUMBER(X225),ISNUMBER(Y225)),IF(Y225&gt;=X225,ROUND((Y225-X225)*1440,0),""),"")</f>
        <v/>
      </c>
      <c r="AD225" s="35" t="str">
        <f aca="false">IF(AND(ISNUMBER(Y225),ISNUMBER(Z225)),IF(Z225&gt;=Y225,ROUND((Z225-Y225)*1440,0),""),"")</f>
        <v/>
      </c>
      <c r="AE225" s="35" t="str">
        <f aca="false">IF(AND(ISNUMBER(Z225),ISNUMBER(AA225)),IF(AA225&gt;=Z225,ROUND((AA225-Z225)*1440,0),""),"")</f>
        <v/>
      </c>
      <c r="AF225" s="35" t="str">
        <f aca="false">IF(AND(ISNUMBER(AA225),ISNUMBER(AB225)),IF(AB225&gt;=AA225,ROUND((AB225-AA225)*1440,0),""),"")</f>
        <v/>
      </c>
      <c r="AG225" s="35" t="str">
        <f aca="false">IF(AND(W225="완료",ISNUMBER(X225)),IF(MAX(Y225:AB225)&gt;=X225,ROUND((MAX(Y225:AB225)-X225)*1440,0),""),"")</f>
        <v/>
      </c>
    </row>
    <row r="226" customFormat="false" ht="15" hidden="false" customHeight="false" outlineLevel="0" collapsed="false">
      <c r="A226" s="27" t="n">
        <v>222</v>
      </c>
      <c r="B226" s="28"/>
      <c r="C226" s="29"/>
      <c r="D226" s="29"/>
      <c r="E226" s="28"/>
      <c r="F226" s="30"/>
      <c r="G226" s="31"/>
      <c r="H226" s="28"/>
      <c r="I226" s="29"/>
      <c r="J226" s="29"/>
      <c r="K226" s="29"/>
      <c r="L226" s="29"/>
      <c r="M226" s="29"/>
      <c r="N226" s="29"/>
      <c r="O226" s="29"/>
      <c r="P226" s="29"/>
      <c r="Q226" s="29"/>
      <c r="R226" s="29"/>
      <c r="S226" s="28"/>
      <c r="T226" s="32" t="str">
        <f aca="false">IF(AND(K226="",L226=""),"",IF(OR(K226="-",L226="-"),"측정불가",IF(AND(ISNUMBER(K226),ISNUMBER(L226)),IF(OR(K226&gt;=설정!$C$9,L226&gt;=설정!$C$10),"긴급",IF(OR(K226&gt;=설정!$C$7,L226&gt;=설정!$C$8,K226&lt;설정!$C$11),"주의","정상")),"확인필요")))</f>
        <v/>
      </c>
      <c r="U226" s="32" t="str">
        <f aca="false">IF(M226="","",IF(M226="-","측정불가",IF(NOT(ISNUMBER(M226)),"확인필요",IF(M226&lt;설정!$C$15,"긴급(저혈당)",IF(M226&gt;=설정!$C$16,"긴급(고혈당)",IF(N226="공복",IF(M226&gt;=설정!$C$13,"주의","정상"),IF(N226="식후",IF(M226&gt;=설정!$C$14,"주의","정상"),"조건확인")))))))</f>
        <v/>
      </c>
      <c r="V226" s="32" t="str">
        <f aca="false">IF(OR(T226="긴급",LEFT(U226,2)="긴급",P226="O"),"대상","")</f>
        <v/>
      </c>
      <c r="W226" s="33" t="str">
        <f aca="false">IF(R226&lt;&gt;"",R226,IF(O226="O",IF(V226="대상",IF(Q226="O","완료","추가상담 대기"),"완료"),IF(COUNTA(K226:M226)=3,"상담 대기",IF(J226="O","측정 대기",IF(I226="O","운동평가 대기","미방문")))))</f>
        <v>미방문</v>
      </c>
      <c r="X226" s="34"/>
      <c r="Y226" s="34"/>
      <c r="Z226" s="34"/>
      <c r="AA226" s="34"/>
      <c r="AB226" s="34"/>
      <c r="AC226" s="35" t="str">
        <f aca="false">IF(AND(ISNUMBER(X226),ISNUMBER(Y226)),IF(Y226&gt;=X226,ROUND((Y226-X226)*1440,0),""),"")</f>
        <v/>
      </c>
      <c r="AD226" s="35" t="str">
        <f aca="false">IF(AND(ISNUMBER(Y226),ISNUMBER(Z226)),IF(Z226&gt;=Y226,ROUND((Z226-Y226)*1440,0),""),"")</f>
        <v/>
      </c>
      <c r="AE226" s="35" t="str">
        <f aca="false">IF(AND(ISNUMBER(Z226),ISNUMBER(AA226)),IF(AA226&gt;=Z226,ROUND((AA226-Z226)*1440,0),""),"")</f>
        <v/>
      </c>
      <c r="AF226" s="35" t="str">
        <f aca="false">IF(AND(ISNUMBER(AA226),ISNUMBER(AB226)),IF(AB226&gt;=AA226,ROUND((AB226-AA226)*1440,0),""),"")</f>
        <v/>
      </c>
      <c r="AG226" s="35" t="str">
        <f aca="false">IF(AND(W226="완료",ISNUMBER(X226)),IF(MAX(Y226:AB226)&gt;=X226,ROUND((MAX(Y226:AB226)-X226)*1440,0),""),"")</f>
        <v/>
      </c>
    </row>
    <row r="227" customFormat="false" ht="15" hidden="false" customHeight="false" outlineLevel="0" collapsed="false">
      <c r="A227" s="27" t="n">
        <v>223</v>
      </c>
      <c r="B227" s="28"/>
      <c r="C227" s="29"/>
      <c r="D227" s="29"/>
      <c r="E227" s="28"/>
      <c r="F227" s="30"/>
      <c r="G227" s="31"/>
      <c r="H227" s="28"/>
      <c r="I227" s="29"/>
      <c r="J227" s="29"/>
      <c r="K227" s="29"/>
      <c r="L227" s="29"/>
      <c r="M227" s="29"/>
      <c r="N227" s="29"/>
      <c r="O227" s="29"/>
      <c r="P227" s="29"/>
      <c r="Q227" s="29"/>
      <c r="R227" s="29"/>
      <c r="S227" s="28"/>
      <c r="T227" s="32" t="str">
        <f aca="false">IF(AND(K227="",L227=""),"",IF(OR(K227="-",L227="-"),"측정불가",IF(AND(ISNUMBER(K227),ISNUMBER(L227)),IF(OR(K227&gt;=설정!$C$9,L227&gt;=설정!$C$10),"긴급",IF(OR(K227&gt;=설정!$C$7,L227&gt;=설정!$C$8,K227&lt;설정!$C$11),"주의","정상")),"확인필요")))</f>
        <v/>
      </c>
      <c r="U227" s="32" t="str">
        <f aca="false">IF(M227="","",IF(M227="-","측정불가",IF(NOT(ISNUMBER(M227)),"확인필요",IF(M227&lt;설정!$C$15,"긴급(저혈당)",IF(M227&gt;=설정!$C$16,"긴급(고혈당)",IF(N227="공복",IF(M227&gt;=설정!$C$13,"주의","정상"),IF(N227="식후",IF(M227&gt;=설정!$C$14,"주의","정상"),"조건확인")))))))</f>
        <v/>
      </c>
      <c r="V227" s="32" t="str">
        <f aca="false">IF(OR(T227="긴급",LEFT(U227,2)="긴급",P227="O"),"대상","")</f>
        <v/>
      </c>
      <c r="W227" s="33" t="str">
        <f aca="false">IF(R227&lt;&gt;"",R227,IF(O227="O",IF(V227="대상",IF(Q227="O","완료","추가상담 대기"),"완료"),IF(COUNTA(K227:M227)=3,"상담 대기",IF(J227="O","측정 대기",IF(I227="O","운동평가 대기","미방문")))))</f>
        <v>미방문</v>
      </c>
      <c r="X227" s="34"/>
      <c r="Y227" s="34"/>
      <c r="Z227" s="34"/>
      <c r="AA227" s="34"/>
      <c r="AB227" s="34"/>
      <c r="AC227" s="35" t="str">
        <f aca="false">IF(AND(ISNUMBER(X227),ISNUMBER(Y227)),IF(Y227&gt;=X227,ROUND((Y227-X227)*1440,0),""),"")</f>
        <v/>
      </c>
      <c r="AD227" s="35" t="str">
        <f aca="false">IF(AND(ISNUMBER(Y227),ISNUMBER(Z227)),IF(Z227&gt;=Y227,ROUND((Z227-Y227)*1440,0),""),"")</f>
        <v/>
      </c>
      <c r="AE227" s="35" t="str">
        <f aca="false">IF(AND(ISNUMBER(Z227),ISNUMBER(AA227)),IF(AA227&gt;=Z227,ROUND((AA227-Z227)*1440,0),""),"")</f>
        <v/>
      </c>
      <c r="AF227" s="35" t="str">
        <f aca="false">IF(AND(ISNUMBER(AA227),ISNUMBER(AB227)),IF(AB227&gt;=AA227,ROUND((AB227-AA227)*1440,0),""),"")</f>
        <v/>
      </c>
      <c r="AG227" s="35" t="str">
        <f aca="false">IF(AND(W227="완료",ISNUMBER(X227)),IF(MAX(Y227:AB227)&gt;=X227,ROUND((MAX(Y227:AB227)-X227)*1440,0),""),"")</f>
        <v/>
      </c>
    </row>
    <row r="228" customFormat="false" ht="15" hidden="false" customHeight="false" outlineLevel="0" collapsed="false">
      <c r="A228" s="27" t="n">
        <v>224</v>
      </c>
      <c r="B228" s="28"/>
      <c r="C228" s="29"/>
      <c r="D228" s="29"/>
      <c r="E228" s="28"/>
      <c r="F228" s="30"/>
      <c r="G228" s="31"/>
      <c r="H228" s="28"/>
      <c r="I228" s="29"/>
      <c r="J228" s="29"/>
      <c r="K228" s="29"/>
      <c r="L228" s="29"/>
      <c r="M228" s="29"/>
      <c r="N228" s="29"/>
      <c r="O228" s="29"/>
      <c r="P228" s="29"/>
      <c r="Q228" s="29"/>
      <c r="R228" s="29"/>
      <c r="S228" s="28"/>
      <c r="T228" s="32" t="str">
        <f aca="false">IF(AND(K228="",L228=""),"",IF(OR(K228="-",L228="-"),"측정불가",IF(AND(ISNUMBER(K228),ISNUMBER(L228)),IF(OR(K228&gt;=설정!$C$9,L228&gt;=설정!$C$10),"긴급",IF(OR(K228&gt;=설정!$C$7,L228&gt;=설정!$C$8,K228&lt;설정!$C$11),"주의","정상")),"확인필요")))</f>
        <v/>
      </c>
      <c r="U228" s="32" t="str">
        <f aca="false">IF(M228="","",IF(M228="-","측정불가",IF(NOT(ISNUMBER(M228)),"확인필요",IF(M228&lt;설정!$C$15,"긴급(저혈당)",IF(M228&gt;=설정!$C$16,"긴급(고혈당)",IF(N228="공복",IF(M228&gt;=설정!$C$13,"주의","정상"),IF(N228="식후",IF(M228&gt;=설정!$C$14,"주의","정상"),"조건확인")))))))</f>
        <v/>
      </c>
      <c r="V228" s="32" t="str">
        <f aca="false">IF(OR(T228="긴급",LEFT(U228,2)="긴급",P228="O"),"대상","")</f>
        <v/>
      </c>
      <c r="W228" s="33" t="str">
        <f aca="false">IF(R228&lt;&gt;"",R228,IF(O228="O",IF(V228="대상",IF(Q228="O","완료","추가상담 대기"),"완료"),IF(COUNTA(K228:M228)=3,"상담 대기",IF(J228="O","측정 대기",IF(I228="O","운동평가 대기","미방문")))))</f>
        <v>미방문</v>
      </c>
      <c r="X228" s="34"/>
      <c r="Y228" s="34"/>
      <c r="Z228" s="34"/>
      <c r="AA228" s="34"/>
      <c r="AB228" s="34"/>
      <c r="AC228" s="35" t="str">
        <f aca="false">IF(AND(ISNUMBER(X228),ISNUMBER(Y228)),IF(Y228&gt;=X228,ROUND((Y228-X228)*1440,0),""),"")</f>
        <v/>
      </c>
      <c r="AD228" s="35" t="str">
        <f aca="false">IF(AND(ISNUMBER(Y228),ISNUMBER(Z228)),IF(Z228&gt;=Y228,ROUND((Z228-Y228)*1440,0),""),"")</f>
        <v/>
      </c>
      <c r="AE228" s="35" t="str">
        <f aca="false">IF(AND(ISNUMBER(Z228),ISNUMBER(AA228)),IF(AA228&gt;=Z228,ROUND((AA228-Z228)*1440,0),""),"")</f>
        <v/>
      </c>
      <c r="AF228" s="35" t="str">
        <f aca="false">IF(AND(ISNUMBER(AA228),ISNUMBER(AB228)),IF(AB228&gt;=AA228,ROUND((AB228-AA228)*1440,0),""),"")</f>
        <v/>
      </c>
      <c r="AG228" s="35" t="str">
        <f aca="false">IF(AND(W228="완료",ISNUMBER(X228)),IF(MAX(Y228:AB228)&gt;=X228,ROUND((MAX(Y228:AB228)-X228)*1440,0),""),"")</f>
        <v/>
      </c>
    </row>
    <row r="229" customFormat="false" ht="15" hidden="false" customHeight="false" outlineLevel="0" collapsed="false">
      <c r="A229" s="27" t="n">
        <v>225</v>
      </c>
      <c r="B229" s="28"/>
      <c r="C229" s="29"/>
      <c r="D229" s="29"/>
      <c r="E229" s="28"/>
      <c r="F229" s="30"/>
      <c r="G229" s="31"/>
      <c r="H229" s="28"/>
      <c r="I229" s="29"/>
      <c r="J229" s="29"/>
      <c r="K229" s="29"/>
      <c r="L229" s="29"/>
      <c r="M229" s="29"/>
      <c r="N229" s="29"/>
      <c r="O229" s="29"/>
      <c r="P229" s="29"/>
      <c r="Q229" s="29"/>
      <c r="R229" s="29"/>
      <c r="S229" s="28"/>
      <c r="T229" s="32" t="str">
        <f aca="false">IF(AND(K229="",L229=""),"",IF(OR(K229="-",L229="-"),"측정불가",IF(AND(ISNUMBER(K229),ISNUMBER(L229)),IF(OR(K229&gt;=설정!$C$9,L229&gt;=설정!$C$10),"긴급",IF(OR(K229&gt;=설정!$C$7,L229&gt;=설정!$C$8,K229&lt;설정!$C$11),"주의","정상")),"확인필요")))</f>
        <v/>
      </c>
      <c r="U229" s="32" t="str">
        <f aca="false">IF(M229="","",IF(M229="-","측정불가",IF(NOT(ISNUMBER(M229)),"확인필요",IF(M229&lt;설정!$C$15,"긴급(저혈당)",IF(M229&gt;=설정!$C$16,"긴급(고혈당)",IF(N229="공복",IF(M229&gt;=설정!$C$13,"주의","정상"),IF(N229="식후",IF(M229&gt;=설정!$C$14,"주의","정상"),"조건확인")))))))</f>
        <v/>
      </c>
      <c r="V229" s="32" t="str">
        <f aca="false">IF(OR(T229="긴급",LEFT(U229,2)="긴급",P229="O"),"대상","")</f>
        <v/>
      </c>
      <c r="W229" s="33" t="str">
        <f aca="false">IF(R229&lt;&gt;"",R229,IF(O229="O",IF(V229="대상",IF(Q229="O","완료","추가상담 대기"),"완료"),IF(COUNTA(K229:M229)=3,"상담 대기",IF(J229="O","측정 대기",IF(I229="O","운동평가 대기","미방문")))))</f>
        <v>미방문</v>
      </c>
      <c r="X229" s="34"/>
      <c r="Y229" s="34"/>
      <c r="Z229" s="34"/>
      <c r="AA229" s="34"/>
      <c r="AB229" s="34"/>
      <c r="AC229" s="35" t="str">
        <f aca="false">IF(AND(ISNUMBER(X229),ISNUMBER(Y229)),IF(Y229&gt;=X229,ROUND((Y229-X229)*1440,0),""),"")</f>
        <v/>
      </c>
      <c r="AD229" s="35" t="str">
        <f aca="false">IF(AND(ISNUMBER(Y229),ISNUMBER(Z229)),IF(Z229&gt;=Y229,ROUND((Z229-Y229)*1440,0),""),"")</f>
        <v/>
      </c>
      <c r="AE229" s="35" t="str">
        <f aca="false">IF(AND(ISNUMBER(Z229),ISNUMBER(AA229)),IF(AA229&gt;=Z229,ROUND((AA229-Z229)*1440,0),""),"")</f>
        <v/>
      </c>
      <c r="AF229" s="35" t="str">
        <f aca="false">IF(AND(ISNUMBER(AA229),ISNUMBER(AB229)),IF(AB229&gt;=AA229,ROUND((AB229-AA229)*1440,0),""),"")</f>
        <v/>
      </c>
      <c r="AG229" s="35" t="str">
        <f aca="false">IF(AND(W229="완료",ISNUMBER(X229)),IF(MAX(Y229:AB229)&gt;=X229,ROUND((MAX(Y229:AB229)-X229)*1440,0),""),"")</f>
        <v/>
      </c>
    </row>
    <row r="230" customFormat="false" ht="15" hidden="false" customHeight="false" outlineLevel="0" collapsed="false">
      <c r="A230" s="27" t="n">
        <v>226</v>
      </c>
      <c r="B230" s="28"/>
      <c r="C230" s="29"/>
      <c r="D230" s="29"/>
      <c r="E230" s="28"/>
      <c r="F230" s="30"/>
      <c r="G230" s="31"/>
      <c r="H230" s="28"/>
      <c r="I230" s="29"/>
      <c r="J230" s="29"/>
      <c r="K230" s="29"/>
      <c r="L230" s="29"/>
      <c r="M230" s="29"/>
      <c r="N230" s="29"/>
      <c r="O230" s="29"/>
      <c r="P230" s="29"/>
      <c r="Q230" s="29"/>
      <c r="R230" s="29"/>
      <c r="S230" s="28"/>
      <c r="T230" s="32" t="str">
        <f aca="false">IF(AND(K230="",L230=""),"",IF(OR(K230="-",L230="-"),"측정불가",IF(AND(ISNUMBER(K230),ISNUMBER(L230)),IF(OR(K230&gt;=설정!$C$9,L230&gt;=설정!$C$10),"긴급",IF(OR(K230&gt;=설정!$C$7,L230&gt;=설정!$C$8,K230&lt;설정!$C$11),"주의","정상")),"확인필요")))</f>
        <v/>
      </c>
      <c r="U230" s="32" t="str">
        <f aca="false">IF(M230="","",IF(M230="-","측정불가",IF(NOT(ISNUMBER(M230)),"확인필요",IF(M230&lt;설정!$C$15,"긴급(저혈당)",IF(M230&gt;=설정!$C$16,"긴급(고혈당)",IF(N230="공복",IF(M230&gt;=설정!$C$13,"주의","정상"),IF(N230="식후",IF(M230&gt;=설정!$C$14,"주의","정상"),"조건확인")))))))</f>
        <v/>
      </c>
      <c r="V230" s="32" t="str">
        <f aca="false">IF(OR(T230="긴급",LEFT(U230,2)="긴급",P230="O"),"대상","")</f>
        <v/>
      </c>
      <c r="W230" s="33" t="str">
        <f aca="false">IF(R230&lt;&gt;"",R230,IF(O230="O",IF(V230="대상",IF(Q230="O","완료","추가상담 대기"),"완료"),IF(COUNTA(K230:M230)=3,"상담 대기",IF(J230="O","측정 대기",IF(I230="O","운동평가 대기","미방문")))))</f>
        <v>미방문</v>
      </c>
      <c r="X230" s="34"/>
      <c r="Y230" s="34"/>
      <c r="Z230" s="34"/>
      <c r="AA230" s="34"/>
      <c r="AB230" s="34"/>
      <c r="AC230" s="35" t="str">
        <f aca="false">IF(AND(ISNUMBER(X230),ISNUMBER(Y230)),IF(Y230&gt;=X230,ROUND((Y230-X230)*1440,0),""),"")</f>
        <v/>
      </c>
      <c r="AD230" s="35" t="str">
        <f aca="false">IF(AND(ISNUMBER(Y230),ISNUMBER(Z230)),IF(Z230&gt;=Y230,ROUND((Z230-Y230)*1440,0),""),"")</f>
        <v/>
      </c>
      <c r="AE230" s="35" t="str">
        <f aca="false">IF(AND(ISNUMBER(Z230),ISNUMBER(AA230)),IF(AA230&gt;=Z230,ROUND((AA230-Z230)*1440,0),""),"")</f>
        <v/>
      </c>
      <c r="AF230" s="35" t="str">
        <f aca="false">IF(AND(ISNUMBER(AA230),ISNUMBER(AB230)),IF(AB230&gt;=AA230,ROUND((AB230-AA230)*1440,0),""),"")</f>
        <v/>
      </c>
      <c r="AG230" s="35" t="str">
        <f aca="false">IF(AND(W230="완료",ISNUMBER(X230)),IF(MAX(Y230:AB230)&gt;=X230,ROUND((MAX(Y230:AB230)-X230)*1440,0),""),"")</f>
        <v/>
      </c>
    </row>
    <row r="231" customFormat="false" ht="15" hidden="false" customHeight="false" outlineLevel="0" collapsed="false">
      <c r="A231" s="27" t="n">
        <v>227</v>
      </c>
      <c r="B231" s="28"/>
      <c r="C231" s="29"/>
      <c r="D231" s="29"/>
      <c r="E231" s="28"/>
      <c r="F231" s="30"/>
      <c r="G231" s="31"/>
      <c r="H231" s="28"/>
      <c r="I231" s="29"/>
      <c r="J231" s="29"/>
      <c r="K231" s="29"/>
      <c r="L231" s="29"/>
      <c r="M231" s="29"/>
      <c r="N231" s="29"/>
      <c r="O231" s="29"/>
      <c r="P231" s="29"/>
      <c r="Q231" s="29"/>
      <c r="R231" s="29"/>
      <c r="S231" s="28"/>
      <c r="T231" s="32" t="str">
        <f aca="false">IF(AND(K231="",L231=""),"",IF(OR(K231="-",L231="-"),"측정불가",IF(AND(ISNUMBER(K231),ISNUMBER(L231)),IF(OR(K231&gt;=설정!$C$9,L231&gt;=설정!$C$10),"긴급",IF(OR(K231&gt;=설정!$C$7,L231&gt;=설정!$C$8,K231&lt;설정!$C$11),"주의","정상")),"확인필요")))</f>
        <v/>
      </c>
      <c r="U231" s="32" t="str">
        <f aca="false">IF(M231="","",IF(M231="-","측정불가",IF(NOT(ISNUMBER(M231)),"확인필요",IF(M231&lt;설정!$C$15,"긴급(저혈당)",IF(M231&gt;=설정!$C$16,"긴급(고혈당)",IF(N231="공복",IF(M231&gt;=설정!$C$13,"주의","정상"),IF(N231="식후",IF(M231&gt;=설정!$C$14,"주의","정상"),"조건확인")))))))</f>
        <v/>
      </c>
      <c r="V231" s="32" t="str">
        <f aca="false">IF(OR(T231="긴급",LEFT(U231,2)="긴급",P231="O"),"대상","")</f>
        <v/>
      </c>
      <c r="W231" s="33" t="str">
        <f aca="false">IF(R231&lt;&gt;"",R231,IF(O231="O",IF(V231="대상",IF(Q231="O","완료","추가상담 대기"),"완료"),IF(COUNTA(K231:M231)=3,"상담 대기",IF(J231="O","측정 대기",IF(I231="O","운동평가 대기","미방문")))))</f>
        <v>미방문</v>
      </c>
      <c r="X231" s="34"/>
      <c r="Y231" s="34"/>
      <c r="Z231" s="34"/>
      <c r="AA231" s="34"/>
      <c r="AB231" s="34"/>
      <c r="AC231" s="35" t="str">
        <f aca="false">IF(AND(ISNUMBER(X231),ISNUMBER(Y231)),IF(Y231&gt;=X231,ROUND((Y231-X231)*1440,0),""),"")</f>
        <v/>
      </c>
      <c r="AD231" s="35" t="str">
        <f aca="false">IF(AND(ISNUMBER(Y231),ISNUMBER(Z231)),IF(Z231&gt;=Y231,ROUND((Z231-Y231)*1440,0),""),"")</f>
        <v/>
      </c>
      <c r="AE231" s="35" t="str">
        <f aca="false">IF(AND(ISNUMBER(Z231),ISNUMBER(AA231)),IF(AA231&gt;=Z231,ROUND((AA231-Z231)*1440,0),""),"")</f>
        <v/>
      </c>
      <c r="AF231" s="35" t="str">
        <f aca="false">IF(AND(ISNUMBER(AA231),ISNUMBER(AB231)),IF(AB231&gt;=AA231,ROUND((AB231-AA231)*1440,0),""),"")</f>
        <v/>
      </c>
      <c r="AG231" s="35" t="str">
        <f aca="false">IF(AND(W231="완료",ISNUMBER(X231)),IF(MAX(Y231:AB231)&gt;=X231,ROUND((MAX(Y231:AB231)-X231)*1440,0),""),"")</f>
        <v/>
      </c>
    </row>
    <row r="232" customFormat="false" ht="15" hidden="false" customHeight="false" outlineLevel="0" collapsed="false">
      <c r="A232" s="27" t="n">
        <v>228</v>
      </c>
      <c r="B232" s="28"/>
      <c r="C232" s="29"/>
      <c r="D232" s="29"/>
      <c r="E232" s="28"/>
      <c r="F232" s="30"/>
      <c r="G232" s="31"/>
      <c r="H232" s="28"/>
      <c r="I232" s="29"/>
      <c r="J232" s="29"/>
      <c r="K232" s="29"/>
      <c r="L232" s="29"/>
      <c r="M232" s="29"/>
      <c r="N232" s="29"/>
      <c r="O232" s="29"/>
      <c r="P232" s="29"/>
      <c r="Q232" s="29"/>
      <c r="R232" s="29"/>
      <c r="S232" s="28"/>
      <c r="T232" s="32" t="str">
        <f aca="false">IF(AND(K232="",L232=""),"",IF(OR(K232="-",L232="-"),"측정불가",IF(AND(ISNUMBER(K232),ISNUMBER(L232)),IF(OR(K232&gt;=설정!$C$9,L232&gt;=설정!$C$10),"긴급",IF(OR(K232&gt;=설정!$C$7,L232&gt;=설정!$C$8,K232&lt;설정!$C$11),"주의","정상")),"확인필요")))</f>
        <v/>
      </c>
      <c r="U232" s="32" t="str">
        <f aca="false">IF(M232="","",IF(M232="-","측정불가",IF(NOT(ISNUMBER(M232)),"확인필요",IF(M232&lt;설정!$C$15,"긴급(저혈당)",IF(M232&gt;=설정!$C$16,"긴급(고혈당)",IF(N232="공복",IF(M232&gt;=설정!$C$13,"주의","정상"),IF(N232="식후",IF(M232&gt;=설정!$C$14,"주의","정상"),"조건확인")))))))</f>
        <v/>
      </c>
      <c r="V232" s="32" t="str">
        <f aca="false">IF(OR(T232="긴급",LEFT(U232,2)="긴급",P232="O"),"대상","")</f>
        <v/>
      </c>
      <c r="W232" s="33" t="str">
        <f aca="false">IF(R232&lt;&gt;"",R232,IF(O232="O",IF(V232="대상",IF(Q232="O","완료","추가상담 대기"),"완료"),IF(COUNTA(K232:M232)=3,"상담 대기",IF(J232="O","측정 대기",IF(I232="O","운동평가 대기","미방문")))))</f>
        <v>미방문</v>
      </c>
      <c r="X232" s="34"/>
      <c r="Y232" s="34"/>
      <c r="Z232" s="34"/>
      <c r="AA232" s="34"/>
      <c r="AB232" s="34"/>
      <c r="AC232" s="35" t="str">
        <f aca="false">IF(AND(ISNUMBER(X232),ISNUMBER(Y232)),IF(Y232&gt;=X232,ROUND((Y232-X232)*1440,0),""),"")</f>
        <v/>
      </c>
      <c r="AD232" s="35" t="str">
        <f aca="false">IF(AND(ISNUMBER(Y232),ISNUMBER(Z232)),IF(Z232&gt;=Y232,ROUND((Z232-Y232)*1440,0),""),"")</f>
        <v/>
      </c>
      <c r="AE232" s="35" t="str">
        <f aca="false">IF(AND(ISNUMBER(Z232),ISNUMBER(AA232)),IF(AA232&gt;=Z232,ROUND((AA232-Z232)*1440,0),""),"")</f>
        <v/>
      </c>
      <c r="AF232" s="35" t="str">
        <f aca="false">IF(AND(ISNUMBER(AA232),ISNUMBER(AB232)),IF(AB232&gt;=AA232,ROUND((AB232-AA232)*1440,0),""),"")</f>
        <v/>
      </c>
      <c r="AG232" s="35" t="str">
        <f aca="false">IF(AND(W232="완료",ISNUMBER(X232)),IF(MAX(Y232:AB232)&gt;=X232,ROUND((MAX(Y232:AB232)-X232)*1440,0),""),"")</f>
        <v/>
      </c>
    </row>
    <row r="233" customFormat="false" ht="15" hidden="false" customHeight="false" outlineLevel="0" collapsed="false">
      <c r="A233" s="27" t="n">
        <v>229</v>
      </c>
      <c r="B233" s="28"/>
      <c r="C233" s="29"/>
      <c r="D233" s="29"/>
      <c r="E233" s="28"/>
      <c r="F233" s="30"/>
      <c r="G233" s="31"/>
      <c r="H233" s="28"/>
      <c r="I233" s="29"/>
      <c r="J233" s="29"/>
      <c r="K233" s="29"/>
      <c r="L233" s="29"/>
      <c r="M233" s="29"/>
      <c r="N233" s="29"/>
      <c r="O233" s="29"/>
      <c r="P233" s="29"/>
      <c r="Q233" s="29"/>
      <c r="R233" s="29"/>
      <c r="S233" s="28"/>
      <c r="T233" s="32" t="str">
        <f aca="false">IF(AND(K233="",L233=""),"",IF(OR(K233="-",L233="-"),"측정불가",IF(AND(ISNUMBER(K233),ISNUMBER(L233)),IF(OR(K233&gt;=설정!$C$9,L233&gt;=설정!$C$10),"긴급",IF(OR(K233&gt;=설정!$C$7,L233&gt;=설정!$C$8,K233&lt;설정!$C$11),"주의","정상")),"확인필요")))</f>
        <v/>
      </c>
      <c r="U233" s="32" t="str">
        <f aca="false">IF(M233="","",IF(M233="-","측정불가",IF(NOT(ISNUMBER(M233)),"확인필요",IF(M233&lt;설정!$C$15,"긴급(저혈당)",IF(M233&gt;=설정!$C$16,"긴급(고혈당)",IF(N233="공복",IF(M233&gt;=설정!$C$13,"주의","정상"),IF(N233="식후",IF(M233&gt;=설정!$C$14,"주의","정상"),"조건확인")))))))</f>
        <v/>
      </c>
      <c r="V233" s="32" t="str">
        <f aca="false">IF(OR(T233="긴급",LEFT(U233,2)="긴급",P233="O"),"대상","")</f>
        <v/>
      </c>
      <c r="W233" s="33" t="str">
        <f aca="false">IF(R233&lt;&gt;"",R233,IF(O233="O",IF(V233="대상",IF(Q233="O","완료","추가상담 대기"),"완료"),IF(COUNTA(K233:M233)=3,"상담 대기",IF(J233="O","측정 대기",IF(I233="O","운동평가 대기","미방문")))))</f>
        <v>미방문</v>
      </c>
      <c r="X233" s="34"/>
      <c r="Y233" s="34"/>
      <c r="Z233" s="34"/>
      <c r="AA233" s="34"/>
      <c r="AB233" s="34"/>
      <c r="AC233" s="35" t="str">
        <f aca="false">IF(AND(ISNUMBER(X233),ISNUMBER(Y233)),IF(Y233&gt;=X233,ROUND((Y233-X233)*1440,0),""),"")</f>
        <v/>
      </c>
      <c r="AD233" s="35" t="str">
        <f aca="false">IF(AND(ISNUMBER(Y233),ISNUMBER(Z233)),IF(Z233&gt;=Y233,ROUND((Z233-Y233)*1440,0),""),"")</f>
        <v/>
      </c>
      <c r="AE233" s="35" t="str">
        <f aca="false">IF(AND(ISNUMBER(Z233),ISNUMBER(AA233)),IF(AA233&gt;=Z233,ROUND((AA233-Z233)*1440,0),""),"")</f>
        <v/>
      </c>
      <c r="AF233" s="35" t="str">
        <f aca="false">IF(AND(ISNUMBER(AA233),ISNUMBER(AB233)),IF(AB233&gt;=AA233,ROUND((AB233-AA233)*1440,0),""),"")</f>
        <v/>
      </c>
      <c r="AG233" s="35" t="str">
        <f aca="false">IF(AND(W233="완료",ISNUMBER(X233)),IF(MAX(Y233:AB233)&gt;=X233,ROUND((MAX(Y233:AB233)-X233)*1440,0),""),"")</f>
        <v/>
      </c>
    </row>
    <row r="234" customFormat="false" ht="15" hidden="false" customHeight="false" outlineLevel="0" collapsed="false">
      <c r="A234" s="27" t="n">
        <v>230</v>
      </c>
      <c r="B234" s="28"/>
      <c r="C234" s="29"/>
      <c r="D234" s="29"/>
      <c r="E234" s="28"/>
      <c r="F234" s="30"/>
      <c r="G234" s="31"/>
      <c r="H234" s="28"/>
      <c r="I234" s="29"/>
      <c r="J234" s="29"/>
      <c r="K234" s="29"/>
      <c r="L234" s="29"/>
      <c r="M234" s="29"/>
      <c r="N234" s="29"/>
      <c r="O234" s="29"/>
      <c r="P234" s="29"/>
      <c r="Q234" s="29"/>
      <c r="R234" s="29"/>
      <c r="S234" s="28"/>
      <c r="T234" s="32" t="str">
        <f aca="false">IF(AND(K234="",L234=""),"",IF(OR(K234="-",L234="-"),"측정불가",IF(AND(ISNUMBER(K234),ISNUMBER(L234)),IF(OR(K234&gt;=설정!$C$9,L234&gt;=설정!$C$10),"긴급",IF(OR(K234&gt;=설정!$C$7,L234&gt;=설정!$C$8,K234&lt;설정!$C$11),"주의","정상")),"확인필요")))</f>
        <v/>
      </c>
      <c r="U234" s="32" t="str">
        <f aca="false">IF(M234="","",IF(M234="-","측정불가",IF(NOT(ISNUMBER(M234)),"확인필요",IF(M234&lt;설정!$C$15,"긴급(저혈당)",IF(M234&gt;=설정!$C$16,"긴급(고혈당)",IF(N234="공복",IF(M234&gt;=설정!$C$13,"주의","정상"),IF(N234="식후",IF(M234&gt;=설정!$C$14,"주의","정상"),"조건확인")))))))</f>
        <v/>
      </c>
      <c r="V234" s="32" t="str">
        <f aca="false">IF(OR(T234="긴급",LEFT(U234,2)="긴급",P234="O"),"대상","")</f>
        <v/>
      </c>
      <c r="W234" s="33" t="str">
        <f aca="false">IF(R234&lt;&gt;"",R234,IF(O234="O",IF(V234="대상",IF(Q234="O","완료","추가상담 대기"),"완료"),IF(COUNTA(K234:M234)=3,"상담 대기",IF(J234="O","측정 대기",IF(I234="O","운동평가 대기","미방문")))))</f>
        <v>미방문</v>
      </c>
      <c r="X234" s="34"/>
      <c r="Y234" s="34"/>
      <c r="Z234" s="34"/>
      <c r="AA234" s="34"/>
      <c r="AB234" s="34"/>
      <c r="AC234" s="35" t="str">
        <f aca="false">IF(AND(ISNUMBER(X234),ISNUMBER(Y234)),IF(Y234&gt;=X234,ROUND((Y234-X234)*1440,0),""),"")</f>
        <v/>
      </c>
      <c r="AD234" s="35" t="str">
        <f aca="false">IF(AND(ISNUMBER(Y234),ISNUMBER(Z234)),IF(Z234&gt;=Y234,ROUND((Z234-Y234)*1440,0),""),"")</f>
        <v/>
      </c>
      <c r="AE234" s="35" t="str">
        <f aca="false">IF(AND(ISNUMBER(Z234),ISNUMBER(AA234)),IF(AA234&gt;=Z234,ROUND((AA234-Z234)*1440,0),""),"")</f>
        <v/>
      </c>
      <c r="AF234" s="35" t="str">
        <f aca="false">IF(AND(ISNUMBER(AA234),ISNUMBER(AB234)),IF(AB234&gt;=AA234,ROUND((AB234-AA234)*1440,0),""),"")</f>
        <v/>
      </c>
      <c r="AG234" s="35" t="str">
        <f aca="false">IF(AND(W234="완료",ISNUMBER(X234)),IF(MAX(Y234:AB234)&gt;=X234,ROUND((MAX(Y234:AB234)-X234)*1440,0),""),"")</f>
        <v/>
      </c>
    </row>
    <row r="235" customFormat="false" ht="15" hidden="false" customHeight="false" outlineLevel="0" collapsed="false">
      <c r="A235" s="27" t="n">
        <v>231</v>
      </c>
      <c r="B235" s="28"/>
      <c r="C235" s="29"/>
      <c r="D235" s="29"/>
      <c r="E235" s="28"/>
      <c r="F235" s="30"/>
      <c r="G235" s="31"/>
      <c r="H235" s="28"/>
      <c r="I235" s="29"/>
      <c r="J235" s="29"/>
      <c r="K235" s="29"/>
      <c r="L235" s="29"/>
      <c r="M235" s="29"/>
      <c r="N235" s="29"/>
      <c r="O235" s="29"/>
      <c r="P235" s="29"/>
      <c r="Q235" s="29"/>
      <c r="R235" s="29"/>
      <c r="S235" s="28"/>
      <c r="T235" s="32" t="str">
        <f aca="false">IF(AND(K235="",L235=""),"",IF(OR(K235="-",L235="-"),"측정불가",IF(AND(ISNUMBER(K235),ISNUMBER(L235)),IF(OR(K235&gt;=설정!$C$9,L235&gt;=설정!$C$10),"긴급",IF(OR(K235&gt;=설정!$C$7,L235&gt;=설정!$C$8,K235&lt;설정!$C$11),"주의","정상")),"확인필요")))</f>
        <v/>
      </c>
      <c r="U235" s="32" t="str">
        <f aca="false">IF(M235="","",IF(M235="-","측정불가",IF(NOT(ISNUMBER(M235)),"확인필요",IF(M235&lt;설정!$C$15,"긴급(저혈당)",IF(M235&gt;=설정!$C$16,"긴급(고혈당)",IF(N235="공복",IF(M235&gt;=설정!$C$13,"주의","정상"),IF(N235="식후",IF(M235&gt;=설정!$C$14,"주의","정상"),"조건확인")))))))</f>
        <v/>
      </c>
      <c r="V235" s="32" t="str">
        <f aca="false">IF(OR(T235="긴급",LEFT(U235,2)="긴급",P235="O"),"대상","")</f>
        <v/>
      </c>
      <c r="W235" s="33" t="str">
        <f aca="false">IF(R235&lt;&gt;"",R235,IF(O235="O",IF(V235="대상",IF(Q235="O","완료","추가상담 대기"),"완료"),IF(COUNTA(K235:M235)=3,"상담 대기",IF(J235="O","측정 대기",IF(I235="O","운동평가 대기","미방문")))))</f>
        <v>미방문</v>
      </c>
      <c r="X235" s="34"/>
      <c r="Y235" s="34"/>
      <c r="Z235" s="34"/>
      <c r="AA235" s="34"/>
      <c r="AB235" s="34"/>
      <c r="AC235" s="35" t="str">
        <f aca="false">IF(AND(ISNUMBER(X235),ISNUMBER(Y235)),IF(Y235&gt;=X235,ROUND((Y235-X235)*1440,0),""),"")</f>
        <v/>
      </c>
      <c r="AD235" s="35" t="str">
        <f aca="false">IF(AND(ISNUMBER(Y235),ISNUMBER(Z235)),IF(Z235&gt;=Y235,ROUND((Z235-Y235)*1440,0),""),"")</f>
        <v/>
      </c>
      <c r="AE235" s="35" t="str">
        <f aca="false">IF(AND(ISNUMBER(Z235),ISNUMBER(AA235)),IF(AA235&gt;=Z235,ROUND((AA235-Z235)*1440,0),""),"")</f>
        <v/>
      </c>
      <c r="AF235" s="35" t="str">
        <f aca="false">IF(AND(ISNUMBER(AA235),ISNUMBER(AB235)),IF(AB235&gt;=AA235,ROUND((AB235-AA235)*1440,0),""),"")</f>
        <v/>
      </c>
      <c r="AG235" s="35" t="str">
        <f aca="false">IF(AND(W235="완료",ISNUMBER(X235)),IF(MAX(Y235:AB235)&gt;=X235,ROUND((MAX(Y235:AB235)-X235)*1440,0),""),"")</f>
        <v/>
      </c>
    </row>
    <row r="236" customFormat="false" ht="15" hidden="false" customHeight="false" outlineLevel="0" collapsed="false">
      <c r="A236" s="27" t="n">
        <v>232</v>
      </c>
      <c r="B236" s="28"/>
      <c r="C236" s="29"/>
      <c r="D236" s="29"/>
      <c r="E236" s="28"/>
      <c r="F236" s="30"/>
      <c r="G236" s="31"/>
      <c r="H236" s="28"/>
      <c r="I236" s="29"/>
      <c r="J236" s="29"/>
      <c r="K236" s="29"/>
      <c r="L236" s="29"/>
      <c r="M236" s="29"/>
      <c r="N236" s="29"/>
      <c r="O236" s="29"/>
      <c r="P236" s="29"/>
      <c r="Q236" s="29"/>
      <c r="R236" s="29"/>
      <c r="S236" s="28"/>
      <c r="T236" s="32" t="str">
        <f aca="false">IF(AND(K236="",L236=""),"",IF(OR(K236="-",L236="-"),"측정불가",IF(AND(ISNUMBER(K236),ISNUMBER(L236)),IF(OR(K236&gt;=설정!$C$9,L236&gt;=설정!$C$10),"긴급",IF(OR(K236&gt;=설정!$C$7,L236&gt;=설정!$C$8,K236&lt;설정!$C$11),"주의","정상")),"확인필요")))</f>
        <v/>
      </c>
      <c r="U236" s="32" t="str">
        <f aca="false">IF(M236="","",IF(M236="-","측정불가",IF(NOT(ISNUMBER(M236)),"확인필요",IF(M236&lt;설정!$C$15,"긴급(저혈당)",IF(M236&gt;=설정!$C$16,"긴급(고혈당)",IF(N236="공복",IF(M236&gt;=설정!$C$13,"주의","정상"),IF(N236="식후",IF(M236&gt;=설정!$C$14,"주의","정상"),"조건확인")))))))</f>
        <v/>
      </c>
      <c r="V236" s="32" t="str">
        <f aca="false">IF(OR(T236="긴급",LEFT(U236,2)="긴급",P236="O"),"대상","")</f>
        <v/>
      </c>
      <c r="W236" s="33" t="str">
        <f aca="false">IF(R236&lt;&gt;"",R236,IF(O236="O",IF(V236="대상",IF(Q236="O","완료","추가상담 대기"),"완료"),IF(COUNTA(K236:M236)=3,"상담 대기",IF(J236="O","측정 대기",IF(I236="O","운동평가 대기","미방문")))))</f>
        <v>미방문</v>
      </c>
      <c r="X236" s="34"/>
      <c r="Y236" s="34"/>
      <c r="Z236" s="34"/>
      <c r="AA236" s="34"/>
      <c r="AB236" s="34"/>
      <c r="AC236" s="35" t="str">
        <f aca="false">IF(AND(ISNUMBER(X236),ISNUMBER(Y236)),IF(Y236&gt;=X236,ROUND((Y236-X236)*1440,0),""),"")</f>
        <v/>
      </c>
      <c r="AD236" s="35" t="str">
        <f aca="false">IF(AND(ISNUMBER(Y236),ISNUMBER(Z236)),IF(Z236&gt;=Y236,ROUND((Z236-Y236)*1440,0),""),"")</f>
        <v/>
      </c>
      <c r="AE236" s="35" t="str">
        <f aca="false">IF(AND(ISNUMBER(Z236),ISNUMBER(AA236)),IF(AA236&gt;=Z236,ROUND((AA236-Z236)*1440,0),""),"")</f>
        <v/>
      </c>
      <c r="AF236" s="35" t="str">
        <f aca="false">IF(AND(ISNUMBER(AA236),ISNUMBER(AB236)),IF(AB236&gt;=AA236,ROUND((AB236-AA236)*1440,0),""),"")</f>
        <v/>
      </c>
      <c r="AG236" s="35" t="str">
        <f aca="false">IF(AND(W236="완료",ISNUMBER(X236)),IF(MAX(Y236:AB236)&gt;=X236,ROUND((MAX(Y236:AB236)-X236)*1440,0),""),"")</f>
        <v/>
      </c>
    </row>
    <row r="237" customFormat="false" ht="15" hidden="false" customHeight="false" outlineLevel="0" collapsed="false">
      <c r="A237" s="27" t="n">
        <v>233</v>
      </c>
      <c r="B237" s="28"/>
      <c r="C237" s="29"/>
      <c r="D237" s="29"/>
      <c r="E237" s="28"/>
      <c r="F237" s="30"/>
      <c r="G237" s="31"/>
      <c r="H237" s="28"/>
      <c r="I237" s="29"/>
      <c r="J237" s="29"/>
      <c r="K237" s="29"/>
      <c r="L237" s="29"/>
      <c r="M237" s="29"/>
      <c r="N237" s="29"/>
      <c r="O237" s="29"/>
      <c r="P237" s="29"/>
      <c r="Q237" s="29"/>
      <c r="R237" s="29"/>
      <c r="S237" s="28"/>
      <c r="T237" s="32" t="str">
        <f aca="false">IF(AND(K237="",L237=""),"",IF(OR(K237="-",L237="-"),"측정불가",IF(AND(ISNUMBER(K237),ISNUMBER(L237)),IF(OR(K237&gt;=설정!$C$9,L237&gt;=설정!$C$10),"긴급",IF(OR(K237&gt;=설정!$C$7,L237&gt;=설정!$C$8,K237&lt;설정!$C$11),"주의","정상")),"확인필요")))</f>
        <v/>
      </c>
      <c r="U237" s="32" t="str">
        <f aca="false">IF(M237="","",IF(M237="-","측정불가",IF(NOT(ISNUMBER(M237)),"확인필요",IF(M237&lt;설정!$C$15,"긴급(저혈당)",IF(M237&gt;=설정!$C$16,"긴급(고혈당)",IF(N237="공복",IF(M237&gt;=설정!$C$13,"주의","정상"),IF(N237="식후",IF(M237&gt;=설정!$C$14,"주의","정상"),"조건확인")))))))</f>
        <v/>
      </c>
      <c r="V237" s="32" t="str">
        <f aca="false">IF(OR(T237="긴급",LEFT(U237,2)="긴급",P237="O"),"대상","")</f>
        <v/>
      </c>
      <c r="W237" s="33" t="str">
        <f aca="false">IF(R237&lt;&gt;"",R237,IF(O237="O",IF(V237="대상",IF(Q237="O","완료","추가상담 대기"),"완료"),IF(COUNTA(K237:M237)=3,"상담 대기",IF(J237="O","측정 대기",IF(I237="O","운동평가 대기","미방문")))))</f>
        <v>미방문</v>
      </c>
      <c r="X237" s="34"/>
      <c r="Y237" s="34"/>
      <c r="Z237" s="34"/>
      <c r="AA237" s="34"/>
      <c r="AB237" s="34"/>
      <c r="AC237" s="35" t="str">
        <f aca="false">IF(AND(ISNUMBER(X237),ISNUMBER(Y237)),IF(Y237&gt;=X237,ROUND((Y237-X237)*1440,0),""),"")</f>
        <v/>
      </c>
      <c r="AD237" s="35" t="str">
        <f aca="false">IF(AND(ISNUMBER(Y237),ISNUMBER(Z237)),IF(Z237&gt;=Y237,ROUND((Z237-Y237)*1440,0),""),"")</f>
        <v/>
      </c>
      <c r="AE237" s="35" t="str">
        <f aca="false">IF(AND(ISNUMBER(Z237),ISNUMBER(AA237)),IF(AA237&gt;=Z237,ROUND((AA237-Z237)*1440,0),""),"")</f>
        <v/>
      </c>
      <c r="AF237" s="35" t="str">
        <f aca="false">IF(AND(ISNUMBER(AA237),ISNUMBER(AB237)),IF(AB237&gt;=AA237,ROUND((AB237-AA237)*1440,0),""),"")</f>
        <v/>
      </c>
      <c r="AG237" s="35" t="str">
        <f aca="false">IF(AND(W237="완료",ISNUMBER(X237)),IF(MAX(Y237:AB237)&gt;=X237,ROUND((MAX(Y237:AB237)-X237)*1440,0),""),"")</f>
        <v/>
      </c>
    </row>
    <row r="238" customFormat="false" ht="15" hidden="false" customHeight="false" outlineLevel="0" collapsed="false">
      <c r="A238" s="27" t="n">
        <v>234</v>
      </c>
      <c r="B238" s="28"/>
      <c r="C238" s="29"/>
      <c r="D238" s="29"/>
      <c r="E238" s="28"/>
      <c r="F238" s="30"/>
      <c r="G238" s="31"/>
      <c r="H238" s="28"/>
      <c r="I238" s="29"/>
      <c r="J238" s="29"/>
      <c r="K238" s="29"/>
      <c r="L238" s="29"/>
      <c r="M238" s="29"/>
      <c r="N238" s="29"/>
      <c r="O238" s="29"/>
      <c r="P238" s="29"/>
      <c r="Q238" s="29"/>
      <c r="R238" s="29"/>
      <c r="S238" s="28"/>
      <c r="T238" s="32" t="str">
        <f aca="false">IF(AND(K238="",L238=""),"",IF(OR(K238="-",L238="-"),"측정불가",IF(AND(ISNUMBER(K238),ISNUMBER(L238)),IF(OR(K238&gt;=설정!$C$9,L238&gt;=설정!$C$10),"긴급",IF(OR(K238&gt;=설정!$C$7,L238&gt;=설정!$C$8,K238&lt;설정!$C$11),"주의","정상")),"확인필요")))</f>
        <v/>
      </c>
      <c r="U238" s="32" t="str">
        <f aca="false">IF(M238="","",IF(M238="-","측정불가",IF(NOT(ISNUMBER(M238)),"확인필요",IF(M238&lt;설정!$C$15,"긴급(저혈당)",IF(M238&gt;=설정!$C$16,"긴급(고혈당)",IF(N238="공복",IF(M238&gt;=설정!$C$13,"주의","정상"),IF(N238="식후",IF(M238&gt;=설정!$C$14,"주의","정상"),"조건확인")))))))</f>
        <v/>
      </c>
      <c r="V238" s="32" t="str">
        <f aca="false">IF(OR(T238="긴급",LEFT(U238,2)="긴급",P238="O"),"대상","")</f>
        <v/>
      </c>
      <c r="W238" s="33" t="str">
        <f aca="false">IF(R238&lt;&gt;"",R238,IF(O238="O",IF(V238="대상",IF(Q238="O","완료","추가상담 대기"),"완료"),IF(COUNTA(K238:M238)=3,"상담 대기",IF(J238="O","측정 대기",IF(I238="O","운동평가 대기","미방문")))))</f>
        <v>미방문</v>
      </c>
      <c r="X238" s="34"/>
      <c r="Y238" s="34"/>
      <c r="Z238" s="34"/>
      <c r="AA238" s="34"/>
      <c r="AB238" s="34"/>
      <c r="AC238" s="35" t="str">
        <f aca="false">IF(AND(ISNUMBER(X238),ISNUMBER(Y238)),IF(Y238&gt;=X238,ROUND((Y238-X238)*1440,0),""),"")</f>
        <v/>
      </c>
      <c r="AD238" s="35" t="str">
        <f aca="false">IF(AND(ISNUMBER(Y238),ISNUMBER(Z238)),IF(Z238&gt;=Y238,ROUND((Z238-Y238)*1440,0),""),"")</f>
        <v/>
      </c>
      <c r="AE238" s="35" t="str">
        <f aca="false">IF(AND(ISNUMBER(Z238),ISNUMBER(AA238)),IF(AA238&gt;=Z238,ROUND((AA238-Z238)*1440,0),""),"")</f>
        <v/>
      </c>
      <c r="AF238" s="35" t="str">
        <f aca="false">IF(AND(ISNUMBER(AA238),ISNUMBER(AB238)),IF(AB238&gt;=AA238,ROUND((AB238-AA238)*1440,0),""),"")</f>
        <v/>
      </c>
      <c r="AG238" s="35" t="str">
        <f aca="false">IF(AND(W238="완료",ISNUMBER(X238)),IF(MAX(Y238:AB238)&gt;=X238,ROUND((MAX(Y238:AB238)-X238)*1440,0),""),"")</f>
        <v/>
      </c>
    </row>
    <row r="239" customFormat="false" ht="15" hidden="false" customHeight="false" outlineLevel="0" collapsed="false">
      <c r="A239" s="27" t="n">
        <v>235</v>
      </c>
      <c r="B239" s="28"/>
      <c r="C239" s="29"/>
      <c r="D239" s="29"/>
      <c r="E239" s="28"/>
      <c r="F239" s="30"/>
      <c r="G239" s="31"/>
      <c r="H239" s="28"/>
      <c r="I239" s="29"/>
      <c r="J239" s="29"/>
      <c r="K239" s="29"/>
      <c r="L239" s="29"/>
      <c r="M239" s="29"/>
      <c r="N239" s="29"/>
      <c r="O239" s="29"/>
      <c r="P239" s="29"/>
      <c r="Q239" s="29"/>
      <c r="R239" s="29"/>
      <c r="S239" s="28"/>
      <c r="T239" s="32" t="str">
        <f aca="false">IF(AND(K239="",L239=""),"",IF(OR(K239="-",L239="-"),"측정불가",IF(AND(ISNUMBER(K239),ISNUMBER(L239)),IF(OR(K239&gt;=설정!$C$9,L239&gt;=설정!$C$10),"긴급",IF(OR(K239&gt;=설정!$C$7,L239&gt;=설정!$C$8,K239&lt;설정!$C$11),"주의","정상")),"확인필요")))</f>
        <v/>
      </c>
      <c r="U239" s="32" t="str">
        <f aca="false">IF(M239="","",IF(M239="-","측정불가",IF(NOT(ISNUMBER(M239)),"확인필요",IF(M239&lt;설정!$C$15,"긴급(저혈당)",IF(M239&gt;=설정!$C$16,"긴급(고혈당)",IF(N239="공복",IF(M239&gt;=설정!$C$13,"주의","정상"),IF(N239="식후",IF(M239&gt;=설정!$C$14,"주의","정상"),"조건확인")))))))</f>
        <v/>
      </c>
      <c r="V239" s="32" t="str">
        <f aca="false">IF(OR(T239="긴급",LEFT(U239,2)="긴급",P239="O"),"대상","")</f>
        <v/>
      </c>
      <c r="W239" s="33" t="str">
        <f aca="false">IF(R239&lt;&gt;"",R239,IF(O239="O",IF(V239="대상",IF(Q239="O","완료","추가상담 대기"),"완료"),IF(COUNTA(K239:M239)=3,"상담 대기",IF(J239="O","측정 대기",IF(I239="O","운동평가 대기","미방문")))))</f>
        <v>미방문</v>
      </c>
      <c r="X239" s="34"/>
      <c r="Y239" s="34"/>
      <c r="Z239" s="34"/>
      <c r="AA239" s="34"/>
      <c r="AB239" s="34"/>
      <c r="AC239" s="35" t="str">
        <f aca="false">IF(AND(ISNUMBER(X239),ISNUMBER(Y239)),IF(Y239&gt;=X239,ROUND((Y239-X239)*1440,0),""),"")</f>
        <v/>
      </c>
      <c r="AD239" s="35" t="str">
        <f aca="false">IF(AND(ISNUMBER(Y239),ISNUMBER(Z239)),IF(Z239&gt;=Y239,ROUND((Z239-Y239)*1440,0),""),"")</f>
        <v/>
      </c>
      <c r="AE239" s="35" t="str">
        <f aca="false">IF(AND(ISNUMBER(Z239),ISNUMBER(AA239)),IF(AA239&gt;=Z239,ROUND((AA239-Z239)*1440,0),""),"")</f>
        <v/>
      </c>
      <c r="AF239" s="35" t="str">
        <f aca="false">IF(AND(ISNUMBER(AA239),ISNUMBER(AB239)),IF(AB239&gt;=AA239,ROUND((AB239-AA239)*1440,0),""),"")</f>
        <v/>
      </c>
      <c r="AG239" s="35" t="str">
        <f aca="false">IF(AND(W239="완료",ISNUMBER(X239)),IF(MAX(Y239:AB239)&gt;=X239,ROUND((MAX(Y239:AB239)-X239)*1440,0),""),"")</f>
        <v/>
      </c>
    </row>
    <row r="240" customFormat="false" ht="15" hidden="false" customHeight="false" outlineLevel="0" collapsed="false">
      <c r="A240" s="27" t="n">
        <v>236</v>
      </c>
      <c r="B240" s="28"/>
      <c r="C240" s="29"/>
      <c r="D240" s="29"/>
      <c r="E240" s="28"/>
      <c r="F240" s="30"/>
      <c r="G240" s="31"/>
      <c r="H240" s="28"/>
      <c r="I240" s="29"/>
      <c r="J240" s="29"/>
      <c r="K240" s="29"/>
      <c r="L240" s="29"/>
      <c r="M240" s="29"/>
      <c r="N240" s="29"/>
      <c r="O240" s="29"/>
      <c r="P240" s="29"/>
      <c r="Q240" s="29"/>
      <c r="R240" s="29"/>
      <c r="S240" s="28"/>
      <c r="T240" s="32" t="str">
        <f aca="false">IF(AND(K240="",L240=""),"",IF(OR(K240="-",L240="-"),"측정불가",IF(AND(ISNUMBER(K240),ISNUMBER(L240)),IF(OR(K240&gt;=설정!$C$9,L240&gt;=설정!$C$10),"긴급",IF(OR(K240&gt;=설정!$C$7,L240&gt;=설정!$C$8,K240&lt;설정!$C$11),"주의","정상")),"확인필요")))</f>
        <v/>
      </c>
      <c r="U240" s="32" t="str">
        <f aca="false">IF(M240="","",IF(M240="-","측정불가",IF(NOT(ISNUMBER(M240)),"확인필요",IF(M240&lt;설정!$C$15,"긴급(저혈당)",IF(M240&gt;=설정!$C$16,"긴급(고혈당)",IF(N240="공복",IF(M240&gt;=설정!$C$13,"주의","정상"),IF(N240="식후",IF(M240&gt;=설정!$C$14,"주의","정상"),"조건확인")))))))</f>
        <v/>
      </c>
      <c r="V240" s="32" t="str">
        <f aca="false">IF(OR(T240="긴급",LEFT(U240,2)="긴급",P240="O"),"대상","")</f>
        <v/>
      </c>
      <c r="W240" s="33" t="str">
        <f aca="false">IF(R240&lt;&gt;"",R240,IF(O240="O",IF(V240="대상",IF(Q240="O","완료","추가상담 대기"),"완료"),IF(COUNTA(K240:M240)=3,"상담 대기",IF(J240="O","측정 대기",IF(I240="O","운동평가 대기","미방문")))))</f>
        <v>미방문</v>
      </c>
      <c r="X240" s="34"/>
      <c r="Y240" s="34"/>
      <c r="Z240" s="34"/>
      <c r="AA240" s="34"/>
      <c r="AB240" s="34"/>
      <c r="AC240" s="35" t="str">
        <f aca="false">IF(AND(ISNUMBER(X240),ISNUMBER(Y240)),IF(Y240&gt;=X240,ROUND((Y240-X240)*1440,0),""),"")</f>
        <v/>
      </c>
      <c r="AD240" s="35" t="str">
        <f aca="false">IF(AND(ISNUMBER(Y240),ISNUMBER(Z240)),IF(Z240&gt;=Y240,ROUND((Z240-Y240)*1440,0),""),"")</f>
        <v/>
      </c>
      <c r="AE240" s="35" t="str">
        <f aca="false">IF(AND(ISNUMBER(Z240),ISNUMBER(AA240)),IF(AA240&gt;=Z240,ROUND((AA240-Z240)*1440,0),""),"")</f>
        <v/>
      </c>
      <c r="AF240" s="35" t="str">
        <f aca="false">IF(AND(ISNUMBER(AA240),ISNUMBER(AB240)),IF(AB240&gt;=AA240,ROUND((AB240-AA240)*1440,0),""),"")</f>
        <v/>
      </c>
      <c r="AG240" s="35" t="str">
        <f aca="false">IF(AND(W240="완료",ISNUMBER(X240)),IF(MAX(Y240:AB240)&gt;=X240,ROUND((MAX(Y240:AB240)-X240)*1440,0),""),"")</f>
        <v/>
      </c>
    </row>
    <row r="241" customFormat="false" ht="15" hidden="false" customHeight="false" outlineLevel="0" collapsed="false">
      <c r="A241" s="27" t="n">
        <v>237</v>
      </c>
      <c r="B241" s="28"/>
      <c r="C241" s="29"/>
      <c r="D241" s="29"/>
      <c r="E241" s="28"/>
      <c r="F241" s="30"/>
      <c r="G241" s="31"/>
      <c r="H241" s="28"/>
      <c r="I241" s="29"/>
      <c r="J241" s="29"/>
      <c r="K241" s="29"/>
      <c r="L241" s="29"/>
      <c r="M241" s="29"/>
      <c r="N241" s="29"/>
      <c r="O241" s="29"/>
      <c r="P241" s="29"/>
      <c r="Q241" s="29"/>
      <c r="R241" s="29"/>
      <c r="S241" s="28"/>
      <c r="T241" s="32" t="str">
        <f aca="false">IF(AND(K241="",L241=""),"",IF(OR(K241="-",L241="-"),"측정불가",IF(AND(ISNUMBER(K241),ISNUMBER(L241)),IF(OR(K241&gt;=설정!$C$9,L241&gt;=설정!$C$10),"긴급",IF(OR(K241&gt;=설정!$C$7,L241&gt;=설정!$C$8,K241&lt;설정!$C$11),"주의","정상")),"확인필요")))</f>
        <v/>
      </c>
      <c r="U241" s="32" t="str">
        <f aca="false">IF(M241="","",IF(M241="-","측정불가",IF(NOT(ISNUMBER(M241)),"확인필요",IF(M241&lt;설정!$C$15,"긴급(저혈당)",IF(M241&gt;=설정!$C$16,"긴급(고혈당)",IF(N241="공복",IF(M241&gt;=설정!$C$13,"주의","정상"),IF(N241="식후",IF(M241&gt;=설정!$C$14,"주의","정상"),"조건확인")))))))</f>
        <v/>
      </c>
      <c r="V241" s="32" t="str">
        <f aca="false">IF(OR(T241="긴급",LEFT(U241,2)="긴급",P241="O"),"대상","")</f>
        <v/>
      </c>
      <c r="W241" s="33" t="str">
        <f aca="false">IF(R241&lt;&gt;"",R241,IF(O241="O",IF(V241="대상",IF(Q241="O","완료","추가상담 대기"),"완료"),IF(COUNTA(K241:M241)=3,"상담 대기",IF(J241="O","측정 대기",IF(I241="O","운동평가 대기","미방문")))))</f>
        <v>미방문</v>
      </c>
      <c r="X241" s="34"/>
      <c r="Y241" s="34"/>
      <c r="Z241" s="34"/>
      <c r="AA241" s="34"/>
      <c r="AB241" s="34"/>
      <c r="AC241" s="35" t="str">
        <f aca="false">IF(AND(ISNUMBER(X241),ISNUMBER(Y241)),IF(Y241&gt;=X241,ROUND((Y241-X241)*1440,0),""),"")</f>
        <v/>
      </c>
      <c r="AD241" s="35" t="str">
        <f aca="false">IF(AND(ISNUMBER(Y241),ISNUMBER(Z241)),IF(Z241&gt;=Y241,ROUND((Z241-Y241)*1440,0),""),"")</f>
        <v/>
      </c>
      <c r="AE241" s="35" t="str">
        <f aca="false">IF(AND(ISNUMBER(Z241),ISNUMBER(AA241)),IF(AA241&gt;=Z241,ROUND((AA241-Z241)*1440,0),""),"")</f>
        <v/>
      </c>
      <c r="AF241" s="35" t="str">
        <f aca="false">IF(AND(ISNUMBER(AA241),ISNUMBER(AB241)),IF(AB241&gt;=AA241,ROUND((AB241-AA241)*1440,0),""),"")</f>
        <v/>
      </c>
      <c r="AG241" s="35" t="str">
        <f aca="false">IF(AND(W241="완료",ISNUMBER(X241)),IF(MAX(Y241:AB241)&gt;=X241,ROUND((MAX(Y241:AB241)-X241)*1440,0),""),"")</f>
        <v/>
      </c>
    </row>
    <row r="242" customFormat="false" ht="15" hidden="false" customHeight="false" outlineLevel="0" collapsed="false">
      <c r="A242" s="27" t="n">
        <v>238</v>
      </c>
      <c r="B242" s="28"/>
      <c r="C242" s="29"/>
      <c r="D242" s="29"/>
      <c r="E242" s="28"/>
      <c r="F242" s="30"/>
      <c r="G242" s="31"/>
      <c r="H242" s="28"/>
      <c r="I242" s="29"/>
      <c r="J242" s="29"/>
      <c r="K242" s="29"/>
      <c r="L242" s="29"/>
      <c r="M242" s="29"/>
      <c r="N242" s="29"/>
      <c r="O242" s="29"/>
      <c r="P242" s="29"/>
      <c r="Q242" s="29"/>
      <c r="R242" s="29"/>
      <c r="S242" s="28"/>
      <c r="T242" s="32" t="str">
        <f aca="false">IF(AND(K242="",L242=""),"",IF(OR(K242="-",L242="-"),"측정불가",IF(AND(ISNUMBER(K242),ISNUMBER(L242)),IF(OR(K242&gt;=설정!$C$9,L242&gt;=설정!$C$10),"긴급",IF(OR(K242&gt;=설정!$C$7,L242&gt;=설정!$C$8,K242&lt;설정!$C$11),"주의","정상")),"확인필요")))</f>
        <v/>
      </c>
      <c r="U242" s="32" t="str">
        <f aca="false">IF(M242="","",IF(M242="-","측정불가",IF(NOT(ISNUMBER(M242)),"확인필요",IF(M242&lt;설정!$C$15,"긴급(저혈당)",IF(M242&gt;=설정!$C$16,"긴급(고혈당)",IF(N242="공복",IF(M242&gt;=설정!$C$13,"주의","정상"),IF(N242="식후",IF(M242&gt;=설정!$C$14,"주의","정상"),"조건확인")))))))</f>
        <v/>
      </c>
      <c r="V242" s="32" t="str">
        <f aca="false">IF(OR(T242="긴급",LEFT(U242,2)="긴급",P242="O"),"대상","")</f>
        <v/>
      </c>
      <c r="W242" s="33" t="str">
        <f aca="false">IF(R242&lt;&gt;"",R242,IF(O242="O",IF(V242="대상",IF(Q242="O","완료","추가상담 대기"),"완료"),IF(COUNTA(K242:M242)=3,"상담 대기",IF(J242="O","측정 대기",IF(I242="O","운동평가 대기","미방문")))))</f>
        <v>미방문</v>
      </c>
      <c r="X242" s="34"/>
      <c r="Y242" s="34"/>
      <c r="Z242" s="34"/>
      <c r="AA242" s="34"/>
      <c r="AB242" s="34"/>
      <c r="AC242" s="35" t="str">
        <f aca="false">IF(AND(ISNUMBER(X242),ISNUMBER(Y242)),IF(Y242&gt;=X242,ROUND((Y242-X242)*1440,0),""),"")</f>
        <v/>
      </c>
      <c r="AD242" s="35" t="str">
        <f aca="false">IF(AND(ISNUMBER(Y242),ISNUMBER(Z242)),IF(Z242&gt;=Y242,ROUND((Z242-Y242)*1440,0),""),"")</f>
        <v/>
      </c>
      <c r="AE242" s="35" t="str">
        <f aca="false">IF(AND(ISNUMBER(Z242),ISNUMBER(AA242)),IF(AA242&gt;=Z242,ROUND((AA242-Z242)*1440,0),""),"")</f>
        <v/>
      </c>
      <c r="AF242" s="35" t="str">
        <f aca="false">IF(AND(ISNUMBER(AA242),ISNUMBER(AB242)),IF(AB242&gt;=AA242,ROUND((AB242-AA242)*1440,0),""),"")</f>
        <v/>
      </c>
      <c r="AG242" s="35" t="str">
        <f aca="false">IF(AND(W242="완료",ISNUMBER(X242)),IF(MAX(Y242:AB242)&gt;=X242,ROUND((MAX(Y242:AB242)-X242)*1440,0),""),"")</f>
        <v/>
      </c>
    </row>
    <row r="243" customFormat="false" ht="15" hidden="false" customHeight="false" outlineLevel="0" collapsed="false">
      <c r="A243" s="27" t="n">
        <v>239</v>
      </c>
      <c r="B243" s="28"/>
      <c r="C243" s="29"/>
      <c r="D243" s="29"/>
      <c r="E243" s="28"/>
      <c r="F243" s="30"/>
      <c r="G243" s="31"/>
      <c r="H243" s="28"/>
      <c r="I243" s="29"/>
      <c r="J243" s="29"/>
      <c r="K243" s="29"/>
      <c r="L243" s="29"/>
      <c r="M243" s="29"/>
      <c r="N243" s="29"/>
      <c r="O243" s="29"/>
      <c r="P243" s="29"/>
      <c r="Q243" s="29"/>
      <c r="R243" s="29"/>
      <c r="S243" s="28"/>
      <c r="T243" s="32" t="str">
        <f aca="false">IF(AND(K243="",L243=""),"",IF(OR(K243="-",L243="-"),"측정불가",IF(AND(ISNUMBER(K243),ISNUMBER(L243)),IF(OR(K243&gt;=설정!$C$9,L243&gt;=설정!$C$10),"긴급",IF(OR(K243&gt;=설정!$C$7,L243&gt;=설정!$C$8,K243&lt;설정!$C$11),"주의","정상")),"확인필요")))</f>
        <v/>
      </c>
      <c r="U243" s="32" t="str">
        <f aca="false">IF(M243="","",IF(M243="-","측정불가",IF(NOT(ISNUMBER(M243)),"확인필요",IF(M243&lt;설정!$C$15,"긴급(저혈당)",IF(M243&gt;=설정!$C$16,"긴급(고혈당)",IF(N243="공복",IF(M243&gt;=설정!$C$13,"주의","정상"),IF(N243="식후",IF(M243&gt;=설정!$C$14,"주의","정상"),"조건확인")))))))</f>
        <v/>
      </c>
      <c r="V243" s="32" t="str">
        <f aca="false">IF(OR(T243="긴급",LEFT(U243,2)="긴급",P243="O"),"대상","")</f>
        <v/>
      </c>
      <c r="W243" s="33" t="str">
        <f aca="false">IF(R243&lt;&gt;"",R243,IF(O243="O",IF(V243="대상",IF(Q243="O","완료","추가상담 대기"),"완료"),IF(COUNTA(K243:M243)=3,"상담 대기",IF(J243="O","측정 대기",IF(I243="O","운동평가 대기","미방문")))))</f>
        <v>미방문</v>
      </c>
      <c r="X243" s="34"/>
      <c r="Y243" s="34"/>
      <c r="Z243" s="34"/>
      <c r="AA243" s="34"/>
      <c r="AB243" s="34"/>
      <c r="AC243" s="35" t="str">
        <f aca="false">IF(AND(ISNUMBER(X243),ISNUMBER(Y243)),IF(Y243&gt;=X243,ROUND((Y243-X243)*1440,0),""),"")</f>
        <v/>
      </c>
      <c r="AD243" s="35" t="str">
        <f aca="false">IF(AND(ISNUMBER(Y243),ISNUMBER(Z243)),IF(Z243&gt;=Y243,ROUND((Z243-Y243)*1440,0),""),"")</f>
        <v/>
      </c>
      <c r="AE243" s="35" t="str">
        <f aca="false">IF(AND(ISNUMBER(Z243),ISNUMBER(AA243)),IF(AA243&gt;=Z243,ROUND((AA243-Z243)*1440,0),""),"")</f>
        <v/>
      </c>
      <c r="AF243" s="35" t="str">
        <f aca="false">IF(AND(ISNUMBER(AA243),ISNUMBER(AB243)),IF(AB243&gt;=AA243,ROUND((AB243-AA243)*1440,0),""),"")</f>
        <v/>
      </c>
      <c r="AG243" s="35" t="str">
        <f aca="false">IF(AND(W243="완료",ISNUMBER(X243)),IF(MAX(Y243:AB243)&gt;=X243,ROUND((MAX(Y243:AB243)-X243)*1440,0),""),"")</f>
        <v/>
      </c>
    </row>
    <row r="244" customFormat="false" ht="15" hidden="false" customHeight="false" outlineLevel="0" collapsed="false">
      <c r="A244" s="27" t="n">
        <v>240</v>
      </c>
      <c r="B244" s="28"/>
      <c r="C244" s="29"/>
      <c r="D244" s="29"/>
      <c r="E244" s="28"/>
      <c r="F244" s="30"/>
      <c r="G244" s="31"/>
      <c r="H244" s="28"/>
      <c r="I244" s="29"/>
      <c r="J244" s="29"/>
      <c r="K244" s="29"/>
      <c r="L244" s="29"/>
      <c r="M244" s="29"/>
      <c r="N244" s="29"/>
      <c r="O244" s="29"/>
      <c r="P244" s="29"/>
      <c r="Q244" s="29"/>
      <c r="R244" s="29"/>
      <c r="S244" s="28"/>
      <c r="T244" s="32" t="str">
        <f aca="false">IF(AND(K244="",L244=""),"",IF(OR(K244="-",L244="-"),"측정불가",IF(AND(ISNUMBER(K244),ISNUMBER(L244)),IF(OR(K244&gt;=설정!$C$9,L244&gt;=설정!$C$10),"긴급",IF(OR(K244&gt;=설정!$C$7,L244&gt;=설정!$C$8,K244&lt;설정!$C$11),"주의","정상")),"확인필요")))</f>
        <v/>
      </c>
      <c r="U244" s="32" t="str">
        <f aca="false">IF(M244="","",IF(M244="-","측정불가",IF(NOT(ISNUMBER(M244)),"확인필요",IF(M244&lt;설정!$C$15,"긴급(저혈당)",IF(M244&gt;=설정!$C$16,"긴급(고혈당)",IF(N244="공복",IF(M244&gt;=설정!$C$13,"주의","정상"),IF(N244="식후",IF(M244&gt;=설정!$C$14,"주의","정상"),"조건확인")))))))</f>
        <v/>
      </c>
      <c r="V244" s="32" t="str">
        <f aca="false">IF(OR(T244="긴급",LEFT(U244,2)="긴급",P244="O"),"대상","")</f>
        <v/>
      </c>
      <c r="W244" s="33" t="str">
        <f aca="false">IF(R244&lt;&gt;"",R244,IF(O244="O",IF(V244="대상",IF(Q244="O","완료","추가상담 대기"),"완료"),IF(COUNTA(K244:M244)=3,"상담 대기",IF(J244="O","측정 대기",IF(I244="O","운동평가 대기","미방문")))))</f>
        <v>미방문</v>
      </c>
      <c r="X244" s="34"/>
      <c r="Y244" s="34"/>
      <c r="Z244" s="34"/>
      <c r="AA244" s="34"/>
      <c r="AB244" s="34"/>
      <c r="AC244" s="35" t="str">
        <f aca="false">IF(AND(ISNUMBER(X244),ISNUMBER(Y244)),IF(Y244&gt;=X244,ROUND((Y244-X244)*1440,0),""),"")</f>
        <v/>
      </c>
      <c r="AD244" s="35" t="str">
        <f aca="false">IF(AND(ISNUMBER(Y244),ISNUMBER(Z244)),IF(Z244&gt;=Y244,ROUND((Z244-Y244)*1440,0),""),"")</f>
        <v/>
      </c>
      <c r="AE244" s="35" t="str">
        <f aca="false">IF(AND(ISNUMBER(Z244),ISNUMBER(AA244)),IF(AA244&gt;=Z244,ROUND((AA244-Z244)*1440,0),""),"")</f>
        <v/>
      </c>
      <c r="AF244" s="35" t="str">
        <f aca="false">IF(AND(ISNUMBER(AA244),ISNUMBER(AB244)),IF(AB244&gt;=AA244,ROUND((AB244-AA244)*1440,0),""),"")</f>
        <v/>
      </c>
      <c r="AG244" s="35" t="str">
        <f aca="false">IF(AND(W244="완료",ISNUMBER(X244)),IF(MAX(Y244:AB244)&gt;=X244,ROUND((MAX(Y244:AB244)-X244)*1440,0),""),"")</f>
        <v/>
      </c>
    </row>
    <row r="245" customFormat="false" ht="15" hidden="false" customHeight="false" outlineLevel="0" collapsed="false">
      <c r="A245" s="27" t="n">
        <v>241</v>
      </c>
      <c r="B245" s="28"/>
      <c r="C245" s="29"/>
      <c r="D245" s="29"/>
      <c r="E245" s="28"/>
      <c r="F245" s="30"/>
      <c r="G245" s="31"/>
      <c r="H245" s="28"/>
      <c r="I245" s="29"/>
      <c r="J245" s="29"/>
      <c r="K245" s="29"/>
      <c r="L245" s="29"/>
      <c r="M245" s="29"/>
      <c r="N245" s="29"/>
      <c r="O245" s="29"/>
      <c r="P245" s="29"/>
      <c r="Q245" s="29"/>
      <c r="R245" s="29"/>
      <c r="S245" s="28"/>
      <c r="T245" s="32" t="str">
        <f aca="false">IF(AND(K245="",L245=""),"",IF(OR(K245="-",L245="-"),"측정불가",IF(AND(ISNUMBER(K245),ISNUMBER(L245)),IF(OR(K245&gt;=설정!$C$9,L245&gt;=설정!$C$10),"긴급",IF(OR(K245&gt;=설정!$C$7,L245&gt;=설정!$C$8,K245&lt;설정!$C$11),"주의","정상")),"확인필요")))</f>
        <v/>
      </c>
      <c r="U245" s="32" t="str">
        <f aca="false">IF(M245="","",IF(M245="-","측정불가",IF(NOT(ISNUMBER(M245)),"확인필요",IF(M245&lt;설정!$C$15,"긴급(저혈당)",IF(M245&gt;=설정!$C$16,"긴급(고혈당)",IF(N245="공복",IF(M245&gt;=설정!$C$13,"주의","정상"),IF(N245="식후",IF(M245&gt;=설정!$C$14,"주의","정상"),"조건확인")))))))</f>
        <v/>
      </c>
      <c r="V245" s="32" t="str">
        <f aca="false">IF(OR(T245="긴급",LEFT(U245,2)="긴급",P245="O"),"대상","")</f>
        <v/>
      </c>
      <c r="W245" s="33" t="str">
        <f aca="false">IF(R245&lt;&gt;"",R245,IF(O245="O",IF(V245="대상",IF(Q245="O","완료","추가상담 대기"),"완료"),IF(COUNTA(K245:M245)=3,"상담 대기",IF(J245="O","측정 대기",IF(I245="O","운동평가 대기","미방문")))))</f>
        <v>미방문</v>
      </c>
      <c r="X245" s="34"/>
      <c r="Y245" s="34"/>
      <c r="Z245" s="34"/>
      <c r="AA245" s="34"/>
      <c r="AB245" s="34"/>
      <c r="AC245" s="35" t="str">
        <f aca="false">IF(AND(ISNUMBER(X245),ISNUMBER(Y245)),IF(Y245&gt;=X245,ROUND((Y245-X245)*1440,0),""),"")</f>
        <v/>
      </c>
      <c r="AD245" s="35" t="str">
        <f aca="false">IF(AND(ISNUMBER(Y245),ISNUMBER(Z245)),IF(Z245&gt;=Y245,ROUND((Z245-Y245)*1440,0),""),"")</f>
        <v/>
      </c>
      <c r="AE245" s="35" t="str">
        <f aca="false">IF(AND(ISNUMBER(Z245),ISNUMBER(AA245)),IF(AA245&gt;=Z245,ROUND((AA245-Z245)*1440,0),""),"")</f>
        <v/>
      </c>
      <c r="AF245" s="35" t="str">
        <f aca="false">IF(AND(ISNUMBER(AA245),ISNUMBER(AB245)),IF(AB245&gt;=AA245,ROUND((AB245-AA245)*1440,0),""),"")</f>
        <v/>
      </c>
      <c r="AG245" s="35" t="str">
        <f aca="false">IF(AND(W245="완료",ISNUMBER(X245)),IF(MAX(Y245:AB245)&gt;=X245,ROUND((MAX(Y245:AB245)-X245)*1440,0),""),"")</f>
        <v/>
      </c>
    </row>
    <row r="246" customFormat="false" ht="15" hidden="false" customHeight="false" outlineLevel="0" collapsed="false">
      <c r="A246" s="27" t="n">
        <v>242</v>
      </c>
      <c r="B246" s="28"/>
      <c r="C246" s="29"/>
      <c r="D246" s="29"/>
      <c r="E246" s="28"/>
      <c r="F246" s="30"/>
      <c r="G246" s="31"/>
      <c r="H246" s="28"/>
      <c r="I246" s="29"/>
      <c r="J246" s="29"/>
      <c r="K246" s="29"/>
      <c r="L246" s="29"/>
      <c r="M246" s="29"/>
      <c r="N246" s="29"/>
      <c r="O246" s="29"/>
      <c r="P246" s="29"/>
      <c r="Q246" s="29"/>
      <c r="R246" s="29"/>
      <c r="S246" s="28"/>
      <c r="T246" s="32" t="str">
        <f aca="false">IF(AND(K246="",L246=""),"",IF(OR(K246="-",L246="-"),"측정불가",IF(AND(ISNUMBER(K246),ISNUMBER(L246)),IF(OR(K246&gt;=설정!$C$9,L246&gt;=설정!$C$10),"긴급",IF(OR(K246&gt;=설정!$C$7,L246&gt;=설정!$C$8,K246&lt;설정!$C$11),"주의","정상")),"확인필요")))</f>
        <v/>
      </c>
      <c r="U246" s="32" t="str">
        <f aca="false">IF(M246="","",IF(M246="-","측정불가",IF(NOT(ISNUMBER(M246)),"확인필요",IF(M246&lt;설정!$C$15,"긴급(저혈당)",IF(M246&gt;=설정!$C$16,"긴급(고혈당)",IF(N246="공복",IF(M246&gt;=설정!$C$13,"주의","정상"),IF(N246="식후",IF(M246&gt;=설정!$C$14,"주의","정상"),"조건확인")))))))</f>
        <v/>
      </c>
      <c r="V246" s="32" t="str">
        <f aca="false">IF(OR(T246="긴급",LEFT(U246,2)="긴급",P246="O"),"대상","")</f>
        <v/>
      </c>
      <c r="W246" s="33" t="str">
        <f aca="false">IF(R246&lt;&gt;"",R246,IF(O246="O",IF(V246="대상",IF(Q246="O","완료","추가상담 대기"),"완료"),IF(COUNTA(K246:M246)=3,"상담 대기",IF(J246="O","측정 대기",IF(I246="O","운동평가 대기","미방문")))))</f>
        <v>미방문</v>
      </c>
      <c r="X246" s="34"/>
      <c r="Y246" s="34"/>
      <c r="Z246" s="34"/>
      <c r="AA246" s="34"/>
      <c r="AB246" s="34"/>
      <c r="AC246" s="35" t="str">
        <f aca="false">IF(AND(ISNUMBER(X246),ISNUMBER(Y246)),IF(Y246&gt;=X246,ROUND((Y246-X246)*1440,0),""),"")</f>
        <v/>
      </c>
      <c r="AD246" s="35" t="str">
        <f aca="false">IF(AND(ISNUMBER(Y246),ISNUMBER(Z246)),IF(Z246&gt;=Y246,ROUND((Z246-Y246)*1440,0),""),"")</f>
        <v/>
      </c>
      <c r="AE246" s="35" t="str">
        <f aca="false">IF(AND(ISNUMBER(Z246),ISNUMBER(AA246)),IF(AA246&gt;=Z246,ROUND((AA246-Z246)*1440,0),""),"")</f>
        <v/>
      </c>
      <c r="AF246" s="35" t="str">
        <f aca="false">IF(AND(ISNUMBER(AA246),ISNUMBER(AB246)),IF(AB246&gt;=AA246,ROUND((AB246-AA246)*1440,0),""),"")</f>
        <v/>
      </c>
      <c r="AG246" s="35" t="str">
        <f aca="false">IF(AND(W246="완료",ISNUMBER(X246)),IF(MAX(Y246:AB246)&gt;=X246,ROUND((MAX(Y246:AB246)-X246)*1440,0),""),"")</f>
        <v/>
      </c>
    </row>
    <row r="247" customFormat="false" ht="15" hidden="false" customHeight="false" outlineLevel="0" collapsed="false">
      <c r="A247" s="27" t="n">
        <v>243</v>
      </c>
      <c r="B247" s="28"/>
      <c r="C247" s="29"/>
      <c r="D247" s="29"/>
      <c r="E247" s="28"/>
      <c r="F247" s="30"/>
      <c r="G247" s="31"/>
      <c r="H247" s="28"/>
      <c r="I247" s="29"/>
      <c r="J247" s="29"/>
      <c r="K247" s="29"/>
      <c r="L247" s="29"/>
      <c r="M247" s="29"/>
      <c r="N247" s="29"/>
      <c r="O247" s="29"/>
      <c r="P247" s="29"/>
      <c r="Q247" s="29"/>
      <c r="R247" s="29"/>
      <c r="S247" s="28"/>
      <c r="T247" s="32" t="str">
        <f aca="false">IF(AND(K247="",L247=""),"",IF(OR(K247="-",L247="-"),"측정불가",IF(AND(ISNUMBER(K247),ISNUMBER(L247)),IF(OR(K247&gt;=설정!$C$9,L247&gt;=설정!$C$10),"긴급",IF(OR(K247&gt;=설정!$C$7,L247&gt;=설정!$C$8,K247&lt;설정!$C$11),"주의","정상")),"확인필요")))</f>
        <v/>
      </c>
      <c r="U247" s="32" t="str">
        <f aca="false">IF(M247="","",IF(M247="-","측정불가",IF(NOT(ISNUMBER(M247)),"확인필요",IF(M247&lt;설정!$C$15,"긴급(저혈당)",IF(M247&gt;=설정!$C$16,"긴급(고혈당)",IF(N247="공복",IF(M247&gt;=설정!$C$13,"주의","정상"),IF(N247="식후",IF(M247&gt;=설정!$C$14,"주의","정상"),"조건확인")))))))</f>
        <v/>
      </c>
      <c r="V247" s="32" t="str">
        <f aca="false">IF(OR(T247="긴급",LEFT(U247,2)="긴급",P247="O"),"대상","")</f>
        <v/>
      </c>
      <c r="W247" s="33" t="str">
        <f aca="false">IF(R247&lt;&gt;"",R247,IF(O247="O",IF(V247="대상",IF(Q247="O","완료","추가상담 대기"),"완료"),IF(COUNTA(K247:M247)=3,"상담 대기",IF(J247="O","측정 대기",IF(I247="O","운동평가 대기","미방문")))))</f>
        <v>미방문</v>
      </c>
      <c r="X247" s="34"/>
      <c r="Y247" s="34"/>
      <c r="Z247" s="34"/>
      <c r="AA247" s="34"/>
      <c r="AB247" s="34"/>
      <c r="AC247" s="35" t="str">
        <f aca="false">IF(AND(ISNUMBER(X247),ISNUMBER(Y247)),IF(Y247&gt;=X247,ROUND((Y247-X247)*1440,0),""),"")</f>
        <v/>
      </c>
      <c r="AD247" s="35" t="str">
        <f aca="false">IF(AND(ISNUMBER(Y247),ISNUMBER(Z247)),IF(Z247&gt;=Y247,ROUND((Z247-Y247)*1440,0),""),"")</f>
        <v/>
      </c>
      <c r="AE247" s="35" t="str">
        <f aca="false">IF(AND(ISNUMBER(Z247),ISNUMBER(AA247)),IF(AA247&gt;=Z247,ROUND((AA247-Z247)*1440,0),""),"")</f>
        <v/>
      </c>
      <c r="AF247" s="35" t="str">
        <f aca="false">IF(AND(ISNUMBER(AA247),ISNUMBER(AB247)),IF(AB247&gt;=AA247,ROUND((AB247-AA247)*1440,0),""),"")</f>
        <v/>
      </c>
      <c r="AG247" s="35" t="str">
        <f aca="false">IF(AND(W247="완료",ISNUMBER(X247)),IF(MAX(Y247:AB247)&gt;=X247,ROUND((MAX(Y247:AB247)-X247)*1440,0),""),"")</f>
        <v/>
      </c>
    </row>
    <row r="248" customFormat="false" ht="15" hidden="false" customHeight="false" outlineLevel="0" collapsed="false">
      <c r="A248" s="27" t="n">
        <v>244</v>
      </c>
      <c r="B248" s="28"/>
      <c r="C248" s="29"/>
      <c r="D248" s="29"/>
      <c r="E248" s="28"/>
      <c r="F248" s="30"/>
      <c r="G248" s="31"/>
      <c r="H248" s="28"/>
      <c r="I248" s="29"/>
      <c r="J248" s="29"/>
      <c r="K248" s="29"/>
      <c r="L248" s="29"/>
      <c r="M248" s="29"/>
      <c r="N248" s="29"/>
      <c r="O248" s="29"/>
      <c r="P248" s="29"/>
      <c r="Q248" s="29"/>
      <c r="R248" s="29"/>
      <c r="S248" s="28"/>
      <c r="T248" s="32" t="str">
        <f aca="false">IF(AND(K248="",L248=""),"",IF(OR(K248="-",L248="-"),"측정불가",IF(AND(ISNUMBER(K248),ISNUMBER(L248)),IF(OR(K248&gt;=설정!$C$9,L248&gt;=설정!$C$10),"긴급",IF(OR(K248&gt;=설정!$C$7,L248&gt;=설정!$C$8,K248&lt;설정!$C$11),"주의","정상")),"확인필요")))</f>
        <v/>
      </c>
      <c r="U248" s="32" t="str">
        <f aca="false">IF(M248="","",IF(M248="-","측정불가",IF(NOT(ISNUMBER(M248)),"확인필요",IF(M248&lt;설정!$C$15,"긴급(저혈당)",IF(M248&gt;=설정!$C$16,"긴급(고혈당)",IF(N248="공복",IF(M248&gt;=설정!$C$13,"주의","정상"),IF(N248="식후",IF(M248&gt;=설정!$C$14,"주의","정상"),"조건확인")))))))</f>
        <v/>
      </c>
      <c r="V248" s="32" t="str">
        <f aca="false">IF(OR(T248="긴급",LEFT(U248,2)="긴급",P248="O"),"대상","")</f>
        <v/>
      </c>
      <c r="W248" s="33" t="str">
        <f aca="false">IF(R248&lt;&gt;"",R248,IF(O248="O",IF(V248="대상",IF(Q248="O","완료","추가상담 대기"),"완료"),IF(COUNTA(K248:M248)=3,"상담 대기",IF(J248="O","측정 대기",IF(I248="O","운동평가 대기","미방문")))))</f>
        <v>미방문</v>
      </c>
      <c r="X248" s="34"/>
      <c r="Y248" s="34"/>
      <c r="Z248" s="34"/>
      <c r="AA248" s="34"/>
      <c r="AB248" s="34"/>
      <c r="AC248" s="35" t="str">
        <f aca="false">IF(AND(ISNUMBER(X248),ISNUMBER(Y248)),IF(Y248&gt;=X248,ROUND((Y248-X248)*1440,0),""),"")</f>
        <v/>
      </c>
      <c r="AD248" s="35" t="str">
        <f aca="false">IF(AND(ISNUMBER(Y248),ISNUMBER(Z248)),IF(Z248&gt;=Y248,ROUND((Z248-Y248)*1440,0),""),"")</f>
        <v/>
      </c>
      <c r="AE248" s="35" t="str">
        <f aca="false">IF(AND(ISNUMBER(Z248),ISNUMBER(AA248)),IF(AA248&gt;=Z248,ROUND((AA248-Z248)*1440,0),""),"")</f>
        <v/>
      </c>
      <c r="AF248" s="35" t="str">
        <f aca="false">IF(AND(ISNUMBER(AA248),ISNUMBER(AB248)),IF(AB248&gt;=AA248,ROUND((AB248-AA248)*1440,0),""),"")</f>
        <v/>
      </c>
      <c r="AG248" s="35" t="str">
        <f aca="false">IF(AND(W248="완료",ISNUMBER(X248)),IF(MAX(Y248:AB248)&gt;=X248,ROUND((MAX(Y248:AB248)-X248)*1440,0),""),"")</f>
        <v/>
      </c>
    </row>
    <row r="249" customFormat="false" ht="15" hidden="false" customHeight="false" outlineLevel="0" collapsed="false">
      <c r="A249" s="27" t="n">
        <v>245</v>
      </c>
      <c r="B249" s="28"/>
      <c r="C249" s="29"/>
      <c r="D249" s="29"/>
      <c r="E249" s="28"/>
      <c r="F249" s="30"/>
      <c r="G249" s="31"/>
      <c r="H249" s="28"/>
      <c r="I249" s="29"/>
      <c r="J249" s="29"/>
      <c r="K249" s="29"/>
      <c r="L249" s="29"/>
      <c r="M249" s="29"/>
      <c r="N249" s="29"/>
      <c r="O249" s="29"/>
      <c r="P249" s="29"/>
      <c r="Q249" s="29"/>
      <c r="R249" s="29"/>
      <c r="S249" s="28"/>
      <c r="T249" s="32" t="str">
        <f aca="false">IF(AND(K249="",L249=""),"",IF(OR(K249="-",L249="-"),"측정불가",IF(AND(ISNUMBER(K249),ISNUMBER(L249)),IF(OR(K249&gt;=설정!$C$9,L249&gt;=설정!$C$10),"긴급",IF(OR(K249&gt;=설정!$C$7,L249&gt;=설정!$C$8,K249&lt;설정!$C$11),"주의","정상")),"확인필요")))</f>
        <v/>
      </c>
      <c r="U249" s="32" t="str">
        <f aca="false">IF(M249="","",IF(M249="-","측정불가",IF(NOT(ISNUMBER(M249)),"확인필요",IF(M249&lt;설정!$C$15,"긴급(저혈당)",IF(M249&gt;=설정!$C$16,"긴급(고혈당)",IF(N249="공복",IF(M249&gt;=설정!$C$13,"주의","정상"),IF(N249="식후",IF(M249&gt;=설정!$C$14,"주의","정상"),"조건확인")))))))</f>
        <v/>
      </c>
      <c r="V249" s="32" t="str">
        <f aca="false">IF(OR(T249="긴급",LEFT(U249,2)="긴급",P249="O"),"대상","")</f>
        <v/>
      </c>
      <c r="W249" s="33" t="str">
        <f aca="false">IF(R249&lt;&gt;"",R249,IF(O249="O",IF(V249="대상",IF(Q249="O","완료","추가상담 대기"),"완료"),IF(COUNTA(K249:M249)=3,"상담 대기",IF(J249="O","측정 대기",IF(I249="O","운동평가 대기","미방문")))))</f>
        <v>미방문</v>
      </c>
      <c r="X249" s="34"/>
      <c r="Y249" s="34"/>
      <c r="Z249" s="34"/>
      <c r="AA249" s="34"/>
      <c r="AB249" s="34"/>
      <c r="AC249" s="35" t="str">
        <f aca="false">IF(AND(ISNUMBER(X249),ISNUMBER(Y249)),IF(Y249&gt;=X249,ROUND((Y249-X249)*1440,0),""),"")</f>
        <v/>
      </c>
      <c r="AD249" s="35" t="str">
        <f aca="false">IF(AND(ISNUMBER(Y249),ISNUMBER(Z249)),IF(Z249&gt;=Y249,ROUND((Z249-Y249)*1440,0),""),"")</f>
        <v/>
      </c>
      <c r="AE249" s="35" t="str">
        <f aca="false">IF(AND(ISNUMBER(Z249),ISNUMBER(AA249)),IF(AA249&gt;=Z249,ROUND((AA249-Z249)*1440,0),""),"")</f>
        <v/>
      </c>
      <c r="AF249" s="35" t="str">
        <f aca="false">IF(AND(ISNUMBER(AA249),ISNUMBER(AB249)),IF(AB249&gt;=AA249,ROUND((AB249-AA249)*1440,0),""),"")</f>
        <v/>
      </c>
      <c r="AG249" s="35" t="str">
        <f aca="false">IF(AND(W249="완료",ISNUMBER(X249)),IF(MAX(Y249:AB249)&gt;=X249,ROUND((MAX(Y249:AB249)-X249)*1440,0),""),"")</f>
        <v/>
      </c>
    </row>
    <row r="250" customFormat="false" ht="15" hidden="false" customHeight="false" outlineLevel="0" collapsed="false">
      <c r="A250" s="27" t="n">
        <v>246</v>
      </c>
      <c r="B250" s="28"/>
      <c r="C250" s="29"/>
      <c r="D250" s="29"/>
      <c r="E250" s="28"/>
      <c r="F250" s="30"/>
      <c r="G250" s="31"/>
      <c r="H250" s="28"/>
      <c r="I250" s="29"/>
      <c r="J250" s="29"/>
      <c r="K250" s="29"/>
      <c r="L250" s="29"/>
      <c r="M250" s="29"/>
      <c r="N250" s="29"/>
      <c r="O250" s="29"/>
      <c r="P250" s="29"/>
      <c r="Q250" s="29"/>
      <c r="R250" s="29"/>
      <c r="S250" s="28"/>
      <c r="T250" s="32" t="str">
        <f aca="false">IF(AND(K250="",L250=""),"",IF(OR(K250="-",L250="-"),"측정불가",IF(AND(ISNUMBER(K250),ISNUMBER(L250)),IF(OR(K250&gt;=설정!$C$9,L250&gt;=설정!$C$10),"긴급",IF(OR(K250&gt;=설정!$C$7,L250&gt;=설정!$C$8,K250&lt;설정!$C$11),"주의","정상")),"확인필요")))</f>
        <v/>
      </c>
      <c r="U250" s="32" t="str">
        <f aca="false">IF(M250="","",IF(M250="-","측정불가",IF(NOT(ISNUMBER(M250)),"확인필요",IF(M250&lt;설정!$C$15,"긴급(저혈당)",IF(M250&gt;=설정!$C$16,"긴급(고혈당)",IF(N250="공복",IF(M250&gt;=설정!$C$13,"주의","정상"),IF(N250="식후",IF(M250&gt;=설정!$C$14,"주의","정상"),"조건확인")))))))</f>
        <v/>
      </c>
      <c r="V250" s="32" t="str">
        <f aca="false">IF(OR(T250="긴급",LEFT(U250,2)="긴급",P250="O"),"대상","")</f>
        <v/>
      </c>
      <c r="W250" s="33" t="str">
        <f aca="false">IF(R250&lt;&gt;"",R250,IF(O250="O",IF(V250="대상",IF(Q250="O","완료","추가상담 대기"),"완료"),IF(COUNTA(K250:M250)=3,"상담 대기",IF(J250="O","측정 대기",IF(I250="O","운동평가 대기","미방문")))))</f>
        <v>미방문</v>
      </c>
      <c r="X250" s="34"/>
      <c r="Y250" s="34"/>
      <c r="Z250" s="34"/>
      <c r="AA250" s="34"/>
      <c r="AB250" s="34"/>
      <c r="AC250" s="35" t="str">
        <f aca="false">IF(AND(ISNUMBER(X250),ISNUMBER(Y250)),IF(Y250&gt;=X250,ROUND((Y250-X250)*1440,0),""),"")</f>
        <v/>
      </c>
      <c r="AD250" s="35" t="str">
        <f aca="false">IF(AND(ISNUMBER(Y250),ISNUMBER(Z250)),IF(Z250&gt;=Y250,ROUND((Z250-Y250)*1440,0),""),"")</f>
        <v/>
      </c>
      <c r="AE250" s="35" t="str">
        <f aca="false">IF(AND(ISNUMBER(Z250),ISNUMBER(AA250)),IF(AA250&gt;=Z250,ROUND((AA250-Z250)*1440,0),""),"")</f>
        <v/>
      </c>
      <c r="AF250" s="35" t="str">
        <f aca="false">IF(AND(ISNUMBER(AA250),ISNUMBER(AB250)),IF(AB250&gt;=AA250,ROUND((AB250-AA250)*1440,0),""),"")</f>
        <v/>
      </c>
      <c r="AG250" s="35" t="str">
        <f aca="false">IF(AND(W250="완료",ISNUMBER(X250)),IF(MAX(Y250:AB250)&gt;=X250,ROUND((MAX(Y250:AB250)-X250)*1440,0),""),"")</f>
        <v/>
      </c>
    </row>
    <row r="251" customFormat="false" ht="15" hidden="false" customHeight="false" outlineLevel="0" collapsed="false">
      <c r="A251" s="27" t="n">
        <v>247</v>
      </c>
      <c r="B251" s="28"/>
      <c r="C251" s="29"/>
      <c r="D251" s="29"/>
      <c r="E251" s="28"/>
      <c r="F251" s="30"/>
      <c r="G251" s="31"/>
      <c r="H251" s="28"/>
      <c r="I251" s="29"/>
      <c r="J251" s="29"/>
      <c r="K251" s="29"/>
      <c r="L251" s="29"/>
      <c r="M251" s="29"/>
      <c r="N251" s="29"/>
      <c r="O251" s="29"/>
      <c r="P251" s="29"/>
      <c r="Q251" s="29"/>
      <c r="R251" s="29"/>
      <c r="S251" s="28"/>
      <c r="T251" s="32" t="str">
        <f aca="false">IF(AND(K251="",L251=""),"",IF(OR(K251="-",L251="-"),"측정불가",IF(AND(ISNUMBER(K251),ISNUMBER(L251)),IF(OR(K251&gt;=설정!$C$9,L251&gt;=설정!$C$10),"긴급",IF(OR(K251&gt;=설정!$C$7,L251&gt;=설정!$C$8,K251&lt;설정!$C$11),"주의","정상")),"확인필요")))</f>
        <v/>
      </c>
      <c r="U251" s="32" t="str">
        <f aca="false">IF(M251="","",IF(M251="-","측정불가",IF(NOT(ISNUMBER(M251)),"확인필요",IF(M251&lt;설정!$C$15,"긴급(저혈당)",IF(M251&gt;=설정!$C$16,"긴급(고혈당)",IF(N251="공복",IF(M251&gt;=설정!$C$13,"주의","정상"),IF(N251="식후",IF(M251&gt;=설정!$C$14,"주의","정상"),"조건확인")))))))</f>
        <v/>
      </c>
      <c r="V251" s="32" t="str">
        <f aca="false">IF(OR(T251="긴급",LEFT(U251,2)="긴급",P251="O"),"대상","")</f>
        <v/>
      </c>
      <c r="W251" s="33" t="str">
        <f aca="false">IF(R251&lt;&gt;"",R251,IF(O251="O",IF(V251="대상",IF(Q251="O","완료","추가상담 대기"),"완료"),IF(COUNTA(K251:M251)=3,"상담 대기",IF(J251="O","측정 대기",IF(I251="O","운동평가 대기","미방문")))))</f>
        <v>미방문</v>
      </c>
      <c r="X251" s="34"/>
      <c r="Y251" s="34"/>
      <c r="Z251" s="34"/>
      <c r="AA251" s="34"/>
      <c r="AB251" s="34"/>
      <c r="AC251" s="35" t="str">
        <f aca="false">IF(AND(ISNUMBER(X251),ISNUMBER(Y251)),IF(Y251&gt;=X251,ROUND((Y251-X251)*1440,0),""),"")</f>
        <v/>
      </c>
      <c r="AD251" s="35" t="str">
        <f aca="false">IF(AND(ISNUMBER(Y251),ISNUMBER(Z251)),IF(Z251&gt;=Y251,ROUND((Z251-Y251)*1440,0),""),"")</f>
        <v/>
      </c>
      <c r="AE251" s="35" t="str">
        <f aca="false">IF(AND(ISNUMBER(Z251),ISNUMBER(AA251)),IF(AA251&gt;=Z251,ROUND((AA251-Z251)*1440,0),""),"")</f>
        <v/>
      </c>
      <c r="AF251" s="35" t="str">
        <f aca="false">IF(AND(ISNUMBER(AA251),ISNUMBER(AB251)),IF(AB251&gt;=AA251,ROUND((AB251-AA251)*1440,0),""),"")</f>
        <v/>
      </c>
      <c r="AG251" s="35" t="str">
        <f aca="false">IF(AND(W251="완료",ISNUMBER(X251)),IF(MAX(Y251:AB251)&gt;=X251,ROUND((MAX(Y251:AB251)-X251)*1440,0),""),"")</f>
        <v/>
      </c>
    </row>
    <row r="252" customFormat="false" ht="15" hidden="false" customHeight="false" outlineLevel="0" collapsed="false">
      <c r="A252" s="27" t="n">
        <v>248</v>
      </c>
      <c r="B252" s="28"/>
      <c r="C252" s="29"/>
      <c r="D252" s="29"/>
      <c r="E252" s="28"/>
      <c r="F252" s="30"/>
      <c r="G252" s="31"/>
      <c r="H252" s="28"/>
      <c r="I252" s="29"/>
      <c r="J252" s="29"/>
      <c r="K252" s="29"/>
      <c r="L252" s="29"/>
      <c r="M252" s="29"/>
      <c r="N252" s="29"/>
      <c r="O252" s="29"/>
      <c r="P252" s="29"/>
      <c r="Q252" s="29"/>
      <c r="R252" s="29"/>
      <c r="S252" s="28"/>
      <c r="T252" s="32" t="str">
        <f aca="false">IF(AND(K252="",L252=""),"",IF(OR(K252="-",L252="-"),"측정불가",IF(AND(ISNUMBER(K252),ISNUMBER(L252)),IF(OR(K252&gt;=설정!$C$9,L252&gt;=설정!$C$10),"긴급",IF(OR(K252&gt;=설정!$C$7,L252&gt;=설정!$C$8,K252&lt;설정!$C$11),"주의","정상")),"확인필요")))</f>
        <v/>
      </c>
      <c r="U252" s="32" t="str">
        <f aca="false">IF(M252="","",IF(M252="-","측정불가",IF(NOT(ISNUMBER(M252)),"확인필요",IF(M252&lt;설정!$C$15,"긴급(저혈당)",IF(M252&gt;=설정!$C$16,"긴급(고혈당)",IF(N252="공복",IF(M252&gt;=설정!$C$13,"주의","정상"),IF(N252="식후",IF(M252&gt;=설정!$C$14,"주의","정상"),"조건확인")))))))</f>
        <v/>
      </c>
      <c r="V252" s="32" t="str">
        <f aca="false">IF(OR(T252="긴급",LEFT(U252,2)="긴급",P252="O"),"대상","")</f>
        <v/>
      </c>
      <c r="W252" s="33" t="str">
        <f aca="false">IF(R252&lt;&gt;"",R252,IF(O252="O",IF(V252="대상",IF(Q252="O","완료","추가상담 대기"),"완료"),IF(COUNTA(K252:M252)=3,"상담 대기",IF(J252="O","측정 대기",IF(I252="O","운동평가 대기","미방문")))))</f>
        <v>미방문</v>
      </c>
      <c r="X252" s="34"/>
      <c r="Y252" s="34"/>
      <c r="Z252" s="34"/>
      <c r="AA252" s="34"/>
      <c r="AB252" s="34"/>
      <c r="AC252" s="35" t="str">
        <f aca="false">IF(AND(ISNUMBER(X252),ISNUMBER(Y252)),IF(Y252&gt;=X252,ROUND((Y252-X252)*1440,0),""),"")</f>
        <v/>
      </c>
      <c r="AD252" s="35" t="str">
        <f aca="false">IF(AND(ISNUMBER(Y252),ISNUMBER(Z252)),IF(Z252&gt;=Y252,ROUND((Z252-Y252)*1440,0),""),"")</f>
        <v/>
      </c>
      <c r="AE252" s="35" t="str">
        <f aca="false">IF(AND(ISNUMBER(Z252),ISNUMBER(AA252)),IF(AA252&gt;=Z252,ROUND((AA252-Z252)*1440,0),""),"")</f>
        <v/>
      </c>
      <c r="AF252" s="35" t="str">
        <f aca="false">IF(AND(ISNUMBER(AA252),ISNUMBER(AB252)),IF(AB252&gt;=AA252,ROUND((AB252-AA252)*1440,0),""),"")</f>
        <v/>
      </c>
      <c r="AG252" s="35" t="str">
        <f aca="false">IF(AND(W252="완료",ISNUMBER(X252)),IF(MAX(Y252:AB252)&gt;=X252,ROUND((MAX(Y252:AB252)-X252)*1440,0),""),"")</f>
        <v/>
      </c>
    </row>
    <row r="253" customFormat="false" ht="15" hidden="false" customHeight="false" outlineLevel="0" collapsed="false">
      <c r="A253" s="27" t="n">
        <v>249</v>
      </c>
      <c r="B253" s="28"/>
      <c r="C253" s="29"/>
      <c r="D253" s="29"/>
      <c r="E253" s="28"/>
      <c r="F253" s="30"/>
      <c r="G253" s="31"/>
      <c r="H253" s="28"/>
      <c r="I253" s="29"/>
      <c r="J253" s="29"/>
      <c r="K253" s="29"/>
      <c r="L253" s="29"/>
      <c r="M253" s="29"/>
      <c r="N253" s="29"/>
      <c r="O253" s="29"/>
      <c r="P253" s="29"/>
      <c r="Q253" s="29"/>
      <c r="R253" s="29"/>
      <c r="S253" s="28"/>
      <c r="T253" s="32" t="str">
        <f aca="false">IF(AND(K253="",L253=""),"",IF(OR(K253="-",L253="-"),"측정불가",IF(AND(ISNUMBER(K253),ISNUMBER(L253)),IF(OR(K253&gt;=설정!$C$9,L253&gt;=설정!$C$10),"긴급",IF(OR(K253&gt;=설정!$C$7,L253&gt;=설정!$C$8,K253&lt;설정!$C$11),"주의","정상")),"확인필요")))</f>
        <v/>
      </c>
      <c r="U253" s="32" t="str">
        <f aca="false">IF(M253="","",IF(M253="-","측정불가",IF(NOT(ISNUMBER(M253)),"확인필요",IF(M253&lt;설정!$C$15,"긴급(저혈당)",IF(M253&gt;=설정!$C$16,"긴급(고혈당)",IF(N253="공복",IF(M253&gt;=설정!$C$13,"주의","정상"),IF(N253="식후",IF(M253&gt;=설정!$C$14,"주의","정상"),"조건확인")))))))</f>
        <v/>
      </c>
      <c r="V253" s="32" t="str">
        <f aca="false">IF(OR(T253="긴급",LEFT(U253,2)="긴급",P253="O"),"대상","")</f>
        <v/>
      </c>
      <c r="W253" s="33" t="str">
        <f aca="false">IF(R253&lt;&gt;"",R253,IF(O253="O",IF(V253="대상",IF(Q253="O","완료","추가상담 대기"),"완료"),IF(COUNTA(K253:M253)=3,"상담 대기",IF(J253="O","측정 대기",IF(I253="O","운동평가 대기","미방문")))))</f>
        <v>미방문</v>
      </c>
      <c r="X253" s="34"/>
      <c r="Y253" s="34"/>
      <c r="Z253" s="34"/>
      <c r="AA253" s="34"/>
      <c r="AB253" s="34"/>
      <c r="AC253" s="35" t="str">
        <f aca="false">IF(AND(ISNUMBER(X253),ISNUMBER(Y253)),IF(Y253&gt;=X253,ROUND((Y253-X253)*1440,0),""),"")</f>
        <v/>
      </c>
      <c r="AD253" s="35" t="str">
        <f aca="false">IF(AND(ISNUMBER(Y253),ISNUMBER(Z253)),IF(Z253&gt;=Y253,ROUND((Z253-Y253)*1440,0),""),"")</f>
        <v/>
      </c>
      <c r="AE253" s="35" t="str">
        <f aca="false">IF(AND(ISNUMBER(Z253),ISNUMBER(AA253)),IF(AA253&gt;=Z253,ROUND((AA253-Z253)*1440,0),""),"")</f>
        <v/>
      </c>
      <c r="AF253" s="35" t="str">
        <f aca="false">IF(AND(ISNUMBER(AA253),ISNUMBER(AB253)),IF(AB253&gt;=AA253,ROUND((AB253-AA253)*1440,0),""),"")</f>
        <v/>
      </c>
      <c r="AG253" s="35" t="str">
        <f aca="false">IF(AND(W253="완료",ISNUMBER(X253)),IF(MAX(Y253:AB253)&gt;=X253,ROUND((MAX(Y253:AB253)-X253)*1440,0),""),"")</f>
        <v/>
      </c>
    </row>
    <row r="254" customFormat="false" ht="15" hidden="false" customHeight="false" outlineLevel="0" collapsed="false">
      <c r="A254" s="27" t="n">
        <v>250</v>
      </c>
      <c r="B254" s="28"/>
      <c r="C254" s="29"/>
      <c r="D254" s="29"/>
      <c r="E254" s="28"/>
      <c r="F254" s="30"/>
      <c r="G254" s="31"/>
      <c r="H254" s="28"/>
      <c r="I254" s="29"/>
      <c r="J254" s="29"/>
      <c r="K254" s="29"/>
      <c r="L254" s="29"/>
      <c r="M254" s="29"/>
      <c r="N254" s="29"/>
      <c r="O254" s="29"/>
      <c r="P254" s="29"/>
      <c r="Q254" s="29"/>
      <c r="R254" s="29"/>
      <c r="S254" s="28"/>
      <c r="T254" s="32" t="str">
        <f aca="false">IF(AND(K254="",L254=""),"",IF(OR(K254="-",L254="-"),"측정불가",IF(AND(ISNUMBER(K254),ISNUMBER(L254)),IF(OR(K254&gt;=설정!$C$9,L254&gt;=설정!$C$10),"긴급",IF(OR(K254&gt;=설정!$C$7,L254&gt;=설정!$C$8,K254&lt;설정!$C$11),"주의","정상")),"확인필요")))</f>
        <v/>
      </c>
      <c r="U254" s="32" t="str">
        <f aca="false">IF(M254="","",IF(M254="-","측정불가",IF(NOT(ISNUMBER(M254)),"확인필요",IF(M254&lt;설정!$C$15,"긴급(저혈당)",IF(M254&gt;=설정!$C$16,"긴급(고혈당)",IF(N254="공복",IF(M254&gt;=설정!$C$13,"주의","정상"),IF(N254="식후",IF(M254&gt;=설정!$C$14,"주의","정상"),"조건확인")))))))</f>
        <v/>
      </c>
      <c r="V254" s="32" t="str">
        <f aca="false">IF(OR(T254="긴급",LEFT(U254,2)="긴급",P254="O"),"대상","")</f>
        <v/>
      </c>
      <c r="W254" s="33" t="str">
        <f aca="false">IF(R254&lt;&gt;"",R254,IF(O254="O",IF(V254="대상",IF(Q254="O","완료","추가상담 대기"),"완료"),IF(COUNTA(K254:M254)=3,"상담 대기",IF(J254="O","측정 대기",IF(I254="O","운동평가 대기","미방문")))))</f>
        <v>미방문</v>
      </c>
      <c r="X254" s="34"/>
      <c r="Y254" s="34"/>
      <c r="Z254" s="34"/>
      <c r="AA254" s="34"/>
      <c r="AB254" s="34"/>
      <c r="AC254" s="35" t="str">
        <f aca="false">IF(AND(ISNUMBER(X254),ISNUMBER(Y254)),IF(Y254&gt;=X254,ROUND((Y254-X254)*1440,0),""),"")</f>
        <v/>
      </c>
      <c r="AD254" s="35" t="str">
        <f aca="false">IF(AND(ISNUMBER(Y254),ISNUMBER(Z254)),IF(Z254&gt;=Y254,ROUND((Z254-Y254)*1440,0),""),"")</f>
        <v/>
      </c>
      <c r="AE254" s="35" t="str">
        <f aca="false">IF(AND(ISNUMBER(Z254),ISNUMBER(AA254)),IF(AA254&gt;=Z254,ROUND((AA254-Z254)*1440,0),""),"")</f>
        <v/>
      </c>
      <c r="AF254" s="35" t="str">
        <f aca="false">IF(AND(ISNUMBER(AA254),ISNUMBER(AB254)),IF(AB254&gt;=AA254,ROUND((AB254-AA254)*1440,0),""),"")</f>
        <v/>
      </c>
      <c r="AG254" s="35" t="str">
        <f aca="false">IF(AND(W254="완료",ISNUMBER(X254)),IF(MAX(Y254:AB254)&gt;=X254,ROUND((MAX(Y254:AB254)-X254)*1440,0),""),"")</f>
        <v/>
      </c>
    </row>
    <row r="255" customFormat="false" ht="15" hidden="false" customHeight="false" outlineLevel="0" collapsed="false">
      <c r="A255" s="27" t="n">
        <v>251</v>
      </c>
      <c r="B255" s="28"/>
      <c r="C255" s="29"/>
      <c r="D255" s="29"/>
      <c r="E255" s="28"/>
      <c r="F255" s="30"/>
      <c r="G255" s="31"/>
      <c r="H255" s="28"/>
      <c r="I255" s="29"/>
      <c r="J255" s="29"/>
      <c r="K255" s="29"/>
      <c r="L255" s="29"/>
      <c r="M255" s="29"/>
      <c r="N255" s="29"/>
      <c r="O255" s="29"/>
      <c r="P255" s="29"/>
      <c r="Q255" s="29"/>
      <c r="R255" s="29"/>
      <c r="S255" s="28"/>
      <c r="T255" s="32" t="str">
        <f aca="false">IF(AND(K255="",L255=""),"",IF(OR(K255="-",L255="-"),"측정불가",IF(AND(ISNUMBER(K255),ISNUMBER(L255)),IF(OR(K255&gt;=설정!$C$9,L255&gt;=설정!$C$10),"긴급",IF(OR(K255&gt;=설정!$C$7,L255&gt;=설정!$C$8,K255&lt;설정!$C$11),"주의","정상")),"확인필요")))</f>
        <v/>
      </c>
      <c r="U255" s="32" t="str">
        <f aca="false">IF(M255="","",IF(M255="-","측정불가",IF(NOT(ISNUMBER(M255)),"확인필요",IF(M255&lt;설정!$C$15,"긴급(저혈당)",IF(M255&gt;=설정!$C$16,"긴급(고혈당)",IF(N255="공복",IF(M255&gt;=설정!$C$13,"주의","정상"),IF(N255="식후",IF(M255&gt;=설정!$C$14,"주의","정상"),"조건확인")))))))</f>
        <v/>
      </c>
      <c r="V255" s="32" t="str">
        <f aca="false">IF(OR(T255="긴급",LEFT(U255,2)="긴급",P255="O"),"대상","")</f>
        <v/>
      </c>
      <c r="W255" s="33" t="str">
        <f aca="false">IF(R255&lt;&gt;"",R255,IF(O255="O",IF(V255="대상",IF(Q255="O","완료","추가상담 대기"),"완료"),IF(COUNTA(K255:M255)=3,"상담 대기",IF(J255="O","측정 대기",IF(I255="O","운동평가 대기","미방문")))))</f>
        <v>미방문</v>
      </c>
      <c r="X255" s="34"/>
      <c r="Y255" s="34"/>
      <c r="Z255" s="34"/>
      <c r="AA255" s="34"/>
      <c r="AB255" s="34"/>
      <c r="AC255" s="35" t="str">
        <f aca="false">IF(AND(ISNUMBER(X255),ISNUMBER(Y255)),IF(Y255&gt;=X255,ROUND((Y255-X255)*1440,0),""),"")</f>
        <v/>
      </c>
      <c r="AD255" s="35" t="str">
        <f aca="false">IF(AND(ISNUMBER(Y255),ISNUMBER(Z255)),IF(Z255&gt;=Y255,ROUND((Z255-Y255)*1440,0),""),"")</f>
        <v/>
      </c>
      <c r="AE255" s="35" t="str">
        <f aca="false">IF(AND(ISNUMBER(Z255),ISNUMBER(AA255)),IF(AA255&gt;=Z255,ROUND((AA255-Z255)*1440,0),""),"")</f>
        <v/>
      </c>
      <c r="AF255" s="35" t="str">
        <f aca="false">IF(AND(ISNUMBER(AA255),ISNUMBER(AB255)),IF(AB255&gt;=AA255,ROUND((AB255-AA255)*1440,0),""),"")</f>
        <v/>
      </c>
      <c r="AG255" s="35" t="str">
        <f aca="false">IF(AND(W255="완료",ISNUMBER(X255)),IF(MAX(Y255:AB255)&gt;=X255,ROUND((MAX(Y255:AB255)-X255)*1440,0),""),"")</f>
        <v/>
      </c>
    </row>
    <row r="256" customFormat="false" ht="15" hidden="false" customHeight="false" outlineLevel="0" collapsed="false">
      <c r="A256" s="27" t="n">
        <v>252</v>
      </c>
      <c r="B256" s="28"/>
      <c r="C256" s="29"/>
      <c r="D256" s="29"/>
      <c r="E256" s="28"/>
      <c r="F256" s="30"/>
      <c r="G256" s="31"/>
      <c r="H256" s="28"/>
      <c r="I256" s="29"/>
      <c r="J256" s="29"/>
      <c r="K256" s="29"/>
      <c r="L256" s="29"/>
      <c r="M256" s="29"/>
      <c r="N256" s="29"/>
      <c r="O256" s="29"/>
      <c r="P256" s="29"/>
      <c r="Q256" s="29"/>
      <c r="R256" s="29"/>
      <c r="S256" s="28"/>
      <c r="T256" s="32" t="str">
        <f aca="false">IF(AND(K256="",L256=""),"",IF(OR(K256="-",L256="-"),"측정불가",IF(AND(ISNUMBER(K256),ISNUMBER(L256)),IF(OR(K256&gt;=설정!$C$9,L256&gt;=설정!$C$10),"긴급",IF(OR(K256&gt;=설정!$C$7,L256&gt;=설정!$C$8,K256&lt;설정!$C$11),"주의","정상")),"확인필요")))</f>
        <v/>
      </c>
      <c r="U256" s="32" t="str">
        <f aca="false">IF(M256="","",IF(M256="-","측정불가",IF(NOT(ISNUMBER(M256)),"확인필요",IF(M256&lt;설정!$C$15,"긴급(저혈당)",IF(M256&gt;=설정!$C$16,"긴급(고혈당)",IF(N256="공복",IF(M256&gt;=설정!$C$13,"주의","정상"),IF(N256="식후",IF(M256&gt;=설정!$C$14,"주의","정상"),"조건확인")))))))</f>
        <v/>
      </c>
      <c r="V256" s="32" t="str">
        <f aca="false">IF(OR(T256="긴급",LEFT(U256,2)="긴급",P256="O"),"대상","")</f>
        <v/>
      </c>
      <c r="W256" s="33" t="str">
        <f aca="false">IF(R256&lt;&gt;"",R256,IF(O256="O",IF(V256="대상",IF(Q256="O","완료","추가상담 대기"),"완료"),IF(COUNTA(K256:M256)=3,"상담 대기",IF(J256="O","측정 대기",IF(I256="O","운동평가 대기","미방문")))))</f>
        <v>미방문</v>
      </c>
      <c r="X256" s="34"/>
      <c r="Y256" s="34"/>
      <c r="Z256" s="34"/>
      <c r="AA256" s="34"/>
      <c r="AB256" s="34"/>
      <c r="AC256" s="35" t="str">
        <f aca="false">IF(AND(ISNUMBER(X256),ISNUMBER(Y256)),IF(Y256&gt;=X256,ROUND((Y256-X256)*1440,0),""),"")</f>
        <v/>
      </c>
      <c r="AD256" s="35" t="str">
        <f aca="false">IF(AND(ISNUMBER(Y256),ISNUMBER(Z256)),IF(Z256&gt;=Y256,ROUND((Z256-Y256)*1440,0),""),"")</f>
        <v/>
      </c>
      <c r="AE256" s="35" t="str">
        <f aca="false">IF(AND(ISNUMBER(Z256),ISNUMBER(AA256)),IF(AA256&gt;=Z256,ROUND((AA256-Z256)*1440,0),""),"")</f>
        <v/>
      </c>
      <c r="AF256" s="35" t="str">
        <f aca="false">IF(AND(ISNUMBER(AA256),ISNUMBER(AB256)),IF(AB256&gt;=AA256,ROUND((AB256-AA256)*1440,0),""),"")</f>
        <v/>
      </c>
      <c r="AG256" s="35" t="str">
        <f aca="false">IF(AND(W256="완료",ISNUMBER(X256)),IF(MAX(Y256:AB256)&gt;=X256,ROUND((MAX(Y256:AB256)-X256)*1440,0),""),"")</f>
        <v/>
      </c>
    </row>
    <row r="257" customFormat="false" ht="15" hidden="false" customHeight="false" outlineLevel="0" collapsed="false">
      <c r="A257" s="27" t="n">
        <v>253</v>
      </c>
      <c r="B257" s="28"/>
      <c r="C257" s="29"/>
      <c r="D257" s="29"/>
      <c r="E257" s="28"/>
      <c r="F257" s="30"/>
      <c r="G257" s="31"/>
      <c r="H257" s="28"/>
      <c r="I257" s="29"/>
      <c r="J257" s="29"/>
      <c r="K257" s="29"/>
      <c r="L257" s="29"/>
      <c r="M257" s="29"/>
      <c r="N257" s="29"/>
      <c r="O257" s="29"/>
      <c r="P257" s="29"/>
      <c r="Q257" s="29"/>
      <c r="R257" s="29"/>
      <c r="S257" s="28"/>
      <c r="T257" s="32" t="str">
        <f aca="false">IF(AND(K257="",L257=""),"",IF(OR(K257="-",L257="-"),"측정불가",IF(AND(ISNUMBER(K257),ISNUMBER(L257)),IF(OR(K257&gt;=설정!$C$9,L257&gt;=설정!$C$10),"긴급",IF(OR(K257&gt;=설정!$C$7,L257&gt;=설정!$C$8,K257&lt;설정!$C$11),"주의","정상")),"확인필요")))</f>
        <v/>
      </c>
      <c r="U257" s="32" t="str">
        <f aca="false">IF(M257="","",IF(M257="-","측정불가",IF(NOT(ISNUMBER(M257)),"확인필요",IF(M257&lt;설정!$C$15,"긴급(저혈당)",IF(M257&gt;=설정!$C$16,"긴급(고혈당)",IF(N257="공복",IF(M257&gt;=설정!$C$13,"주의","정상"),IF(N257="식후",IF(M257&gt;=설정!$C$14,"주의","정상"),"조건확인")))))))</f>
        <v/>
      </c>
      <c r="V257" s="32" t="str">
        <f aca="false">IF(OR(T257="긴급",LEFT(U257,2)="긴급",P257="O"),"대상","")</f>
        <v/>
      </c>
      <c r="W257" s="33" t="str">
        <f aca="false">IF(R257&lt;&gt;"",R257,IF(O257="O",IF(V257="대상",IF(Q257="O","완료","추가상담 대기"),"완료"),IF(COUNTA(K257:M257)=3,"상담 대기",IF(J257="O","측정 대기",IF(I257="O","운동평가 대기","미방문")))))</f>
        <v>미방문</v>
      </c>
      <c r="X257" s="34"/>
      <c r="Y257" s="34"/>
      <c r="Z257" s="34"/>
      <c r="AA257" s="34"/>
      <c r="AB257" s="34"/>
      <c r="AC257" s="35" t="str">
        <f aca="false">IF(AND(ISNUMBER(X257),ISNUMBER(Y257)),IF(Y257&gt;=X257,ROUND((Y257-X257)*1440,0),""),"")</f>
        <v/>
      </c>
      <c r="AD257" s="35" t="str">
        <f aca="false">IF(AND(ISNUMBER(Y257),ISNUMBER(Z257)),IF(Z257&gt;=Y257,ROUND((Z257-Y257)*1440,0),""),"")</f>
        <v/>
      </c>
      <c r="AE257" s="35" t="str">
        <f aca="false">IF(AND(ISNUMBER(Z257),ISNUMBER(AA257)),IF(AA257&gt;=Z257,ROUND((AA257-Z257)*1440,0),""),"")</f>
        <v/>
      </c>
      <c r="AF257" s="35" t="str">
        <f aca="false">IF(AND(ISNUMBER(AA257),ISNUMBER(AB257)),IF(AB257&gt;=AA257,ROUND((AB257-AA257)*1440,0),""),"")</f>
        <v/>
      </c>
      <c r="AG257" s="35" t="str">
        <f aca="false">IF(AND(W257="완료",ISNUMBER(X257)),IF(MAX(Y257:AB257)&gt;=X257,ROUND((MAX(Y257:AB257)-X257)*1440,0),""),"")</f>
        <v/>
      </c>
    </row>
    <row r="258" customFormat="false" ht="15" hidden="false" customHeight="false" outlineLevel="0" collapsed="false">
      <c r="A258" s="27" t="n">
        <v>254</v>
      </c>
      <c r="B258" s="28"/>
      <c r="C258" s="29"/>
      <c r="D258" s="29"/>
      <c r="E258" s="28"/>
      <c r="F258" s="30"/>
      <c r="G258" s="31"/>
      <c r="H258" s="28"/>
      <c r="I258" s="29"/>
      <c r="J258" s="29"/>
      <c r="K258" s="29"/>
      <c r="L258" s="29"/>
      <c r="M258" s="29"/>
      <c r="N258" s="29"/>
      <c r="O258" s="29"/>
      <c r="P258" s="29"/>
      <c r="Q258" s="29"/>
      <c r="R258" s="29"/>
      <c r="S258" s="28"/>
      <c r="T258" s="32" t="str">
        <f aca="false">IF(AND(K258="",L258=""),"",IF(OR(K258="-",L258="-"),"측정불가",IF(AND(ISNUMBER(K258),ISNUMBER(L258)),IF(OR(K258&gt;=설정!$C$9,L258&gt;=설정!$C$10),"긴급",IF(OR(K258&gt;=설정!$C$7,L258&gt;=설정!$C$8,K258&lt;설정!$C$11),"주의","정상")),"확인필요")))</f>
        <v/>
      </c>
      <c r="U258" s="32" t="str">
        <f aca="false">IF(M258="","",IF(M258="-","측정불가",IF(NOT(ISNUMBER(M258)),"확인필요",IF(M258&lt;설정!$C$15,"긴급(저혈당)",IF(M258&gt;=설정!$C$16,"긴급(고혈당)",IF(N258="공복",IF(M258&gt;=설정!$C$13,"주의","정상"),IF(N258="식후",IF(M258&gt;=설정!$C$14,"주의","정상"),"조건확인")))))))</f>
        <v/>
      </c>
      <c r="V258" s="32" t="str">
        <f aca="false">IF(OR(T258="긴급",LEFT(U258,2)="긴급",P258="O"),"대상","")</f>
        <v/>
      </c>
      <c r="W258" s="33" t="str">
        <f aca="false">IF(R258&lt;&gt;"",R258,IF(O258="O",IF(V258="대상",IF(Q258="O","완료","추가상담 대기"),"완료"),IF(COUNTA(K258:M258)=3,"상담 대기",IF(J258="O","측정 대기",IF(I258="O","운동평가 대기","미방문")))))</f>
        <v>미방문</v>
      </c>
      <c r="X258" s="34"/>
      <c r="Y258" s="34"/>
      <c r="Z258" s="34"/>
      <c r="AA258" s="34"/>
      <c r="AB258" s="34"/>
      <c r="AC258" s="35" t="str">
        <f aca="false">IF(AND(ISNUMBER(X258),ISNUMBER(Y258)),IF(Y258&gt;=X258,ROUND((Y258-X258)*1440,0),""),"")</f>
        <v/>
      </c>
      <c r="AD258" s="35" t="str">
        <f aca="false">IF(AND(ISNUMBER(Y258),ISNUMBER(Z258)),IF(Z258&gt;=Y258,ROUND((Z258-Y258)*1440,0),""),"")</f>
        <v/>
      </c>
      <c r="AE258" s="35" t="str">
        <f aca="false">IF(AND(ISNUMBER(Z258),ISNUMBER(AA258)),IF(AA258&gt;=Z258,ROUND((AA258-Z258)*1440,0),""),"")</f>
        <v/>
      </c>
      <c r="AF258" s="35" t="str">
        <f aca="false">IF(AND(ISNUMBER(AA258),ISNUMBER(AB258)),IF(AB258&gt;=AA258,ROUND((AB258-AA258)*1440,0),""),"")</f>
        <v/>
      </c>
      <c r="AG258" s="35" t="str">
        <f aca="false">IF(AND(W258="완료",ISNUMBER(X258)),IF(MAX(Y258:AB258)&gt;=X258,ROUND((MAX(Y258:AB258)-X258)*1440,0),""),"")</f>
        <v/>
      </c>
    </row>
    <row r="259" customFormat="false" ht="15" hidden="false" customHeight="false" outlineLevel="0" collapsed="false">
      <c r="A259" s="27" t="n">
        <v>255</v>
      </c>
      <c r="B259" s="28"/>
      <c r="C259" s="29"/>
      <c r="D259" s="29"/>
      <c r="E259" s="28"/>
      <c r="F259" s="30"/>
      <c r="G259" s="31"/>
      <c r="H259" s="28"/>
      <c r="I259" s="29"/>
      <c r="J259" s="29"/>
      <c r="K259" s="29"/>
      <c r="L259" s="29"/>
      <c r="M259" s="29"/>
      <c r="N259" s="29"/>
      <c r="O259" s="29"/>
      <c r="P259" s="29"/>
      <c r="Q259" s="29"/>
      <c r="R259" s="29"/>
      <c r="S259" s="28"/>
      <c r="T259" s="32" t="str">
        <f aca="false">IF(AND(K259="",L259=""),"",IF(OR(K259="-",L259="-"),"측정불가",IF(AND(ISNUMBER(K259),ISNUMBER(L259)),IF(OR(K259&gt;=설정!$C$9,L259&gt;=설정!$C$10),"긴급",IF(OR(K259&gt;=설정!$C$7,L259&gt;=설정!$C$8,K259&lt;설정!$C$11),"주의","정상")),"확인필요")))</f>
        <v/>
      </c>
      <c r="U259" s="32" t="str">
        <f aca="false">IF(M259="","",IF(M259="-","측정불가",IF(NOT(ISNUMBER(M259)),"확인필요",IF(M259&lt;설정!$C$15,"긴급(저혈당)",IF(M259&gt;=설정!$C$16,"긴급(고혈당)",IF(N259="공복",IF(M259&gt;=설정!$C$13,"주의","정상"),IF(N259="식후",IF(M259&gt;=설정!$C$14,"주의","정상"),"조건확인")))))))</f>
        <v/>
      </c>
      <c r="V259" s="32" t="str">
        <f aca="false">IF(OR(T259="긴급",LEFT(U259,2)="긴급",P259="O"),"대상","")</f>
        <v/>
      </c>
      <c r="W259" s="33" t="str">
        <f aca="false">IF(R259&lt;&gt;"",R259,IF(O259="O",IF(V259="대상",IF(Q259="O","완료","추가상담 대기"),"완료"),IF(COUNTA(K259:M259)=3,"상담 대기",IF(J259="O","측정 대기",IF(I259="O","운동평가 대기","미방문")))))</f>
        <v>미방문</v>
      </c>
      <c r="X259" s="34"/>
      <c r="Y259" s="34"/>
      <c r="Z259" s="34"/>
      <c r="AA259" s="34"/>
      <c r="AB259" s="34"/>
      <c r="AC259" s="35" t="str">
        <f aca="false">IF(AND(ISNUMBER(X259),ISNUMBER(Y259)),IF(Y259&gt;=X259,ROUND((Y259-X259)*1440,0),""),"")</f>
        <v/>
      </c>
      <c r="AD259" s="35" t="str">
        <f aca="false">IF(AND(ISNUMBER(Y259),ISNUMBER(Z259)),IF(Z259&gt;=Y259,ROUND((Z259-Y259)*1440,0),""),"")</f>
        <v/>
      </c>
      <c r="AE259" s="35" t="str">
        <f aca="false">IF(AND(ISNUMBER(Z259),ISNUMBER(AA259)),IF(AA259&gt;=Z259,ROUND((AA259-Z259)*1440,0),""),"")</f>
        <v/>
      </c>
      <c r="AF259" s="35" t="str">
        <f aca="false">IF(AND(ISNUMBER(AA259),ISNUMBER(AB259)),IF(AB259&gt;=AA259,ROUND((AB259-AA259)*1440,0),""),"")</f>
        <v/>
      </c>
      <c r="AG259" s="35" t="str">
        <f aca="false">IF(AND(W259="완료",ISNUMBER(X259)),IF(MAX(Y259:AB259)&gt;=X259,ROUND((MAX(Y259:AB259)-X259)*1440,0),""),"")</f>
        <v/>
      </c>
    </row>
    <row r="260" customFormat="false" ht="15" hidden="false" customHeight="false" outlineLevel="0" collapsed="false">
      <c r="A260" s="27" t="n">
        <v>256</v>
      </c>
      <c r="B260" s="28"/>
      <c r="C260" s="29"/>
      <c r="D260" s="29"/>
      <c r="E260" s="28"/>
      <c r="F260" s="30"/>
      <c r="G260" s="31"/>
      <c r="H260" s="28"/>
      <c r="I260" s="29"/>
      <c r="J260" s="29"/>
      <c r="K260" s="29"/>
      <c r="L260" s="29"/>
      <c r="M260" s="29"/>
      <c r="N260" s="29"/>
      <c r="O260" s="29"/>
      <c r="P260" s="29"/>
      <c r="Q260" s="29"/>
      <c r="R260" s="29"/>
      <c r="S260" s="28"/>
      <c r="T260" s="32" t="str">
        <f aca="false">IF(AND(K260="",L260=""),"",IF(OR(K260="-",L260="-"),"측정불가",IF(AND(ISNUMBER(K260),ISNUMBER(L260)),IF(OR(K260&gt;=설정!$C$9,L260&gt;=설정!$C$10),"긴급",IF(OR(K260&gt;=설정!$C$7,L260&gt;=설정!$C$8,K260&lt;설정!$C$11),"주의","정상")),"확인필요")))</f>
        <v/>
      </c>
      <c r="U260" s="32" t="str">
        <f aca="false">IF(M260="","",IF(M260="-","측정불가",IF(NOT(ISNUMBER(M260)),"확인필요",IF(M260&lt;설정!$C$15,"긴급(저혈당)",IF(M260&gt;=설정!$C$16,"긴급(고혈당)",IF(N260="공복",IF(M260&gt;=설정!$C$13,"주의","정상"),IF(N260="식후",IF(M260&gt;=설정!$C$14,"주의","정상"),"조건확인")))))))</f>
        <v/>
      </c>
      <c r="V260" s="32" t="str">
        <f aca="false">IF(OR(T260="긴급",LEFT(U260,2)="긴급",P260="O"),"대상","")</f>
        <v/>
      </c>
      <c r="W260" s="33" t="str">
        <f aca="false">IF(R260&lt;&gt;"",R260,IF(O260="O",IF(V260="대상",IF(Q260="O","완료","추가상담 대기"),"완료"),IF(COUNTA(K260:M260)=3,"상담 대기",IF(J260="O","측정 대기",IF(I260="O","운동평가 대기","미방문")))))</f>
        <v>미방문</v>
      </c>
      <c r="X260" s="34"/>
      <c r="Y260" s="34"/>
      <c r="Z260" s="34"/>
      <c r="AA260" s="34"/>
      <c r="AB260" s="34"/>
      <c r="AC260" s="35" t="str">
        <f aca="false">IF(AND(ISNUMBER(X260),ISNUMBER(Y260)),IF(Y260&gt;=X260,ROUND((Y260-X260)*1440,0),""),"")</f>
        <v/>
      </c>
      <c r="AD260" s="35" t="str">
        <f aca="false">IF(AND(ISNUMBER(Y260),ISNUMBER(Z260)),IF(Z260&gt;=Y260,ROUND((Z260-Y260)*1440,0),""),"")</f>
        <v/>
      </c>
      <c r="AE260" s="35" t="str">
        <f aca="false">IF(AND(ISNUMBER(Z260),ISNUMBER(AA260)),IF(AA260&gt;=Z260,ROUND((AA260-Z260)*1440,0),""),"")</f>
        <v/>
      </c>
      <c r="AF260" s="35" t="str">
        <f aca="false">IF(AND(ISNUMBER(AA260),ISNUMBER(AB260)),IF(AB260&gt;=AA260,ROUND((AB260-AA260)*1440,0),""),"")</f>
        <v/>
      </c>
      <c r="AG260" s="35" t="str">
        <f aca="false">IF(AND(W260="완료",ISNUMBER(X260)),IF(MAX(Y260:AB260)&gt;=X260,ROUND((MAX(Y260:AB260)-X260)*1440,0),""),"")</f>
        <v/>
      </c>
    </row>
    <row r="261" customFormat="false" ht="15" hidden="false" customHeight="false" outlineLevel="0" collapsed="false">
      <c r="A261" s="27" t="n">
        <v>257</v>
      </c>
      <c r="B261" s="28"/>
      <c r="C261" s="29"/>
      <c r="D261" s="29"/>
      <c r="E261" s="28"/>
      <c r="F261" s="30"/>
      <c r="G261" s="31"/>
      <c r="H261" s="28"/>
      <c r="I261" s="29"/>
      <c r="J261" s="29"/>
      <c r="K261" s="29"/>
      <c r="L261" s="29"/>
      <c r="M261" s="29"/>
      <c r="N261" s="29"/>
      <c r="O261" s="29"/>
      <c r="P261" s="29"/>
      <c r="Q261" s="29"/>
      <c r="R261" s="29"/>
      <c r="S261" s="28"/>
      <c r="T261" s="32" t="str">
        <f aca="false">IF(AND(K261="",L261=""),"",IF(OR(K261="-",L261="-"),"측정불가",IF(AND(ISNUMBER(K261),ISNUMBER(L261)),IF(OR(K261&gt;=설정!$C$9,L261&gt;=설정!$C$10),"긴급",IF(OR(K261&gt;=설정!$C$7,L261&gt;=설정!$C$8,K261&lt;설정!$C$11),"주의","정상")),"확인필요")))</f>
        <v/>
      </c>
      <c r="U261" s="32" t="str">
        <f aca="false">IF(M261="","",IF(M261="-","측정불가",IF(NOT(ISNUMBER(M261)),"확인필요",IF(M261&lt;설정!$C$15,"긴급(저혈당)",IF(M261&gt;=설정!$C$16,"긴급(고혈당)",IF(N261="공복",IF(M261&gt;=설정!$C$13,"주의","정상"),IF(N261="식후",IF(M261&gt;=설정!$C$14,"주의","정상"),"조건확인")))))))</f>
        <v/>
      </c>
      <c r="V261" s="32" t="str">
        <f aca="false">IF(OR(T261="긴급",LEFT(U261,2)="긴급",P261="O"),"대상","")</f>
        <v/>
      </c>
      <c r="W261" s="33" t="str">
        <f aca="false">IF(R261&lt;&gt;"",R261,IF(O261="O",IF(V261="대상",IF(Q261="O","완료","추가상담 대기"),"완료"),IF(COUNTA(K261:M261)=3,"상담 대기",IF(J261="O","측정 대기",IF(I261="O","운동평가 대기","미방문")))))</f>
        <v>미방문</v>
      </c>
      <c r="X261" s="34"/>
      <c r="Y261" s="34"/>
      <c r="Z261" s="34"/>
      <c r="AA261" s="34"/>
      <c r="AB261" s="34"/>
      <c r="AC261" s="35" t="str">
        <f aca="false">IF(AND(ISNUMBER(X261),ISNUMBER(Y261)),IF(Y261&gt;=X261,ROUND((Y261-X261)*1440,0),""),"")</f>
        <v/>
      </c>
      <c r="AD261" s="35" t="str">
        <f aca="false">IF(AND(ISNUMBER(Y261),ISNUMBER(Z261)),IF(Z261&gt;=Y261,ROUND((Z261-Y261)*1440,0),""),"")</f>
        <v/>
      </c>
      <c r="AE261" s="35" t="str">
        <f aca="false">IF(AND(ISNUMBER(Z261),ISNUMBER(AA261)),IF(AA261&gt;=Z261,ROUND((AA261-Z261)*1440,0),""),"")</f>
        <v/>
      </c>
      <c r="AF261" s="35" t="str">
        <f aca="false">IF(AND(ISNUMBER(AA261),ISNUMBER(AB261)),IF(AB261&gt;=AA261,ROUND((AB261-AA261)*1440,0),""),"")</f>
        <v/>
      </c>
      <c r="AG261" s="35" t="str">
        <f aca="false">IF(AND(W261="완료",ISNUMBER(X261)),IF(MAX(Y261:AB261)&gt;=X261,ROUND((MAX(Y261:AB261)-X261)*1440,0),""),"")</f>
        <v/>
      </c>
    </row>
    <row r="262" customFormat="false" ht="15" hidden="false" customHeight="false" outlineLevel="0" collapsed="false">
      <c r="A262" s="27" t="n">
        <v>258</v>
      </c>
      <c r="B262" s="28"/>
      <c r="C262" s="29"/>
      <c r="D262" s="29"/>
      <c r="E262" s="28"/>
      <c r="F262" s="30"/>
      <c r="G262" s="31"/>
      <c r="H262" s="28"/>
      <c r="I262" s="29"/>
      <c r="J262" s="29"/>
      <c r="K262" s="29"/>
      <c r="L262" s="29"/>
      <c r="M262" s="29"/>
      <c r="N262" s="29"/>
      <c r="O262" s="29"/>
      <c r="P262" s="29"/>
      <c r="Q262" s="29"/>
      <c r="R262" s="29"/>
      <c r="S262" s="28"/>
      <c r="T262" s="32" t="str">
        <f aca="false">IF(AND(K262="",L262=""),"",IF(OR(K262="-",L262="-"),"측정불가",IF(AND(ISNUMBER(K262),ISNUMBER(L262)),IF(OR(K262&gt;=설정!$C$9,L262&gt;=설정!$C$10),"긴급",IF(OR(K262&gt;=설정!$C$7,L262&gt;=설정!$C$8,K262&lt;설정!$C$11),"주의","정상")),"확인필요")))</f>
        <v/>
      </c>
      <c r="U262" s="32" t="str">
        <f aca="false">IF(M262="","",IF(M262="-","측정불가",IF(NOT(ISNUMBER(M262)),"확인필요",IF(M262&lt;설정!$C$15,"긴급(저혈당)",IF(M262&gt;=설정!$C$16,"긴급(고혈당)",IF(N262="공복",IF(M262&gt;=설정!$C$13,"주의","정상"),IF(N262="식후",IF(M262&gt;=설정!$C$14,"주의","정상"),"조건확인")))))))</f>
        <v/>
      </c>
      <c r="V262" s="32" t="str">
        <f aca="false">IF(OR(T262="긴급",LEFT(U262,2)="긴급",P262="O"),"대상","")</f>
        <v/>
      </c>
      <c r="W262" s="33" t="str">
        <f aca="false">IF(R262&lt;&gt;"",R262,IF(O262="O",IF(V262="대상",IF(Q262="O","완료","추가상담 대기"),"완료"),IF(COUNTA(K262:M262)=3,"상담 대기",IF(J262="O","측정 대기",IF(I262="O","운동평가 대기","미방문")))))</f>
        <v>미방문</v>
      </c>
      <c r="X262" s="34"/>
      <c r="Y262" s="34"/>
      <c r="Z262" s="34"/>
      <c r="AA262" s="34"/>
      <c r="AB262" s="34"/>
      <c r="AC262" s="35" t="str">
        <f aca="false">IF(AND(ISNUMBER(X262),ISNUMBER(Y262)),IF(Y262&gt;=X262,ROUND((Y262-X262)*1440,0),""),"")</f>
        <v/>
      </c>
      <c r="AD262" s="35" t="str">
        <f aca="false">IF(AND(ISNUMBER(Y262),ISNUMBER(Z262)),IF(Z262&gt;=Y262,ROUND((Z262-Y262)*1440,0),""),"")</f>
        <v/>
      </c>
      <c r="AE262" s="35" t="str">
        <f aca="false">IF(AND(ISNUMBER(Z262),ISNUMBER(AA262)),IF(AA262&gt;=Z262,ROUND((AA262-Z262)*1440,0),""),"")</f>
        <v/>
      </c>
      <c r="AF262" s="35" t="str">
        <f aca="false">IF(AND(ISNUMBER(AA262),ISNUMBER(AB262)),IF(AB262&gt;=AA262,ROUND((AB262-AA262)*1440,0),""),"")</f>
        <v/>
      </c>
      <c r="AG262" s="35" t="str">
        <f aca="false">IF(AND(W262="완료",ISNUMBER(X262)),IF(MAX(Y262:AB262)&gt;=X262,ROUND((MAX(Y262:AB262)-X262)*1440,0),""),"")</f>
        <v/>
      </c>
    </row>
    <row r="263" customFormat="false" ht="15" hidden="false" customHeight="false" outlineLevel="0" collapsed="false">
      <c r="A263" s="27" t="n">
        <v>259</v>
      </c>
      <c r="B263" s="28"/>
      <c r="C263" s="29"/>
      <c r="D263" s="29"/>
      <c r="E263" s="28"/>
      <c r="F263" s="30"/>
      <c r="G263" s="31"/>
      <c r="H263" s="28"/>
      <c r="I263" s="29"/>
      <c r="J263" s="29"/>
      <c r="K263" s="29"/>
      <c r="L263" s="29"/>
      <c r="M263" s="29"/>
      <c r="N263" s="29"/>
      <c r="O263" s="29"/>
      <c r="P263" s="29"/>
      <c r="Q263" s="29"/>
      <c r="R263" s="29"/>
      <c r="S263" s="28"/>
      <c r="T263" s="32" t="str">
        <f aca="false">IF(AND(K263="",L263=""),"",IF(OR(K263="-",L263="-"),"측정불가",IF(AND(ISNUMBER(K263),ISNUMBER(L263)),IF(OR(K263&gt;=설정!$C$9,L263&gt;=설정!$C$10),"긴급",IF(OR(K263&gt;=설정!$C$7,L263&gt;=설정!$C$8,K263&lt;설정!$C$11),"주의","정상")),"확인필요")))</f>
        <v/>
      </c>
      <c r="U263" s="32" t="str">
        <f aca="false">IF(M263="","",IF(M263="-","측정불가",IF(NOT(ISNUMBER(M263)),"확인필요",IF(M263&lt;설정!$C$15,"긴급(저혈당)",IF(M263&gt;=설정!$C$16,"긴급(고혈당)",IF(N263="공복",IF(M263&gt;=설정!$C$13,"주의","정상"),IF(N263="식후",IF(M263&gt;=설정!$C$14,"주의","정상"),"조건확인")))))))</f>
        <v/>
      </c>
      <c r="V263" s="32" t="str">
        <f aca="false">IF(OR(T263="긴급",LEFT(U263,2)="긴급",P263="O"),"대상","")</f>
        <v/>
      </c>
      <c r="W263" s="33" t="str">
        <f aca="false">IF(R263&lt;&gt;"",R263,IF(O263="O",IF(V263="대상",IF(Q263="O","완료","추가상담 대기"),"완료"),IF(COUNTA(K263:M263)=3,"상담 대기",IF(J263="O","측정 대기",IF(I263="O","운동평가 대기","미방문")))))</f>
        <v>미방문</v>
      </c>
      <c r="X263" s="34"/>
      <c r="Y263" s="34"/>
      <c r="Z263" s="34"/>
      <c r="AA263" s="34"/>
      <c r="AB263" s="34"/>
      <c r="AC263" s="35" t="str">
        <f aca="false">IF(AND(ISNUMBER(X263),ISNUMBER(Y263)),IF(Y263&gt;=X263,ROUND((Y263-X263)*1440,0),""),"")</f>
        <v/>
      </c>
      <c r="AD263" s="35" t="str">
        <f aca="false">IF(AND(ISNUMBER(Y263),ISNUMBER(Z263)),IF(Z263&gt;=Y263,ROUND((Z263-Y263)*1440,0),""),"")</f>
        <v/>
      </c>
      <c r="AE263" s="35" t="str">
        <f aca="false">IF(AND(ISNUMBER(Z263),ISNUMBER(AA263)),IF(AA263&gt;=Z263,ROUND((AA263-Z263)*1440,0),""),"")</f>
        <v/>
      </c>
      <c r="AF263" s="35" t="str">
        <f aca="false">IF(AND(ISNUMBER(AA263),ISNUMBER(AB263)),IF(AB263&gt;=AA263,ROUND((AB263-AA263)*1440,0),""),"")</f>
        <v/>
      </c>
      <c r="AG263" s="35" t="str">
        <f aca="false">IF(AND(W263="완료",ISNUMBER(X263)),IF(MAX(Y263:AB263)&gt;=X263,ROUND((MAX(Y263:AB263)-X263)*1440,0),""),"")</f>
        <v/>
      </c>
    </row>
    <row r="264" customFormat="false" ht="15" hidden="false" customHeight="false" outlineLevel="0" collapsed="false">
      <c r="A264" s="27" t="n">
        <v>260</v>
      </c>
      <c r="B264" s="28"/>
      <c r="C264" s="29"/>
      <c r="D264" s="29"/>
      <c r="E264" s="28"/>
      <c r="F264" s="30"/>
      <c r="G264" s="31"/>
      <c r="H264" s="28"/>
      <c r="I264" s="29"/>
      <c r="J264" s="29"/>
      <c r="K264" s="29"/>
      <c r="L264" s="29"/>
      <c r="M264" s="29"/>
      <c r="N264" s="29"/>
      <c r="O264" s="29"/>
      <c r="P264" s="29"/>
      <c r="Q264" s="29"/>
      <c r="R264" s="29"/>
      <c r="S264" s="28"/>
      <c r="T264" s="32" t="str">
        <f aca="false">IF(AND(K264="",L264=""),"",IF(OR(K264="-",L264="-"),"측정불가",IF(AND(ISNUMBER(K264),ISNUMBER(L264)),IF(OR(K264&gt;=설정!$C$9,L264&gt;=설정!$C$10),"긴급",IF(OR(K264&gt;=설정!$C$7,L264&gt;=설정!$C$8,K264&lt;설정!$C$11),"주의","정상")),"확인필요")))</f>
        <v/>
      </c>
      <c r="U264" s="32" t="str">
        <f aca="false">IF(M264="","",IF(M264="-","측정불가",IF(NOT(ISNUMBER(M264)),"확인필요",IF(M264&lt;설정!$C$15,"긴급(저혈당)",IF(M264&gt;=설정!$C$16,"긴급(고혈당)",IF(N264="공복",IF(M264&gt;=설정!$C$13,"주의","정상"),IF(N264="식후",IF(M264&gt;=설정!$C$14,"주의","정상"),"조건확인")))))))</f>
        <v/>
      </c>
      <c r="V264" s="32" t="str">
        <f aca="false">IF(OR(T264="긴급",LEFT(U264,2)="긴급",P264="O"),"대상","")</f>
        <v/>
      </c>
      <c r="W264" s="33" t="str">
        <f aca="false">IF(R264&lt;&gt;"",R264,IF(O264="O",IF(V264="대상",IF(Q264="O","완료","추가상담 대기"),"완료"),IF(COUNTA(K264:M264)=3,"상담 대기",IF(J264="O","측정 대기",IF(I264="O","운동평가 대기","미방문")))))</f>
        <v>미방문</v>
      </c>
      <c r="X264" s="34"/>
      <c r="Y264" s="34"/>
      <c r="Z264" s="34"/>
      <c r="AA264" s="34"/>
      <c r="AB264" s="34"/>
      <c r="AC264" s="35" t="str">
        <f aca="false">IF(AND(ISNUMBER(X264),ISNUMBER(Y264)),IF(Y264&gt;=X264,ROUND((Y264-X264)*1440,0),""),"")</f>
        <v/>
      </c>
      <c r="AD264" s="35" t="str">
        <f aca="false">IF(AND(ISNUMBER(Y264),ISNUMBER(Z264)),IF(Z264&gt;=Y264,ROUND((Z264-Y264)*1440,0),""),"")</f>
        <v/>
      </c>
      <c r="AE264" s="35" t="str">
        <f aca="false">IF(AND(ISNUMBER(Z264),ISNUMBER(AA264)),IF(AA264&gt;=Z264,ROUND((AA264-Z264)*1440,0),""),"")</f>
        <v/>
      </c>
      <c r="AF264" s="35" t="str">
        <f aca="false">IF(AND(ISNUMBER(AA264),ISNUMBER(AB264)),IF(AB264&gt;=AA264,ROUND((AB264-AA264)*1440,0),""),"")</f>
        <v/>
      </c>
      <c r="AG264" s="35" t="str">
        <f aca="false">IF(AND(W264="완료",ISNUMBER(X264)),IF(MAX(Y264:AB264)&gt;=X264,ROUND((MAX(Y264:AB264)-X264)*1440,0),""),"")</f>
        <v/>
      </c>
    </row>
    <row r="265" customFormat="false" ht="15" hidden="false" customHeight="false" outlineLevel="0" collapsed="false">
      <c r="A265" s="27" t="n">
        <v>261</v>
      </c>
      <c r="B265" s="28"/>
      <c r="C265" s="29"/>
      <c r="D265" s="29"/>
      <c r="E265" s="28"/>
      <c r="F265" s="30"/>
      <c r="G265" s="31"/>
      <c r="H265" s="28"/>
      <c r="I265" s="29"/>
      <c r="J265" s="29"/>
      <c r="K265" s="29"/>
      <c r="L265" s="29"/>
      <c r="M265" s="29"/>
      <c r="N265" s="29"/>
      <c r="O265" s="29"/>
      <c r="P265" s="29"/>
      <c r="Q265" s="29"/>
      <c r="R265" s="29"/>
      <c r="S265" s="28"/>
      <c r="T265" s="32" t="str">
        <f aca="false">IF(AND(K265="",L265=""),"",IF(OR(K265="-",L265="-"),"측정불가",IF(AND(ISNUMBER(K265),ISNUMBER(L265)),IF(OR(K265&gt;=설정!$C$9,L265&gt;=설정!$C$10),"긴급",IF(OR(K265&gt;=설정!$C$7,L265&gt;=설정!$C$8,K265&lt;설정!$C$11),"주의","정상")),"확인필요")))</f>
        <v/>
      </c>
      <c r="U265" s="32" t="str">
        <f aca="false">IF(M265="","",IF(M265="-","측정불가",IF(NOT(ISNUMBER(M265)),"확인필요",IF(M265&lt;설정!$C$15,"긴급(저혈당)",IF(M265&gt;=설정!$C$16,"긴급(고혈당)",IF(N265="공복",IF(M265&gt;=설정!$C$13,"주의","정상"),IF(N265="식후",IF(M265&gt;=설정!$C$14,"주의","정상"),"조건확인")))))))</f>
        <v/>
      </c>
      <c r="V265" s="32" t="str">
        <f aca="false">IF(OR(T265="긴급",LEFT(U265,2)="긴급",P265="O"),"대상","")</f>
        <v/>
      </c>
      <c r="W265" s="33" t="str">
        <f aca="false">IF(R265&lt;&gt;"",R265,IF(O265="O",IF(V265="대상",IF(Q265="O","완료","추가상담 대기"),"완료"),IF(COUNTA(K265:M265)=3,"상담 대기",IF(J265="O","측정 대기",IF(I265="O","운동평가 대기","미방문")))))</f>
        <v>미방문</v>
      </c>
      <c r="X265" s="34"/>
      <c r="Y265" s="34"/>
      <c r="Z265" s="34"/>
      <c r="AA265" s="34"/>
      <c r="AB265" s="34"/>
      <c r="AC265" s="35" t="str">
        <f aca="false">IF(AND(ISNUMBER(X265),ISNUMBER(Y265)),IF(Y265&gt;=X265,ROUND((Y265-X265)*1440,0),""),"")</f>
        <v/>
      </c>
      <c r="AD265" s="35" t="str">
        <f aca="false">IF(AND(ISNUMBER(Y265),ISNUMBER(Z265)),IF(Z265&gt;=Y265,ROUND((Z265-Y265)*1440,0),""),"")</f>
        <v/>
      </c>
      <c r="AE265" s="35" t="str">
        <f aca="false">IF(AND(ISNUMBER(Z265),ISNUMBER(AA265)),IF(AA265&gt;=Z265,ROUND((AA265-Z265)*1440,0),""),"")</f>
        <v/>
      </c>
      <c r="AF265" s="35" t="str">
        <f aca="false">IF(AND(ISNUMBER(AA265),ISNUMBER(AB265)),IF(AB265&gt;=AA265,ROUND((AB265-AA265)*1440,0),""),"")</f>
        <v/>
      </c>
      <c r="AG265" s="35" t="str">
        <f aca="false">IF(AND(W265="완료",ISNUMBER(X265)),IF(MAX(Y265:AB265)&gt;=X265,ROUND((MAX(Y265:AB265)-X265)*1440,0),""),"")</f>
        <v/>
      </c>
    </row>
    <row r="266" customFormat="false" ht="15" hidden="false" customHeight="false" outlineLevel="0" collapsed="false">
      <c r="A266" s="27" t="n">
        <v>262</v>
      </c>
      <c r="B266" s="28"/>
      <c r="C266" s="29"/>
      <c r="D266" s="29"/>
      <c r="E266" s="28"/>
      <c r="F266" s="30"/>
      <c r="G266" s="31"/>
      <c r="H266" s="28"/>
      <c r="I266" s="29"/>
      <c r="J266" s="29"/>
      <c r="K266" s="29"/>
      <c r="L266" s="29"/>
      <c r="M266" s="29"/>
      <c r="N266" s="29"/>
      <c r="O266" s="29"/>
      <c r="P266" s="29"/>
      <c r="Q266" s="29"/>
      <c r="R266" s="29"/>
      <c r="S266" s="28"/>
      <c r="T266" s="32" t="str">
        <f aca="false">IF(AND(K266="",L266=""),"",IF(OR(K266="-",L266="-"),"측정불가",IF(AND(ISNUMBER(K266),ISNUMBER(L266)),IF(OR(K266&gt;=설정!$C$9,L266&gt;=설정!$C$10),"긴급",IF(OR(K266&gt;=설정!$C$7,L266&gt;=설정!$C$8,K266&lt;설정!$C$11),"주의","정상")),"확인필요")))</f>
        <v/>
      </c>
      <c r="U266" s="32" t="str">
        <f aca="false">IF(M266="","",IF(M266="-","측정불가",IF(NOT(ISNUMBER(M266)),"확인필요",IF(M266&lt;설정!$C$15,"긴급(저혈당)",IF(M266&gt;=설정!$C$16,"긴급(고혈당)",IF(N266="공복",IF(M266&gt;=설정!$C$13,"주의","정상"),IF(N266="식후",IF(M266&gt;=설정!$C$14,"주의","정상"),"조건확인")))))))</f>
        <v/>
      </c>
      <c r="V266" s="32" t="str">
        <f aca="false">IF(OR(T266="긴급",LEFT(U266,2)="긴급",P266="O"),"대상","")</f>
        <v/>
      </c>
      <c r="W266" s="33" t="str">
        <f aca="false">IF(R266&lt;&gt;"",R266,IF(O266="O",IF(V266="대상",IF(Q266="O","완료","추가상담 대기"),"완료"),IF(COUNTA(K266:M266)=3,"상담 대기",IF(J266="O","측정 대기",IF(I266="O","운동평가 대기","미방문")))))</f>
        <v>미방문</v>
      </c>
      <c r="X266" s="34"/>
      <c r="Y266" s="34"/>
      <c r="Z266" s="34"/>
      <c r="AA266" s="34"/>
      <c r="AB266" s="34"/>
      <c r="AC266" s="35" t="str">
        <f aca="false">IF(AND(ISNUMBER(X266),ISNUMBER(Y266)),IF(Y266&gt;=X266,ROUND((Y266-X266)*1440,0),""),"")</f>
        <v/>
      </c>
      <c r="AD266" s="35" t="str">
        <f aca="false">IF(AND(ISNUMBER(Y266),ISNUMBER(Z266)),IF(Z266&gt;=Y266,ROUND((Z266-Y266)*1440,0),""),"")</f>
        <v/>
      </c>
      <c r="AE266" s="35" t="str">
        <f aca="false">IF(AND(ISNUMBER(Z266),ISNUMBER(AA266)),IF(AA266&gt;=Z266,ROUND((AA266-Z266)*1440,0),""),"")</f>
        <v/>
      </c>
      <c r="AF266" s="35" t="str">
        <f aca="false">IF(AND(ISNUMBER(AA266),ISNUMBER(AB266)),IF(AB266&gt;=AA266,ROUND((AB266-AA266)*1440,0),""),"")</f>
        <v/>
      </c>
      <c r="AG266" s="35" t="str">
        <f aca="false">IF(AND(W266="완료",ISNUMBER(X266)),IF(MAX(Y266:AB266)&gt;=X266,ROUND((MAX(Y266:AB266)-X266)*1440,0),""),"")</f>
        <v/>
      </c>
    </row>
    <row r="267" customFormat="false" ht="15" hidden="false" customHeight="false" outlineLevel="0" collapsed="false">
      <c r="A267" s="27" t="n">
        <v>263</v>
      </c>
      <c r="B267" s="28"/>
      <c r="C267" s="29"/>
      <c r="D267" s="29"/>
      <c r="E267" s="28"/>
      <c r="F267" s="30"/>
      <c r="G267" s="31"/>
      <c r="H267" s="28"/>
      <c r="I267" s="29"/>
      <c r="J267" s="29"/>
      <c r="K267" s="29"/>
      <c r="L267" s="29"/>
      <c r="M267" s="29"/>
      <c r="N267" s="29"/>
      <c r="O267" s="29"/>
      <c r="P267" s="29"/>
      <c r="Q267" s="29"/>
      <c r="R267" s="29"/>
      <c r="S267" s="28"/>
      <c r="T267" s="32" t="str">
        <f aca="false">IF(AND(K267="",L267=""),"",IF(OR(K267="-",L267="-"),"측정불가",IF(AND(ISNUMBER(K267),ISNUMBER(L267)),IF(OR(K267&gt;=설정!$C$9,L267&gt;=설정!$C$10),"긴급",IF(OR(K267&gt;=설정!$C$7,L267&gt;=설정!$C$8,K267&lt;설정!$C$11),"주의","정상")),"확인필요")))</f>
        <v/>
      </c>
      <c r="U267" s="32" t="str">
        <f aca="false">IF(M267="","",IF(M267="-","측정불가",IF(NOT(ISNUMBER(M267)),"확인필요",IF(M267&lt;설정!$C$15,"긴급(저혈당)",IF(M267&gt;=설정!$C$16,"긴급(고혈당)",IF(N267="공복",IF(M267&gt;=설정!$C$13,"주의","정상"),IF(N267="식후",IF(M267&gt;=설정!$C$14,"주의","정상"),"조건확인")))))))</f>
        <v/>
      </c>
      <c r="V267" s="32" t="str">
        <f aca="false">IF(OR(T267="긴급",LEFT(U267,2)="긴급",P267="O"),"대상","")</f>
        <v/>
      </c>
      <c r="W267" s="33" t="str">
        <f aca="false">IF(R267&lt;&gt;"",R267,IF(O267="O",IF(V267="대상",IF(Q267="O","완료","추가상담 대기"),"완료"),IF(COUNTA(K267:M267)=3,"상담 대기",IF(J267="O","측정 대기",IF(I267="O","운동평가 대기","미방문")))))</f>
        <v>미방문</v>
      </c>
      <c r="X267" s="34"/>
      <c r="Y267" s="34"/>
      <c r="Z267" s="34"/>
      <c r="AA267" s="34"/>
      <c r="AB267" s="34"/>
      <c r="AC267" s="35" t="str">
        <f aca="false">IF(AND(ISNUMBER(X267),ISNUMBER(Y267)),IF(Y267&gt;=X267,ROUND((Y267-X267)*1440,0),""),"")</f>
        <v/>
      </c>
      <c r="AD267" s="35" t="str">
        <f aca="false">IF(AND(ISNUMBER(Y267),ISNUMBER(Z267)),IF(Z267&gt;=Y267,ROUND((Z267-Y267)*1440,0),""),"")</f>
        <v/>
      </c>
      <c r="AE267" s="35" t="str">
        <f aca="false">IF(AND(ISNUMBER(Z267),ISNUMBER(AA267)),IF(AA267&gt;=Z267,ROUND((AA267-Z267)*1440,0),""),"")</f>
        <v/>
      </c>
      <c r="AF267" s="35" t="str">
        <f aca="false">IF(AND(ISNUMBER(AA267),ISNUMBER(AB267)),IF(AB267&gt;=AA267,ROUND((AB267-AA267)*1440,0),""),"")</f>
        <v/>
      </c>
      <c r="AG267" s="35" t="str">
        <f aca="false">IF(AND(W267="완료",ISNUMBER(X267)),IF(MAX(Y267:AB267)&gt;=X267,ROUND((MAX(Y267:AB267)-X267)*1440,0),""),"")</f>
        <v/>
      </c>
    </row>
    <row r="268" customFormat="false" ht="15" hidden="false" customHeight="false" outlineLevel="0" collapsed="false">
      <c r="A268" s="27" t="n">
        <v>264</v>
      </c>
      <c r="B268" s="28"/>
      <c r="C268" s="29"/>
      <c r="D268" s="29"/>
      <c r="E268" s="28"/>
      <c r="F268" s="30"/>
      <c r="G268" s="31"/>
      <c r="H268" s="28"/>
      <c r="I268" s="29"/>
      <c r="J268" s="29"/>
      <c r="K268" s="29"/>
      <c r="L268" s="29"/>
      <c r="M268" s="29"/>
      <c r="N268" s="29"/>
      <c r="O268" s="29"/>
      <c r="P268" s="29"/>
      <c r="Q268" s="29"/>
      <c r="R268" s="29"/>
      <c r="S268" s="28"/>
      <c r="T268" s="32" t="str">
        <f aca="false">IF(AND(K268="",L268=""),"",IF(OR(K268="-",L268="-"),"측정불가",IF(AND(ISNUMBER(K268),ISNUMBER(L268)),IF(OR(K268&gt;=설정!$C$9,L268&gt;=설정!$C$10),"긴급",IF(OR(K268&gt;=설정!$C$7,L268&gt;=설정!$C$8,K268&lt;설정!$C$11),"주의","정상")),"확인필요")))</f>
        <v/>
      </c>
      <c r="U268" s="32" t="str">
        <f aca="false">IF(M268="","",IF(M268="-","측정불가",IF(NOT(ISNUMBER(M268)),"확인필요",IF(M268&lt;설정!$C$15,"긴급(저혈당)",IF(M268&gt;=설정!$C$16,"긴급(고혈당)",IF(N268="공복",IF(M268&gt;=설정!$C$13,"주의","정상"),IF(N268="식후",IF(M268&gt;=설정!$C$14,"주의","정상"),"조건확인")))))))</f>
        <v/>
      </c>
      <c r="V268" s="32" t="str">
        <f aca="false">IF(OR(T268="긴급",LEFT(U268,2)="긴급",P268="O"),"대상","")</f>
        <v/>
      </c>
      <c r="W268" s="33" t="str">
        <f aca="false">IF(R268&lt;&gt;"",R268,IF(O268="O",IF(V268="대상",IF(Q268="O","완료","추가상담 대기"),"완료"),IF(COUNTA(K268:M268)=3,"상담 대기",IF(J268="O","측정 대기",IF(I268="O","운동평가 대기","미방문")))))</f>
        <v>미방문</v>
      </c>
      <c r="X268" s="34"/>
      <c r="Y268" s="34"/>
      <c r="Z268" s="34"/>
      <c r="AA268" s="34"/>
      <c r="AB268" s="34"/>
      <c r="AC268" s="35" t="str">
        <f aca="false">IF(AND(ISNUMBER(X268),ISNUMBER(Y268)),IF(Y268&gt;=X268,ROUND((Y268-X268)*1440,0),""),"")</f>
        <v/>
      </c>
      <c r="AD268" s="35" t="str">
        <f aca="false">IF(AND(ISNUMBER(Y268),ISNUMBER(Z268)),IF(Z268&gt;=Y268,ROUND((Z268-Y268)*1440,0),""),"")</f>
        <v/>
      </c>
      <c r="AE268" s="35" t="str">
        <f aca="false">IF(AND(ISNUMBER(Z268),ISNUMBER(AA268)),IF(AA268&gt;=Z268,ROUND((AA268-Z268)*1440,0),""),"")</f>
        <v/>
      </c>
      <c r="AF268" s="35" t="str">
        <f aca="false">IF(AND(ISNUMBER(AA268),ISNUMBER(AB268)),IF(AB268&gt;=AA268,ROUND((AB268-AA268)*1440,0),""),"")</f>
        <v/>
      </c>
      <c r="AG268" s="35" t="str">
        <f aca="false">IF(AND(W268="완료",ISNUMBER(X268)),IF(MAX(Y268:AB268)&gt;=X268,ROUND((MAX(Y268:AB268)-X268)*1440,0),""),"")</f>
        <v/>
      </c>
    </row>
    <row r="269" customFormat="false" ht="15" hidden="false" customHeight="false" outlineLevel="0" collapsed="false">
      <c r="A269" s="27" t="n">
        <v>265</v>
      </c>
      <c r="B269" s="28"/>
      <c r="C269" s="29"/>
      <c r="D269" s="29"/>
      <c r="E269" s="28"/>
      <c r="F269" s="30"/>
      <c r="G269" s="31"/>
      <c r="H269" s="28"/>
      <c r="I269" s="29"/>
      <c r="J269" s="29"/>
      <c r="K269" s="29"/>
      <c r="L269" s="29"/>
      <c r="M269" s="29"/>
      <c r="N269" s="29"/>
      <c r="O269" s="29"/>
      <c r="P269" s="29"/>
      <c r="Q269" s="29"/>
      <c r="R269" s="29"/>
      <c r="S269" s="28"/>
      <c r="T269" s="32" t="str">
        <f aca="false">IF(AND(K269="",L269=""),"",IF(OR(K269="-",L269="-"),"측정불가",IF(AND(ISNUMBER(K269),ISNUMBER(L269)),IF(OR(K269&gt;=설정!$C$9,L269&gt;=설정!$C$10),"긴급",IF(OR(K269&gt;=설정!$C$7,L269&gt;=설정!$C$8,K269&lt;설정!$C$11),"주의","정상")),"확인필요")))</f>
        <v/>
      </c>
      <c r="U269" s="32" t="str">
        <f aca="false">IF(M269="","",IF(M269="-","측정불가",IF(NOT(ISNUMBER(M269)),"확인필요",IF(M269&lt;설정!$C$15,"긴급(저혈당)",IF(M269&gt;=설정!$C$16,"긴급(고혈당)",IF(N269="공복",IF(M269&gt;=설정!$C$13,"주의","정상"),IF(N269="식후",IF(M269&gt;=설정!$C$14,"주의","정상"),"조건확인")))))))</f>
        <v/>
      </c>
      <c r="V269" s="32" t="str">
        <f aca="false">IF(OR(T269="긴급",LEFT(U269,2)="긴급",P269="O"),"대상","")</f>
        <v/>
      </c>
      <c r="W269" s="33" t="str">
        <f aca="false">IF(R269&lt;&gt;"",R269,IF(O269="O",IF(V269="대상",IF(Q269="O","완료","추가상담 대기"),"완료"),IF(COUNTA(K269:M269)=3,"상담 대기",IF(J269="O","측정 대기",IF(I269="O","운동평가 대기","미방문")))))</f>
        <v>미방문</v>
      </c>
      <c r="X269" s="34"/>
      <c r="Y269" s="34"/>
      <c r="Z269" s="34"/>
      <c r="AA269" s="34"/>
      <c r="AB269" s="34"/>
      <c r="AC269" s="35" t="str">
        <f aca="false">IF(AND(ISNUMBER(X269),ISNUMBER(Y269)),IF(Y269&gt;=X269,ROUND((Y269-X269)*1440,0),""),"")</f>
        <v/>
      </c>
      <c r="AD269" s="35" t="str">
        <f aca="false">IF(AND(ISNUMBER(Y269),ISNUMBER(Z269)),IF(Z269&gt;=Y269,ROUND((Z269-Y269)*1440,0),""),"")</f>
        <v/>
      </c>
      <c r="AE269" s="35" t="str">
        <f aca="false">IF(AND(ISNUMBER(Z269),ISNUMBER(AA269)),IF(AA269&gt;=Z269,ROUND((AA269-Z269)*1440,0),""),"")</f>
        <v/>
      </c>
      <c r="AF269" s="35" t="str">
        <f aca="false">IF(AND(ISNUMBER(AA269),ISNUMBER(AB269)),IF(AB269&gt;=AA269,ROUND((AB269-AA269)*1440,0),""),"")</f>
        <v/>
      </c>
      <c r="AG269" s="35" t="str">
        <f aca="false">IF(AND(W269="완료",ISNUMBER(X269)),IF(MAX(Y269:AB269)&gt;=X269,ROUND((MAX(Y269:AB269)-X269)*1440,0),""),"")</f>
        <v/>
      </c>
    </row>
    <row r="270" customFormat="false" ht="15" hidden="false" customHeight="false" outlineLevel="0" collapsed="false">
      <c r="A270" s="27" t="n">
        <v>266</v>
      </c>
      <c r="B270" s="28"/>
      <c r="C270" s="29"/>
      <c r="D270" s="29"/>
      <c r="E270" s="28"/>
      <c r="F270" s="30"/>
      <c r="G270" s="31"/>
      <c r="H270" s="28"/>
      <c r="I270" s="29"/>
      <c r="J270" s="29"/>
      <c r="K270" s="29"/>
      <c r="L270" s="29"/>
      <c r="M270" s="29"/>
      <c r="N270" s="29"/>
      <c r="O270" s="29"/>
      <c r="P270" s="29"/>
      <c r="Q270" s="29"/>
      <c r="R270" s="29"/>
      <c r="S270" s="28"/>
      <c r="T270" s="32" t="str">
        <f aca="false">IF(AND(K270="",L270=""),"",IF(OR(K270="-",L270="-"),"측정불가",IF(AND(ISNUMBER(K270),ISNUMBER(L270)),IF(OR(K270&gt;=설정!$C$9,L270&gt;=설정!$C$10),"긴급",IF(OR(K270&gt;=설정!$C$7,L270&gt;=설정!$C$8,K270&lt;설정!$C$11),"주의","정상")),"확인필요")))</f>
        <v/>
      </c>
      <c r="U270" s="32" t="str">
        <f aca="false">IF(M270="","",IF(M270="-","측정불가",IF(NOT(ISNUMBER(M270)),"확인필요",IF(M270&lt;설정!$C$15,"긴급(저혈당)",IF(M270&gt;=설정!$C$16,"긴급(고혈당)",IF(N270="공복",IF(M270&gt;=설정!$C$13,"주의","정상"),IF(N270="식후",IF(M270&gt;=설정!$C$14,"주의","정상"),"조건확인")))))))</f>
        <v/>
      </c>
      <c r="V270" s="32" t="str">
        <f aca="false">IF(OR(T270="긴급",LEFT(U270,2)="긴급",P270="O"),"대상","")</f>
        <v/>
      </c>
      <c r="W270" s="33" t="str">
        <f aca="false">IF(R270&lt;&gt;"",R270,IF(O270="O",IF(V270="대상",IF(Q270="O","완료","추가상담 대기"),"완료"),IF(COUNTA(K270:M270)=3,"상담 대기",IF(J270="O","측정 대기",IF(I270="O","운동평가 대기","미방문")))))</f>
        <v>미방문</v>
      </c>
      <c r="X270" s="34"/>
      <c r="Y270" s="34"/>
      <c r="Z270" s="34"/>
      <c r="AA270" s="34"/>
      <c r="AB270" s="34"/>
      <c r="AC270" s="35" t="str">
        <f aca="false">IF(AND(ISNUMBER(X270),ISNUMBER(Y270)),IF(Y270&gt;=X270,ROUND((Y270-X270)*1440,0),""),"")</f>
        <v/>
      </c>
      <c r="AD270" s="35" t="str">
        <f aca="false">IF(AND(ISNUMBER(Y270),ISNUMBER(Z270)),IF(Z270&gt;=Y270,ROUND((Z270-Y270)*1440,0),""),"")</f>
        <v/>
      </c>
      <c r="AE270" s="35" t="str">
        <f aca="false">IF(AND(ISNUMBER(Z270),ISNUMBER(AA270)),IF(AA270&gt;=Z270,ROUND((AA270-Z270)*1440,0),""),"")</f>
        <v/>
      </c>
      <c r="AF270" s="35" t="str">
        <f aca="false">IF(AND(ISNUMBER(AA270),ISNUMBER(AB270)),IF(AB270&gt;=AA270,ROUND((AB270-AA270)*1440,0),""),"")</f>
        <v/>
      </c>
      <c r="AG270" s="35" t="str">
        <f aca="false">IF(AND(W270="완료",ISNUMBER(X270)),IF(MAX(Y270:AB270)&gt;=X270,ROUND((MAX(Y270:AB270)-X270)*1440,0),""),"")</f>
        <v/>
      </c>
    </row>
    <row r="271" customFormat="false" ht="15" hidden="false" customHeight="false" outlineLevel="0" collapsed="false">
      <c r="A271" s="27" t="n">
        <v>267</v>
      </c>
      <c r="B271" s="28"/>
      <c r="C271" s="29"/>
      <c r="D271" s="29"/>
      <c r="E271" s="28"/>
      <c r="F271" s="30"/>
      <c r="G271" s="31"/>
      <c r="H271" s="28"/>
      <c r="I271" s="29"/>
      <c r="J271" s="29"/>
      <c r="K271" s="29"/>
      <c r="L271" s="29"/>
      <c r="M271" s="29"/>
      <c r="N271" s="29"/>
      <c r="O271" s="29"/>
      <c r="P271" s="29"/>
      <c r="Q271" s="29"/>
      <c r="R271" s="29"/>
      <c r="S271" s="28"/>
      <c r="T271" s="32" t="str">
        <f aca="false">IF(AND(K271="",L271=""),"",IF(OR(K271="-",L271="-"),"측정불가",IF(AND(ISNUMBER(K271),ISNUMBER(L271)),IF(OR(K271&gt;=설정!$C$9,L271&gt;=설정!$C$10),"긴급",IF(OR(K271&gt;=설정!$C$7,L271&gt;=설정!$C$8,K271&lt;설정!$C$11),"주의","정상")),"확인필요")))</f>
        <v/>
      </c>
      <c r="U271" s="32" t="str">
        <f aca="false">IF(M271="","",IF(M271="-","측정불가",IF(NOT(ISNUMBER(M271)),"확인필요",IF(M271&lt;설정!$C$15,"긴급(저혈당)",IF(M271&gt;=설정!$C$16,"긴급(고혈당)",IF(N271="공복",IF(M271&gt;=설정!$C$13,"주의","정상"),IF(N271="식후",IF(M271&gt;=설정!$C$14,"주의","정상"),"조건확인")))))))</f>
        <v/>
      </c>
      <c r="V271" s="32" t="str">
        <f aca="false">IF(OR(T271="긴급",LEFT(U271,2)="긴급",P271="O"),"대상","")</f>
        <v/>
      </c>
      <c r="W271" s="33" t="str">
        <f aca="false">IF(R271&lt;&gt;"",R271,IF(O271="O",IF(V271="대상",IF(Q271="O","완료","추가상담 대기"),"완료"),IF(COUNTA(K271:M271)=3,"상담 대기",IF(J271="O","측정 대기",IF(I271="O","운동평가 대기","미방문")))))</f>
        <v>미방문</v>
      </c>
      <c r="X271" s="34"/>
      <c r="Y271" s="34"/>
      <c r="Z271" s="34"/>
      <c r="AA271" s="34"/>
      <c r="AB271" s="34"/>
      <c r="AC271" s="35" t="str">
        <f aca="false">IF(AND(ISNUMBER(X271),ISNUMBER(Y271)),IF(Y271&gt;=X271,ROUND((Y271-X271)*1440,0),""),"")</f>
        <v/>
      </c>
      <c r="AD271" s="35" t="str">
        <f aca="false">IF(AND(ISNUMBER(Y271),ISNUMBER(Z271)),IF(Z271&gt;=Y271,ROUND((Z271-Y271)*1440,0),""),"")</f>
        <v/>
      </c>
      <c r="AE271" s="35" t="str">
        <f aca="false">IF(AND(ISNUMBER(Z271),ISNUMBER(AA271)),IF(AA271&gt;=Z271,ROUND((AA271-Z271)*1440,0),""),"")</f>
        <v/>
      </c>
      <c r="AF271" s="35" t="str">
        <f aca="false">IF(AND(ISNUMBER(AA271),ISNUMBER(AB271)),IF(AB271&gt;=AA271,ROUND((AB271-AA271)*1440,0),""),"")</f>
        <v/>
      </c>
      <c r="AG271" s="35" t="str">
        <f aca="false">IF(AND(W271="완료",ISNUMBER(X271)),IF(MAX(Y271:AB271)&gt;=X271,ROUND((MAX(Y271:AB271)-X271)*1440,0),""),"")</f>
        <v/>
      </c>
    </row>
    <row r="272" customFormat="false" ht="15" hidden="false" customHeight="false" outlineLevel="0" collapsed="false">
      <c r="A272" s="27" t="n">
        <v>268</v>
      </c>
      <c r="B272" s="28"/>
      <c r="C272" s="29"/>
      <c r="D272" s="29"/>
      <c r="E272" s="28"/>
      <c r="F272" s="30"/>
      <c r="G272" s="31"/>
      <c r="H272" s="28"/>
      <c r="I272" s="29"/>
      <c r="J272" s="29"/>
      <c r="K272" s="29"/>
      <c r="L272" s="29"/>
      <c r="M272" s="29"/>
      <c r="N272" s="29"/>
      <c r="O272" s="29"/>
      <c r="P272" s="29"/>
      <c r="Q272" s="29"/>
      <c r="R272" s="29"/>
      <c r="S272" s="28"/>
      <c r="T272" s="32" t="str">
        <f aca="false">IF(AND(K272="",L272=""),"",IF(OR(K272="-",L272="-"),"측정불가",IF(AND(ISNUMBER(K272),ISNUMBER(L272)),IF(OR(K272&gt;=설정!$C$9,L272&gt;=설정!$C$10),"긴급",IF(OR(K272&gt;=설정!$C$7,L272&gt;=설정!$C$8,K272&lt;설정!$C$11),"주의","정상")),"확인필요")))</f>
        <v/>
      </c>
      <c r="U272" s="32" t="str">
        <f aca="false">IF(M272="","",IF(M272="-","측정불가",IF(NOT(ISNUMBER(M272)),"확인필요",IF(M272&lt;설정!$C$15,"긴급(저혈당)",IF(M272&gt;=설정!$C$16,"긴급(고혈당)",IF(N272="공복",IF(M272&gt;=설정!$C$13,"주의","정상"),IF(N272="식후",IF(M272&gt;=설정!$C$14,"주의","정상"),"조건확인")))))))</f>
        <v/>
      </c>
      <c r="V272" s="32" t="str">
        <f aca="false">IF(OR(T272="긴급",LEFT(U272,2)="긴급",P272="O"),"대상","")</f>
        <v/>
      </c>
      <c r="W272" s="33" t="str">
        <f aca="false">IF(R272&lt;&gt;"",R272,IF(O272="O",IF(V272="대상",IF(Q272="O","완료","추가상담 대기"),"완료"),IF(COUNTA(K272:M272)=3,"상담 대기",IF(J272="O","측정 대기",IF(I272="O","운동평가 대기","미방문")))))</f>
        <v>미방문</v>
      </c>
      <c r="X272" s="34"/>
      <c r="Y272" s="34"/>
      <c r="Z272" s="34"/>
      <c r="AA272" s="34"/>
      <c r="AB272" s="34"/>
      <c r="AC272" s="35" t="str">
        <f aca="false">IF(AND(ISNUMBER(X272),ISNUMBER(Y272)),IF(Y272&gt;=X272,ROUND((Y272-X272)*1440,0),""),"")</f>
        <v/>
      </c>
      <c r="AD272" s="35" t="str">
        <f aca="false">IF(AND(ISNUMBER(Y272),ISNUMBER(Z272)),IF(Z272&gt;=Y272,ROUND((Z272-Y272)*1440,0),""),"")</f>
        <v/>
      </c>
      <c r="AE272" s="35" t="str">
        <f aca="false">IF(AND(ISNUMBER(Z272),ISNUMBER(AA272)),IF(AA272&gt;=Z272,ROUND((AA272-Z272)*1440,0),""),"")</f>
        <v/>
      </c>
      <c r="AF272" s="35" t="str">
        <f aca="false">IF(AND(ISNUMBER(AA272),ISNUMBER(AB272)),IF(AB272&gt;=AA272,ROUND((AB272-AA272)*1440,0),""),"")</f>
        <v/>
      </c>
      <c r="AG272" s="35" t="str">
        <f aca="false">IF(AND(W272="완료",ISNUMBER(X272)),IF(MAX(Y272:AB272)&gt;=X272,ROUND((MAX(Y272:AB272)-X272)*1440,0),""),"")</f>
        <v/>
      </c>
    </row>
    <row r="273" customFormat="false" ht="15" hidden="false" customHeight="false" outlineLevel="0" collapsed="false">
      <c r="A273" s="27" t="n">
        <v>269</v>
      </c>
      <c r="B273" s="28"/>
      <c r="C273" s="29"/>
      <c r="D273" s="29"/>
      <c r="E273" s="28"/>
      <c r="F273" s="30"/>
      <c r="G273" s="31"/>
      <c r="H273" s="28"/>
      <c r="I273" s="29"/>
      <c r="J273" s="29"/>
      <c r="K273" s="29"/>
      <c r="L273" s="29"/>
      <c r="M273" s="29"/>
      <c r="N273" s="29"/>
      <c r="O273" s="29"/>
      <c r="P273" s="29"/>
      <c r="Q273" s="29"/>
      <c r="R273" s="29"/>
      <c r="S273" s="28"/>
      <c r="T273" s="32" t="str">
        <f aca="false">IF(AND(K273="",L273=""),"",IF(OR(K273="-",L273="-"),"측정불가",IF(AND(ISNUMBER(K273),ISNUMBER(L273)),IF(OR(K273&gt;=설정!$C$9,L273&gt;=설정!$C$10),"긴급",IF(OR(K273&gt;=설정!$C$7,L273&gt;=설정!$C$8,K273&lt;설정!$C$11),"주의","정상")),"확인필요")))</f>
        <v/>
      </c>
      <c r="U273" s="32" t="str">
        <f aca="false">IF(M273="","",IF(M273="-","측정불가",IF(NOT(ISNUMBER(M273)),"확인필요",IF(M273&lt;설정!$C$15,"긴급(저혈당)",IF(M273&gt;=설정!$C$16,"긴급(고혈당)",IF(N273="공복",IF(M273&gt;=설정!$C$13,"주의","정상"),IF(N273="식후",IF(M273&gt;=설정!$C$14,"주의","정상"),"조건확인")))))))</f>
        <v/>
      </c>
      <c r="V273" s="32" t="str">
        <f aca="false">IF(OR(T273="긴급",LEFT(U273,2)="긴급",P273="O"),"대상","")</f>
        <v/>
      </c>
      <c r="W273" s="33" t="str">
        <f aca="false">IF(R273&lt;&gt;"",R273,IF(O273="O",IF(V273="대상",IF(Q273="O","완료","추가상담 대기"),"완료"),IF(COUNTA(K273:M273)=3,"상담 대기",IF(J273="O","측정 대기",IF(I273="O","운동평가 대기","미방문")))))</f>
        <v>미방문</v>
      </c>
      <c r="X273" s="34"/>
      <c r="Y273" s="34"/>
      <c r="Z273" s="34"/>
      <c r="AA273" s="34"/>
      <c r="AB273" s="34"/>
      <c r="AC273" s="35" t="str">
        <f aca="false">IF(AND(ISNUMBER(X273),ISNUMBER(Y273)),IF(Y273&gt;=X273,ROUND((Y273-X273)*1440,0),""),"")</f>
        <v/>
      </c>
      <c r="AD273" s="35" t="str">
        <f aca="false">IF(AND(ISNUMBER(Y273),ISNUMBER(Z273)),IF(Z273&gt;=Y273,ROUND((Z273-Y273)*1440,0),""),"")</f>
        <v/>
      </c>
      <c r="AE273" s="35" t="str">
        <f aca="false">IF(AND(ISNUMBER(Z273),ISNUMBER(AA273)),IF(AA273&gt;=Z273,ROUND((AA273-Z273)*1440,0),""),"")</f>
        <v/>
      </c>
      <c r="AF273" s="35" t="str">
        <f aca="false">IF(AND(ISNUMBER(AA273),ISNUMBER(AB273)),IF(AB273&gt;=AA273,ROUND((AB273-AA273)*1440,0),""),"")</f>
        <v/>
      </c>
      <c r="AG273" s="35" t="str">
        <f aca="false">IF(AND(W273="완료",ISNUMBER(X273)),IF(MAX(Y273:AB273)&gt;=X273,ROUND((MAX(Y273:AB273)-X273)*1440,0),""),"")</f>
        <v/>
      </c>
    </row>
    <row r="274" customFormat="false" ht="15" hidden="false" customHeight="false" outlineLevel="0" collapsed="false">
      <c r="A274" s="27" t="n">
        <v>270</v>
      </c>
      <c r="B274" s="28"/>
      <c r="C274" s="29"/>
      <c r="D274" s="29"/>
      <c r="E274" s="28"/>
      <c r="F274" s="30"/>
      <c r="G274" s="31"/>
      <c r="H274" s="28"/>
      <c r="I274" s="29"/>
      <c r="J274" s="29"/>
      <c r="K274" s="29"/>
      <c r="L274" s="29"/>
      <c r="M274" s="29"/>
      <c r="N274" s="29"/>
      <c r="O274" s="29"/>
      <c r="P274" s="29"/>
      <c r="Q274" s="29"/>
      <c r="R274" s="29"/>
      <c r="S274" s="28"/>
      <c r="T274" s="32" t="str">
        <f aca="false">IF(AND(K274="",L274=""),"",IF(OR(K274="-",L274="-"),"측정불가",IF(AND(ISNUMBER(K274),ISNUMBER(L274)),IF(OR(K274&gt;=설정!$C$9,L274&gt;=설정!$C$10),"긴급",IF(OR(K274&gt;=설정!$C$7,L274&gt;=설정!$C$8,K274&lt;설정!$C$11),"주의","정상")),"확인필요")))</f>
        <v/>
      </c>
      <c r="U274" s="32" t="str">
        <f aca="false">IF(M274="","",IF(M274="-","측정불가",IF(NOT(ISNUMBER(M274)),"확인필요",IF(M274&lt;설정!$C$15,"긴급(저혈당)",IF(M274&gt;=설정!$C$16,"긴급(고혈당)",IF(N274="공복",IF(M274&gt;=설정!$C$13,"주의","정상"),IF(N274="식후",IF(M274&gt;=설정!$C$14,"주의","정상"),"조건확인")))))))</f>
        <v/>
      </c>
      <c r="V274" s="32" t="str">
        <f aca="false">IF(OR(T274="긴급",LEFT(U274,2)="긴급",P274="O"),"대상","")</f>
        <v/>
      </c>
      <c r="W274" s="33" t="str">
        <f aca="false">IF(R274&lt;&gt;"",R274,IF(O274="O",IF(V274="대상",IF(Q274="O","완료","추가상담 대기"),"완료"),IF(COUNTA(K274:M274)=3,"상담 대기",IF(J274="O","측정 대기",IF(I274="O","운동평가 대기","미방문")))))</f>
        <v>미방문</v>
      </c>
      <c r="X274" s="34"/>
      <c r="Y274" s="34"/>
      <c r="Z274" s="34"/>
      <c r="AA274" s="34"/>
      <c r="AB274" s="34"/>
      <c r="AC274" s="35" t="str">
        <f aca="false">IF(AND(ISNUMBER(X274),ISNUMBER(Y274)),IF(Y274&gt;=X274,ROUND((Y274-X274)*1440,0),""),"")</f>
        <v/>
      </c>
      <c r="AD274" s="35" t="str">
        <f aca="false">IF(AND(ISNUMBER(Y274),ISNUMBER(Z274)),IF(Z274&gt;=Y274,ROUND((Z274-Y274)*1440,0),""),"")</f>
        <v/>
      </c>
      <c r="AE274" s="35" t="str">
        <f aca="false">IF(AND(ISNUMBER(Z274),ISNUMBER(AA274)),IF(AA274&gt;=Z274,ROUND((AA274-Z274)*1440,0),""),"")</f>
        <v/>
      </c>
      <c r="AF274" s="35" t="str">
        <f aca="false">IF(AND(ISNUMBER(AA274),ISNUMBER(AB274)),IF(AB274&gt;=AA274,ROUND((AB274-AA274)*1440,0),""),"")</f>
        <v/>
      </c>
      <c r="AG274" s="35" t="str">
        <f aca="false">IF(AND(W274="완료",ISNUMBER(X274)),IF(MAX(Y274:AB274)&gt;=X274,ROUND((MAX(Y274:AB274)-X274)*1440,0),""),"")</f>
        <v/>
      </c>
    </row>
    <row r="275" customFormat="false" ht="15" hidden="false" customHeight="false" outlineLevel="0" collapsed="false">
      <c r="A275" s="27" t="n">
        <v>271</v>
      </c>
      <c r="B275" s="28"/>
      <c r="C275" s="29"/>
      <c r="D275" s="29"/>
      <c r="E275" s="28"/>
      <c r="F275" s="30"/>
      <c r="G275" s="31"/>
      <c r="H275" s="28"/>
      <c r="I275" s="29"/>
      <c r="J275" s="29"/>
      <c r="K275" s="29"/>
      <c r="L275" s="29"/>
      <c r="M275" s="29"/>
      <c r="N275" s="29"/>
      <c r="O275" s="29"/>
      <c r="P275" s="29"/>
      <c r="Q275" s="29"/>
      <c r="R275" s="29"/>
      <c r="S275" s="28"/>
      <c r="T275" s="32" t="str">
        <f aca="false">IF(AND(K275="",L275=""),"",IF(OR(K275="-",L275="-"),"측정불가",IF(AND(ISNUMBER(K275),ISNUMBER(L275)),IF(OR(K275&gt;=설정!$C$9,L275&gt;=설정!$C$10),"긴급",IF(OR(K275&gt;=설정!$C$7,L275&gt;=설정!$C$8,K275&lt;설정!$C$11),"주의","정상")),"확인필요")))</f>
        <v/>
      </c>
      <c r="U275" s="32" t="str">
        <f aca="false">IF(M275="","",IF(M275="-","측정불가",IF(NOT(ISNUMBER(M275)),"확인필요",IF(M275&lt;설정!$C$15,"긴급(저혈당)",IF(M275&gt;=설정!$C$16,"긴급(고혈당)",IF(N275="공복",IF(M275&gt;=설정!$C$13,"주의","정상"),IF(N275="식후",IF(M275&gt;=설정!$C$14,"주의","정상"),"조건확인")))))))</f>
        <v/>
      </c>
      <c r="V275" s="32" t="str">
        <f aca="false">IF(OR(T275="긴급",LEFT(U275,2)="긴급",P275="O"),"대상","")</f>
        <v/>
      </c>
      <c r="W275" s="33" t="str">
        <f aca="false">IF(R275&lt;&gt;"",R275,IF(O275="O",IF(V275="대상",IF(Q275="O","완료","추가상담 대기"),"완료"),IF(COUNTA(K275:M275)=3,"상담 대기",IF(J275="O","측정 대기",IF(I275="O","운동평가 대기","미방문")))))</f>
        <v>미방문</v>
      </c>
      <c r="X275" s="34"/>
      <c r="Y275" s="34"/>
      <c r="Z275" s="34"/>
      <c r="AA275" s="34"/>
      <c r="AB275" s="34"/>
      <c r="AC275" s="35" t="str">
        <f aca="false">IF(AND(ISNUMBER(X275),ISNUMBER(Y275)),IF(Y275&gt;=X275,ROUND((Y275-X275)*1440,0),""),"")</f>
        <v/>
      </c>
      <c r="AD275" s="35" t="str">
        <f aca="false">IF(AND(ISNUMBER(Y275),ISNUMBER(Z275)),IF(Z275&gt;=Y275,ROUND((Z275-Y275)*1440,0),""),"")</f>
        <v/>
      </c>
      <c r="AE275" s="35" t="str">
        <f aca="false">IF(AND(ISNUMBER(Z275),ISNUMBER(AA275)),IF(AA275&gt;=Z275,ROUND((AA275-Z275)*1440,0),""),"")</f>
        <v/>
      </c>
      <c r="AF275" s="35" t="str">
        <f aca="false">IF(AND(ISNUMBER(AA275),ISNUMBER(AB275)),IF(AB275&gt;=AA275,ROUND((AB275-AA275)*1440,0),""),"")</f>
        <v/>
      </c>
      <c r="AG275" s="35" t="str">
        <f aca="false">IF(AND(W275="완료",ISNUMBER(X275)),IF(MAX(Y275:AB275)&gt;=X275,ROUND((MAX(Y275:AB275)-X275)*1440,0),""),"")</f>
        <v/>
      </c>
    </row>
    <row r="276" customFormat="false" ht="15" hidden="false" customHeight="false" outlineLevel="0" collapsed="false">
      <c r="A276" s="27" t="n">
        <v>272</v>
      </c>
      <c r="B276" s="28"/>
      <c r="C276" s="29"/>
      <c r="D276" s="29"/>
      <c r="E276" s="28"/>
      <c r="F276" s="30"/>
      <c r="G276" s="31"/>
      <c r="H276" s="28"/>
      <c r="I276" s="29"/>
      <c r="J276" s="29"/>
      <c r="K276" s="29"/>
      <c r="L276" s="29"/>
      <c r="M276" s="29"/>
      <c r="N276" s="29"/>
      <c r="O276" s="29"/>
      <c r="P276" s="29"/>
      <c r="Q276" s="29"/>
      <c r="R276" s="29"/>
      <c r="S276" s="28"/>
      <c r="T276" s="32" t="str">
        <f aca="false">IF(AND(K276="",L276=""),"",IF(OR(K276="-",L276="-"),"측정불가",IF(AND(ISNUMBER(K276),ISNUMBER(L276)),IF(OR(K276&gt;=설정!$C$9,L276&gt;=설정!$C$10),"긴급",IF(OR(K276&gt;=설정!$C$7,L276&gt;=설정!$C$8,K276&lt;설정!$C$11),"주의","정상")),"확인필요")))</f>
        <v/>
      </c>
      <c r="U276" s="32" t="str">
        <f aca="false">IF(M276="","",IF(M276="-","측정불가",IF(NOT(ISNUMBER(M276)),"확인필요",IF(M276&lt;설정!$C$15,"긴급(저혈당)",IF(M276&gt;=설정!$C$16,"긴급(고혈당)",IF(N276="공복",IF(M276&gt;=설정!$C$13,"주의","정상"),IF(N276="식후",IF(M276&gt;=설정!$C$14,"주의","정상"),"조건확인")))))))</f>
        <v/>
      </c>
      <c r="V276" s="32" t="str">
        <f aca="false">IF(OR(T276="긴급",LEFT(U276,2)="긴급",P276="O"),"대상","")</f>
        <v/>
      </c>
      <c r="W276" s="33" t="str">
        <f aca="false">IF(R276&lt;&gt;"",R276,IF(O276="O",IF(V276="대상",IF(Q276="O","완료","추가상담 대기"),"완료"),IF(COUNTA(K276:M276)=3,"상담 대기",IF(J276="O","측정 대기",IF(I276="O","운동평가 대기","미방문")))))</f>
        <v>미방문</v>
      </c>
      <c r="X276" s="34"/>
      <c r="Y276" s="34"/>
      <c r="Z276" s="34"/>
      <c r="AA276" s="34"/>
      <c r="AB276" s="34"/>
      <c r="AC276" s="35" t="str">
        <f aca="false">IF(AND(ISNUMBER(X276),ISNUMBER(Y276)),IF(Y276&gt;=X276,ROUND((Y276-X276)*1440,0),""),"")</f>
        <v/>
      </c>
      <c r="AD276" s="35" t="str">
        <f aca="false">IF(AND(ISNUMBER(Y276),ISNUMBER(Z276)),IF(Z276&gt;=Y276,ROUND((Z276-Y276)*1440,0),""),"")</f>
        <v/>
      </c>
      <c r="AE276" s="35" t="str">
        <f aca="false">IF(AND(ISNUMBER(Z276),ISNUMBER(AA276)),IF(AA276&gt;=Z276,ROUND((AA276-Z276)*1440,0),""),"")</f>
        <v/>
      </c>
      <c r="AF276" s="35" t="str">
        <f aca="false">IF(AND(ISNUMBER(AA276),ISNUMBER(AB276)),IF(AB276&gt;=AA276,ROUND((AB276-AA276)*1440,0),""),"")</f>
        <v/>
      </c>
      <c r="AG276" s="35" t="str">
        <f aca="false">IF(AND(W276="완료",ISNUMBER(X276)),IF(MAX(Y276:AB276)&gt;=X276,ROUND((MAX(Y276:AB276)-X276)*1440,0),""),"")</f>
        <v/>
      </c>
    </row>
    <row r="277" customFormat="false" ht="15" hidden="false" customHeight="false" outlineLevel="0" collapsed="false">
      <c r="A277" s="27" t="n">
        <v>273</v>
      </c>
      <c r="B277" s="28"/>
      <c r="C277" s="29"/>
      <c r="D277" s="29"/>
      <c r="E277" s="28"/>
      <c r="F277" s="30"/>
      <c r="G277" s="31"/>
      <c r="H277" s="28"/>
      <c r="I277" s="29"/>
      <c r="J277" s="29"/>
      <c r="K277" s="29"/>
      <c r="L277" s="29"/>
      <c r="M277" s="29"/>
      <c r="N277" s="29"/>
      <c r="O277" s="29"/>
      <c r="P277" s="29"/>
      <c r="Q277" s="29"/>
      <c r="R277" s="29"/>
      <c r="S277" s="28"/>
      <c r="T277" s="32" t="str">
        <f aca="false">IF(AND(K277="",L277=""),"",IF(OR(K277="-",L277="-"),"측정불가",IF(AND(ISNUMBER(K277),ISNUMBER(L277)),IF(OR(K277&gt;=설정!$C$9,L277&gt;=설정!$C$10),"긴급",IF(OR(K277&gt;=설정!$C$7,L277&gt;=설정!$C$8,K277&lt;설정!$C$11),"주의","정상")),"확인필요")))</f>
        <v/>
      </c>
      <c r="U277" s="32" t="str">
        <f aca="false">IF(M277="","",IF(M277="-","측정불가",IF(NOT(ISNUMBER(M277)),"확인필요",IF(M277&lt;설정!$C$15,"긴급(저혈당)",IF(M277&gt;=설정!$C$16,"긴급(고혈당)",IF(N277="공복",IF(M277&gt;=설정!$C$13,"주의","정상"),IF(N277="식후",IF(M277&gt;=설정!$C$14,"주의","정상"),"조건확인")))))))</f>
        <v/>
      </c>
      <c r="V277" s="32" t="str">
        <f aca="false">IF(OR(T277="긴급",LEFT(U277,2)="긴급",P277="O"),"대상","")</f>
        <v/>
      </c>
      <c r="W277" s="33" t="str">
        <f aca="false">IF(R277&lt;&gt;"",R277,IF(O277="O",IF(V277="대상",IF(Q277="O","완료","추가상담 대기"),"완료"),IF(COUNTA(K277:M277)=3,"상담 대기",IF(J277="O","측정 대기",IF(I277="O","운동평가 대기","미방문")))))</f>
        <v>미방문</v>
      </c>
      <c r="X277" s="34"/>
      <c r="Y277" s="34"/>
      <c r="Z277" s="34"/>
      <c r="AA277" s="34"/>
      <c r="AB277" s="34"/>
      <c r="AC277" s="35" t="str">
        <f aca="false">IF(AND(ISNUMBER(X277),ISNUMBER(Y277)),IF(Y277&gt;=X277,ROUND((Y277-X277)*1440,0),""),"")</f>
        <v/>
      </c>
      <c r="AD277" s="35" t="str">
        <f aca="false">IF(AND(ISNUMBER(Y277),ISNUMBER(Z277)),IF(Z277&gt;=Y277,ROUND((Z277-Y277)*1440,0),""),"")</f>
        <v/>
      </c>
      <c r="AE277" s="35" t="str">
        <f aca="false">IF(AND(ISNUMBER(Z277),ISNUMBER(AA277)),IF(AA277&gt;=Z277,ROUND((AA277-Z277)*1440,0),""),"")</f>
        <v/>
      </c>
      <c r="AF277" s="35" t="str">
        <f aca="false">IF(AND(ISNUMBER(AA277),ISNUMBER(AB277)),IF(AB277&gt;=AA277,ROUND((AB277-AA277)*1440,0),""),"")</f>
        <v/>
      </c>
      <c r="AG277" s="35" t="str">
        <f aca="false">IF(AND(W277="완료",ISNUMBER(X277)),IF(MAX(Y277:AB277)&gt;=X277,ROUND((MAX(Y277:AB277)-X277)*1440,0),""),"")</f>
        <v/>
      </c>
    </row>
    <row r="278" customFormat="false" ht="15" hidden="false" customHeight="false" outlineLevel="0" collapsed="false">
      <c r="A278" s="27" t="n">
        <v>274</v>
      </c>
      <c r="B278" s="28"/>
      <c r="C278" s="29"/>
      <c r="D278" s="29"/>
      <c r="E278" s="28"/>
      <c r="F278" s="30"/>
      <c r="G278" s="31"/>
      <c r="H278" s="28"/>
      <c r="I278" s="29"/>
      <c r="J278" s="29"/>
      <c r="K278" s="29"/>
      <c r="L278" s="29"/>
      <c r="M278" s="29"/>
      <c r="N278" s="29"/>
      <c r="O278" s="29"/>
      <c r="P278" s="29"/>
      <c r="Q278" s="29"/>
      <c r="R278" s="29"/>
      <c r="S278" s="28"/>
      <c r="T278" s="32" t="str">
        <f aca="false">IF(AND(K278="",L278=""),"",IF(OR(K278="-",L278="-"),"측정불가",IF(AND(ISNUMBER(K278),ISNUMBER(L278)),IF(OR(K278&gt;=설정!$C$9,L278&gt;=설정!$C$10),"긴급",IF(OR(K278&gt;=설정!$C$7,L278&gt;=설정!$C$8,K278&lt;설정!$C$11),"주의","정상")),"확인필요")))</f>
        <v/>
      </c>
      <c r="U278" s="32" t="str">
        <f aca="false">IF(M278="","",IF(M278="-","측정불가",IF(NOT(ISNUMBER(M278)),"확인필요",IF(M278&lt;설정!$C$15,"긴급(저혈당)",IF(M278&gt;=설정!$C$16,"긴급(고혈당)",IF(N278="공복",IF(M278&gt;=설정!$C$13,"주의","정상"),IF(N278="식후",IF(M278&gt;=설정!$C$14,"주의","정상"),"조건확인")))))))</f>
        <v/>
      </c>
      <c r="V278" s="32" t="str">
        <f aca="false">IF(OR(T278="긴급",LEFT(U278,2)="긴급",P278="O"),"대상","")</f>
        <v/>
      </c>
      <c r="W278" s="33" t="str">
        <f aca="false">IF(R278&lt;&gt;"",R278,IF(O278="O",IF(V278="대상",IF(Q278="O","완료","추가상담 대기"),"완료"),IF(COUNTA(K278:M278)=3,"상담 대기",IF(J278="O","측정 대기",IF(I278="O","운동평가 대기","미방문")))))</f>
        <v>미방문</v>
      </c>
      <c r="X278" s="34"/>
      <c r="Y278" s="34"/>
      <c r="Z278" s="34"/>
      <c r="AA278" s="34"/>
      <c r="AB278" s="34"/>
      <c r="AC278" s="35" t="str">
        <f aca="false">IF(AND(ISNUMBER(X278),ISNUMBER(Y278)),IF(Y278&gt;=X278,ROUND((Y278-X278)*1440,0),""),"")</f>
        <v/>
      </c>
      <c r="AD278" s="35" t="str">
        <f aca="false">IF(AND(ISNUMBER(Y278),ISNUMBER(Z278)),IF(Z278&gt;=Y278,ROUND((Z278-Y278)*1440,0),""),"")</f>
        <v/>
      </c>
      <c r="AE278" s="35" t="str">
        <f aca="false">IF(AND(ISNUMBER(Z278),ISNUMBER(AA278)),IF(AA278&gt;=Z278,ROUND((AA278-Z278)*1440,0),""),"")</f>
        <v/>
      </c>
      <c r="AF278" s="35" t="str">
        <f aca="false">IF(AND(ISNUMBER(AA278),ISNUMBER(AB278)),IF(AB278&gt;=AA278,ROUND((AB278-AA278)*1440,0),""),"")</f>
        <v/>
      </c>
      <c r="AG278" s="35" t="str">
        <f aca="false">IF(AND(W278="완료",ISNUMBER(X278)),IF(MAX(Y278:AB278)&gt;=X278,ROUND((MAX(Y278:AB278)-X278)*1440,0),""),"")</f>
        <v/>
      </c>
    </row>
    <row r="279" customFormat="false" ht="15" hidden="false" customHeight="false" outlineLevel="0" collapsed="false">
      <c r="A279" s="27" t="n">
        <v>275</v>
      </c>
      <c r="B279" s="28"/>
      <c r="C279" s="29"/>
      <c r="D279" s="29"/>
      <c r="E279" s="28"/>
      <c r="F279" s="30"/>
      <c r="G279" s="31"/>
      <c r="H279" s="28"/>
      <c r="I279" s="29"/>
      <c r="J279" s="29"/>
      <c r="K279" s="29"/>
      <c r="L279" s="29"/>
      <c r="M279" s="29"/>
      <c r="N279" s="29"/>
      <c r="O279" s="29"/>
      <c r="P279" s="29"/>
      <c r="Q279" s="29"/>
      <c r="R279" s="29"/>
      <c r="S279" s="28"/>
      <c r="T279" s="32" t="str">
        <f aca="false">IF(AND(K279="",L279=""),"",IF(OR(K279="-",L279="-"),"측정불가",IF(AND(ISNUMBER(K279),ISNUMBER(L279)),IF(OR(K279&gt;=설정!$C$9,L279&gt;=설정!$C$10),"긴급",IF(OR(K279&gt;=설정!$C$7,L279&gt;=설정!$C$8,K279&lt;설정!$C$11),"주의","정상")),"확인필요")))</f>
        <v/>
      </c>
      <c r="U279" s="32" t="str">
        <f aca="false">IF(M279="","",IF(M279="-","측정불가",IF(NOT(ISNUMBER(M279)),"확인필요",IF(M279&lt;설정!$C$15,"긴급(저혈당)",IF(M279&gt;=설정!$C$16,"긴급(고혈당)",IF(N279="공복",IF(M279&gt;=설정!$C$13,"주의","정상"),IF(N279="식후",IF(M279&gt;=설정!$C$14,"주의","정상"),"조건확인")))))))</f>
        <v/>
      </c>
      <c r="V279" s="32" t="str">
        <f aca="false">IF(OR(T279="긴급",LEFT(U279,2)="긴급",P279="O"),"대상","")</f>
        <v/>
      </c>
      <c r="W279" s="33" t="str">
        <f aca="false">IF(R279&lt;&gt;"",R279,IF(O279="O",IF(V279="대상",IF(Q279="O","완료","추가상담 대기"),"완료"),IF(COUNTA(K279:M279)=3,"상담 대기",IF(J279="O","측정 대기",IF(I279="O","운동평가 대기","미방문")))))</f>
        <v>미방문</v>
      </c>
      <c r="X279" s="34"/>
      <c r="Y279" s="34"/>
      <c r="Z279" s="34"/>
      <c r="AA279" s="34"/>
      <c r="AB279" s="34"/>
      <c r="AC279" s="35" t="str">
        <f aca="false">IF(AND(ISNUMBER(X279),ISNUMBER(Y279)),IF(Y279&gt;=X279,ROUND((Y279-X279)*1440,0),""),"")</f>
        <v/>
      </c>
      <c r="AD279" s="35" t="str">
        <f aca="false">IF(AND(ISNUMBER(Y279),ISNUMBER(Z279)),IF(Z279&gt;=Y279,ROUND((Z279-Y279)*1440,0),""),"")</f>
        <v/>
      </c>
      <c r="AE279" s="35" t="str">
        <f aca="false">IF(AND(ISNUMBER(Z279),ISNUMBER(AA279)),IF(AA279&gt;=Z279,ROUND((AA279-Z279)*1440,0),""),"")</f>
        <v/>
      </c>
      <c r="AF279" s="35" t="str">
        <f aca="false">IF(AND(ISNUMBER(AA279),ISNUMBER(AB279)),IF(AB279&gt;=AA279,ROUND((AB279-AA279)*1440,0),""),"")</f>
        <v/>
      </c>
      <c r="AG279" s="35" t="str">
        <f aca="false">IF(AND(W279="완료",ISNUMBER(X279)),IF(MAX(Y279:AB279)&gt;=X279,ROUND((MAX(Y279:AB279)-X279)*1440,0),""),"")</f>
        <v/>
      </c>
    </row>
    <row r="280" customFormat="false" ht="15" hidden="false" customHeight="false" outlineLevel="0" collapsed="false">
      <c r="A280" s="27" t="n">
        <v>276</v>
      </c>
      <c r="B280" s="28"/>
      <c r="C280" s="29"/>
      <c r="D280" s="29"/>
      <c r="E280" s="28"/>
      <c r="F280" s="30"/>
      <c r="G280" s="31"/>
      <c r="H280" s="28"/>
      <c r="I280" s="29"/>
      <c r="J280" s="29"/>
      <c r="K280" s="29"/>
      <c r="L280" s="29"/>
      <c r="M280" s="29"/>
      <c r="N280" s="29"/>
      <c r="O280" s="29"/>
      <c r="P280" s="29"/>
      <c r="Q280" s="29"/>
      <c r="R280" s="29"/>
      <c r="S280" s="28"/>
      <c r="T280" s="32" t="str">
        <f aca="false">IF(AND(K280="",L280=""),"",IF(OR(K280="-",L280="-"),"측정불가",IF(AND(ISNUMBER(K280),ISNUMBER(L280)),IF(OR(K280&gt;=설정!$C$9,L280&gt;=설정!$C$10),"긴급",IF(OR(K280&gt;=설정!$C$7,L280&gt;=설정!$C$8,K280&lt;설정!$C$11),"주의","정상")),"확인필요")))</f>
        <v/>
      </c>
      <c r="U280" s="32" t="str">
        <f aca="false">IF(M280="","",IF(M280="-","측정불가",IF(NOT(ISNUMBER(M280)),"확인필요",IF(M280&lt;설정!$C$15,"긴급(저혈당)",IF(M280&gt;=설정!$C$16,"긴급(고혈당)",IF(N280="공복",IF(M280&gt;=설정!$C$13,"주의","정상"),IF(N280="식후",IF(M280&gt;=설정!$C$14,"주의","정상"),"조건확인")))))))</f>
        <v/>
      </c>
      <c r="V280" s="32" t="str">
        <f aca="false">IF(OR(T280="긴급",LEFT(U280,2)="긴급",P280="O"),"대상","")</f>
        <v/>
      </c>
      <c r="W280" s="33" t="str">
        <f aca="false">IF(R280&lt;&gt;"",R280,IF(O280="O",IF(V280="대상",IF(Q280="O","완료","추가상담 대기"),"완료"),IF(COUNTA(K280:M280)=3,"상담 대기",IF(J280="O","측정 대기",IF(I280="O","운동평가 대기","미방문")))))</f>
        <v>미방문</v>
      </c>
      <c r="X280" s="34"/>
      <c r="Y280" s="34"/>
      <c r="Z280" s="34"/>
      <c r="AA280" s="34"/>
      <c r="AB280" s="34"/>
      <c r="AC280" s="35" t="str">
        <f aca="false">IF(AND(ISNUMBER(X280),ISNUMBER(Y280)),IF(Y280&gt;=X280,ROUND((Y280-X280)*1440,0),""),"")</f>
        <v/>
      </c>
      <c r="AD280" s="35" t="str">
        <f aca="false">IF(AND(ISNUMBER(Y280),ISNUMBER(Z280)),IF(Z280&gt;=Y280,ROUND((Z280-Y280)*1440,0),""),"")</f>
        <v/>
      </c>
      <c r="AE280" s="35" t="str">
        <f aca="false">IF(AND(ISNUMBER(Z280),ISNUMBER(AA280)),IF(AA280&gt;=Z280,ROUND((AA280-Z280)*1440,0),""),"")</f>
        <v/>
      </c>
      <c r="AF280" s="35" t="str">
        <f aca="false">IF(AND(ISNUMBER(AA280),ISNUMBER(AB280)),IF(AB280&gt;=AA280,ROUND((AB280-AA280)*1440,0),""),"")</f>
        <v/>
      </c>
      <c r="AG280" s="35" t="str">
        <f aca="false">IF(AND(W280="완료",ISNUMBER(X280)),IF(MAX(Y280:AB280)&gt;=X280,ROUND((MAX(Y280:AB280)-X280)*1440,0),""),"")</f>
        <v/>
      </c>
    </row>
    <row r="281" customFormat="false" ht="15" hidden="false" customHeight="false" outlineLevel="0" collapsed="false">
      <c r="A281" s="27" t="n">
        <v>277</v>
      </c>
      <c r="B281" s="28"/>
      <c r="C281" s="29"/>
      <c r="D281" s="29"/>
      <c r="E281" s="28"/>
      <c r="F281" s="30"/>
      <c r="G281" s="31"/>
      <c r="H281" s="28"/>
      <c r="I281" s="29"/>
      <c r="J281" s="29"/>
      <c r="K281" s="29"/>
      <c r="L281" s="29"/>
      <c r="M281" s="29"/>
      <c r="N281" s="29"/>
      <c r="O281" s="29"/>
      <c r="P281" s="29"/>
      <c r="Q281" s="29"/>
      <c r="R281" s="29"/>
      <c r="S281" s="28"/>
      <c r="T281" s="32" t="str">
        <f aca="false">IF(AND(K281="",L281=""),"",IF(OR(K281="-",L281="-"),"측정불가",IF(AND(ISNUMBER(K281),ISNUMBER(L281)),IF(OR(K281&gt;=설정!$C$9,L281&gt;=설정!$C$10),"긴급",IF(OR(K281&gt;=설정!$C$7,L281&gt;=설정!$C$8,K281&lt;설정!$C$11),"주의","정상")),"확인필요")))</f>
        <v/>
      </c>
      <c r="U281" s="32" t="str">
        <f aca="false">IF(M281="","",IF(M281="-","측정불가",IF(NOT(ISNUMBER(M281)),"확인필요",IF(M281&lt;설정!$C$15,"긴급(저혈당)",IF(M281&gt;=설정!$C$16,"긴급(고혈당)",IF(N281="공복",IF(M281&gt;=설정!$C$13,"주의","정상"),IF(N281="식후",IF(M281&gt;=설정!$C$14,"주의","정상"),"조건확인")))))))</f>
        <v/>
      </c>
      <c r="V281" s="32" t="str">
        <f aca="false">IF(OR(T281="긴급",LEFT(U281,2)="긴급",P281="O"),"대상","")</f>
        <v/>
      </c>
      <c r="W281" s="33" t="str">
        <f aca="false">IF(R281&lt;&gt;"",R281,IF(O281="O",IF(V281="대상",IF(Q281="O","완료","추가상담 대기"),"완료"),IF(COUNTA(K281:M281)=3,"상담 대기",IF(J281="O","측정 대기",IF(I281="O","운동평가 대기","미방문")))))</f>
        <v>미방문</v>
      </c>
      <c r="X281" s="34"/>
      <c r="Y281" s="34"/>
      <c r="Z281" s="34"/>
      <c r="AA281" s="34"/>
      <c r="AB281" s="34"/>
      <c r="AC281" s="35" t="str">
        <f aca="false">IF(AND(ISNUMBER(X281),ISNUMBER(Y281)),IF(Y281&gt;=X281,ROUND((Y281-X281)*1440,0),""),"")</f>
        <v/>
      </c>
      <c r="AD281" s="35" t="str">
        <f aca="false">IF(AND(ISNUMBER(Y281),ISNUMBER(Z281)),IF(Z281&gt;=Y281,ROUND((Z281-Y281)*1440,0),""),"")</f>
        <v/>
      </c>
      <c r="AE281" s="35" t="str">
        <f aca="false">IF(AND(ISNUMBER(Z281),ISNUMBER(AA281)),IF(AA281&gt;=Z281,ROUND((AA281-Z281)*1440,0),""),"")</f>
        <v/>
      </c>
      <c r="AF281" s="35" t="str">
        <f aca="false">IF(AND(ISNUMBER(AA281),ISNUMBER(AB281)),IF(AB281&gt;=AA281,ROUND((AB281-AA281)*1440,0),""),"")</f>
        <v/>
      </c>
      <c r="AG281" s="35" t="str">
        <f aca="false">IF(AND(W281="완료",ISNUMBER(X281)),IF(MAX(Y281:AB281)&gt;=X281,ROUND((MAX(Y281:AB281)-X281)*1440,0),""),"")</f>
        <v/>
      </c>
    </row>
    <row r="282" customFormat="false" ht="15" hidden="false" customHeight="false" outlineLevel="0" collapsed="false">
      <c r="A282" s="27" t="n">
        <v>278</v>
      </c>
      <c r="B282" s="28"/>
      <c r="C282" s="29"/>
      <c r="D282" s="29"/>
      <c r="E282" s="28"/>
      <c r="F282" s="30"/>
      <c r="G282" s="31"/>
      <c r="H282" s="28"/>
      <c r="I282" s="29"/>
      <c r="J282" s="29"/>
      <c r="K282" s="29"/>
      <c r="L282" s="29"/>
      <c r="M282" s="29"/>
      <c r="N282" s="29"/>
      <c r="O282" s="29"/>
      <c r="P282" s="29"/>
      <c r="Q282" s="29"/>
      <c r="R282" s="29"/>
      <c r="S282" s="28"/>
      <c r="T282" s="32" t="str">
        <f aca="false">IF(AND(K282="",L282=""),"",IF(OR(K282="-",L282="-"),"측정불가",IF(AND(ISNUMBER(K282),ISNUMBER(L282)),IF(OR(K282&gt;=설정!$C$9,L282&gt;=설정!$C$10),"긴급",IF(OR(K282&gt;=설정!$C$7,L282&gt;=설정!$C$8,K282&lt;설정!$C$11),"주의","정상")),"확인필요")))</f>
        <v/>
      </c>
      <c r="U282" s="32" t="str">
        <f aca="false">IF(M282="","",IF(M282="-","측정불가",IF(NOT(ISNUMBER(M282)),"확인필요",IF(M282&lt;설정!$C$15,"긴급(저혈당)",IF(M282&gt;=설정!$C$16,"긴급(고혈당)",IF(N282="공복",IF(M282&gt;=설정!$C$13,"주의","정상"),IF(N282="식후",IF(M282&gt;=설정!$C$14,"주의","정상"),"조건확인")))))))</f>
        <v/>
      </c>
      <c r="V282" s="32" t="str">
        <f aca="false">IF(OR(T282="긴급",LEFT(U282,2)="긴급",P282="O"),"대상","")</f>
        <v/>
      </c>
      <c r="W282" s="33" t="str">
        <f aca="false">IF(R282&lt;&gt;"",R282,IF(O282="O",IF(V282="대상",IF(Q282="O","완료","추가상담 대기"),"완료"),IF(COUNTA(K282:M282)=3,"상담 대기",IF(J282="O","측정 대기",IF(I282="O","운동평가 대기","미방문")))))</f>
        <v>미방문</v>
      </c>
      <c r="X282" s="34"/>
      <c r="Y282" s="34"/>
      <c r="Z282" s="34"/>
      <c r="AA282" s="34"/>
      <c r="AB282" s="34"/>
      <c r="AC282" s="35" t="str">
        <f aca="false">IF(AND(ISNUMBER(X282),ISNUMBER(Y282)),IF(Y282&gt;=X282,ROUND((Y282-X282)*1440,0),""),"")</f>
        <v/>
      </c>
      <c r="AD282" s="35" t="str">
        <f aca="false">IF(AND(ISNUMBER(Y282),ISNUMBER(Z282)),IF(Z282&gt;=Y282,ROUND((Z282-Y282)*1440,0),""),"")</f>
        <v/>
      </c>
      <c r="AE282" s="35" t="str">
        <f aca="false">IF(AND(ISNUMBER(Z282),ISNUMBER(AA282)),IF(AA282&gt;=Z282,ROUND((AA282-Z282)*1440,0),""),"")</f>
        <v/>
      </c>
      <c r="AF282" s="35" t="str">
        <f aca="false">IF(AND(ISNUMBER(AA282),ISNUMBER(AB282)),IF(AB282&gt;=AA282,ROUND((AB282-AA282)*1440,0),""),"")</f>
        <v/>
      </c>
      <c r="AG282" s="35" t="str">
        <f aca="false">IF(AND(W282="완료",ISNUMBER(X282)),IF(MAX(Y282:AB282)&gt;=X282,ROUND((MAX(Y282:AB282)-X282)*1440,0),""),"")</f>
        <v/>
      </c>
    </row>
    <row r="283" customFormat="false" ht="15" hidden="false" customHeight="false" outlineLevel="0" collapsed="false">
      <c r="A283" s="27" t="n">
        <v>279</v>
      </c>
      <c r="B283" s="28"/>
      <c r="C283" s="29"/>
      <c r="D283" s="29"/>
      <c r="E283" s="28"/>
      <c r="F283" s="30"/>
      <c r="G283" s="31"/>
      <c r="H283" s="28"/>
      <c r="I283" s="29"/>
      <c r="J283" s="29"/>
      <c r="K283" s="29"/>
      <c r="L283" s="29"/>
      <c r="M283" s="29"/>
      <c r="N283" s="29"/>
      <c r="O283" s="29"/>
      <c r="P283" s="29"/>
      <c r="Q283" s="29"/>
      <c r="R283" s="29"/>
      <c r="S283" s="28"/>
      <c r="T283" s="32" t="str">
        <f aca="false">IF(AND(K283="",L283=""),"",IF(OR(K283="-",L283="-"),"측정불가",IF(AND(ISNUMBER(K283),ISNUMBER(L283)),IF(OR(K283&gt;=설정!$C$9,L283&gt;=설정!$C$10),"긴급",IF(OR(K283&gt;=설정!$C$7,L283&gt;=설정!$C$8,K283&lt;설정!$C$11),"주의","정상")),"확인필요")))</f>
        <v/>
      </c>
      <c r="U283" s="32" t="str">
        <f aca="false">IF(M283="","",IF(M283="-","측정불가",IF(NOT(ISNUMBER(M283)),"확인필요",IF(M283&lt;설정!$C$15,"긴급(저혈당)",IF(M283&gt;=설정!$C$16,"긴급(고혈당)",IF(N283="공복",IF(M283&gt;=설정!$C$13,"주의","정상"),IF(N283="식후",IF(M283&gt;=설정!$C$14,"주의","정상"),"조건확인")))))))</f>
        <v/>
      </c>
      <c r="V283" s="32" t="str">
        <f aca="false">IF(OR(T283="긴급",LEFT(U283,2)="긴급",P283="O"),"대상","")</f>
        <v/>
      </c>
      <c r="W283" s="33" t="str">
        <f aca="false">IF(R283&lt;&gt;"",R283,IF(O283="O",IF(V283="대상",IF(Q283="O","완료","추가상담 대기"),"완료"),IF(COUNTA(K283:M283)=3,"상담 대기",IF(J283="O","측정 대기",IF(I283="O","운동평가 대기","미방문")))))</f>
        <v>미방문</v>
      </c>
      <c r="X283" s="34"/>
      <c r="Y283" s="34"/>
      <c r="Z283" s="34"/>
      <c r="AA283" s="34"/>
      <c r="AB283" s="34"/>
      <c r="AC283" s="35" t="str">
        <f aca="false">IF(AND(ISNUMBER(X283),ISNUMBER(Y283)),IF(Y283&gt;=X283,ROUND((Y283-X283)*1440,0),""),"")</f>
        <v/>
      </c>
      <c r="AD283" s="35" t="str">
        <f aca="false">IF(AND(ISNUMBER(Y283),ISNUMBER(Z283)),IF(Z283&gt;=Y283,ROUND((Z283-Y283)*1440,0),""),"")</f>
        <v/>
      </c>
      <c r="AE283" s="35" t="str">
        <f aca="false">IF(AND(ISNUMBER(Z283),ISNUMBER(AA283)),IF(AA283&gt;=Z283,ROUND((AA283-Z283)*1440,0),""),"")</f>
        <v/>
      </c>
      <c r="AF283" s="35" t="str">
        <f aca="false">IF(AND(ISNUMBER(AA283),ISNUMBER(AB283)),IF(AB283&gt;=AA283,ROUND((AB283-AA283)*1440,0),""),"")</f>
        <v/>
      </c>
      <c r="AG283" s="35" t="str">
        <f aca="false">IF(AND(W283="완료",ISNUMBER(X283)),IF(MAX(Y283:AB283)&gt;=X283,ROUND((MAX(Y283:AB283)-X283)*1440,0),""),"")</f>
        <v/>
      </c>
    </row>
    <row r="284" customFormat="false" ht="15" hidden="false" customHeight="false" outlineLevel="0" collapsed="false">
      <c r="A284" s="27" t="n">
        <v>280</v>
      </c>
      <c r="B284" s="28"/>
      <c r="C284" s="29"/>
      <c r="D284" s="29"/>
      <c r="E284" s="28"/>
      <c r="F284" s="30"/>
      <c r="G284" s="31"/>
      <c r="H284" s="28"/>
      <c r="I284" s="29"/>
      <c r="J284" s="29"/>
      <c r="K284" s="29"/>
      <c r="L284" s="29"/>
      <c r="M284" s="29"/>
      <c r="N284" s="29"/>
      <c r="O284" s="29"/>
      <c r="P284" s="29"/>
      <c r="Q284" s="29"/>
      <c r="R284" s="29"/>
      <c r="S284" s="28"/>
      <c r="T284" s="32" t="str">
        <f aca="false">IF(AND(K284="",L284=""),"",IF(OR(K284="-",L284="-"),"측정불가",IF(AND(ISNUMBER(K284),ISNUMBER(L284)),IF(OR(K284&gt;=설정!$C$9,L284&gt;=설정!$C$10),"긴급",IF(OR(K284&gt;=설정!$C$7,L284&gt;=설정!$C$8,K284&lt;설정!$C$11),"주의","정상")),"확인필요")))</f>
        <v/>
      </c>
      <c r="U284" s="32" t="str">
        <f aca="false">IF(M284="","",IF(M284="-","측정불가",IF(NOT(ISNUMBER(M284)),"확인필요",IF(M284&lt;설정!$C$15,"긴급(저혈당)",IF(M284&gt;=설정!$C$16,"긴급(고혈당)",IF(N284="공복",IF(M284&gt;=설정!$C$13,"주의","정상"),IF(N284="식후",IF(M284&gt;=설정!$C$14,"주의","정상"),"조건확인")))))))</f>
        <v/>
      </c>
      <c r="V284" s="32" t="str">
        <f aca="false">IF(OR(T284="긴급",LEFT(U284,2)="긴급",P284="O"),"대상","")</f>
        <v/>
      </c>
      <c r="W284" s="33" t="str">
        <f aca="false">IF(R284&lt;&gt;"",R284,IF(O284="O",IF(V284="대상",IF(Q284="O","완료","추가상담 대기"),"완료"),IF(COUNTA(K284:M284)=3,"상담 대기",IF(J284="O","측정 대기",IF(I284="O","운동평가 대기","미방문")))))</f>
        <v>미방문</v>
      </c>
      <c r="X284" s="34"/>
      <c r="Y284" s="34"/>
      <c r="Z284" s="34"/>
      <c r="AA284" s="34"/>
      <c r="AB284" s="34"/>
      <c r="AC284" s="35" t="str">
        <f aca="false">IF(AND(ISNUMBER(X284),ISNUMBER(Y284)),IF(Y284&gt;=X284,ROUND((Y284-X284)*1440,0),""),"")</f>
        <v/>
      </c>
      <c r="AD284" s="35" t="str">
        <f aca="false">IF(AND(ISNUMBER(Y284),ISNUMBER(Z284)),IF(Z284&gt;=Y284,ROUND((Z284-Y284)*1440,0),""),"")</f>
        <v/>
      </c>
      <c r="AE284" s="35" t="str">
        <f aca="false">IF(AND(ISNUMBER(Z284),ISNUMBER(AA284)),IF(AA284&gt;=Z284,ROUND((AA284-Z284)*1440,0),""),"")</f>
        <v/>
      </c>
      <c r="AF284" s="35" t="str">
        <f aca="false">IF(AND(ISNUMBER(AA284),ISNUMBER(AB284)),IF(AB284&gt;=AA284,ROUND((AB284-AA284)*1440,0),""),"")</f>
        <v/>
      </c>
      <c r="AG284" s="35" t="str">
        <f aca="false">IF(AND(W284="완료",ISNUMBER(X284)),IF(MAX(Y284:AB284)&gt;=X284,ROUND((MAX(Y284:AB284)-X284)*1440,0),""),"")</f>
        <v/>
      </c>
    </row>
    <row r="285" customFormat="false" ht="15" hidden="false" customHeight="false" outlineLevel="0" collapsed="false">
      <c r="A285" s="27" t="n">
        <v>281</v>
      </c>
      <c r="B285" s="28"/>
      <c r="C285" s="29"/>
      <c r="D285" s="29"/>
      <c r="E285" s="28"/>
      <c r="F285" s="30"/>
      <c r="G285" s="31"/>
      <c r="H285" s="28"/>
      <c r="I285" s="29"/>
      <c r="J285" s="29"/>
      <c r="K285" s="29"/>
      <c r="L285" s="29"/>
      <c r="M285" s="29"/>
      <c r="N285" s="29"/>
      <c r="O285" s="29"/>
      <c r="P285" s="29"/>
      <c r="Q285" s="29"/>
      <c r="R285" s="29"/>
      <c r="S285" s="28"/>
      <c r="T285" s="32" t="str">
        <f aca="false">IF(AND(K285="",L285=""),"",IF(OR(K285="-",L285="-"),"측정불가",IF(AND(ISNUMBER(K285),ISNUMBER(L285)),IF(OR(K285&gt;=설정!$C$9,L285&gt;=설정!$C$10),"긴급",IF(OR(K285&gt;=설정!$C$7,L285&gt;=설정!$C$8,K285&lt;설정!$C$11),"주의","정상")),"확인필요")))</f>
        <v/>
      </c>
      <c r="U285" s="32" t="str">
        <f aca="false">IF(M285="","",IF(M285="-","측정불가",IF(NOT(ISNUMBER(M285)),"확인필요",IF(M285&lt;설정!$C$15,"긴급(저혈당)",IF(M285&gt;=설정!$C$16,"긴급(고혈당)",IF(N285="공복",IF(M285&gt;=설정!$C$13,"주의","정상"),IF(N285="식후",IF(M285&gt;=설정!$C$14,"주의","정상"),"조건확인")))))))</f>
        <v/>
      </c>
      <c r="V285" s="32" t="str">
        <f aca="false">IF(OR(T285="긴급",LEFT(U285,2)="긴급",P285="O"),"대상","")</f>
        <v/>
      </c>
      <c r="W285" s="33" t="str">
        <f aca="false">IF(R285&lt;&gt;"",R285,IF(O285="O",IF(V285="대상",IF(Q285="O","완료","추가상담 대기"),"완료"),IF(COUNTA(K285:M285)=3,"상담 대기",IF(J285="O","측정 대기",IF(I285="O","운동평가 대기","미방문")))))</f>
        <v>미방문</v>
      </c>
      <c r="X285" s="34"/>
      <c r="Y285" s="34"/>
      <c r="Z285" s="34"/>
      <c r="AA285" s="34"/>
      <c r="AB285" s="34"/>
      <c r="AC285" s="35" t="str">
        <f aca="false">IF(AND(ISNUMBER(X285),ISNUMBER(Y285)),IF(Y285&gt;=X285,ROUND((Y285-X285)*1440,0),""),"")</f>
        <v/>
      </c>
      <c r="AD285" s="35" t="str">
        <f aca="false">IF(AND(ISNUMBER(Y285),ISNUMBER(Z285)),IF(Z285&gt;=Y285,ROUND((Z285-Y285)*1440,0),""),"")</f>
        <v/>
      </c>
      <c r="AE285" s="35" t="str">
        <f aca="false">IF(AND(ISNUMBER(Z285),ISNUMBER(AA285)),IF(AA285&gt;=Z285,ROUND((AA285-Z285)*1440,0),""),"")</f>
        <v/>
      </c>
      <c r="AF285" s="35" t="str">
        <f aca="false">IF(AND(ISNUMBER(AA285),ISNUMBER(AB285)),IF(AB285&gt;=AA285,ROUND((AB285-AA285)*1440,0),""),"")</f>
        <v/>
      </c>
      <c r="AG285" s="35" t="str">
        <f aca="false">IF(AND(W285="완료",ISNUMBER(X285)),IF(MAX(Y285:AB285)&gt;=X285,ROUND((MAX(Y285:AB285)-X285)*1440,0),""),"")</f>
        <v/>
      </c>
    </row>
    <row r="286" customFormat="false" ht="15" hidden="false" customHeight="false" outlineLevel="0" collapsed="false">
      <c r="A286" s="27" t="n">
        <v>282</v>
      </c>
      <c r="B286" s="28"/>
      <c r="C286" s="29"/>
      <c r="D286" s="29"/>
      <c r="E286" s="28"/>
      <c r="F286" s="30"/>
      <c r="G286" s="31"/>
      <c r="H286" s="28"/>
      <c r="I286" s="29"/>
      <c r="J286" s="29"/>
      <c r="K286" s="29"/>
      <c r="L286" s="29"/>
      <c r="M286" s="29"/>
      <c r="N286" s="29"/>
      <c r="O286" s="29"/>
      <c r="P286" s="29"/>
      <c r="Q286" s="29"/>
      <c r="R286" s="29"/>
      <c r="S286" s="28"/>
      <c r="T286" s="32" t="str">
        <f aca="false">IF(AND(K286="",L286=""),"",IF(OR(K286="-",L286="-"),"측정불가",IF(AND(ISNUMBER(K286),ISNUMBER(L286)),IF(OR(K286&gt;=설정!$C$9,L286&gt;=설정!$C$10),"긴급",IF(OR(K286&gt;=설정!$C$7,L286&gt;=설정!$C$8,K286&lt;설정!$C$11),"주의","정상")),"확인필요")))</f>
        <v/>
      </c>
      <c r="U286" s="32" t="str">
        <f aca="false">IF(M286="","",IF(M286="-","측정불가",IF(NOT(ISNUMBER(M286)),"확인필요",IF(M286&lt;설정!$C$15,"긴급(저혈당)",IF(M286&gt;=설정!$C$16,"긴급(고혈당)",IF(N286="공복",IF(M286&gt;=설정!$C$13,"주의","정상"),IF(N286="식후",IF(M286&gt;=설정!$C$14,"주의","정상"),"조건확인")))))))</f>
        <v/>
      </c>
      <c r="V286" s="32" t="str">
        <f aca="false">IF(OR(T286="긴급",LEFT(U286,2)="긴급",P286="O"),"대상","")</f>
        <v/>
      </c>
      <c r="W286" s="33" t="str">
        <f aca="false">IF(R286&lt;&gt;"",R286,IF(O286="O",IF(V286="대상",IF(Q286="O","완료","추가상담 대기"),"완료"),IF(COUNTA(K286:M286)=3,"상담 대기",IF(J286="O","측정 대기",IF(I286="O","운동평가 대기","미방문")))))</f>
        <v>미방문</v>
      </c>
      <c r="X286" s="34"/>
      <c r="Y286" s="34"/>
      <c r="Z286" s="34"/>
      <c r="AA286" s="34"/>
      <c r="AB286" s="34"/>
      <c r="AC286" s="35" t="str">
        <f aca="false">IF(AND(ISNUMBER(X286),ISNUMBER(Y286)),IF(Y286&gt;=X286,ROUND((Y286-X286)*1440,0),""),"")</f>
        <v/>
      </c>
      <c r="AD286" s="35" t="str">
        <f aca="false">IF(AND(ISNUMBER(Y286),ISNUMBER(Z286)),IF(Z286&gt;=Y286,ROUND((Z286-Y286)*1440,0),""),"")</f>
        <v/>
      </c>
      <c r="AE286" s="35" t="str">
        <f aca="false">IF(AND(ISNUMBER(Z286),ISNUMBER(AA286)),IF(AA286&gt;=Z286,ROUND((AA286-Z286)*1440,0),""),"")</f>
        <v/>
      </c>
      <c r="AF286" s="35" t="str">
        <f aca="false">IF(AND(ISNUMBER(AA286),ISNUMBER(AB286)),IF(AB286&gt;=AA286,ROUND((AB286-AA286)*1440,0),""),"")</f>
        <v/>
      </c>
      <c r="AG286" s="35" t="str">
        <f aca="false">IF(AND(W286="완료",ISNUMBER(X286)),IF(MAX(Y286:AB286)&gt;=X286,ROUND((MAX(Y286:AB286)-X286)*1440,0),""),"")</f>
        <v/>
      </c>
    </row>
    <row r="287" customFormat="false" ht="15" hidden="false" customHeight="false" outlineLevel="0" collapsed="false">
      <c r="A287" s="27" t="n">
        <v>283</v>
      </c>
      <c r="B287" s="28"/>
      <c r="C287" s="29"/>
      <c r="D287" s="29"/>
      <c r="E287" s="28"/>
      <c r="F287" s="30"/>
      <c r="G287" s="31"/>
      <c r="H287" s="28"/>
      <c r="I287" s="29"/>
      <c r="J287" s="29"/>
      <c r="K287" s="29"/>
      <c r="L287" s="29"/>
      <c r="M287" s="29"/>
      <c r="N287" s="29"/>
      <c r="O287" s="29"/>
      <c r="P287" s="29"/>
      <c r="Q287" s="29"/>
      <c r="R287" s="29"/>
      <c r="S287" s="28"/>
      <c r="T287" s="32" t="str">
        <f aca="false">IF(AND(K287="",L287=""),"",IF(OR(K287="-",L287="-"),"측정불가",IF(AND(ISNUMBER(K287),ISNUMBER(L287)),IF(OR(K287&gt;=설정!$C$9,L287&gt;=설정!$C$10),"긴급",IF(OR(K287&gt;=설정!$C$7,L287&gt;=설정!$C$8,K287&lt;설정!$C$11),"주의","정상")),"확인필요")))</f>
        <v/>
      </c>
      <c r="U287" s="32" t="str">
        <f aca="false">IF(M287="","",IF(M287="-","측정불가",IF(NOT(ISNUMBER(M287)),"확인필요",IF(M287&lt;설정!$C$15,"긴급(저혈당)",IF(M287&gt;=설정!$C$16,"긴급(고혈당)",IF(N287="공복",IF(M287&gt;=설정!$C$13,"주의","정상"),IF(N287="식후",IF(M287&gt;=설정!$C$14,"주의","정상"),"조건확인")))))))</f>
        <v/>
      </c>
      <c r="V287" s="32" t="str">
        <f aca="false">IF(OR(T287="긴급",LEFT(U287,2)="긴급",P287="O"),"대상","")</f>
        <v/>
      </c>
      <c r="W287" s="33" t="str">
        <f aca="false">IF(R287&lt;&gt;"",R287,IF(O287="O",IF(V287="대상",IF(Q287="O","완료","추가상담 대기"),"완료"),IF(COUNTA(K287:M287)=3,"상담 대기",IF(J287="O","측정 대기",IF(I287="O","운동평가 대기","미방문")))))</f>
        <v>미방문</v>
      </c>
      <c r="X287" s="34"/>
      <c r="Y287" s="34"/>
      <c r="Z287" s="34"/>
      <c r="AA287" s="34"/>
      <c r="AB287" s="34"/>
      <c r="AC287" s="35" t="str">
        <f aca="false">IF(AND(ISNUMBER(X287),ISNUMBER(Y287)),IF(Y287&gt;=X287,ROUND((Y287-X287)*1440,0),""),"")</f>
        <v/>
      </c>
      <c r="AD287" s="35" t="str">
        <f aca="false">IF(AND(ISNUMBER(Y287),ISNUMBER(Z287)),IF(Z287&gt;=Y287,ROUND((Z287-Y287)*1440,0),""),"")</f>
        <v/>
      </c>
      <c r="AE287" s="35" t="str">
        <f aca="false">IF(AND(ISNUMBER(Z287),ISNUMBER(AA287)),IF(AA287&gt;=Z287,ROUND((AA287-Z287)*1440,0),""),"")</f>
        <v/>
      </c>
      <c r="AF287" s="35" t="str">
        <f aca="false">IF(AND(ISNUMBER(AA287),ISNUMBER(AB287)),IF(AB287&gt;=AA287,ROUND((AB287-AA287)*1440,0),""),"")</f>
        <v/>
      </c>
      <c r="AG287" s="35" t="str">
        <f aca="false">IF(AND(W287="완료",ISNUMBER(X287)),IF(MAX(Y287:AB287)&gt;=X287,ROUND((MAX(Y287:AB287)-X287)*1440,0),""),"")</f>
        <v/>
      </c>
    </row>
    <row r="288" customFormat="false" ht="15" hidden="false" customHeight="false" outlineLevel="0" collapsed="false">
      <c r="A288" s="27" t="n">
        <v>284</v>
      </c>
      <c r="B288" s="28"/>
      <c r="C288" s="29"/>
      <c r="D288" s="29"/>
      <c r="E288" s="28"/>
      <c r="F288" s="30"/>
      <c r="G288" s="31"/>
      <c r="H288" s="28"/>
      <c r="I288" s="29"/>
      <c r="J288" s="29"/>
      <c r="K288" s="29"/>
      <c r="L288" s="29"/>
      <c r="M288" s="29"/>
      <c r="N288" s="29"/>
      <c r="O288" s="29"/>
      <c r="P288" s="29"/>
      <c r="Q288" s="29"/>
      <c r="R288" s="29"/>
      <c r="S288" s="28"/>
      <c r="T288" s="32" t="str">
        <f aca="false">IF(AND(K288="",L288=""),"",IF(OR(K288="-",L288="-"),"측정불가",IF(AND(ISNUMBER(K288),ISNUMBER(L288)),IF(OR(K288&gt;=설정!$C$9,L288&gt;=설정!$C$10),"긴급",IF(OR(K288&gt;=설정!$C$7,L288&gt;=설정!$C$8,K288&lt;설정!$C$11),"주의","정상")),"확인필요")))</f>
        <v/>
      </c>
      <c r="U288" s="32" t="str">
        <f aca="false">IF(M288="","",IF(M288="-","측정불가",IF(NOT(ISNUMBER(M288)),"확인필요",IF(M288&lt;설정!$C$15,"긴급(저혈당)",IF(M288&gt;=설정!$C$16,"긴급(고혈당)",IF(N288="공복",IF(M288&gt;=설정!$C$13,"주의","정상"),IF(N288="식후",IF(M288&gt;=설정!$C$14,"주의","정상"),"조건확인")))))))</f>
        <v/>
      </c>
      <c r="V288" s="32" t="str">
        <f aca="false">IF(OR(T288="긴급",LEFT(U288,2)="긴급",P288="O"),"대상","")</f>
        <v/>
      </c>
      <c r="W288" s="33" t="str">
        <f aca="false">IF(R288&lt;&gt;"",R288,IF(O288="O",IF(V288="대상",IF(Q288="O","완료","추가상담 대기"),"완료"),IF(COUNTA(K288:M288)=3,"상담 대기",IF(J288="O","측정 대기",IF(I288="O","운동평가 대기","미방문")))))</f>
        <v>미방문</v>
      </c>
      <c r="X288" s="34"/>
      <c r="Y288" s="34"/>
      <c r="Z288" s="34"/>
      <c r="AA288" s="34"/>
      <c r="AB288" s="34"/>
      <c r="AC288" s="35" t="str">
        <f aca="false">IF(AND(ISNUMBER(X288),ISNUMBER(Y288)),IF(Y288&gt;=X288,ROUND((Y288-X288)*1440,0),""),"")</f>
        <v/>
      </c>
      <c r="AD288" s="35" t="str">
        <f aca="false">IF(AND(ISNUMBER(Y288),ISNUMBER(Z288)),IF(Z288&gt;=Y288,ROUND((Z288-Y288)*1440,0),""),"")</f>
        <v/>
      </c>
      <c r="AE288" s="35" t="str">
        <f aca="false">IF(AND(ISNUMBER(Z288),ISNUMBER(AA288)),IF(AA288&gt;=Z288,ROUND((AA288-Z288)*1440,0),""),"")</f>
        <v/>
      </c>
      <c r="AF288" s="35" t="str">
        <f aca="false">IF(AND(ISNUMBER(AA288),ISNUMBER(AB288)),IF(AB288&gt;=AA288,ROUND((AB288-AA288)*1440,0),""),"")</f>
        <v/>
      </c>
      <c r="AG288" s="35" t="str">
        <f aca="false">IF(AND(W288="완료",ISNUMBER(X288)),IF(MAX(Y288:AB288)&gt;=X288,ROUND((MAX(Y288:AB288)-X288)*1440,0),""),"")</f>
        <v/>
      </c>
    </row>
    <row r="289" customFormat="false" ht="15" hidden="false" customHeight="false" outlineLevel="0" collapsed="false">
      <c r="A289" s="27" t="n">
        <v>285</v>
      </c>
      <c r="B289" s="28"/>
      <c r="C289" s="29"/>
      <c r="D289" s="29"/>
      <c r="E289" s="28"/>
      <c r="F289" s="30"/>
      <c r="G289" s="31"/>
      <c r="H289" s="28"/>
      <c r="I289" s="29"/>
      <c r="J289" s="29"/>
      <c r="K289" s="29"/>
      <c r="L289" s="29"/>
      <c r="M289" s="29"/>
      <c r="N289" s="29"/>
      <c r="O289" s="29"/>
      <c r="P289" s="29"/>
      <c r="Q289" s="29"/>
      <c r="R289" s="29"/>
      <c r="S289" s="28"/>
      <c r="T289" s="32" t="str">
        <f aca="false">IF(AND(K289="",L289=""),"",IF(OR(K289="-",L289="-"),"측정불가",IF(AND(ISNUMBER(K289),ISNUMBER(L289)),IF(OR(K289&gt;=설정!$C$9,L289&gt;=설정!$C$10),"긴급",IF(OR(K289&gt;=설정!$C$7,L289&gt;=설정!$C$8,K289&lt;설정!$C$11),"주의","정상")),"확인필요")))</f>
        <v/>
      </c>
      <c r="U289" s="32" t="str">
        <f aca="false">IF(M289="","",IF(M289="-","측정불가",IF(NOT(ISNUMBER(M289)),"확인필요",IF(M289&lt;설정!$C$15,"긴급(저혈당)",IF(M289&gt;=설정!$C$16,"긴급(고혈당)",IF(N289="공복",IF(M289&gt;=설정!$C$13,"주의","정상"),IF(N289="식후",IF(M289&gt;=설정!$C$14,"주의","정상"),"조건확인")))))))</f>
        <v/>
      </c>
      <c r="V289" s="32" t="str">
        <f aca="false">IF(OR(T289="긴급",LEFT(U289,2)="긴급",P289="O"),"대상","")</f>
        <v/>
      </c>
      <c r="W289" s="33" t="str">
        <f aca="false">IF(R289&lt;&gt;"",R289,IF(O289="O",IF(V289="대상",IF(Q289="O","완료","추가상담 대기"),"완료"),IF(COUNTA(K289:M289)=3,"상담 대기",IF(J289="O","측정 대기",IF(I289="O","운동평가 대기","미방문")))))</f>
        <v>미방문</v>
      </c>
      <c r="X289" s="34"/>
      <c r="Y289" s="34"/>
      <c r="Z289" s="34"/>
      <c r="AA289" s="34"/>
      <c r="AB289" s="34"/>
      <c r="AC289" s="35" t="str">
        <f aca="false">IF(AND(ISNUMBER(X289),ISNUMBER(Y289)),IF(Y289&gt;=X289,ROUND((Y289-X289)*1440,0),""),"")</f>
        <v/>
      </c>
      <c r="AD289" s="35" t="str">
        <f aca="false">IF(AND(ISNUMBER(Y289),ISNUMBER(Z289)),IF(Z289&gt;=Y289,ROUND((Z289-Y289)*1440,0),""),"")</f>
        <v/>
      </c>
      <c r="AE289" s="35" t="str">
        <f aca="false">IF(AND(ISNUMBER(Z289),ISNUMBER(AA289)),IF(AA289&gt;=Z289,ROUND((AA289-Z289)*1440,0),""),"")</f>
        <v/>
      </c>
      <c r="AF289" s="35" t="str">
        <f aca="false">IF(AND(ISNUMBER(AA289),ISNUMBER(AB289)),IF(AB289&gt;=AA289,ROUND((AB289-AA289)*1440,0),""),"")</f>
        <v/>
      </c>
      <c r="AG289" s="35" t="str">
        <f aca="false">IF(AND(W289="완료",ISNUMBER(X289)),IF(MAX(Y289:AB289)&gt;=X289,ROUND((MAX(Y289:AB289)-X289)*1440,0),""),"")</f>
        <v/>
      </c>
    </row>
    <row r="290" customFormat="false" ht="15" hidden="false" customHeight="false" outlineLevel="0" collapsed="false">
      <c r="A290" s="27" t="n">
        <v>286</v>
      </c>
      <c r="B290" s="28"/>
      <c r="C290" s="29"/>
      <c r="D290" s="29"/>
      <c r="E290" s="28"/>
      <c r="F290" s="30"/>
      <c r="G290" s="31"/>
      <c r="H290" s="28"/>
      <c r="I290" s="29"/>
      <c r="J290" s="29"/>
      <c r="K290" s="29"/>
      <c r="L290" s="29"/>
      <c r="M290" s="29"/>
      <c r="N290" s="29"/>
      <c r="O290" s="29"/>
      <c r="P290" s="29"/>
      <c r="Q290" s="29"/>
      <c r="R290" s="29"/>
      <c r="S290" s="28"/>
      <c r="T290" s="32" t="str">
        <f aca="false">IF(AND(K290="",L290=""),"",IF(OR(K290="-",L290="-"),"측정불가",IF(AND(ISNUMBER(K290),ISNUMBER(L290)),IF(OR(K290&gt;=설정!$C$9,L290&gt;=설정!$C$10),"긴급",IF(OR(K290&gt;=설정!$C$7,L290&gt;=설정!$C$8,K290&lt;설정!$C$11),"주의","정상")),"확인필요")))</f>
        <v/>
      </c>
      <c r="U290" s="32" t="str">
        <f aca="false">IF(M290="","",IF(M290="-","측정불가",IF(NOT(ISNUMBER(M290)),"확인필요",IF(M290&lt;설정!$C$15,"긴급(저혈당)",IF(M290&gt;=설정!$C$16,"긴급(고혈당)",IF(N290="공복",IF(M290&gt;=설정!$C$13,"주의","정상"),IF(N290="식후",IF(M290&gt;=설정!$C$14,"주의","정상"),"조건확인")))))))</f>
        <v/>
      </c>
      <c r="V290" s="32" t="str">
        <f aca="false">IF(OR(T290="긴급",LEFT(U290,2)="긴급",P290="O"),"대상","")</f>
        <v/>
      </c>
      <c r="W290" s="33" t="str">
        <f aca="false">IF(R290&lt;&gt;"",R290,IF(O290="O",IF(V290="대상",IF(Q290="O","완료","추가상담 대기"),"완료"),IF(COUNTA(K290:M290)=3,"상담 대기",IF(J290="O","측정 대기",IF(I290="O","운동평가 대기","미방문")))))</f>
        <v>미방문</v>
      </c>
      <c r="X290" s="34"/>
      <c r="Y290" s="34"/>
      <c r="Z290" s="34"/>
      <c r="AA290" s="34"/>
      <c r="AB290" s="34"/>
      <c r="AC290" s="35" t="str">
        <f aca="false">IF(AND(ISNUMBER(X290),ISNUMBER(Y290)),IF(Y290&gt;=X290,ROUND((Y290-X290)*1440,0),""),"")</f>
        <v/>
      </c>
      <c r="AD290" s="35" t="str">
        <f aca="false">IF(AND(ISNUMBER(Y290),ISNUMBER(Z290)),IF(Z290&gt;=Y290,ROUND((Z290-Y290)*1440,0),""),"")</f>
        <v/>
      </c>
      <c r="AE290" s="35" t="str">
        <f aca="false">IF(AND(ISNUMBER(Z290),ISNUMBER(AA290)),IF(AA290&gt;=Z290,ROUND((AA290-Z290)*1440,0),""),"")</f>
        <v/>
      </c>
      <c r="AF290" s="35" t="str">
        <f aca="false">IF(AND(ISNUMBER(AA290),ISNUMBER(AB290)),IF(AB290&gt;=AA290,ROUND((AB290-AA290)*1440,0),""),"")</f>
        <v/>
      </c>
      <c r="AG290" s="35" t="str">
        <f aca="false">IF(AND(W290="완료",ISNUMBER(X290)),IF(MAX(Y290:AB290)&gt;=X290,ROUND((MAX(Y290:AB290)-X290)*1440,0),""),"")</f>
        <v/>
      </c>
    </row>
    <row r="291" customFormat="false" ht="15" hidden="false" customHeight="false" outlineLevel="0" collapsed="false">
      <c r="A291" s="27" t="n">
        <v>287</v>
      </c>
      <c r="B291" s="28"/>
      <c r="C291" s="29"/>
      <c r="D291" s="29"/>
      <c r="E291" s="28"/>
      <c r="F291" s="30"/>
      <c r="G291" s="31"/>
      <c r="H291" s="28"/>
      <c r="I291" s="29"/>
      <c r="J291" s="29"/>
      <c r="K291" s="29"/>
      <c r="L291" s="29"/>
      <c r="M291" s="29"/>
      <c r="N291" s="29"/>
      <c r="O291" s="29"/>
      <c r="P291" s="29"/>
      <c r="Q291" s="29"/>
      <c r="R291" s="29"/>
      <c r="S291" s="28"/>
      <c r="T291" s="32" t="str">
        <f aca="false">IF(AND(K291="",L291=""),"",IF(OR(K291="-",L291="-"),"측정불가",IF(AND(ISNUMBER(K291),ISNUMBER(L291)),IF(OR(K291&gt;=설정!$C$9,L291&gt;=설정!$C$10),"긴급",IF(OR(K291&gt;=설정!$C$7,L291&gt;=설정!$C$8,K291&lt;설정!$C$11),"주의","정상")),"확인필요")))</f>
        <v/>
      </c>
      <c r="U291" s="32" t="str">
        <f aca="false">IF(M291="","",IF(M291="-","측정불가",IF(NOT(ISNUMBER(M291)),"확인필요",IF(M291&lt;설정!$C$15,"긴급(저혈당)",IF(M291&gt;=설정!$C$16,"긴급(고혈당)",IF(N291="공복",IF(M291&gt;=설정!$C$13,"주의","정상"),IF(N291="식후",IF(M291&gt;=설정!$C$14,"주의","정상"),"조건확인")))))))</f>
        <v/>
      </c>
      <c r="V291" s="32" t="str">
        <f aca="false">IF(OR(T291="긴급",LEFT(U291,2)="긴급",P291="O"),"대상","")</f>
        <v/>
      </c>
      <c r="W291" s="33" t="str">
        <f aca="false">IF(R291&lt;&gt;"",R291,IF(O291="O",IF(V291="대상",IF(Q291="O","완료","추가상담 대기"),"완료"),IF(COUNTA(K291:M291)=3,"상담 대기",IF(J291="O","측정 대기",IF(I291="O","운동평가 대기","미방문")))))</f>
        <v>미방문</v>
      </c>
      <c r="X291" s="34"/>
      <c r="Y291" s="34"/>
      <c r="Z291" s="34"/>
      <c r="AA291" s="34"/>
      <c r="AB291" s="34"/>
      <c r="AC291" s="35" t="str">
        <f aca="false">IF(AND(ISNUMBER(X291),ISNUMBER(Y291)),IF(Y291&gt;=X291,ROUND((Y291-X291)*1440,0),""),"")</f>
        <v/>
      </c>
      <c r="AD291" s="35" t="str">
        <f aca="false">IF(AND(ISNUMBER(Y291),ISNUMBER(Z291)),IF(Z291&gt;=Y291,ROUND((Z291-Y291)*1440,0),""),"")</f>
        <v/>
      </c>
      <c r="AE291" s="35" t="str">
        <f aca="false">IF(AND(ISNUMBER(Z291),ISNUMBER(AA291)),IF(AA291&gt;=Z291,ROUND((AA291-Z291)*1440,0),""),"")</f>
        <v/>
      </c>
      <c r="AF291" s="35" t="str">
        <f aca="false">IF(AND(ISNUMBER(AA291),ISNUMBER(AB291)),IF(AB291&gt;=AA291,ROUND((AB291-AA291)*1440,0),""),"")</f>
        <v/>
      </c>
      <c r="AG291" s="35" t="str">
        <f aca="false">IF(AND(W291="완료",ISNUMBER(X291)),IF(MAX(Y291:AB291)&gt;=X291,ROUND((MAX(Y291:AB291)-X291)*1440,0),""),"")</f>
        <v/>
      </c>
    </row>
    <row r="292" customFormat="false" ht="15" hidden="false" customHeight="false" outlineLevel="0" collapsed="false">
      <c r="A292" s="27" t="n">
        <v>288</v>
      </c>
      <c r="B292" s="28"/>
      <c r="C292" s="29"/>
      <c r="D292" s="29"/>
      <c r="E292" s="28"/>
      <c r="F292" s="30"/>
      <c r="G292" s="31"/>
      <c r="H292" s="28"/>
      <c r="I292" s="29"/>
      <c r="J292" s="29"/>
      <c r="K292" s="29"/>
      <c r="L292" s="29"/>
      <c r="M292" s="29"/>
      <c r="N292" s="29"/>
      <c r="O292" s="29"/>
      <c r="P292" s="29"/>
      <c r="Q292" s="29"/>
      <c r="R292" s="29"/>
      <c r="S292" s="28"/>
      <c r="T292" s="32" t="str">
        <f aca="false">IF(AND(K292="",L292=""),"",IF(OR(K292="-",L292="-"),"측정불가",IF(AND(ISNUMBER(K292),ISNUMBER(L292)),IF(OR(K292&gt;=설정!$C$9,L292&gt;=설정!$C$10),"긴급",IF(OR(K292&gt;=설정!$C$7,L292&gt;=설정!$C$8,K292&lt;설정!$C$11),"주의","정상")),"확인필요")))</f>
        <v/>
      </c>
      <c r="U292" s="32" t="str">
        <f aca="false">IF(M292="","",IF(M292="-","측정불가",IF(NOT(ISNUMBER(M292)),"확인필요",IF(M292&lt;설정!$C$15,"긴급(저혈당)",IF(M292&gt;=설정!$C$16,"긴급(고혈당)",IF(N292="공복",IF(M292&gt;=설정!$C$13,"주의","정상"),IF(N292="식후",IF(M292&gt;=설정!$C$14,"주의","정상"),"조건확인")))))))</f>
        <v/>
      </c>
      <c r="V292" s="32" t="str">
        <f aca="false">IF(OR(T292="긴급",LEFT(U292,2)="긴급",P292="O"),"대상","")</f>
        <v/>
      </c>
      <c r="W292" s="33" t="str">
        <f aca="false">IF(R292&lt;&gt;"",R292,IF(O292="O",IF(V292="대상",IF(Q292="O","완료","추가상담 대기"),"완료"),IF(COUNTA(K292:M292)=3,"상담 대기",IF(J292="O","측정 대기",IF(I292="O","운동평가 대기","미방문")))))</f>
        <v>미방문</v>
      </c>
      <c r="X292" s="34"/>
      <c r="Y292" s="34"/>
      <c r="Z292" s="34"/>
      <c r="AA292" s="34"/>
      <c r="AB292" s="34"/>
      <c r="AC292" s="35" t="str">
        <f aca="false">IF(AND(ISNUMBER(X292),ISNUMBER(Y292)),IF(Y292&gt;=X292,ROUND((Y292-X292)*1440,0),""),"")</f>
        <v/>
      </c>
      <c r="AD292" s="35" t="str">
        <f aca="false">IF(AND(ISNUMBER(Y292),ISNUMBER(Z292)),IF(Z292&gt;=Y292,ROUND((Z292-Y292)*1440,0),""),"")</f>
        <v/>
      </c>
      <c r="AE292" s="35" t="str">
        <f aca="false">IF(AND(ISNUMBER(Z292),ISNUMBER(AA292)),IF(AA292&gt;=Z292,ROUND((AA292-Z292)*1440,0),""),"")</f>
        <v/>
      </c>
      <c r="AF292" s="35" t="str">
        <f aca="false">IF(AND(ISNUMBER(AA292),ISNUMBER(AB292)),IF(AB292&gt;=AA292,ROUND((AB292-AA292)*1440,0),""),"")</f>
        <v/>
      </c>
      <c r="AG292" s="35" t="str">
        <f aca="false">IF(AND(W292="완료",ISNUMBER(X292)),IF(MAX(Y292:AB292)&gt;=X292,ROUND((MAX(Y292:AB292)-X292)*1440,0),""),"")</f>
        <v/>
      </c>
    </row>
    <row r="293" customFormat="false" ht="15" hidden="false" customHeight="false" outlineLevel="0" collapsed="false">
      <c r="A293" s="27" t="n">
        <v>289</v>
      </c>
      <c r="B293" s="28"/>
      <c r="C293" s="29"/>
      <c r="D293" s="29"/>
      <c r="E293" s="28"/>
      <c r="F293" s="30"/>
      <c r="G293" s="31"/>
      <c r="H293" s="28"/>
      <c r="I293" s="29"/>
      <c r="J293" s="29"/>
      <c r="K293" s="29"/>
      <c r="L293" s="29"/>
      <c r="M293" s="29"/>
      <c r="N293" s="29"/>
      <c r="O293" s="29"/>
      <c r="P293" s="29"/>
      <c r="Q293" s="29"/>
      <c r="R293" s="29"/>
      <c r="S293" s="28"/>
      <c r="T293" s="32" t="str">
        <f aca="false">IF(AND(K293="",L293=""),"",IF(OR(K293="-",L293="-"),"측정불가",IF(AND(ISNUMBER(K293),ISNUMBER(L293)),IF(OR(K293&gt;=설정!$C$9,L293&gt;=설정!$C$10),"긴급",IF(OR(K293&gt;=설정!$C$7,L293&gt;=설정!$C$8,K293&lt;설정!$C$11),"주의","정상")),"확인필요")))</f>
        <v/>
      </c>
      <c r="U293" s="32" t="str">
        <f aca="false">IF(M293="","",IF(M293="-","측정불가",IF(NOT(ISNUMBER(M293)),"확인필요",IF(M293&lt;설정!$C$15,"긴급(저혈당)",IF(M293&gt;=설정!$C$16,"긴급(고혈당)",IF(N293="공복",IF(M293&gt;=설정!$C$13,"주의","정상"),IF(N293="식후",IF(M293&gt;=설정!$C$14,"주의","정상"),"조건확인")))))))</f>
        <v/>
      </c>
      <c r="V293" s="32" t="str">
        <f aca="false">IF(OR(T293="긴급",LEFT(U293,2)="긴급",P293="O"),"대상","")</f>
        <v/>
      </c>
      <c r="W293" s="33" t="str">
        <f aca="false">IF(R293&lt;&gt;"",R293,IF(O293="O",IF(V293="대상",IF(Q293="O","완료","추가상담 대기"),"완료"),IF(COUNTA(K293:M293)=3,"상담 대기",IF(J293="O","측정 대기",IF(I293="O","운동평가 대기","미방문")))))</f>
        <v>미방문</v>
      </c>
      <c r="X293" s="34"/>
      <c r="Y293" s="34"/>
      <c r="Z293" s="34"/>
      <c r="AA293" s="34"/>
      <c r="AB293" s="34"/>
      <c r="AC293" s="35" t="str">
        <f aca="false">IF(AND(ISNUMBER(X293),ISNUMBER(Y293)),IF(Y293&gt;=X293,ROUND((Y293-X293)*1440,0),""),"")</f>
        <v/>
      </c>
      <c r="AD293" s="35" t="str">
        <f aca="false">IF(AND(ISNUMBER(Y293),ISNUMBER(Z293)),IF(Z293&gt;=Y293,ROUND((Z293-Y293)*1440,0),""),"")</f>
        <v/>
      </c>
      <c r="AE293" s="35" t="str">
        <f aca="false">IF(AND(ISNUMBER(Z293),ISNUMBER(AA293)),IF(AA293&gt;=Z293,ROUND((AA293-Z293)*1440,0),""),"")</f>
        <v/>
      </c>
      <c r="AF293" s="35" t="str">
        <f aca="false">IF(AND(ISNUMBER(AA293),ISNUMBER(AB293)),IF(AB293&gt;=AA293,ROUND((AB293-AA293)*1440,0),""),"")</f>
        <v/>
      </c>
      <c r="AG293" s="35" t="str">
        <f aca="false">IF(AND(W293="완료",ISNUMBER(X293)),IF(MAX(Y293:AB293)&gt;=X293,ROUND((MAX(Y293:AB293)-X293)*1440,0),""),"")</f>
        <v/>
      </c>
    </row>
    <row r="294" customFormat="false" ht="15" hidden="false" customHeight="false" outlineLevel="0" collapsed="false">
      <c r="A294" s="27" t="n">
        <v>290</v>
      </c>
      <c r="B294" s="28"/>
      <c r="C294" s="29"/>
      <c r="D294" s="29"/>
      <c r="E294" s="28"/>
      <c r="F294" s="30"/>
      <c r="G294" s="31"/>
      <c r="H294" s="28"/>
      <c r="I294" s="29"/>
      <c r="J294" s="29"/>
      <c r="K294" s="29"/>
      <c r="L294" s="29"/>
      <c r="M294" s="29"/>
      <c r="N294" s="29"/>
      <c r="O294" s="29"/>
      <c r="P294" s="29"/>
      <c r="Q294" s="29"/>
      <c r="R294" s="29"/>
      <c r="S294" s="28"/>
      <c r="T294" s="32" t="str">
        <f aca="false">IF(AND(K294="",L294=""),"",IF(OR(K294="-",L294="-"),"측정불가",IF(AND(ISNUMBER(K294),ISNUMBER(L294)),IF(OR(K294&gt;=설정!$C$9,L294&gt;=설정!$C$10),"긴급",IF(OR(K294&gt;=설정!$C$7,L294&gt;=설정!$C$8,K294&lt;설정!$C$11),"주의","정상")),"확인필요")))</f>
        <v/>
      </c>
      <c r="U294" s="32" t="str">
        <f aca="false">IF(M294="","",IF(M294="-","측정불가",IF(NOT(ISNUMBER(M294)),"확인필요",IF(M294&lt;설정!$C$15,"긴급(저혈당)",IF(M294&gt;=설정!$C$16,"긴급(고혈당)",IF(N294="공복",IF(M294&gt;=설정!$C$13,"주의","정상"),IF(N294="식후",IF(M294&gt;=설정!$C$14,"주의","정상"),"조건확인")))))))</f>
        <v/>
      </c>
      <c r="V294" s="32" t="str">
        <f aca="false">IF(OR(T294="긴급",LEFT(U294,2)="긴급",P294="O"),"대상","")</f>
        <v/>
      </c>
      <c r="W294" s="33" t="str">
        <f aca="false">IF(R294&lt;&gt;"",R294,IF(O294="O",IF(V294="대상",IF(Q294="O","완료","추가상담 대기"),"완료"),IF(COUNTA(K294:M294)=3,"상담 대기",IF(J294="O","측정 대기",IF(I294="O","운동평가 대기","미방문")))))</f>
        <v>미방문</v>
      </c>
      <c r="X294" s="34"/>
      <c r="Y294" s="34"/>
      <c r="Z294" s="34"/>
      <c r="AA294" s="34"/>
      <c r="AB294" s="34"/>
      <c r="AC294" s="35" t="str">
        <f aca="false">IF(AND(ISNUMBER(X294),ISNUMBER(Y294)),IF(Y294&gt;=X294,ROUND((Y294-X294)*1440,0),""),"")</f>
        <v/>
      </c>
      <c r="AD294" s="35" t="str">
        <f aca="false">IF(AND(ISNUMBER(Y294),ISNUMBER(Z294)),IF(Z294&gt;=Y294,ROUND((Z294-Y294)*1440,0),""),"")</f>
        <v/>
      </c>
      <c r="AE294" s="35" t="str">
        <f aca="false">IF(AND(ISNUMBER(Z294),ISNUMBER(AA294)),IF(AA294&gt;=Z294,ROUND((AA294-Z294)*1440,0),""),"")</f>
        <v/>
      </c>
      <c r="AF294" s="35" t="str">
        <f aca="false">IF(AND(ISNUMBER(AA294),ISNUMBER(AB294)),IF(AB294&gt;=AA294,ROUND((AB294-AA294)*1440,0),""),"")</f>
        <v/>
      </c>
      <c r="AG294" s="35" t="str">
        <f aca="false">IF(AND(W294="완료",ISNUMBER(X294)),IF(MAX(Y294:AB294)&gt;=X294,ROUND((MAX(Y294:AB294)-X294)*1440,0),""),"")</f>
        <v/>
      </c>
    </row>
    <row r="295" customFormat="false" ht="15" hidden="false" customHeight="false" outlineLevel="0" collapsed="false">
      <c r="A295" s="27" t="n">
        <v>291</v>
      </c>
      <c r="B295" s="28"/>
      <c r="C295" s="29"/>
      <c r="D295" s="29"/>
      <c r="E295" s="28"/>
      <c r="F295" s="30"/>
      <c r="G295" s="31"/>
      <c r="H295" s="28"/>
      <c r="I295" s="29"/>
      <c r="J295" s="29"/>
      <c r="K295" s="29"/>
      <c r="L295" s="29"/>
      <c r="M295" s="29"/>
      <c r="N295" s="29"/>
      <c r="O295" s="29"/>
      <c r="P295" s="29"/>
      <c r="Q295" s="29"/>
      <c r="R295" s="29"/>
      <c r="S295" s="28"/>
      <c r="T295" s="32" t="str">
        <f aca="false">IF(AND(K295="",L295=""),"",IF(OR(K295="-",L295="-"),"측정불가",IF(AND(ISNUMBER(K295),ISNUMBER(L295)),IF(OR(K295&gt;=설정!$C$9,L295&gt;=설정!$C$10),"긴급",IF(OR(K295&gt;=설정!$C$7,L295&gt;=설정!$C$8,K295&lt;설정!$C$11),"주의","정상")),"확인필요")))</f>
        <v/>
      </c>
      <c r="U295" s="32" t="str">
        <f aca="false">IF(M295="","",IF(M295="-","측정불가",IF(NOT(ISNUMBER(M295)),"확인필요",IF(M295&lt;설정!$C$15,"긴급(저혈당)",IF(M295&gt;=설정!$C$16,"긴급(고혈당)",IF(N295="공복",IF(M295&gt;=설정!$C$13,"주의","정상"),IF(N295="식후",IF(M295&gt;=설정!$C$14,"주의","정상"),"조건확인")))))))</f>
        <v/>
      </c>
      <c r="V295" s="32" t="str">
        <f aca="false">IF(OR(T295="긴급",LEFT(U295,2)="긴급",P295="O"),"대상","")</f>
        <v/>
      </c>
      <c r="W295" s="33" t="str">
        <f aca="false">IF(R295&lt;&gt;"",R295,IF(O295="O",IF(V295="대상",IF(Q295="O","완료","추가상담 대기"),"완료"),IF(COUNTA(K295:M295)=3,"상담 대기",IF(J295="O","측정 대기",IF(I295="O","운동평가 대기","미방문")))))</f>
        <v>미방문</v>
      </c>
      <c r="X295" s="34"/>
      <c r="Y295" s="34"/>
      <c r="Z295" s="34"/>
      <c r="AA295" s="34"/>
      <c r="AB295" s="34"/>
      <c r="AC295" s="35" t="str">
        <f aca="false">IF(AND(ISNUMBER(X295),ISNUMBER(Y295)),IF(Y295&gt;=X295,ROUND((Y295-X295)*1440,0),""),"")</f>
        <v/>
      </c>
      <c r="AD295" s="35" t="str">
        <f aca="false">IF(AND(ISNUMBER(Y295),ISNUMBER(Z295)),IF(Z295&gt;=Y295,ROUND((Z295-Y295)*1440,0),""),"")</f>
        <v/>
      </c>
      <c r="AE295" s="35" t="str">
        <f aca="false">IF(AND(ISNUMBER(Z295),ISNUMBER(AA295)),IF(AA295&gt;=Z295,ROUND((AA295-Z295)*1440,0),""),"")</f>
        <v/>
      </c>
      <c r="AF295" s="35" t="str">
        <f aca="false">IF(AND(ISNUMBER(AA295),ISNUMBER(AB295)),IF(AB295&gt;=AA295,ROUND((AB295-AA295)*1440,0),""),"")</f>
        <v/>
      </c>
      <c r="AG295" s="35" t="str">
        <f aca="false">IF(AND(W295="완료",ISNUMBER(X295)),IF(MAX(Y295:AB295)&gt;=X295,ROUND((MAX(Y295:AB295)-X295)*1440,0),""),"")</f>
        <v/>
      </c>
    </row>
    <row r="296" customFormat="false" ht="15" hidden="false" customHeight="false" outlineLevel="0" collapsed="false">
      <c r="A296" s="27" t="n">
        <v>292</v>
      </c>
      <c r="B296" s="28"/>
      <c r="C296" s="29"/>
      <c r="D296" s="29"/>
      <c r="E296" s="28"/>
      <c r="F296" s="30"/>
      <c r="G296" s="31"/>
      <c r="H296" s="28"/>
      <c r="I296" s="29"/>
      <c r="J296" s="29"/>
      <c r="K296" s="29"/>
      <c r="L296" s="29"/>
      <c r="M296" s="29"/>
      <c r="N296" s="29"/>
      <c r="O296" s="29"/>
      <c r="P296" s="29"/>
      <c r="Q296" s="29"/>
      <c r="R296" s="29"/>
      <c r="S296" s="28"/>
      <c r="T296" s="32" t="str">
        <f aca="false">IF(AND(K296="",L296=""),"",IF(OR(K296="-",L296="-"),"측정불가",IF(AND(ISNUMBER(K296),ISNUMBER(L296)),IF(OR(K296&gt;=설정!$C$9,L296&gt;=설정!$C$10),"긴급",IF(OR(K296&gt;=설정!$C$7,L296&gt;=설정!$C$8,K296&lt;설정!$C$11),"주의","정상")),"확인필요")))</f>
        <v/>
      </c>
      <c r="U296" s="32" t="str">
        <f aca="false">IF(M296="","",IF(M296="-","측정불가",IF(NOT(ISNUMBER(M296)),"확인필요",IF(M296&lt;설정!$C$15,"긴급(저혈당)",IF(M296&gt;=설정!$C$16,"긴급(고혈당)",IF(N296="공복",IF(M296&gt;=설정!$C$13,"주의","정상"),IF(N296="식후",IF(M296&gt;=설정!$C$14,"주의","정상"),"조건확인")))))))</f>
        <v/>
      </c>
      <c r="V296" s="32" t="str">
        <f aca="false">IF(OR(T296="긴급",LEFT(U296,2)="긴급",P296="O"),"대상","")</f>
        <v/>
      </c>
      <c r="W296" s="33" t="str">
        <f aca="false">IF(R296&lt;&gt;"",R296,IF(O296="O",IF(V296="대상",IF(Q296="O","완료","추가상담 대기"),"완료"),IF(COUNTA(K296:M296)=3,"상담 대기",IF(J296="O","측정 대기",IF(I296="O","운동평가 대기","미방문")))))</f>
        <v>미방문</v>
      </c>
      <c r="X296" s="34"/>
      <c r="Y296" s="34"/>
      <c r="Z296" s="34"/>
      <c r="AA296" s="34"/>
      <c r="AB296" s="34"/>
      <c r="AC296" s="35" t="str">
        <f aca="false">IF(AND(ISNUMBER(X296),ISNUMBER(Y296)),IF(Y296&gt;=X296,ROUND((Y296-X296)*1440,0),""),"")</f>
        <v/>
      </c>
      <c r="AD296" s="35" t="str">
        <f aca="false">IF(AND(ISNUMBER(Y296),ISNUMBER(Z296)),IF(Z296&gt;=Y296,ROUND((Z296-Y296)*1440,0),""),"")</f>
        <v/>
      </c>
      <c r="AE296" s="35" t="str">
        <f aca="false">IF(AND(ISNUMBER(Z296),ISNUMBER(AA296)),IF(AA296&gt;=Z296,ROUND((AA296-Z296)*1440,0),""),"")</f>
        <v/>
      </c>
      <c r="AF296" s="35" t="str">
        <f aca="false">IF(AND(ISNUMBER(AA296),ISNUMBER(AB296)),IF(AB296&gt;=AA296,ROUND((AB296-AA296)*1440,0),""),"")</f>
        <v/>
      </c>
      <c r="AG296" s="35" t="str">
        <f aca="false">IF(AND(W296="완료",ISNUMBER(X296)),IF(MAX(Y296:AB296)&gt;=X296,ROUND((MAX(Y296:AB296)-X296)*1440,0),""),"")</f>
        <v/>
      </c>
    </row>
    <row r="297" customFormat="false" ht="15" hidden="false" customHeight="false" outlineLevel="0" collapsed="false">
      <c r="A297" s="27" t="n">
        <v>293</v>
      </c>
      <c r="B297" s="28"/>
      <c r="C297" s="29"/>
      <c r="D297" s="29"/>
      <c r="E297" s="28"/>
      <c r="F297" s="30"/>
      <c r="G297" s="31"/>
      <c r="H297" s="28"/>
      <c r="I297" s="29"/>
      <c r="J297" s="29"/>
      <c r="K297" s="29"/>
      <c r="L297" s="29"/>
      <c r="M297" s="29"/>
      <c r="N297" s="29"/>
      <c r="O297" s="29"/>
      <c r="P297" s="29"/>
      <c r="Q297" s="29"/>
      <c r="R297" s="29"/>
      <c r="S297" s="28"/>
      <c r="T297" s="32" t="str">
        <f aca="false">IF(AND(K297="",L297=""),"",IF(OR(K297="-",L297="-"),"측정불가",IF(AND(ISNUMBER(K297),ISNUMBER(L297)),IF(OR(K297&gt;=설정!$C$9,L297&gt;=설정!$C$10),"긴급",IF(OR(K297&gt;=설정!$C$7,L297&gt;=설정!$C$8,K297&lt;설정!$C$11),"주의","정상")),"확인필요")))</f>
        <v/>
      </c>
      <c r="U297" s="32" t="str">
        <f aca="false">IF(M297="","",IF(M297="-","측정불가",IF(NOT(ISNUMBER(M297)),"확인필요",IF(M297&lt;설정!$C$15,"긴급(저혈당)",IF(M297&gt;=설정!$C$16,"긴급(고혈당)",IF(N297="공복",IF(M297&gt;=설정!$C$13,"주의","정상"),IF(N297="식후",IF(M297&gt;=설정!$C$14,"주의","정상"),"조건확인")))))))</f>
        <v/>
      </c>
      <c r="V297" s="32" t="str">
        <f aca="false">IF(OR(T297="긴급",LEFT(U297,2)="긴급",P297="O"),"대상","")</f>
        <v/>
      </c>
      <c r="W297" s="33" t="str">
        <f aca="false">IF(R297&lt;&gt;"",R297,IF(O297="O",IF(V297="대상",IF(Q297="O","완료","추가상담 대기"),"완료"),IF(COUNTA(K297:M297)=3,"상담 대기",IF(J297="O","측정 대기",IF(I297="O","운동평가 대기","미방문")))))</f>
        <v>미방문</v>
      </c>
      <c r="X297" s="34"/>
      <c r="Y297" s="34"/>
      <c r="Z297" s="34"/>
      <c r="AA297" s="34"/>
      <c r="AB297" s="34"/>
      <c r="AC297" s="35" t="str">
        <f aca="false">IF(AND(ISNUMBER(X297),ISNUMBER(Y297)),IF(Y297&gt;=X297,ROUND((Y297-X297)*1440,0),""),"")</f>
        <v/>
      </c>
      <c r="AD297" s="35" t="str">
        <f aca="false">IF(AND(ISNUMBER(Y297),ISNUMBER(Z297)),IF(Z297&gt;=Y297,ROUND((Z297-Y297)*1440,0),""),"")</f>
        <v/>
      </c>
      <c r="AE297" s="35" t="str">
        <f aca="false">IF(AND(ISNUMBER(Z297),ISNUMBER(AA297)),IF(AA297&gt;=Z297,ROUND((AA297-Z297)*1440,0),""),"")</f>
        <v/>
      </c>
      <c r="AF297" s="35" t="str">
        <f aca="false">IF(AND(ISNUMBER(AA297),ISNUMBER(AB297)),IF(AB297&gt;=AA297,ROUND((AB297-AA297)*1440,0),""),"")</f>
        <v/>
      </c>
      <c r="AG297" s="35" t="str">
        <f aca="false">IF(AND(W297="완료",ISNUMBER(X297)),IF(MAX(Y297:AB297)&gt;=X297,ROUND((MAX(Y297:AB297)-X297)*1440,0),""),"")</f>
        <v/>
      </c>
    </row>
    <row r="298" customFormat="false" ht="15" hidden="false" customHeight="false" outlineLevel="0" collapsed="false">
      <c r="A298" s="27" t="n">
        <v>294</v>
      </c>
      <c r="B298" s="28"/>
      <c r="C298" s="29"/>
      <c r="D298" s="29"/>
      <c r="E298" s="28"/>
      <c r="F298" s="30"/>
      <c r="G298" s="31"/>
      <c r="H298" s="28"/>
      <c r="I298" s="29"/>
      <c r="J298" s="29"/>
      <c r="K298" s="29"/>
      <c r="L298" s="29"/>
      <c r="M298" s="29"/>
      <c r="N298" s="29"/>
      <c r="O298" s="29"/>
      <c r="P298" s="29"/>
      <c r="Q298" s="29"/>
      <c r="R298" s="29"/>
      <c r="S298" s="28"/>
      <c r="T298" s="32" t="str">
        <f aca="false">IF(AND(K298="",L298=""),"",IF(OR(K298="-",L298="-"),"측정불가",IF(AND(ISNUMBER(K298),ISNUMBER(L298)),IF(OR(K298&gt;=설정!$C$9,L298&gt;=설정!$C$10),"긴급",IF(OR(K298&gt;=설정!$C$7,L298&gt;=설정!$C$8,K298&lt;설정!$C$11),"주의","정상")),"확인필요")))</f>
        <v/>
      </c>
      <c r="U298" s="32" t="str">
        <f aca="false">IF(M298="","",IF(M298="-","측정불가",IF(NOT(ISNUMBER(M298)),"확인필요",IF(M298&lt;설정!$C$15,"긴급(저혈당)",IF(M298&gt;=설정!$C$16,"긴급(고혈당)",IF(N298="공복",IF(M298&gt;=설정!$C$13,"주의","정상"),IF(N298="식후",IF(M298&gt;=설정!$C$14,"주의","정상"),"조건확인")))))))</f>
        <v/>
      </c>
      <c r="V298" s="32" t="str">
        <f aca="false">IF(OR(T298="긴급",LEFT(U298,2)="긴급",P298="O"),"대상","")</f>
        <v/>
      </c>
      <c r="W298" s="33" t="str">
        <f aca="false">IF(R298&lt;&gt;"",R298,IF(O298="O",IF(V298="대상",IF(Q298="O","완료","추가상담 대기"),"완료"),IF(COUNTA(K298:M298)=3,"상담 대기",IF(J298="O","측정 대기",IF(I298="O","운동평가 대기","미방문")))))</f>
        <v>미방문</v>
      </c>
      <c r="X298" s="34"/>
      <c r="Y298" s="34"/>
      <c r="Z298" s="34"/>
      <c r="AA298" s="34"/>
      <c r="AB298" s="34"/>
      <c r="AC298" s="35" t="str">
        <f aca="false">IF(AND(ISNUMBER(X298),ISNUMBER(Y298)),IF(Y298&gt;=X298,ROUND((Y298-X298)*1440,0),""),"")</f>
        <v/>
      </c>
      <c r="AD298" s="35" t="str">
        <f aca="false">IF(AND(ISNUMBER(Y298),ISNUMBER(Z298)),IF(Z298&gt;=Y298,ROUND((Z298-Y298)*1440,0),""),"")</f>
        <v/>
      </c>
      <c r="AE298" s="35" t="str">
        <f aca="false">IF(AND(ISNUMBER(Z298),ISNUMBER(AA298)),IF(AA298&gt;=Z298,ROUND((AA298-Z298)*1440,0),""),"")</f>
        <v/>
      </c>
      <c r="AF298" s="35" t="str">
        <f aca="false">IF(AND(ISNUMBER(AA298),ISNUMBER(AB298)),IF(AB298&gt;=AA298,ROUND((AB298-AA298)*1440,0),""),"")</f>
        <v/>
      </c>
      <c r="AG298" s="35" t="str">
        <f aca="false">IF(AND(W298="완료",ISNUMBER(X298)),IF(MAX(Y298:AB298)&gt;=X298,ROUND((MAX(Y298:AB298)-X298)*1440,0),""),"")</f>
        <v/>
      </c>
    </row>
    <row r="299" customFormat="false" ht="15" hidden="false" customHeight="false" outlineLevel="0" collapsed="false">
      <c r="A299" s="27" t="n">
        <v>295</v>
      </c>
      <c r="B299" s="28"/>
      <c r="C299" s="29"/>
      <c r="D299" s="29"/>
      <c r="E299" s="28"/>
      <c r="F299" s="30"/>
      <c r="G299" s="31"/>
      <c r="H299" s="28"/>
      <c r="I299" s="29"/>
      <c r="J299" s="29"/>
      <c r="K299" s="29"/>
      <c r="L299" s="29"/>
      <c r="M299" s="29"/>
      <c r="N299" s="29"/>
      <c r="O299" s="29"/>
      <c r="P299" s="29"/>
      <c r="Q299" s="29"/>
      <c r="R299" s="29"/>
      <c r="S299" s="28"/>
      <c r="T299" s="32" t="str">
        <f aca="false">IF(AND(K299="",L299=""),"",IF(OR(K299="-",L299="-"),"측정불가",IF(AND(ISNUMBER(K299),ISNUMBER(L299)),IF(OR(K299&gt;=설정!$C$9,L299&gt;=설정!$C$10),"긴급",IF(OR(K299&gt;=설정!$C$7,L299&gt;=설정!$C$8,K299&lt;설정!$C$11),"주의","정상")),"확인필요")))</f>
        <v/>
      </c>
      <c r="U299" s="32" t="str">
        <f aca="false">IF(M299="","",IF(M299="-","측정불가",IF(NOT(ISNUMBER(M299)),"확인필요",IF(M299&lt;설정!$C$15,"긴급(저혈당)",IF(M299&gt;=설정!$C$16,"긴급(고혈당)",IF(N299="공복",IF(M299&gt;=설정!$C$13,"주의","정상"),IF(N299="식후",IF(M299&gt;=설정!$C$14,"주의","정상"),"조건확인")))))))</f>
        <v/>
      </c>
      <c r="V299" s="32" t="str">
        <f aca="false">IF(OR(T299="긴급",LEFT(U299,2)="긴급",P299="O"),"대상","")</f>
        <v/>
      </c>
      <c r="W299" s="33" t="str">
        <f aca="false">IF(R299&lt;&gt;"",R299,IF(O299="O",IF(V299="대상",IF(Q299="O","완료","추가상담 대기"),"완료"),IF(COUNTA(K299:M299)=3,"상담 대기",IF(J299="O","측정 대기",IF(I299="O","운동평가 대기","미방문")))))</f>
        <v>미방문</v>
      </c>
      <c r="X299" s="34"/>
      <c r="Y299" s="34"/>
      <c r="Z299" s="34"/>
      <c r="AA299" s="34"/>
      <c r="AB299" s="34"/>
      <c r="AC299" s="35" t="str">
        <f aca="false">IF(AND(ISNUMBER(X299),ISNUMBER(Y299)),IF(Y299&gt;=X299,ROUND((Y299-X299)*1440,0),""),"")</f>
        <v/>
      </c>
      <c r="AD299" s="35" t="str">
        <f aca="false">IF(AND(ISNUMBER(Y299),ISNUMBER(Z299)),IF(Z299&gt;=Y299,ROUND((Z299-Y299)*1440,0),""),"")</f>
        <v/>
      </c>
      <c r="AE299" s="35" t="str">
        <f aca="false">IF(AND(ISNUMBER(Z299),ISNUMBER(AA299)),IF(AA299&gt;=Z299,ROUND((AA299-Z299)*1440,0),""),"")</f>
        <v/>
      </c>
      <c r="AF299" s="35" t="str">
        <f aca="false">IF(AND(ISNUMBER(AA299),ISNUMBER(AB299)),IF(AB299&gt;=AA299,ROUND((AB299-AA299)*1440,0),""),"")</f>
        <v/>
      </c>
      <c r="AG299" s="35" t="str">
        <f aca="false">IF(AND(W299="완료",ISNUMBER(X299)),IF(MAX(Y299:AB299)&gt;=X299,ROUND((MAX(Y299:AB299)-X299)*1440,0),""),"")</f>
        <v/>
      </c>
    </row>
    <row r="300" customFormat="false" ht="15" hidden="false" customHeight="false" outlineLevel="0" collapsed="false">
      <c r="A300" s="27" t="n">
        <v>296</v>
      </c>
      <c r="B300" s="28"/>
      <c r="C300" s="29"/>
      <c r="D300" s="29"/>
      <c r="E300" s="28"/>
      <c r="F300" s="30"/>
      <c r="G300" s="31"/>
      <c r="H300" s="28"/>
      <c r="I300" s="29"/>
      <c r="J300" s="29"/>
      <c r="K300" s="29"/>
      <c r="L300" s="29"/>
      <c r="M300" s="29"/>
      <c r="N300" s="29"/>
      <c r="O300" s="29"/>
      <c r="P300" s="29"/>
      <c r="Q300" s="29"/>
      <c r="R300" s="29"/>
      <c r="S300" s="28"/>
      <c r="T300" s="32" t="str">
        <f aca="false">IF(AND(K300="",L300=""),"",IF(OR(K300="-",L300="-"),"측정불가",IF(AND(ISNUMBER(K300),ISNUMBER(L300)),IF(OR(K300&gt;=설정!$C$9,L300&gt;=설정!$C$10),"긴급",IF(OR(K300&gt;=설정!$C$7,L300&gt;=설정!$C$8,K300&lt;설정!$C$11),"주의","정상")),"확인필요")))</f>
        <v/>
      </c>
      <c r="U300" s="32" t="str">
        <f aca="false">IF(M300="","",IF(M300="-","측정불가",IF(NOT(ISNUMBER(M300)),"확인필요",IF(M300&lt;설정!$C$15,"긴급(저혈당)",IF(M300&gt;=설정!$C$16,"긴급(고혈당)",IF(N300="공복",IF(M300&gt;=설정!$C$13,"주의","정상"),IF(N300="식후",IF(M300&gt;=설정!$C$14,"주의","정상"),"조건확인")))))))</f>
        <v/>
      </c>
      <c r="V300" s="32" t="str">
        <f aca="false">IF(OR(T300="긴급",LEFT(U300,2)="긴급",P300="O"),"대상","")</f>
        <v/>
      </c>
      <c r="W300" s="33" t="str">
        <f aca="false">IF(R300&lt;&gt;"",R300,IF(O300="O",IF(V300="대상",IF(Q300="O","완료","추가상담 대기"),"완료"),IF(COUNTA(K300:M300)=3,"상담 대기",IF(J300="O","측정 대기",IF(I300="O","운동평가 대기","미방문")))))</f>
        <v>미방문</v>
      </c>
      <c r="X300" s="34"/>
      <c r="Y300" s="34"/>
      <c r="Z300" s="34"/>
      <c r="AA300" s="34"/>
      <c r="AB300" s="34"/>
      <c r="AC300" s="35" t="str">
        <f aca="false">IF(AND(ISNUMBER(X300),ISNUMBER(Y300)),IF(Y300&gt;=X300,ROUND((Y300-X300)*1440,0),""),"")</f>
        <v/>
      </c>
      <c r="AD300" s="35" t="str">
        <f aca="false">IF(AND(ISNUMBER(Y300),ISNUMBER(Z300)),IF(Z300&gt;=Y300,ROUND((Z300-Y300)*1440,0),""),"")</f>
        <v/>
      </c>
      <c r="AE300" s="35" t="str">
        <f aca="false">IF(AND(ISNUMBER(Z300),ISNUMBER(AA300)),IF(AA300&gt;=Z300,ROUND((AA300-Z300)*1440,0),""),"")</f>
        <v/>
      </c>
      <c r="AF300" s="35" t="str">
        <f aca="false">IF(AND(ISNUMBER(AA300),ISNUMBER(AB300)),IF(AB300&gt;=AA300,ROUND((AB300-AA300)*1440,0),""),"")</f>
        <v/>
      </c>
      <c r="AG300" s="35" t="str">
        <f aca="false">IF(AND(W300="완료",ISNUMBER(X300)),IF(MAX(Y300:AB300)&gt;=X300,ROUND((MAX(Y300:AB300)-X300)*1440,0),""),"")</f>
        <v/>
      </c>
    </row>
    <row r="301" customFormat="false" ht="15" hidden="false" customHeight="false" outlineLevel="0" collapsed="false">
      <c r="A301" s="27" t="n">
        <v>297</v>
      </c>
      <c r="B301" s="28"/>
      <c r="C301" s="29"/>
      <c r="D301" s="29"/>
      <c r="E301" s="28"/>
      <c r="F301" s="30"/>
      <c r="G301" s="31"/>
      <c r="H301" s="28"/>
      <c r="I301" s="29"/>
      <c r="J301" s="29"/>
      <c r="K301" s="29"/>
      <c r="L301" s="29"/>
      <c r="M301" s="29"/>
      <c r="N301" s="29"/>
      <c r="O301" s="29"/>
      <c r="P301" s="29"/>
      <c r="Q301" s="29"/>
      <c r="R301" s="29"/>
      <c r="S301" s="28"/>
      <c r="T301" s="32" t="str">
        <f aca="false">IF(AND(K301="",L301=""),"",IF(OR(K301="-",L301="-"),"측정불가",IF(AND(ISNUMBER(K301),ISNUMBER(L301)),IF(OR(K301&gt;=설정!$C$9,L301&gt;=설정!$C$10),"긴급",IF(OR(K301&gt;=설정!$C$7,L301&gt;=설정!$C$8,K301&lt;설정!$C$11),"주의","정상")),"확인필요")))</f>
        <v/>
      </c>
      <c r="U301" s="32" t="str">
        <f aca="false">IF(M301="","",IF(M301="-","측정불가",IF(NOT(ISNUMBER(M301)),"확인필요",IF(M301&lt;설정!$C$15,"긴급(저혈당)",IF(M301&gt;=설정!$C$16,"긴급(고혈당)",IF(N301="공복",IF(M301&gt;=설정!$C$13,"주의","정상"),IF(N301="식후",IF(M301&gt;=설정!$C$14,"주의","정상"),"조건확인")))))))</f>
        <v/>
      </c>
      <c r="V301" s="32" t="str">
        <f aca="false">IF(OR(T301="긴급",LEFT(U301,2)="긴급",P301="O"),"대상","")</f>
        <v/>
      </c>
      <c r="W301" s="33" t="str">
        <f aca="false">IF(R301&lt;&gt;"",R301,IF(O301="O",IF(V301="대상",IF(Q301="O","완료","추가상담 대기"),"완료"),IF(COUNTA(K301:M301)=3,"상담 대기",IF(J301="O","측정 대기",IF(I301="O","운동평가 대기","미방문")))))</f>
        <v>미방문</v>
      </c>
      <c r="X301" s="34"/>
      <c r="Y301" s="34"/>
      <c r="Z301" s="34"/>
      <c r="AA301" s="34"/>
      <c r="AB301" s="34"/>
      <c r="AC301" s="35" t="str">
        <f aca="false">IF(AND(ISNUMBER(X301),ISNUMBER(Y301)),IF(Y301&gt;=X301,ROUND((Y301-X301)*1440,0),""),"")</f>
        <v/>
      </c>
      <c r="AD301" s="35" t="str">
        <f aca="false">IF(AND(ISNUMBER(Y301),ISNUMBER(Z301)),IF(Z301&gt;=Y301,ROUND((Z301-Y301)*1440,0),""),"")</f>
        <v/>
      </c>
      <c r="AE301" s="35" t="str">
        <f aca="false">IF(AND(ISNUMBER(Z301),ISNUMBER(AA301)),IF(AA301&gt;=Z301,ROUND((AA301-Z301)*1440,0),""),"")</f>
        <v/>
      </c>
      <c r="AF301" s="35" t="str">
        <f aca="false">IF(AND(ISNUMBER(AA301),ISNUMBER(AB301)),IF(AB301&gt;=AA301,ROUND((AB301-AA301)*1440,0),""),"")</f>
        <v/>
      </c>
      <c r="AG301" s="35" t="str">
        <f aca="false">IF(AND(W301="완료",ISNUMBER(X301)),IF(MAX(Y301:AB301)&gt;=X301,ROUND((MAX(Y301:AB301)-X301)*1440,0),""),"")</f>
        <v/>
      </c>
    </row>
    <row r="302" customFormat="false" ht="15" hidden="false" customHeight="false" outlineLevel="0" collapsed="false">
      <c r="A302" s="27" t="n">
        <v>298</v>
      </c>
      <c r="B302" s="28"/>
      <c r="C302" s="29"/>
      <c r="D302" s="29"/>
      <c r="E302" s="28"/>
      <c r="F302" s="30"/>
      <c r="G302" s="31"/>
      <c r="H302" s="28"/>
      <c r="I302" s="29"/>
      <c r="J302" s="29"/>
      <c r="K302" s="29"/>
      <c r="L302" s="29"/>
      <c r="M302" s="29"/>
      <c r="N302" s="29"/>
      <c r="O302" s="29"/>
      <c r="P302" s="29"/>
      <c r="Q302" s="29"/>
      <c r="R302" s="29"/>
      <c r="S302" s="28"/>
      <c r="T302" s="32" t="str">
        <f aca="false">IF(AND(K302="",L302=""),"",IF(OR(K302="-",L302="-"),"측정불가",IF(AND(ISNUMBER(K302),ISNUMBER(L302)),IF(OR(K302&gt;=설정!$C$9,L302&gt;=설정!$C$10),"긴급",IF(OR(K302&gt;=설정!$C$7,L302&gt;=설정!$C$8,K302&lt;설정!$C$11),"주의","정상")),"확인필요")))</f>
        <v/>
      </c>
      <c r="U302" s="32" t="str">
        <f aca="false">IF(M302="","",IF(M302="-","측정불가",IF(NOT(ISNUMBER(M302)),"확인필요",IF(M302&lt;설정!$C$15,"긴급(저혈당)",IF(M302&gt;=설정!$C$16,"긴급(고혈당)",IF(N302="공복",IF(M302&gt;=설정!$C$13,"주의","정상"),IF(N302="식후",IF(M302&gt;=설정!$C$14,"주의","정상"),"조건확인")))))))</f>
        <v/>
      </c>
      <c r="V302" s="32" t="str">
        <f aca="false">IF(OR(T302="긴급",LEFT(U302,2)="긴급",P302="O"),"대상","")</f>
        <v/>
      </c>
      <c r="W302" s="33" t="str">
        <f aca="false">IF(R302&lt;&gt;"",R302,IF(O302="O",IF(V302="대상",IF(Q302="O","완료","추가상담 대기"),"완료"),IF(COUNTA(K302:M302)=3,"상담 대기",IF(J302="O","측정 대기",IF(I302="O","운동평가 대기","미방문")))))</f>
        <v>미방문</v>
      </c>
      <c r="X302" s="34"/>
      <c r="Y302" s="34"/>
      <c r="Z302" s="34"/>
      <c r="AA302" s="34"/>
      <c r="AB302" s="34"/>
      <c r="AC302" s="35" t="str">
        <f aca="false">IF(AND(ISNUMBER(X302),ISNUMBER(Y302)),IF(Y302&gt;=X302,ROUND((Y302-X302)*1440,0),""),"")</f>
        <v/>
      </c>
      <c r="AD302" s="35" t="str">
        <f aca="false">IF(AND(ISNUMBER(Y302),ISNUMBER(Z302)),IF(Z302&gt;=Y302,ROUND((Z302-Y302)*1440,0),""),"")</f>
        <v/>
      </c>
      <c r="AE302" s="35" t="str">
        <f aca="false">IF(AND(ISNUMBER(Z302),ISNUMBER(AA302)),IF(AA302&gt;=Z302,ROUND((AA302-Z302)*1440,0),""),"")</f>
        <v/>
      </c>
      <c r="AF302" s="35" t="str">
        <f aca="false">IF(AND(ISNUMBER(AA302),ISNUMBER(AB302)),IF(AB302&gt;=AA302,ROUND((AB302-AA302)*1440,0),""),"")</f>
        <v/>
      </c>
      <c r="AG302" s="35" t="str">
        <f aca="false">IF(AND(W302="완료",ISNUMBER(X302)),IF(MAX(Y302:AB302)&gt;=X302,ROUND((MAX(Y302:AB302)-X302)*1440,0),""),"")</f>
        <v/>
      </c>
    </row>
    <row r="303" customFormat="false" ht="15" hidden="false" customHeight="false" outlineLevel="0" collapsed="false">
      <c r="A303" s="27" t="n">
        <v>299</v>
      </c>
      <c r="B303" s="28"/>
      <c r="C303" s="29"/>
      <c r="D303" s="29"/>
      <c r="E303" s="28"/>
      <c r="F303" s="30"/>
      <c r="G303" s="31"/>
      <c r="H303" s="28"/>
      <c r="I303" s="29"/>
      <c r="J303" s="29"/>
      <c r="K303" s="29"/>
      <c r="L303" s="29"/>
      <c r="M303" s="29"/>
      <c r="N303" s="29"/>
      <c r="O303" s="29"/>
      <c r="P303" s="29"/>
      <c r="Q303" s="29"/>
      <c r="R303" s="29"/>
      <c r="S303" s="28"/>
      <c r="T303" s="32" t="str">
        <f aca="false">IF(AND(K303="",L303=""),"",IF(OR(K303="-",L303="-"),"측정불가",IF(AND(ISNUMBER(K303),ISNUMBER(L303)),IF(OR(K303&gt;=설정!$C$9,L303&gt;=설정!$C$10),"긴급",IF(OR(K303&gt;=설정!$C$7,L303&gt;=설정!$C$8,K303&lt;설정!$C$11),"주의","정상")),"확인필요")))</f>
        <v/>
      </c>
      <c r="U303" s="32" t="str">
        <f aca="false">IF(M303="","",IF(M303="-","측정불가",IF(NOT(ISNUMBER(M303)),"확인필요",IF(M303&lt;설정!$C$15,"긴급(저혈당)",IF(M303&gt;=설정!$C$16,"긴급(고혈당)",IF(N303="공복",IF(M303&gt;=설정!$C$13,"주의","정상"),IF(N303="식후",IF(M303&gt;=설정!$C$14,"주의","정상"),"조건확인")))))))</f>
        <v/>
      </c>
      <c r="V303" s="32" t="str">
        <f aca="false">IF(OR(T303="긴급",LEFT(U303,2)="긴급",P303="O"),"대상","")</f>
        <v/>
      </c>
      <c r="W303" s="33" t="str">
        <f aca="false">IF(R303&lt;&gt;"",R303,IF(O303="O",IF(V303="대상",IF(Q303="O","완료","추가상담 대기"),"완료"),IF(COUNTA(K303:M303)=3,"상담 대기",IF(J303="O","측정 대기",IF(I303="O","운동평가 대기","미방문")))))</f>
        <v>미방문</v>
      </c>
      <c r="X303" s="34"/>
      <c r="Y303" s="34"/>
      <c r="Z303" s="34"/>
      <c r="AA303" s="34"/>
      <c r="AB303" s="34"/>
      <c r="AC303" s="35" t="str">
        <f aca="false">IF(AND(ISNUMBER(X303),ISNUMBER(Y303)),IF(Y303&gt;=X303,ROUND((Y303-X303)*1440,0),""),"")</f>
        <v/>
      </c>
      <c r="AD303" s="35" t="str">
        <f aca="false">IF(AND(ISNUMBER(Y303),ISNUMBER(Z303)),IF(Z303&gt;=Y303,ROUND((Z303-Y303)*1440,0),""),"")</f>
        <v/>
      </c>
      <c r="AE303" s="35" t="str">
        <f aca="false">IF(AND(ISNUMBER(Z303),ISNUMBER(AA303)),IF(AA303&gt;=Z303,ROUND((AA303-Z303)*1440,0),""),"")</f>
        <v/>
      </c>
      <c r="AF303" s="35" t="str">
        <f aca="false">IF(AND(ISNUMBER(AA303),ISNUMBER(AB303)),IF(AB303&gt;=AA303,ROUND((AB303-AA303)*1440,0),""),"")</f>
        <v/>
      </c>
      <c r="AG303" s="35" t="str">
        <f aca="false">IF(AND(W303="완료",ISNUMBER(X303)),IF(MAX(Y303:AB303)&gt;=X303,ROUND((MAX(Y303:AB303)-X303)*1440,0),""),"")</f>
        <v/>
      </c>
    </row>
    <row r="304" customFormat="false" ht="15" hidden="false" customHeight="false" outlineLevel="0" collapsed="false">
      <c r="A304" s="27" t="n">
        <v>300</v>
      </c>
      <c r="B304" s="28"/>
      <c r="C304" s="29"/>
      <c r="D304" s="29"/>
      <c r="E304" s="28"/>
      <c r="F304" s="30"/>
      <c r="G304" s="31"/>
      <c r="H304" s="28"/>
      <c r="I304" s="29"/>
      <c r="J304" s="29"/>
      <c r="K304" s="29"/>
      <c r="L304" s="29"/>
      <c r="M304" s="29"/>
      <c r="N304" s="29"/>
      <c r="O304" s="29"/>
      <c r="P304" s="29"/>
      <c r="Q304" s="29"/>
      <c r="R304" s="29"/>
      <c r="S304" s="28"/>
      <c r="T304" s="32" t="str">
        <f aca="false">IF(AND(K304="",L304=""),"",IF(OR(K304="-",L304="-"),"측정불가",IF(AND(ISNUMBER(K304),ISNUMBER(L304)),IF(OR(K304&gt;=설정!$C$9,L304&gt;=설정!$C$10),"긴급",IF(OR(K304&gt;=설정!$C$7,L304&gt;=설정!$C$8,K304&lt;설정!$C$11),"주의","정상")),"확인필요")))</f>
        <v/>
      </c>
      <c r="U304" s="32" t="str">
        <f aca="false">IF(M304="","",IF(M304="-","측정불가",IF(NOT(ISNUMBER(M304)),"확인필요",IF(M304&lt;설정!$C$15,"긴급(저혈당)",IF(M304&gt;=설정!$C$16,"긴급(고혈당)",IF(N304="공복",IF(M304&gt;=설정!$C$13,"주의","정상"),IF(N304="식후",IF(M304&gt;=설정!$C$14,"주의","정상"),"조건확인")))))))</f>
        <v/>
      </c>
      <c r="V304" s="32" t="str">
        <f aca="false">IF(OR(T304="긴급",LEFT(U304,2)="긴급",P304="O"),"대상","")</f>
        <v/>
      </c>
      <c r="W304" s="33" t="str">
        <f aca="false">IF(R304&lt;&gt;"",R304,IF(O304="O",IF(V304="대상",IF(Q304="O","완료","추가상담 대기"),"완료"),IF(COUNTA(K304:M304)=3,"상담 대기",IF(J304="O","측정 대기",IF(I304="O","운동평가 대기","미방문")))))</f>
        <v>미방문</v>
      </c>
      <c r="X304" s="34"/>
      <c r="Y304" s="34"/>
      <c r="Z304" s="34"/>
      <c r="AA304" s="34"/>
      <c r="AB304" s="34"/>
      <c r="AC304" s="35" t="str">
        <f aca="false">IF(AND(ISNUMBER(X304),ISNUMBER(Y304)),IF(Y304&gt;=X304,ROUND((Y304-X304)*1440,0),""),"")</f>
        <v/>
      </c>
      <c r="AD304" s="35" t="str">
        <f aca="false">IF(AND(ISNUMBER(Y304),ISNUMBER(Z304)),IF(Z304&gt;=Y304,ROUND((Z304-Y304)*1440,0),""),"")</f>
        <v/>
      </c>
      <c r="AE304" s="35" t="str">
        <f aca="false">IF(AND(ISNUMBER(Z304),ISNUMBER(AA304)),IF(AA304&gt;=Z304,ROUND((AA304-Z304)*1440,0),""),"")</f>
        <v/>
      </c>
      <c r="AF304" s="35" t="str">
        <f aca="false">IF(AND(ISNUMBER(AA304),ISNUMBER(AB304)),IF(AB304&gt;=AA304,ROUND((AB304-AA304)*1440,0),""),"")</f>
        <v/>
      </c>
      <c r="AG304" s="35" t="str">
        <f aca="false">IF(AND(W304="완료",ISNUMBER(X304)),IF(MAX(Y304:AB304)&gt;=X304,ROUND((MAX(Y304:AB304)-X304)*1440,0),""),"")</f>
        <v/>
      </c>
    </row>
    <row r="305" customFormat="false" ht="15" hidden="false" customHeight="false" outlineLevel="0" collapsed="false">
      <c r="A305" s="27" t="n">
        <v>301</v>
      </c>
      <c r="B305" s="28"/>
      <c r="C305" s="29"/>
      <c r="D305" s="29"/>
      <c r="E305" s="28"/>
      <c r="F305" s="30"/>
      <c r="G305" s="31"/>
      <c r="H305" s="28"/>
      <c r="I305" s="29"/>
      <c r="J305" s="29"/>
      <c r="K305" s="29"/>
      <c r="L305" s="29"/>
      <c r="M305" s="29"/>
      <c r="N305" s="29"/>
      <c r="O305" s="29"/>
      <c r="P305" s="29"/>
      <c r="Q305" s="29"/>
      <c r="R305" s="29"/>
      <c r="S305" s="28"/>
      <c r="T305" s="32" t="str">
        <f aca="false">IF(AND(K305="",L305=""),"",IF(OR(K305="-",L305="-"),"측정불가",IF(AND(ISNUMBER(K305),ISNUMBER(L305)),IF(OR(K305&gt;=설정!$C$9,L305&gt;=설정!$C$10),"긴급",IF(OR(K305&gt;=설정!$C$7,L305&gt;=설정!$C$8,K305&lt;설정!$C$11),"주의","정상")),"확인필요")))</f>
        <v/>
      </c>
      <c r="U305" s="32" t="str">
        <f aca="false">IF(M305="","",IF(M305="-","측정불가",IF(NOT(ISNUMBER(M305)),"확인필요",IF(M305&lt;설정!$C$15,"긴급(저혈당)",IF(M305&gt;=설정!$C$16,"긴급(고혈당)",IF(N305="공복",IF(M305&gt;=설정!$C$13,"주의","정상"),IF(N305="식후",IF(M305&gt;=설정!$C$14,"주의","정상"),"조건확인")))))))</f>
        <v/>
      </c>
      <c r="V305" s="32" t="str">
        <f aca="false">IF(OR(T305="긴급",LEFT(U305,2)="긴급",P305="O"),"대상","")</f>
        <v/>
      </c>
      <c r="W305" s="33" t="str">
        <f aca="false">IF(R305&lt;&gt;"",R305,IF(O305="O",IF(V305="대상",IF(Q305="O","완료","추가상담 대기"),"완료"),IF(COUNTA(K305:M305)=3,"상담 대기",IF(J305="O","측정 대기",IF(I305="O","운동평가 대기","미방문")))))</f>
        <v>미방문</v>
      </c>
      <c r="X305" s="34"/>
      <c r="Y305" s="34"/>
      <c r="Z305" s="34"/>
      <c r="AA305" s="34"/>
      <c r="AB305" s="34"/>
      <c r="AC305" s="35" t="str">
        <f aca="false">IF(AND(ISNUMBER(X305),ISNUMBER(Y305)),IF(Y305&gt;=X305,ROUND((Y305-X305)*1440,0),""),"")</f>
        <v/>
      </c>
      <c r="AD305" s="35" t="str">
        <f aca="false">IF(AND(ISNUMBER(Y305),ISNUMBER(Z305)),IF(Z305&gt;=Y305,ROUND((Z305-Y305)*1440,0),""),"")</f>
        <v/>
      </c>
      <c r="AE305" s="35" t="str">
        <f aca="false">IF(AND(ISNUMBER(Z305),ISNUMBER(AA305)),IF(AA305&gt;=Z305,ROUND((AA305-Z305)*1440,0),""),"")</f>
        <v/>
      </c>
      <c r="AF305" s="35" t="str">
        <f aca="false">IF(AND(ISNUMBER(AA305),ISNUMBER(AB305)),IF(AB305&gt;=AA305,ROUND((AB305-AA305)*1440,0),""),"")</f>
        <v/>
      </c>
      <c r="AG305" s="35" t="str">
        <f aca="false">IF(AND(W305="완료",ISNUMBER(X305)),IF(MAX(Y305:AB305)&gt;=X305,ROUND((MAX(Y305:AB305)-X305)*1440,0),""),"")</f>
        <v/>
      </c>
    </row>
    <row r="306" customFormat="false" ht="15" hidden="false" customHeight="false" outlineLevel="0" collapsed="false">
      <c r="A306" s="27" t="n">
        <v>302</v>
      </c>
      <c r="B306" s="28"/>
      <c r="C306" s="29"/>
      <c r="D306" s="29"/>
      <c r="E306" s="28"/>
      <c r="F306" s="30"/>
      <c r="G306" s="31"/>
      <c r="H306" s="28"/>
      <c r="I306" s="29"/>
      <c r="J306" s="29"/>
      <c r="K306" s="29"/>
      <c r="L306" s="29"/>
      <c r="M306" s="29"/>
      <c r="N306" s="29"/>
      <c r="O306" s="29"/>
      <c r="P306" s="29"/>
      <c r="Q306" s="29"/>
      <c r="R306" s="29"/>
      <c r="S306" s="28"/>
      <c r="T306" s="32" t="str">
        <f aca="false">IF(AND(K306="",L306=""),"",IF(OR(K306="-",L306="-"),"측정불가",IF(AND(ISNUMBER(K306),ISNUMBER(L306)),IF(OR(K306&gt;=설정!$C$9,L306&gt;=설정!$C$10),"긴급",IF(OR(K306&gt;=설정!$C$7,L306&gt;=설정!$C$8,K306&lt;설정!$C$11),"주의","정상")),"확인필요")))</f>
        <v/>
      </c>
      <c r="U306" s="32" t="str">
        <f aca="false">IF(M306="","",IF(M306="-","측정불가",IF(NOT(ISNUMBER(M306)),"확인필요",IF(M306&lt;설정!$C$15,"긴급(저혈당)",IF(M306&gt;=설정!$C$16,"긴급(고혈당)",IF(N306="공복",IF(M306&gt;=설정!$C$13,"주의","정상"),IF(N306="식후",IF(M306&gt;=설정!$C$14,"주의","정상"),"조건확인")))))))</f>
        <v/>
      </c>
      <c r="V306" s="32" t="str">
        <f aca="false">IF(OR(T306="긴급",LEFT(U306,2)="긴급",P306="O"),"대상","")</f>
        <v/>
      </c>
      <c r="W306" s="33" t="str">
        <f aca="false">IF(R306&lt;&gt;"",R306,IF(O306="O",IF(V306="대상",IF(Q306="O","완료","추가상담 대기"),"완료"),IF(COUNTA(K306:M306)=3,"상담 대기",IF(J306="O","측정 대기",IF(I306="O","운동평가 대기","미방문")))))</f>
        <v>미방문</v>
      </c>
      <c r="X306" s="34"/>
      <c r="Y306" s="34"/>
      <c r="Z306" s="34"/>
      <c r="AA306" s="34"/>
      <c r="AB306" s="34"/>
      <c r="AC306" s="35" t="str">
        <f aca="false">IF(AND(ISNUMBER(X306),ISNUMBER(Y306)),IF(Y306&gt;=X306,ROUND((Y306-X306)*1440,0),""),"")</f>
        <v/>
      </c>
      <c r="AD306" s="35" t="str">
        <f aca="false">IF(AND(ISNUMBER(Y306),ISNUMBER(Z306)),IF(Z306&gt;=Y306,ROUND((Z306-Y306)*1440,0),""),"")</f>
        <v/>
      </c>
      <c r="AE306" s="35" t="str">
        <f aca="false">IF(AND(ISNUMBER(Z306),ISNUMBER(AA306)),IF(AA306&gt;=Z306,ROUND((AA306-Z306)*1440,0),""),"")</f>
        <v/>
      </c>
      <c r="AF306" s="35" t="str">
        <f aca="false">IF(AND(ISNUMBER(AA306),ISNUMBER(AB306)),IF(AB306&gt;=AA306,ROUND((AB306-AA306)*1440,0),""),"")</f>
        <v/>
      </c>
      <c r="AG306" s="35" t="str">
        <f aca="false">IF(AND(W306="완료",ISNUMBER(X306)),IF(MAX(Y306:AB306)&gt;=X306,ROUND((MAX(Y306:AB306)-X306)*1440,0),""),"")</f>
        <v/>
      </c>
    </row>
    <row r="307" customFormat="false" ht="15" hidden="false" customHeight="false" outlineLevel="0" collapsed="false">
      <c r="A307" s="27" t="n">
        <v>303</v>
      </c>
      <c r="B307" s="28"/>
      <c r="C307" s="29"/>
      <c r="D307" s="29"/>
      <c r="E307" s="28"/>
      <c r="F307" s="30"/>
      <c r="G307" s="31"/>
      <c r="H307" s="28"/>
      <c r="I307" s="29"/>
      <c r="J307" s="29"/>
      <c r="K307" s="29"/>
      <c r="L307" s="29"/>
      <c r="M307" s="29"/>
      <c r="N307" s="29"/>
      <c r="O307" s="29"/>
      <c r="P307" s="29"/>
      <c r="Q307" s="29"/>
      <c r="R307" s="29"/>
      <c r="S307" s="28"/>
      <c r="T307" s="32" t="str">
        <f aca="false">IF(AND(K307="",L307=""),"",IF(OR(K307="-",L307="-"),"측정불가",IF(AND(ISNUMBER(K307),ISNUMBER(L307)),IF(OR(K307&gt;=설정!$C$9,L307&gt;=설정!$C$10),"긴급",IF(OR(K307&gt;=설정!$C$7,L307&gt;=설정!$C$8,K307&lt;설정!$C$11),"주의","정상")),"확인필요")))</f>
        <v/>
      </c>
      <c r="U307" s="32" t="str">
        <f aca="false">IF(M307="","",IF(M307="-","측정불가",IF(NOT(ISNUMBER(M307)),"확인필요",IF(M307&lt;설정!$C$15,"긴급(저혈당)",IF(M307&gt;=설정!$C$16,"긴급(고혈당)",IF(N307="공복",IF(M307&gt;=설정!$C$13,"주의","정상"),IF(N307="식후",IF(M307&gt;=설정!$C$14,"주의","정상"),"조건확인")))))))</f>
        <v/>
      </c>
      <c r="V307" s="32" t="str">
        <f aca="false">IF(OR(T307="긴급",LEFT(U307,2)="긴급",P307="O"),"대상","")</f>
        <v/>
      </c>
      <c r="W307" s="33" t="str">
        <f aca="false">IF(R307&lt;&gt;"",R307,IF(O307="O",IF(V307="대상",IF(Q307="O","완료","추가상담 대기"),"완료"),IF(COUNTA(K307:M307)=3,"상담 대기",IF(J307="O","측정 대기",IF(I307="O","운동평가 대기","미방문")))))</f>
        <v>미방문</v>
      </c>
      <c r="X307" s="34"/>
      <c r="Y307" s="34"/>
      <c r="Z307" s="34"/>
      <c r="AA307" s="34"/>
      <c r="AB307" s="34"/>
      <c r="AC307" s="35" t="str">
        <f aca="false">IF(AND(ISNUMBER(X307),ISNUMBER(Y307)),IF(Y307&gt;=X307,ROUND((Y307-X307)*1440,0),""),"")</f>
        <v/>
      </c>
      <c r="AD307" s="35" t="str">
        <f aca="false">IF(AND(ISNUMBER(Y307),ISNUMBER(Z307)),IF(Z307&gt;=Y307,ROUND((Z307-Y307)*1440,0),""),"")</f>
        <v/>
      </c>
      <c r="AE307" s="35" t="str">
        <f aca="false">IF(AND(ISNUMBER(Z307),ISNUMBER(AA307)),IF(AA307&gt;=Z307,ROUND((AA307-Z307)*1440,0),""),"")</f>
        <v/>
      </c>
      <c r="AF307" s="35" t="str">
        <f aca="false">IF(AND(ISNUMBER(AA307),ISNUMBER(AB307)),IF(AB307&gt;=AA307,ROUND((AB307-AA307)*1440,0),""),"")</f>
        <v/>
      </c>
      <c r="AG307" s="35" t="str">
        <f aca="false">IF(AND(W307="완료",ISNUMBER(X307)),IF(MAX(Y307:AB307)&gt;=X307,ROUND((MAX(Y307:AB307)-X307)*1440,0),""),"")</f>
        <v/>
      </c>
    </row>
    <row r="308" customFormat="false" ht="15" hidden="false" customHeight="false" outlineLevel="0" collapsed="false">
      <c r="A308" s="27" t="n">
        <v>304</v>
      </c>
      <c r="B308" s="28"/>
      <c r="C308" s="29"/>
      <c r="D308" s="29"/>
      <c r="E308" s="28"/>
      <c r="F308" s="30"/>
      <c r="G308" s="31"/>
      <c r="H308" s="28"/>
      <c r="I308" s="29"/>
      <c r="J308" s="29"/>
      <c r="K308" s="29"/>
      <c r="L308" s="29"/>
      <c r="M308" s="29"/>
      <c r="N308" s="29"/>
      <c r="O308" s="29"/>
      <c r="P308" s="29"/>
      <c r="Q308" s="29"/>
      <c r="R308" s="29"/>
      <c r="S308" s="28"/>
      <c r="T308" s="32" t="str">
        <f aca="false">IF(AND(K308="",L308=""),"",IF(OR(K308="-",L308="-"),"측정불가",IF(AND(ISNUMBER(K308),ISNUMBER(L308)),IF(OR(K308&gt;=설정!$C$9,L308&gt;=설정!$C$10),"긴급",IF(OR(K308&gt;=설정!$C$7,L308&gt;=설정!$C$8,K308&lt;설정!$C$11),"주의","정상")),"확인필요")))</f>
        <v/>
      </c>
      <c r="U308" s="32" t="str">
        <f aca="false">IF(M308="","",IF(M308="-","측정불가",IF(NOT(ISNUMBER(M308)),"확인필요",IF(M308&lt;설정!$C$15,"긴급(저혈당)",IF(M308&gt;=설정!$C$16,"긴급(고혈당)",IF(N308="공복",IF(M308&gt;=설정!$C$13,"주의","정상"),IF(N308="식후",IF(M308&gt;=설정!$C$14,"주의","정상"),"조건확인")))))))</f>
        <v/>
      </c>
      <c r="V308" s="32" t="str">
        <f aca="false">IF(OR(T308="긴급",LEFT(U308,2)="긴급",P308="O"),"대상","")</f>
        <v/>
      </c>
      <c r="W308" s="33" t="str">
        <f aca="false">IF(R308&lt;&gt;"",R308,IF(O308="O",IF(V308="대상",IF(Q308="O","완료","추가상담 대기"),"완료"),IF(COUNTA(K308:M308)=3,"상담 대기",IF(J308="O","측정 대기",IF(I308="O","운동평가 대기","미방문")))))</f>
        <v>미방문</v>
      </c>
      <c r="X308" s="34"/>
      <c r="Y308" s="34"/>
      <c r="Z308" s="34"/>
      <c r="AA308" s="34"/>
      <c r="AB308" s="34"/>
      <c r="AC308" s="35" t="str">
        <f aca="false">IF(AND(ISNUMBER(X308),ISNUMBER(Y308)),IF(Y308&gt;=X308,ROUND((Y308-X308)*1440,0),""),"")</f>
        <v/>
      </c>
      <c r="AD308" s="35" t="str">
        <f aca="false">IF(AND(ISNUMBER(Y308),ISNUMBER(Z308)),IF(Z308&gt;=Y308,ROUND((Z308-Y308)*1440,0),""),"")</f>
        <v/>
      </c>
      <c r="AE308" s="35" t="str">
        <f aca="false">IF(AND(ISNUMBER(Z308),ISNUMBER(AA308)),IF(AA308&gt;=Z308,ROUND((AA308-Z308)*1440,0),""),"")</f>
        <v/>
      </c>
      <c r="AF308" s="35" t="str">
        <f aca="false">IF(AND(ISNUMBER(AA308),ISNUMBER(AB308)),IF(AB308&gt;=AA308,ROUND((AB308-AA308)*1440,0),""),"")</f>
        <v/>
      </c>
      <c r="AG308" s="35" t="str">
        <f aca="false">IF(AND(W308="완료",ISNUMBER(X308)),IF(MAX(Y308:AB308)&gt;=X308,ROUND((MAX(Y308:AB308)-X308)*1440,0),""),"")</f>
        <v/>
      </c>
    </row>
    <row r="309" customFormat="false" ht="15" hidden="false" customHeight="false" outlineLevel="0" collapsed="false">
      <c r="A309" s="27" t="n">
        <v>305</v>
      </c>
      <c r="B309" s="28"/>
      <c r="C309" s="29"/>
      <c r="D309" s="29"/>
      <c r="E309" s="28"/>
      <c r="F309" s="30"/>
      <c r="G309" s="31"/>
      <c r="H309" s="28"/>
      <c r="I309" s="29"/>
      <c r="J309" s="29"/>
      <c r="K309" s="29"/>
      <c r="L309" s="29"/>
      <c r="M309" s="29"/>
      <c r="N309" s="29"/>
      <c r="O309" s="29"/>
      <c r="P309" s="29"/>
      <c r="Q309" s="29"/>
      <c r="R309" s="29"/>
      <c r="S309" s="28"/>
      <c r="T309" s="32" t="str">
        <f aca="false">IF(AND(K309="",L309=""),"",IF(OR(K309="-",L309="-"),"측정불가",IF(AND(ISNUMBER(K309),ISNUMBER(L309)),IF(OR(K309&gt;=설정!$C$9,L309&gt;=설정!$C$10),"긴급",IF(OR(K309&gt;=설정!$C$7,L309&gt;=설정!$C$8,K309&lt;설정!$C$11),"주의","정상")),"확인필요")))</f>
        <v/>
      </c>
      <c r="U309" s="32" t="str">
        <f aca="false">IF(M309="","",IF(M309="-","측정불가",IF(NOT(ISNUMBER(M309)),"확인필요",IF(M309&lt;설정!$C$15,"긴급(저혈당)",IF(M309&gt;=설정!$C$16,"긴급(고혈당)",IF(N309="공복",IF(M309&gt;=설정!$C$13,"주의","정상"),IF(N309="식후",IF(M309&gt;=설정!$C$14,"주의","정상"),"조건확인")))))))</f>
        <v/>
      </c>
      <c r="V309" s="32" t="str">
        <f aca="false">IF(OR(T309="긴급",LEFT(U309,2)="긴급",P309="O"),"대상","")</f>
        <v/>
      </c>
      <c r="W309" s="33" t="str">
        <f aca="false">IF(R309&lt;&gt;"",R309,IF(O309="O",IF(V309="대상",IF(Q309="O","완료","추가상담 대기"),"완료"),IF(COUNTA(K309:M309)=3,"상담 대기",IF(J309="O","측정 대기",IF(I309="O","운동평가 대기","미방문")))))</f>
        <v>미방문</v>
      </c>
      <c r="X309" s="34"/>
      <c r="Y309" s="34"/>
      <c r="Z309" s="34"/>
      <c r="AA309" s="34"/>
      <c r="AB309" s="34"/>
      <c r="AC309" s="35" t="str">
        <f aca="false">IF(AND(ISNUMBER(X309),ISNUMBER(Y309)),IF(Y309&gt;=X309,ROUND((Y309-X309)*1440,0),""),"")</f>
        <v/>
      </c>
      <c r="AD309" s="35" t="str">
        <f aca="false">IF(AND(ISNUMBER(Y309),ISNUMBER(Z309)),IF(Z309&gt;=Y309,ROUND((Z309-Y309)*1440,0),""),"")</f>
        <v/>
      </c>
      <c r="AE309" s="35" t="str">
        <f aca="false">IF(AND(ISNUMBER(Z309),ISNUMBER(AA309)),IF(AA309&gt;=Z309,ROUND((AA309-Z309)*1440,0),""),"")</f>
        <v/>
      </c>
      <c r="AF309" s="35" t="str">
        <f aca="false">IF(AND(ISNUMBER(AA309),ISNUMBER(AB309)),IF(AB309&gt;=AA309,ROUND((AB309-AA309)*1440,0),""),"")</f>
        <v/>
      </c>
      <c r="AG309" s="35" t="str">
        <f aca="false">IF(AND(W309="완료",ISNUMBER(X309)),IF(MAX(Y309:AB309)&gt;=X309,ROUND((MAX(Y309:AB309)-X309)*1440,0),""),"")</f>
        <v/>
      </c>
    </row>
    <row r="310" customFormat="false" ht="15" hidden="false" customHeight="false" outlineLevel="0" collapsed="false">
      <c r="A310" s="27" t="n">
        <v>306</v>
      </c>
      <c r="B310" s="28"/>
      <c r="C310" s="29"/>
      <c r="D310" s="29"/>
      <c r="E310" s="28"/>
      <c r="F310" s="30"/>
      <c r="G310" s="31"/>
      <c r="H310" s="28"/>
      <c r="I310" s="29"/>
      <c r="J310" s="29"/>
      <c r="K310" s="29"/>
      <c r="L310" s="29"/>
      <c r="M310" s="29"/>
      <c r="N310" s="29"/>
      <c r="O310" s="29"/>
      <c r="P310" s="29"/>
      <c r="Q310" s="29"/>
      <c r="R310" s="29"/>
      <c r="S310" s="28"/>
      <c r="T310" s="32" t="str">
        <f aca="false">IF(AND(K310="",L310=""),"",IF(OR(K310="-",L310="-"),"측정불가",IF(AND(ISNUMBER(K310),ISNUMBER(L310)),IF(OR(K310&gt;=설정!$C$9,L310&gt;=설정!$C$10),"긴급",IF(OR(K310&gt;=설정!$C$7,L310&gt;=설정!$C$8,K310&lt;설정!$C$11),"주의","정상")),"확인필요")))</f>
        <v/>
      </c>
      <c r="U310" s="32" t="str">
        <f aca="false">IF(M310="","",IF(M310="-","측정불가",IF(NOT(ISNUMBER(M310)),"확인필요",IF(M310&lt;설정!$C$15,"긴급(저혈당)",IF(M310&gt;=설정!$C$16,"긴급(고혈당)",IF(N310="공복",IF(M310&gt;=설정!$C$13,"주의","정상"),IF(N310="식후",IF(M310&gt;=설정!$C$14,"주의","정상"),"조건확인")))))))</f>
        <v/>
      </c>
      <c r="V310" s="32" t="str">
        <f aca="false">IF(OR(T310="긴급",LEFT(U310,2)="긴급",P310="O"),"대상","")</f>
        <v/>
      </c>
      <c r="W310" s="33" t="str">
        <f aca="false">IF(R310&lt;&gt;"",R310,IF(O310="O",IF(V310="대상",IF(Q310="O","완료","추가상담 대기"),"완료"),IF(COUNTA(K310:M310)=3,"상담 대기",IF(J310="O","측정 대기",IF(I310="O","운동평가 대기","미방문")))))</f>
        <v>미방문</v>
      </c>
      <c r="X310" s="34"/>
      <c r="Y310" s="34"/>
      <c r="Z310" s="34"/>
      <c r="AA310" s="34"/>
      <c r="AB310" s="34"/>
      <c r="AC310" s="35" t="str">
        <f aca="false">IF(AND(ISNUMBER(X310),ISNUMBER(Y310)),IF(Y310&gt;=X310,ROUND((Y310-X310)*1440,0),""),"")</f>
        <v/>
      </c>
      <c r="AD310" s="35" t="str">
        <f aca="false">IF(AND(ISNUMBER(Y310),ISNUMBER(Z310)),IF(Z310&gt;=Y310,ROUND((Z310-Y310)*1440,0),""),"")</f>
        <v/>
      </c>
      <c r="AE310" s="35" t="str">
        <f aca="false">IF(AND(ISNUMBER(Z310),ISNUMBER(AA310)),IF(AA310&gt;=Z310,ROUND((AA310-Z310)*1440,0),""),"")</f>
        <v/>
      </c>
      <c r="AF310" s="35" t="str">
        <f aca="false">IF(AND(ISNUMBER(AA310),ISNUMBER(AB310)),IF(AB310&gt;=AA310,ROUND((AB310-AA310)*1440,0),""),"")</f>
        <v/>
      </c>
      <c r="AG310" s="35" t="str">
        <f aca="false">IF(AND(W310="완료",ISNUMBER(X310)),IF(MAX(Y310:AB310)&gt;=X310,ROUND((MAX(Y310:AB310)-X310)*1440,0),""),"")</f>
        <v/>
      </c>
    </row>
    <row r="311" customFormat="false" ht="15" hidden="false" customHeight="false" outlineLevel="0" collapsed="false">
      <c r="A311" s="27" t="n">
        <v>307</v>
      </c>
      <c r="B311" s="28"/>
      <c r="C311" s="29"/>
      <c r="D311" s="29"/>
      <c r="E311" s="28"/>
      <c r="F311" s="30"/>
      <c r="G311" s="31"/>
      <c r="H311" s="28"/>
      <c r="I311" s="29"/>
      <c r="J311" s="29"/>
      <c r="K311" s="29"/>
      <c r="L311" s="29"/>
      <c r="M311" s="29"/>
      <c r="N311" s="29"/>
      <c r="O311" s="29"/>
      <c r="P311" s="29"/>
      <c r="Q311" s="29"/>
      <c r="R311" s="29"/>
      <c r="S311" s="28"/>
      <c r="T311" s="32" t="str">
        <f aca="false">IF(AND(K311="",L311=""),"",IF(OR(K311="-",L311="-"),"측정불가",IF(AND(ISNUMBER(K311),ISNUMBER(L311)),IF(OR(K311&gt;=설정!$C$9,L311&gt;=설정!$C$10),"긴급",IF(OR(K311&gt;=설정!$C$7,L311&gt;=설정!$C$8,K311&lt;설정!$C$11),"주의","정상")),"확인필요")))</f>
        <v/>
      </c>
      <c r="U311" s="32" t="str">
        <f aca="false">IF(M311="","",IF(M311="-","측정불가",IF(NOT(ISNUMBER(M311)),"확인필요",IF(M311&lt;설정!$C$15,"긴급(저혈당)",IF(M311&gt;=설정!$C$16,"긴급(고혈당)",IF(N311="공복",IF(M311&gt;=설정!$C$13,"주의","정상"),IF(N311="식후",IF(M311&gt;=설정!$C$14,"주의","정상"),"조건확인")))))))</f>
        <v/>
      </c>
      <c r="V311" s="32" t="str">
        <f aca="false">IF(OR(T311="긴급",LEFT(U311,2)="긴급",P311="O"),"대상","")</f>
        <v/>
      </c>
      <c r="W311" s="33" t="str">
        <f aca="false">IF(R311&lt;&gt;"",R311,IF(O311="O",IF(V311="대상",IF(Q311="O","완료","추가상담 대기"),"완료"),IF(COUNTA(K311:M311)=3,"상담 대기",IF(J311="O","측정 대기",IF(I311="O","운동평가 대기","미방문")))))</f>
        <v>미방문</v>
      </c>
      <c r="X311" s="34"/>
      <c r="Y311" s="34"/>
      <c r="Z311" s="34"/>
      <c r="AA311" s="34"/>
      <c r="AB311" s="34"/>
      <c r="AC311" s="35" t="str">
        <f aca="false">IF(AND(ISNUMBER(X311),ISNUMBER(Y311)),IF(Y311&gt;=X311,ROUND((Y311-X311)*1440,0),""),"")</f>
        <v/>
      </c>
      <c r="AD311" s="35" t="str">
        <f aca="false">IF(AND(ISNUMBER(Y311),ISNUMBER(Z311)),IF(Z311&gt;=Y311,ROUND((Z311-Y311)*1440,0),""),"")</f>
        <v/>
      </c>
      <c r="AE311" s="35" t="str">
        <f aca="false">IF(AND(ISNUMBER(Z311),ISNUMBER(AA311)),IF(AA311&gt;=Z311,ROUND((AA311-Z311)*1440,0),""),"")</f>
        <v/>
      </c>
      <c r="AF311" s="35" t="str">
        <f aca="false">IF(AND(ISNUMBER(AA311),ISNUMBER(AB311)),IF(AB311&gt;=AA311,ROUND((AB311-AA311)*1440,0),""),"")</f>
        <v/>
      </c>
      <c r="AG311" s="35" t="str">
        <f aca="false">IF(AND(W311="완료",ISNUMBER(X311)),IF(MAX(Y311:AB311)&gt;=X311,ROUND((MAX(Y311:AB311)-X311)*1440,0),""),"")</f>
        <v/>
      </c>
    </row>
    <row r="312" customFormat="false" ht="15" hidden="false" customHeight="false" outlineLevel="0" collapsed="false">
      <c r="A312" s="27" t="n">
        <v>308</v>
      </c>
      <c r="B312" s="28"/>
      <c r="C312" s="29"/>
      <c r="D312" s="29"/>
      <c r="E312" s="28"/>
      <c r="F312" s="30"/>
      <c r="G312" s="31"/>
      <c r="H312" s="28"/>
      <c r="I312" s="29"/>
      <c r="J312" s="29"/>
      <c r="K312" s="29"/>
      <c r="L312" s="29"/>
      <c r="M312" s="29"/>
      <c r="N312" s="29"/>
      <c r="O312" s="29"/>
      <c r="P312" s="29"/>
      <c r="Q312" s="29"/>
      <c r="R312" s="29"/>
      <c r="S312" s="28"/>
      <c r="T312" s="32" t="str">
        <f aca="false">IF(AND(K312="",L312=""),"",IF(OR(K312="-",L312="-"),"측정불가",IF(AND(ISNUMBER(K312),ISNUMBER(L312)),IF(OR(K312&gt;=설정!$C$9,L312&gt;=설정!$C$10),"긴급",IF(OR(K312&gt;=설정!$C$7,L312&gt;=설정!$C$8,K312&lt;설정!$C$11),"주의","정상")),"확인필요")))</f>
        <v/>
      </c>
      <c r="U312" s="32" t="str">
        <f aca="false">IF(M312="","",IF(M312="-","측정불가",IF(NOT(ISNUMBER(M312)),"확인필요",IF(M312&lt;설정!$C$15,"긴급(저혈당)",IF(M312&gt;=설정!$C$16,"긴급(고혈당)",IF(N312="공복",IF(M312&gt;=설정!$C$13,"주의","정상"),IF(N312="식후",IF(M312&gt;=설정!$C$14,"주의","정상"),"조건확인")))))))</f>
        <v/>
      </c>
      <c r="V312" s="32" t="str">
        <f aca="false">IF(OR(T312="긴급",LEFT(U312,2)="긴급",P312="O"),"대상","")</f>
        <v/>
      </c>
      <c r="W312" s="33" t="str">
        <f aca="false">IF(R312&lt;&gt;"",R312,IF(O312="O",IF(V312="대상",IF(Q312="O","완료","추가상담 대기"),"완료"),IF(COUNTA(K312:M312)=3,"상담 대기",IF(J312="O","측정 대기",IF(I312="O","운동평가 대기","미방문")))))</f>
        <v>미방문</v>
      </c>
      <c r="X312" s="34"/>
      <c r="Y312" s="34"/>
      <c r="Z312" s="34"/>
      <c r="AA312" s="34"/>
      <c r="AB312" s="34"/>
      <c r="AC312" s="35" t="str">
        <f aca="false">IF(AND(ISNUMBER(X312),ISNUMBER(Y312)),IF(Y312&gt;=X312,ROUND((Y312-X312)*1440,0),""),"")</f>
        <v/>
      </c>
      <c r="AD312" s="35" t="str">
        <f aca="false">IF(AND(ISNUMBER(Y312),ISNUMBER(Z312)),IF(Z312&gt;=Y312,ROUND((Z312-Y312)*1440,0),""),"")</f>
        <v/>
      </c>
      <c r="AE312" s="35" t="str">
        <f aca="false">IF(AND(ISNUMBER(Z312),ISNUMBER(AA312)),IF(AA312&gt;=Z312,ROUND((AA312-Z312)*1440,0),""),"")</f>
        <v/>
      </c>
      <c r="AF312" s="35" t="str">
        <f aca="false">IF(AND(ISNUMBER(AA312),ISNUMBER(AB312)),IF(AB312&gt;=AA312,ROUND((AB312-AA312)*1440,0),""),"")</f>
        <v/>
      </c>
      <c r="AG312" s="35" t="str">
        <f aca="false">IF(AND(W312="완료",ISNUMBER(X312)),IF(MAX(Y312:AB312)&gt;=X312,ROUND((MAX(Y312:AB312)-X312)*1440,0),""),"")</f>
        <v/>
      </c>
    </row>
    <row r="313" customFormat="false" ht="15" hidden="false" customHeight="false" outlineLevel="0" collapsed="false">
      <c r="A313" s="27" t="n">
        <v>309</v>
      </c>
      <c r="B313" s="28"/>
      <c r="C313" s="29"/>
      <c r="D313" s="29"/>
      <c r="E313" s="28"/>
      <c r="F313" s="30"/>
      <c r="G313" s="31"/>
      <c r="H313" s="28"/>
      <c r="I313" s="29"/>
      <c r="J313" s="29"/>
      <c r="K313" s="29"/>
      <c r="L313" s="29"/>
      <c r="M313" s="29"/>
      <c r="N313" s="29"/>
      <c r="O313" s="29"/>
      <c r="P313" s="29"/>
      <c r="Q313" s="29"/>
      <c r="R313" s="29"/>
      <c r="S313" s="28"/>
      <c r="T313" s="32" t="str">
        <f aca="false">IF(AND(K313="",L313=""),"",IF(OR(K313="-",L313="-"),"측정불가",IF(AND(ISNUMBER(K313),ISNUMBER(L313)),IF(OR(K313&gt;=설정!$C$9,L313&gt;=설정!$C$10),"긴급",IF(OR(K313&gt;=설정!$C$7,L313&gt;=설정!$C$8,K313&lt;설정!$C$11),"주의","정상")),"확인필요")))</f>
        <v/>
      </c>
      <c r="U313" s="32" t="str">
        <f aca="false">IF(M313="","",IF(M313="-","측정불가",IF(NOT(ISNUMBER(M313)),"확인필요",IF(M313&lt;설정!$C$15,"긴급(저혈당)",IF(M313&gt;=설정!$C$16,"긴급(고혈당)",IF(N313="공복",IF(M313&gt;=설정!$C$13,"주의","정상"),IF(N313="식후",IF(M313&gt;=설정!$C$14,"주의","정상"),"조건확인")))))))</f>
        <v/>
      </c>
      <c r="V313" s="32" t="str">
        <f aca="false">IF(OR(T313="긴급",LEFT(U313,2)="긴급",P313="O"),"대상","")</f>
        <v/>
      </c>
      <c r="W313" s="33" t="str">
        <f aca="false">IF(R313&lt;&gt;"",R313,IF(O313="O",IF(V313="대상",IF(Q313="O","완료","추가상담 대기"),"완료"),IF(COUNTA(K313:M313)=3,"상담 대기",IF(J313="O","측정 대기",IF(I313="O","운동평가 대기","미방문")))))</f>
        <v>미방문</v>
      </c>
      <c r="X313" s="34"/>
      <c r="Y313" s="34"/>
      <c r="Z313" s="34"/>
      <c r="AA313" s="34"/>
      <c r="AB313" s="34"/>
      <c r="AC313" s="35" t="str">
        <f aca="false">IF(AND(ISNUMBER(X313),ISNUMBER(Y313)),IF(Y313&gt;=X313,ROUND((Y313-X313)*1440,0),""),"")</f>
        <v/>
      </c>
      <c r="AD313" s="35" t="str">
        <f aca="false">IF(AND(ISNUMBER(Y313),ISNUMBER(Z313)),IF(Z313&gt;=Y313,ROUND((Z313-Y313)*1440,0),""),"")</f>
        <v/>
      </c>
      <c r="AE313" s="35" t="str">
        <f aca="false">IF(AND(ISNUMBER(Z313),ISNUMBER(AA313)),IF(AA313&gt;=Z313,ROUND((AA313-Z313)*1440,0),""),"")</f>
        <v/>
      </c>
      <c r="AF313" s="35" t="str">
        <f aca="false">IF(AND(ISNUMBER(AA313),ISNUMBER(AB313)),IF(AB313&gt;=AA313,ROUND((AB313-AA313)*1440,0),""),"")</f>
        <v/>
      </c>
      <c r="AG313" s="35" t="str">
        <f aca="false">IF(AND(W313="완료",ISNUMBER(X313)),IF(MAX(Y313:AB313)&gt;=X313,ROUND((MAX(Y313:AB313)-X313)*1440,0),""),"")</f>
        <v/>
      </c>
    </row>
    <row r="314" customFormat="false" ht="15" hidden="false" customHeight="false" outlineLevel="0" collapsed="false">
      <c r="A314" s="27" t="n">
        <v>310</v>
      </c>
      <c r="B314" s="28"/>
      <c r="C314" s="29"/>
      <c r="D314" s="29"/>
      <c r="E314" s="28"/>
      <c r="F314" s="30"/>
      <c r="G314" s="31"/>
      <c r="H314" s="28"/>
      <c r="I314" s="29"/>
      <c r="J314" s="29"/>
      <c r="K314" s="29"/>
      <c r="L314" s="29"/>
      <c r="M314" s="29"/>
      <c r="N314" s="29"/>
      <c r="O314" s="29"/>
      <c r="P314" s="29"/>
      <c r="Q314" s="29"/>
      <c r="R314" s="29"/>
      <c r="S314" s="28"/>
      <c r="T314" s="32" t="str">
        <f aca="false">IF(AND(K314="",L314=""),"",IF(OR(K314="-",L314="-"),"측정불가",IF(AND(ISNUMBER(K314),ISNUMBER(L314)),IF(OR(K314&gt;=설정!$C$9,L314&gt;=설정!$C$10),"긴급",IF(OR(K314&gt;=설정!$C$7,L314&gt;=설정!$C$8,K314&lt;설정!$C$11),"주의","정상")),"확인필요")))</f>
        <v/>
      </c>
      <c r="U314" s="32" t="str">
        <f aca="false">IF(M314="","",IF(M314="-","측정불가",IF(NOT(ISNUMBER(M314)),"확인필요",IF(M314&lt;설정!$C$15,"긴급(저혈당)",IF(M314&gt;=설정!$C$16,"긴급(고혈당)",IF(N314="공복",IF(M314&gt;=설정!$C$13,"주의","정상"),IF(N314="식후",IF(M314&gt;=설정!$C$14,"주의","정상"),"조건확인")))))))</f>
        <v/>
      </c>
      <c r="V314" s="32" t="str">
        <f aca="false">IF(OR(T314="긴급",LEFT(U314,2)="긴급",P314="O"),"대상","")</f>
        <v/>
      </c>
      <c r="W314" s="33" t="str">
        <f aca="false">IF(R314&lt;&gt;"",R314,IF(O314="O",IF(V314="대상",IF(Q314="O","완료","추가상담 대기"),"완료"),IF(COUNTA(K314:M314)=3,"상담 대기",IF(J314="O","측정 대기",IF(I314="O","운동평가 대기","미방문")))))</f>
        <v>미방문</v>
      </c>
      <c r="X314" s="34"/>
      <c r="Y314" s="34"/>
      <c r="Z314" s="34"/>
      <c r="AA314" s="34"/>
      <c r="AB314" s="34"/>
      <c r="AC314" s="35" t="str">
        <f aca="false">IF(AND(ISNUMBER(X314),ISNUMBER(Y314)),IF(Y314&gt;=X314,ROUND((Y314-X314)*1440,0),""),"")</f>
        <v/>
      </c>
      <c r="AD314" s="35" t="str">
        <f aca="false">IF(AND(ISNUMBER(Y314),ISNUMBER(Z314)),IF(Z314&gt;=Y314,ROUND((Z314-Y314)*1440,0),""),"")</f>
        <v/>
      </c>
      <c r="AE314" s="35" t="str">
        <f aca="false">IF(AND(ISNUMBER(Z314),ISNUMBER(AA314)),IF(AA314&gt;=Z314,ROUND((AA314-Z314)*1440,0),""),"")</f>
        <v/>
      </c>
      <c r="AF314" s="35" t="str">
        <f aca="false">IF(AND(ISNUMBER(AA314),ISNUMBER(AB314)),IF(AB314&gt;=AA314,ROUND((AB314-AA314)*1440,0),""),"")</f>
        <v/>
      </c>
      <c r="AG314" s="35" t="str">
        <f aca="false">IF(AND(W314="완료",ISNUMBER(X314)),IF(MAX(Y314:AB314)&gt;=X314,ROUND((MAX(Y314:AB314)-X314)*1440,0),""),"")</f>
        <v/>
      </c>
    </row>
    <row r="315" customFormat="false" ht="15" hidden="false" customHeight="false" outlineLevel="0" collapsed="false">
      <c r="A315" s="27" t="n">
        <v>311</v>
      </c>
      <c r="B315" s="28"/>
      <c r="C315" s="29"/>
      <c r="D315" s="29"/>
      <c r="E315" s="28"/>
      <c r="F315" s="30"/>
      <c r="G315" s="31"/>
      <c r="H315" s="28"/>
      <c r="I315" s="29"/>
      <c r="J315" s="29"/>
      <c r="K315" s="29"/>
      <c r="L315" s="29"/>
      <c r="M315" s="29"/>
      <c r="N315" s="29"/>
      <c r="O315" s="29"/>
      <c r="P315" s="29"/>
      <c r="Q315" s="29"/>
      <c r="R315" s="29"/>
      <c r="S315" s="28"/>
      <c r="T315" s="32" t="str">
        <f aca="false">IF(AND(K315="",L315=""),"",IF(OR(K315="-",L315="-"),"측정불가",IF(AND(ISNUMBER(K315),ISNUMBER(L315)),IF(OR(K315&gt;=설정!$C$9,L315&gt;=설정!$C$10),"긴급",IF(OR(K315&gt;=설정!$C$7,L315&gt;=설정!$C$8,K315&lt;설정!$C$11),"주의","정상")),"확인필요")))</f>
        <v/>
      </c>
      <c r="U315" s="32" t="str">
        <f aca="false">IF(M315="","",IF(M315="-","측정불가",IF(NOT(ISNUMBER(M315)),"확인필요",IF(M315&lt;설정!$C$15,"긴급(저혈당)",IF(M315&gt;=설정!$C$16,"긴급(고혈당)",IF(N315="공복",IF(M315&gt;=설정!$C$13,"주의","정상"),IF(N315="식후",IF(M315&gt;=설정!$C$14,"주의","정상"),"조건확인")))))))</f>
        <v/>
      </c>
      <c r="V315" s="32" t="str">
        <f aca="false">IF(OR(T315="긴급",LEFT(U315,2)="긴급",P315="O"),"대상","")</f>
        <v/>
      </c>
      <c r="W315" s="33" t="str">
        <f aca="false">IF(R315&lt;&gt;"",R315,IF(O315="O",IF(V315="대상",IF(Q315="O","완료","추가상담 대기"),"완료"),IF(COUNTA(K315:M315)=3,"상담 대기",IF(J315="O","측정 대기",IF(I315="O","운동평가 대기","미방문")))))</f>
        <v>미방문</v>
      </c>
      <c r="X315" s="34"/>
      <c r="Y315" s="34"/>
      <c r="Z315" s="34"/>
      <c r="AA315" s="34"/>
      <c r="AB315" s="34"/>
      <c r="AC315" s="35" t="str">
        <f aca="false">IF(AND(ISNUMBER(X315),ISNUMBER(Y315)),IF(Y315&gt;=X315,ROUND((Y315-X315)*1440,0),""),"")</f>
        <v/>
      </c>
      <c r="AD315" s="35" t="str">
        <f aca="false">IF(AND(ISNUMBER(Y315),ISNUMBER(Z315)),IF(Z315&gt;=Y315,ROUND((Z315-Y315)*1440,0),""),"")</f>
        <v/>
      </c>
      <c r="AE315" s="35" t="str">
        <f aca="false">IF(AND(ISNUMBER(Z315),ISNUMBER(AA315)),IF(AA315&gt;=Z315,ROUND((AA315-Z315)*1440,0),""),"")</f>
        <v/>
      </c>
      <c r="AF315" s="35" t="str">
        <f aca="false">IF(AND(ISNUMBER(AA315),ISNUMBER(AB315)),IF(AB315&gt;=AA315,ROUND((AB315-AA315)*1440,0),""),"")</f>
        <v/>
      </c>
      <c r="AG315" s="35" t="str">
        <f aca="false">IF(AND(W315="완료",ISNUMBER(X315)),IF(MAX(Y315:AB315)&gt;=X315,ROUND((MAX(Y315:AB315)-X315)*1440,0),""),"")</f>
        <v/>
      </c>
    </row>
    <row r="316" customFormat="false" ht="15" hidden="false" customHeight="false" outlineLevel="0" collapsed="false">
      <c r="A316" s="27" t="n">
        <v>312</v>
      </c>
      <c r="B316" s="28"/>
      <c r="C316" s="29"/>
      <c r="D316" s="29"/>
      <c r="E316" s="28"/>
      <c r="F316" s="30"/>
      <c r="G316" s="31"/>
      <c r="H316" s="28"/>
      <c r="I316" s="29"/>
      <c r="J316" s="29"/>
      <c r="K316" s="29"/>
      <c r="L316" s="29"/>
      <c r="M316" s="29"/>
      <c r="N316" s="29"/>
      <c r="O316" s="29"/>
      <c r="P316" s="29"/>
      <c r="Q316" s="29"/>
      <c r="R316" s="29"/>
      <c r="S316" s="28"/>
      <c r="T316" s="32" t="str">
        <f aca="false">IF(AND(K316="",L316=""),"",IF(OR(K316="-",L316="-"),"측정불가",IF(AND(ISNUMBER(K316),ISNUMBER(L316)),IF(OR(K316&gt;=설정!$C$9,L316&gt;=설정!$C$10),"긴급",IF(OR(K316&gt;=설정!$C$7,L316&gt;=설정!$C$8,K316&lt;설정!$C$11),"주의","정상")),"확인필요")))</f>
        <v/>
      </c>
      <c r="U316" s="32" t="str">
        <f aca="false">IF(M316="","",IF(M316="-","측정불가",IF(NOT(ISNUMBER(M316)),"확인필요",IF(M316&lt;설정!$C$15,"긴급(저혈당)",IF(M316&gt;=설정!$C$16,"긴급(고혈당)",IF(N316="공복",IF(M316&gt;=설정!$C$13,"주의","정상"),IF(N316="식후",IF(M316&gt;=설정!$C$14,"주의","정상"),"조건확인")))))))</f>
        <v/>
      </c>
      <c r="V316" s="32" t="str">
        <f aca="false">IF(OR(T316="긴급",LEFT(U316,2)="긴급",P316="O"),"대상","")</f>
        <v/>
      </c>
      <c r="W316" s="33" t="str">
        <f aca="false">IF(R316&lt;&gt;"",R316,IF(O316="O",IF(V316="대상",IF(Q316="O","완료","추가상담 대기"),"완료"),IF(COUNTA(K316:M316)=3,"상담 대기",IF(J316="O","측정 대기",IF(I316="O","운동평가 대기","미방문")))))</f>
        <v>미방문</v>
      </c>
      <c r="X316" s="34"/>
      <c r="Y316" s="34"/>
      <c r="Z316" s="34"/>
      <c r="AA316" s="34"/>
      <c r="AB316" s="34"/>
      <c r="AC316" s="35" t="str">
        <f aca="false">IF(AND(ISNUMBER(X316),ISNUMBER(Y316)),IF(Y316&gt;=X316,ROUND((Y316-X316)*1440,0),""),"")</f>
        <v/>
      </c>
      <c r="AD316" s="35" t="str">
        <f aca="false">IF(AND(ISNUMBER(Y316),ISNUMBER(Z316)),IF(Z316&gt;=Y316,ROUND((Z316-Y316)*1440,0),""),"")</f>
        <v/>
      </c>
      <c r="AE316" s="35" t="str">
        <f aca="false">IF(AND(ISNUMBER(Z316),ISNUMBER(AA316)),IF(AA316&gt;=Z316,ROUND((AA316-Z316)*1440,0),""),"")</f>
        <v/>
      </c>
      <c r="AF316" s="35" t="str">
        <f aca="false">IF(AND(ISNUMBER(AA316),ISNUMBER(AB316)),IF(AB316&gt;=AA316,ROUND((AB316-AA316)*1440,0),""),"")</f>
        <v/>
      </c>
      <c r="AG316" s="35" t="str">
        <f aca="false">IF(AND(W316="완료",ISNUMBER(X316)),IF(MAX(Y316:AB316)&gt;=X316,ROUND((MAX(Y316:AB316)-X316)*1440,0),""),"")</f>
        <v/>
      </c>
    </row>
    <row r="317" customFormat="false" ht="15" hidden="false" customHeight="false" outlineLevel="0" collapsed="false">
      <c r="A317" s="27" t="n">
        <v>313</v>
      </c>
      <c r="B317" s="28"/>
      <c r="C317" s="29"/>
      <c r="D317" s="29"/>
      <c r="E317" s="28"/>
      <c r="F317" s="30"/>
      <c r="G317" s="31"/>
      <c r="H317" s="28"/>
      <c r="I317" s="29"/>
      <c r="J317" s="29"/>
      <c r="K317" s="29"/>
      <c r="L317" s="29"/>
      <c r="M317" s="29"/>
      <c r="N317" s="29"/>
      <c r="O317" s="29"/>
      <c r="P317" s="29"/>
      <c r="Q317" s="29"/>
      <c r="R317" s="29"/>
      <c r="S317" s="28"/>
      <c r="T317" s="32" t="str">
        <f aca="false">IF(AND(K317="",L317=""),"",IF(OR(K317="-",L317="-"),"측정불가",IF(AND(ISNUMBER(K317),ISNUMBER(L317)),IF(OR(K317&gt;=설정!$C$9,L317&gt;=설정!$C$10),"긴급",IF(OR(K317&gt;=설정!$C$7,L317&gt;=설정!$C$8,K317&lt;설정!$C$11),"주의","정상")),"확인필요")))</f>
        <v/>
      </c>
      <c r="U317" s="32" t="str">
        <f aca="false">IF(M317="","",IF(M317="-","측정불가",IF(NOT(ISNUMBER(M317)),"확인필요",IF(M317&lt;설정!$C$15,"긴급(저혈당)",IF(M317&gt;=설정!$C$16,"긴급(고혈당)",IF(N317="공복",IF(M317&gt;=설정!$C$13,"주의","정상"),IF(N317="식후",IF(M317&gt;=설정!$C$14,"주의","정상"),"조건확인")))))))</f>
        <v/>
      </c>
      <c r="V317" s="32" t="str">
        <f aca="false">IF(OR(T317="긴급",LEFT(U317,2)="긴급",P317="O"),"대상","")</f>
        <v/>
      </c>
      <c r="W317" s="33" t="str">
        <f aca="false">IF(R317&lt;&gt;"",R317,IF(O317="O",IF(V317="대상",IF(Q317="O","완료","추가상담 대기"),"완료"),IF(COUNTA(K317:M317)=3,"상담 대기",IF(J317="O","측정 대기",IF(I317="O","운동평가 대기","미방문")))))</f>
        <v>미방문</v>
      </c>
      <c r="X317" s="34"/>
      <c r="Y317" s="34"/>
      <c r="Z317" s="34"/>
      <c r="AA317" s="34"/>
      <c r="AB317" s="34"/>
      <c r="AC317" s="35" t="str">
        <f aca="false">IF(AND(ISNUMBER(X317),ISNUMBER(Y317)),IF(Y317&gt;=X317,ROUND((Y317-X317)*1440,0),""),"")</f>
        <v/>
      </c>
      <c r="AD317" s="35" t="str">
        <f aca="false">IF(AND(ISNUMBER(Y317),ISNUMBER(Z317)),IF(Z317&gt;=Y317,ROUND((Z317-Y317)*1440,0),""),"")</f>
        <v/>
      </c>
      <c r="AE317" s="35" t="str">
        <f aca="false">IF(AND(ISNUMBER(Z317),ISNUMBER(AA317)),IF(AA317&gt;=Z317,ROUND((AA317-Z317)*1440,0),""),"")</f>
        <v/>
      </c>
      <c r="AF317" s="35" t="str">
        <f aca="false">IF(AND(ISNUMBER(AA317),ISNUMBER(AB317)),IF(AB317&gt;=AA317,ROUND((AB317-AA317)*1440,0),""),"")</f>
        <v/>
      </c>
      <c r="AG317" s="35" t="str">
        <f aca="false">IF(AND(W317="완료",ISNUMBER(X317)),IF(MAX(Y317:AB317)&gt;=X317,ROUND((MAX(Y317:AB317)-X317)*1440,0),""),"")</f>
        <v/>
      </c>
    </row>
    <row r="318" customFormat="false" ht="15" hidden="false" customHeight="false" outlineLevel="0" collapsed="false">
      <c r="A318" s="27" t="n">
        <v>314</v>
      </c>
      <c r="B318" s="28"/>
      <c r="C318" s="29"/>
      <c r="D318" s="29"/>
      <c r="E318" s="28"/>
      <c r="F318" s="30"/>
      <c r="G318" s="31"/>
      <c r="H318" s="28"/>
      <c r="I318" s="29"/>
      <c r="J318" s="29"/>
      <c r="K318" s="29"/>
      <c r="L318" s="29"/>
      <c r="M318" s="29"/>
      <c r="N318" s="29"/>
      <c r="O318" s="29"/>
      <c r="P318" s="29"/>
      <c r="Q318" s="29"/>
      <c r="R318" s="29"/>
      <c r="S318" s="28"/>
      <c r="T318" s="32" t="str">
        <f aca="false">IF(AND(K318="",L318=""),"",IF(OR(K318="-",L318="-"),"측정불가",IF(AND(ISNUMBER(K318),ISNUMBER(L318)),IF(OR(K318&gt;=설정!$C$9,L318&gt;=설정!$C$10),"긴급",IF(OR(K318&gt;=설정!$C$7,L318&gt;=설정!$C$8,K318&lt;설정!$C$11),"주의","정상")),"확인필요")))</f>
        <v/>
      </c>
      <c r="U318" s="32" t="str">
        <f aca="false">IF(M318="","",IF(M318="-","측정불가",IF(NOT(ISNUMBER(M318)),"확인필요",IF(M318&lt;설정!$C$15,"긴급(저혈당)",IF(M318&gt;=설정!$C$16,"긴급(고혈당)",IF(N318="공복",IF(M318&gt;=설정!$C$13,"주의","정상"),IF(N318="식후",IF(M318&gt;=설정!$C$14,"주의","정상"),"조건확인")))))))</f>
        <v/>
      </c>
      <c r="V318" s="32" t="str">
        <f aca="false">IF(OR(T318="긴급",LEFT(U318,2)="긴급",P318="O"),"대상","")</f>
        <v/>
      </c>
      <c r="W318" s="33" t="str">
        <f aca="false">IF(R318&lt;&gt;"",R318,IF(O318="O",IF(V318="대상",IF(Q318="O","완료","추가상담 대기"),"완료"),IF(COUNTA(K318:M318)=3,"상담 대기",IF(J318="O","측정 대기",IF(I318="O","운동평가 대기","미방문")))))</f>
        <v>미방문</v>
      </c>
      <c r="X318" s="34"/>
      <c r="Y318" s="34"/>
      <c r="Z318" s="34"/>
      <c r="AA318" s="34"/>
      <c r="AB318" s="34"/>
      <c r="AC318" s="35" t="str">
        <f aca="false">IF(AND(ISNUMBER(X318),ISNUMBER(Y318)),IF(Y318&gt;=X318,ROUND((Y318-X318)*1440,0),""),"")</f>
        <v/>
      </c>
      <c r="AD318" s="35" t="str">
        <f aca="false">IF(AND(ISNUMBER(Y318),ISNUMBER(Z318)),IF(Z318&gt;=Y318,ROUND((Z318-Y318)*1440,0),""),"")</f>
        <v/>
      </c>
      <c r="AE318" s="35" t="str">
        <f aca="false">IF(AND(ISNUMBER(Z318),ISNUMBER(AA318)),IF(AA318&gt;=Z318,ROUND((AA318-Z318)*1440,0),""),"")</f>
        <v/>
      </c>
      <c r="AF318" s="35" t="str">
        <f aca="false">IF(AND(ISNUMBER(AA318),ISNUMBER(AB318)),IF(AB318&gt;=AA318,ROUND((AB318-AA318)*1440,0),""),"")</f>
        <v/>
      </c>
      <c r="AG318" s="35" t="str">
        <f aca="false">IF(AND(W318="완료",ISNUMBER(X318)),IF(MAX(Y318:AB318)&gt;=X318,ROUND((MAX(Y318:AB318)-X318)*1440,0),""),"")</f>
        <v/>
      </c>
    </row>
    <row r="319" customFormat="false" ht="15" hidden="false" customHeight="false" outlineLevel="0" collapsed="false">
      <c r="A319" s="27" t="n">
        <v>315</v>
      </c>
      <c r="B319" s="28"/>
      <c r="C319" s="29"/>
      <c r="D319" s="29"/>
      <c r="E319" s="28"/>
      <c r="F319" s="30"/>
      <c r="G319" s="31"/>
      <c r="H319" s="28"/>
      <c r="I319" s="29"/>
      <c r="J319" s="29"/>
      <c r="K319" s="29"/>
      <c r="L319" s="29"/>
      <c r="M319" s="29"/>
      <c r="N319" s="29"/>
      <c r="O319" s="29"/>
      <c r="P319" s="29"/>
      <c r="Q319" s="29"/>
      <c r="R319" s="29"/>
      <c r="S319" s="28"/>
      <c r="T319" s="32" t="str">
        <f aca="false">IF(AND(K319="",L319=""),"",IF(OR(K319="-",L319="-"),"측정불가",IF(AND(ISNUMBER(K319),ISNUMBER(L319)),IF(OR(K319&gt;=설정!$C$9,L319&gt;=설정!$C$10),"긴급",IF(OR(K319&gt;=설정!$C$7,L319&gt;=설정!$C$8,K319&lt;설정!$C$11),"주의","정상")),"확인필요")))</f>
        <v/>
      </c>
      <c r="U319" s="32" t="str">
        <f aca="false">IF(M319="","",IF(M319="-","측정불가",IF(NOT(ISNUMBER(M319)),"확인필요",IF(M319&lt;설정!$C$15,"긴급(저혈당)",IF(M319&gt;=설정!$C$16,"긴급(고혈당)",IF(N319="공복",IF(M319&gt;=설정!$C$13,"주의","정상"),IF(N319="식후",IF(M319&gt;=설정!$C$14,"주의","정상"),"조건확인")))))))</f>
        <v/>
      </c>
      <c r="V319" s="32" t="str">
        <f aca="false">IF(OR(T319="긴급",LEFT(U319,2)="긴급",P319="O"),"대상","")</f>
        <v/>
      </c>
      <c r="W319" s="33" t="str">
        <f aca="false">IF(R319&lt;&gt;"",R319,IF(O319="O",IF(V319="대상",IF(Q319="O","완료","추가상담 대기"),"완료"),IF(COUNTA(K319:M319)=3,"상담 대기",IF(J319="O","측정 대기",IF(I319="O","운동평가 대기","미방문")))))</f>
        <v>미방문</v>
      </c>
      <c r="X319" s="34"/>
      <c r="Y319" s="34"/>
      <c r="Z319" s="34"/>
      <c r="AA319" s="34"/>
      <c r="AB319" s="34"/>
      <c r="AC319" s="35" t="str">
        <f aca="false">IF(AND(ISNUMBER(X319),ISNUMBER(Y319)),IF(Y319&gt;=X319,ROUND((Y319-X319)*1440,0),""),"")</f>
        <v/>
      </c>
      <c r="AD319" s="35" t="str">
        <f aca="false">IF(AND(ISNUMBER(Y319),ISNUMBER(Z319)),IF(Z319&gt;=Y319,ROUND((Z319-Y319)*1440,0),""),"")</f>
        <v/>
      </c>
      <c r="AE319" s="35" t="str">
        <f aca="false">IF(AND(ISNUMBER(Z319),ISNUMBER(AA319)),IF(AA319&gt;=Z319,ROUND((AA319-Z319)*1440,0),""),"")</f>
        <v/>
      </c>
      <c r="AF319" s="35" t="str">
        <f aca="false">IF(AND(ISNUMBER(AA319),ISNUMBER(AB319)),IF(AB319&gt;=AA319,ROUND((AB319-AA319)*1440,0),""),"")</f>
        <v/>
      </c>
      <c r="AG319" s="35" t="str">
        <f aca="false">IF(AND(W319="완료",ISNUMBER(X319)),IF(MAX(Y319:AB319)&gt;=X319,ROUND((MAX(Y319:AB319)-X319)*1440,0),""),"")</f>
        <v/>
      </c>
    </row>
    <row r="320" customFormat="false" ht="15" hidden="false" customHeight="false" outlineLevel="0" collapsed="false">
      <c r="A320" s="27" t="n">
        <v>316</v>
      </c>
      <c r="B320" s="28"/>
      <c r="C320" s="29"/>
      <c r="D320" s="29"/>
      <c r="E320" s="28"/>
      <c r="F320" s="30"/>
      <c r="G320" s="31"/>
      <c r="H320" s="28"/>
      <c r="I320" s="29"/>
      <c r="J320" s="29"/>
      <c r="K320" s="29"/>
      <c r="L320" s="29"/>
      <c r="M320" s="29"/>
      <c r="N320" s="29"/>
      <c r="O320" s="29"/>
      <c r="P320" s="29"/>
      <c r="Q320" s="29"/>
      <c r="R320" s="29"/>
      <c r="S320" s="28"/>
      <c r="T320" s="32" t="str">
        <f aca="false">IF(AND(K320="",L320=""),"",IF(OR(K320="-",L320="-"),"측정불가",IF(AND(ISNUMBER(K320),ISNUMBER(L320)),IF(OR(K320&gt;=설정!$C$9,L320&gt;=설정!$C$10),"긴급",IF(OR(K320&gt;=설정!$C$7,L320&gt;=설정!$C$8,K320&lt;설정!$C$11),"주의","정상")),"확인필요")))</f>
        <v/>
      </c>
      <c r="U320" s="32" t="str">
        <f aca="false">IF(M320="","",IF(M320="-","측정불가",IF(NOT(ISNUMBER(M320)),"확인필요",IF(M320&lt;설정!$C$15,"긴급(저혈당)",IF(M320&gt;=설정!$C$16,"긴급(고혈당)",IF(N320="공복",IF(M320&gt;=설정!$C$13,"주의","정상"),IF(N320="식후",IF(M320&gt;=설정!$C$14,"주의","정상"),"조건확인")))))))</f>
        <v/>
      </c>
      <c r="V320" s="32" t="str">
        <f aca="false">IF(OR(T320="긴급",LEFT(U320,2)="긴급",P320="O"),"대상","")</f>
        <v/>
      </c>
      <c r="W320" s="33" t="str">
        <f aca="false">IF(R320&lt;&gt;"",R320,IF(O320="O",IF(V320="대상",IF(Q320="O","완료","추가상담 대기"),"완료"),IF(COUNTA(K320:M320)=3,"상담 대기",IF(J320="O","측정 대기",IF(I320="O","운동평가 대기","미방문")))))</f>
        <v>미방문</v>
      </c>
      <c r="X320" s="34"/>
      <c r="Y320" s="34"/>
      <c r="Z320" s="34"/>
      <c r="AA320" s="34"/>
      <c r="AB320" s="34"/>
      <c r="AC320" s="35" t="str">
        <f aca="false">IF(AND(ISNUMBER(X320),ISNUMBER(Y320)),IF(Y320&gt;=X320,ROUND((Y320-X320)*1440,0),""),"")</f>
        <v/>
      </c>
      <c r="AD320" s="35" t="str">
        <f aca="false">IF(AND(ISNUMBER(Y320),ISNUMBER(Z320)),IF(Z320&gt;=Y320,ROUND((Z320-Y320)*1440,0),""),"")</f>
        <v/>
      </c>
      <c r="AE320" s="35" t="str">
        <f aca="false">IF(AND(ISNUMBER(Z320),ISNUMBER(AA320)),IF(AA320&gt;=Z320,ROUND((AA320-Z320)*1440,0),""),"")</f>
        <v/>
      </c>
      <c r="AF320" s="35" t="str">
        <f aca="false">IF(AND(ISNUMBER(AA320),ISNUMBER(AB320)),IF(AB320&gt;=AA320,ROUND((AB320-AA320)*1440,0),""),"")</f>
        <v/>
      </c>
      <c r="AG320" s="35" t="str">
        <f aca="false">IF(AND(W320="완료",ISNUMBER(X320)),IF(MAX(Y320:AB320)&gt;=X320,ROUND((MAX(Y320:AB320)-X320)*1440,0),""),"")</f>
        <v/>
      </c>
    </row>
    <row r="321" customFormat="false" ht="15" hidden="false" customHeight="false" outlineLevel="0" collapsed="false">
      <c r="A321" s="27" t="n">
        <v>317</v>
      </c>
      <c r="B321" s="28"/>
      <c r="C321" s="29"/>
      <c r="D321" s="29"/>
      <c r="E321" s="28"/>
      <c r="F321" s="30"/>
      <c r="G321" s="31"/>
      <c r="H321" s="28"/>
      <c r="I321" s="29"/>
      <c r="J321" s="29"/>
      <c r="K321" s="29"/>
      <c r="L321" s="29"/>
      <c r="M321" s="29"/>
      <c r="N321" s="29"/>
      <c r="O321" s="29"/>
      <c r="P321" s="29"/>
      <c r="Q321" s="29"/>
      <c r="R321" s="29"/>
      <c r="S321" s="28"/>
      <c r="T321" s="32" t="str">
        <f aca="false">IF(AND(K321="",L321=""),"",IF(OR(K321="-",L321="-"),"측정불가",IF(AND(ISNUMBER(K321),ISNUMBER(L321)),IF(OR(K321&gt;=설정!$C$9,L321&gt;=설정!$C$10),"긴급",IF(OR(K321&gt;=설정!$C$7,L321&gt;=설정!$C$8,K321&lt;설정!$C$11),"주의","정상")),"확인필요")))</f>
        <v/>
      </c>
      <c r="U321" s="32" t="str">
        <f aca="false">IF(M321="","",IF(M321="-","측정불가",IF(NOT(ISNUMBER(M321)),"확인필요",IF(M321&lt;설정!$C$15,"긴급(저혈당)",IF(M321&gt;=설정!$C$16,"긴급(고혈당)",IF(N321="공복",IF(M321&gt;=설정!$C$13,"주의","정상"),IF(N321="식후",IF(M321&gt;=설정!$C$14,"주의","정상"),"조건확인")))))))</f>
        <v/>
      </c>
      <c r="V321" s="32" t="str">
        <f aca="false">IF(OR(T321="긴급",LEFT(U321,2)="긴급",P321="O"),"대상","")</f>
        <v/>
      </c>
      <c r="W321" s="33" t="str">
        <f aca="false">IF(R321&lt;&gt;"",R321,IF(O321="O",IF(V321="대상",IF(Q321="O","완료","추가상담 대기"),"완료"),IF(COUNTA(K321:M321)=3,"상담 대기",IF(J321="O","측정 대기",IF(I321="O","운동평가 대기","미방문")))))</f>
        <v>미방문</v>
      </c>
      <c r="X321" s="34"/>
      <c r="Y321" s="34"/>
      <c r="Z321" s="34"/>
      <c r="AA321" s="34"/>
      <c r="AB321" s="34"/>
      <c r="AC321" s="35" t="str">
        <f aca="false">IF(AND(ISNUMBER(X321),ISNUMBER(Y321)),IF(Y321&gt;=X321,ROUND((Y321-X321)*1440,0),""),"")</f>
        <v/>
      </c>
      <c r="AD321" s="35" t="str">
        <f aca="false">IF(AND(ISNUMBER(Y321),ISNUMBER(Z321)),IF(Z321&gt;=Y321,ROUND((Z321-Y321)*1440,0),""),"")</f>
        <v/>
      </c>
      <c r="AE321" s="35" t="str">
        <f aca="false">IF(AND(ISNUMBER(Z321),ISNUMBER(AA321)),IF(AA321&gt;=Z321,ROUND((AA321-Z321)*1440,0),""),"")</f>
        <v/>
      </c>
      <c r="AF321" s="35" t="str">
        <f aca="false">IF(AND(ISNUMBER(AA321),ISNUMBER(AB321)),IF(AB321&gt;=AA321,ROUND((AB321-AA321)*1440,0),""),"")</f>
        <v/>
      </c>
      <c r="AG321" s="35" t="str">
        <f aca="false">IF(AND(W321="완료",ISNUMBER(X321)),IF(MAX(Y321:AB321)&gt;=X321,ROUND((MAX(Y321:AB321)-X321)*1440,0),""),"")</f>
        <v/>
      </c>
    </row>
    <row r="322" customFormat="false" ht="15" hidden="false" customHeight="false" outlineLevel="0" collapsed="false">
      <c r="A322" s="27" t="n">
        <v>318</v>
      </c>
      <c r="B322" s="28"/>
      <c r="C322" s="29"/>
      <c r="D322" s="29"/>
      <c r="E322" s="28"/>
      <c r="F322" s="30"/>
      <c r="G322" s="31"/>
      <c r="H322" s="28"/>
      <c r="I322" s="29"/>
      <c r="J322" s="29"/>
      <c r="K322" s="29"/>
      <c r="L322" s="29"/>
      <c r="M322" s="29"/>
      <c r="N322" s="29"/>
      <c r="O322" s="29"/>
      <c r="P322" s="29"/>
      <c r="Q322" s="29"/>
      <c r="R322" s="29"/>
      <c r="S322" s="28"/>
      <c r="T322" s="32" t="str">
        <f aca="false">IF(AND(K322="",L322=""),"",IF(OR(K322="-",L322="-"),"측정불가",IF(AND(ISNUMBER(K322),ISNUMBER(L322)),IF(OR(K322&gt;=설정!$C$9,L322&gt;=설정!$C$10),"긴급",IF(OR(K322&gt;=설정!$C$7,L322&gt;=설정!$C$8,K322&lt;설정!$C$11),"주의","정상")),"확인필요")))</f>
        <v/>
      </c>
      <c r="U322" s="32" t="str">
        <f aca="false">IF(M322="","",IF(M322="-","측정불가",IF(NOT(ISNUMBER(M322)),"확인필요",IF(M322&lt;설정!$C$15,"긴급(저혈당)",IF(M322&gt;=설정!$C$16,"긴급(고혈당)",IF(N322="공복",IF(M322&gt;=설정!$C$13,"주의","정상"),IF(N322="식후",IF(M322&gt;=설정!$C$14,"주의","정상"),"조건확인")))))))</f>
        <v/>
      </c>
      <c r="V322" s="32" t="str">
        <f aca="false">IF(OR(T322="긴급",LEFT(U322,2)="긴급",P322="O"),"대상","")</f>
        <v/>
      </c>
      <c r="W322" s="33" t="str">
        <f aca="false">IF(R322&lt;&gt;"",R322,IF(O322="O",IF(V322="대상",IF(Q322="O","완료","추가상담 대기"),"완료"),IF(COUNTA(K322:M322)=3,"상담 대기",IF(J322="O","측정 대기",IF(I322="O","운동평가 대기","미방문")))))</f>
        <v>미방문</v>
      </c>
      <c r="X322" s="34"/>
      <c r="Y322" s="34"/>
      <c r="Z322" s="34"/>
      <c r="AA322" s="34"/>
      <c r="AB322" s="34"/>
      <c r="AC322" s="35" t="str">
        <f aca="false">IF(AND(ISNUMBER(X322),ISNUMBER(Y322)),IF(Y322&gt;=X322,ROUND((Y322-X322)*1440,0),""),"")</f>
        <v/>
      </c>
      <c r="AD322" s="35" t="str">
        <f aca="false">IF(AND(ISNUMBER(Y322),ISNUMBER(Z322)),IF(Z322&gt;=Y322,ROUND((Z322-Y322)*1440,0),""),"")</f>
        <v/>
      </c>
      <c r="AE322" s="35" t="str">
        <f aca="false">IF(AND(ISNUMBER(Z322),ISNUMBER(AA322)),IF(AA322&gt;=Z322,ROUND((AA322-Z322)*1440,0),""),"")</f>
        <v/>
      </c>
      <c r="AF322" s="35" t="str">
        <f aca="false">IF(AND(ISNUMBER(AA322),ISNUMBER(AB322)),IF(AB322&gt;=AA322,ROUND((AB322-AA322)*1440,0),""),"")</f>
        <v/>
      </c>
      <c r="AG322" s="35" t="str">
        <f aca="false">IF(AND(W322="완료",ISNUMBER(X322)),IF(MAX(Y322:AB322)&gt;=X322,ROUND((MAX(Y322:AB322)-X322)*1440,0),""),"")</f>
        <v/>
      </c>
    </row>
    <row r="323" customFormat="false" ht="15" hidden="false" customHeight="false" outlineLevel="0" collapsed="false">
      <c r="A323" s="27" t="n">
        <v>319</v>
      </c>
      <c r="B323" s="28"/>
      <c r="C323" s="29"/>
      <c r="D323" s="29"/>
      <c r="E323" s="28"/>
      <c r="F323" s="30"/>
      <c r="G323" s="31"/>
      <c r="H323" s="28"/>
      <c r="I323" s="29"/>
      <c r="J323" s="29"/>
      <c r="K323" s="29"/>
      <c r="L323" s="29"/>
      <c r="M323" s="29"/>
      <c r="N323" s="29"/>
      <c r="O323" s="29"/>
      <c r="P323" s="29"/>
      <c r="Q323" s="29"/>
      <c r="R323" s="29"/>
      <c r="S323" s="28"/>
      <c r="T323" s="32" t="str">
        <f aca="false">IF(AND(K323="",L323=""),"",IF(OR(K323="-",L323="-"),"측정불가",IF(AND(ISNUMBER(K323),ISNUMBER(L323)),IF(OR(K323&gt;=설정!$C$9,L323&gt;=설정!$C$10),"긴급",IF(OR(K323&gt;=설정!$C$7,L323&gt;=설정!$C$8,K323&lt;설정!$C$11),"주의","정상")),"확인필요")))</f>
        <v/>
      </c>
      <c r="U323" s="32" t="str">
        <f aca="false">IF(M323="","",IF(M323="-","측정불가",IF(NOT(ISNUMBER(M323)),"확인필요",IF(M323&lt;설정!$C$15,"긴급(저혈당)",IF(M323&gt;=설정!$C$16,"긴급(고혈당)",IF(N323="공복",IF(M323&gt;=설정!$C$13,"주의","정상"),IF(N323="식후",IF(M323&gt;=설정!$C$14,"주의","정상"),"조건확인")))))))</f>
        <v/>
      </c>
      <c r="V323" s="32" t="str">
        <f aca="false">IF(OR(T323="긴급",LEFT(U323,2)="긴급",P323="O"),"대상","")</f>
        <v/>
      </c>
      <c r="W323" s="33" t="str">
        <f aca="false">IF(R323&lt;&gt;"",R323,IF(O323="O",IF(V323="대상",IF(Q323="O","완료","추가상담 대기"),"완료"),IF(COUNTA(K323:M323)=3,"상담 대기",IF(J323="O","측정 대기",IF(I323="O","운동평가 대기","미방문")))))</f>
        <v>미방문</v>
      </c>
      <c r="X323" s="34"/>
      <c r="Y323" s="34"/>
      <c r="Z323" s="34"/>
      <c r="AA323" s="34"/>
      <c r="AB323" s="34"/>
      <c r="AC323" s="35" t="str">
        <f aca="false">IF(AND(ISNUMBER(X323),ISNUMBER(Y323)),IF(Y323&gt;=X323,ROUND((Y323-X323)*1440,0),""),"")</f>
        <v/>
      </c>
      <c r="AD323" s="35" t="str">
        <f aca="false">IF(AND(ISNUMBER(Y323),ISNUMBER(Z323)),IF(Z323&gt;=Y323,ROUND((Z323-Y323)*1440,0),""),"")</f>
        <v/>
      </c>
      <c r="AE323" s="35" t="str">
        <f aca="false">IF(AND(ISNUMBER(Z323),ISNUMBER(AA323)),IF(AA323&gt;=Z323,ROUND((AA323-Z323)*1440,0),""),"")</f>
        <v/>
      </c>
      <c r="AF323" s="35" t="str">
        <f aca="false">IF(AND(ISNUMBER(AA323),ISNUMBER(AB323)),IF(AB323&gt;=AA323,ROUND((AB323-AA323)*1440,0),""),"")</f>
        <v/>
      </c>
      <c r="AG323" s="35" t="str">
        <f aca="false">IF(AND(W323="완료",ISNUMBER(X323)),IF(MAX(Y323:AB323)&gt;=X323,ROUND((MAX(Y323:AB323)-X323)*1440,0),""),"")</f>
        <v/>
      </c>
    </row>
    <row r="324" customFormat="false" ht="15" hidden="false" customHeight="false" outlineLevel="0" collapsed="false">
      <c r="A324" s="27" t="n">
        <v>320</v>
      </c>
      <c r="B324" s="28"/>
      <c r="C324" s="29"/>
      <c r="D324" s="29"/>
      <c r="E324" s="28"/>
      <c r="F324" s="30"/>
      <c r="G324" s="31"/>
      <c r="H324" s="28"/>
      <c r="I324" s="29"/>
      <c r="J324" s="29"/>
      <c r="K324" s="29"/>
      <c r="L324" s="29"/>
      <c r="M324" s="29"/>
      <c r="N324" s="29"/>
      <c r="O324" s="29"/>
      <c r="P324" s="29"/>
      <c r="Q324" s="29"/>
      <c r="R324" s="29"/>
      <c r="S324" s="28"/>
      <c r="T324" s="32" t="str">
        <f aca="false">IF(AND(K324="",L324=""),"",IF(OR(K324="-",L324="-"),"측정불가",IF(AND(ISNUMBER(K324),ISNUMBER(L324)),IF(OR(K324&gt;=설정!$C$9,L324&gt;=설정!$C$10),"긴급",IF(OR(K324&gt;=설정!$C$7,L324&gt;=설정!$C$8,K324&lt;설정!$C$11),"주의","정상")),"확인필요")))</f>
        <v/>
      </c>
      <c r="U324" s="32" t="str">
        <f aca="false">IF(M324="","",IF(M324="-","측정불가",IF(NOT(ISNUMBER(M324)),"확인필요",IF(M324&lt;설정!$C$15,"긴급(저혈당)",IF(M324&gt;=설정!$C$16,"긴급(고혈당)",IF(N324="공복",IF(M324&gt;=설정!$C$13,"주의","정상"),IF(N324="식후",IF(M324&gt;=설정!$C$14,"주의","정상"),"조건확인")))))))</f>
        <v/>
      </c>
      <c r="V324" s="32" t="str">
        <f aca="false">IF(OR(T324="긴급",LEFT(U324,2)="긴급",P324="O"),"대상","")</f>
        <v/>
      </c>
      <c r="W324" s="33" t="str">
        <f aca="false">IF(R324&lt;&gt;"",R324,IF(O324="O",IF(V324="대상",IF(Q324="O","완료","추가상담 대기"),"완료"),IF(COUNTA(K324:M324)=3,"상담 대기",IF(J324="O","측정 대기",IF(I324="O","운동평가 대기","미방문")))))</f>
        <v>미방문</v>
      </c>
      <c r="X324" s="34"/>
      <c r="Y324" s="34"/>
      <c r="Z324" s="34"/>
      <c r="AA324" s="34"/>
      <c r="AB324" s="34"/>
      <c r="AC324" s="35" t="str">
        <f aca="false">IF(AND(ISNUMBER(X324),ISNUMBER(Y324)),IF(Y324&gt;=X324,ROUND((Y324-X324)*1440,0),""),"")</f>
        <v/>
      </c>
      <c r="AD324" s="35" t="str">
        <f aca="false">IF(AND(ISNUMBER(Y324),ISNUMBER(Z324)),IF(Z324&gt;=Y324,ROUND((Z324-Y324)*1440,0),""),"")</f>
        <v/>
      </c>
      <c r="AE324" s="35" t="str">
        <f aca="false">IF(AND(ISNUMBER(Z324),ISNUMBER(AA324)),IF(AA324&gt;=Z324,ROUND((AA324-Z324)*1440,0),""),"")</f>
        <v/>
      </c>
      <c r="AF324" s="35" t="str">
        <f aca="false">IF(AND(ISNUMBER(AA324),ISNUMBER(AB324)),IF(AB324&gt;=AA324,ROUND((AB324-AA324)*1440,0),""),"")</f>
        <v/>
      </c>
      <c r="AG324" s="35" t="str">
        <f aca="false">IF(AND(W324="완료",ISNUMBER(X324)),IF(MAX(Y324:AB324)&gt;=X324,ROUND((MAX(Y324:AB324)-X324)*1440,0),""),"")</f>
        <v/>
      </c>
    </row>
    <row r="325" customFormat="false" ht="15" hidden="false" customHeight="false" outlineLevel="0" collapsed="false">
      <c r="A325" s="27" t="n">
        <v>321</v>
      </c>
      <c r="B325" s="28"/>
      <c r="C325" s="29"/>
      <c r="D325" s="29"/>
      <c r="E325" s="28"/>
      <c r="F325" s="30"/>
      <c r="G325" s="31"/>
      <c r="H325" s="28"/>
      <c r="I325" s="29"/>
      <c r="J325" s="29"/>
      <c r="K325" s="29"/>
      <c r="L325" s="29"/>
      <c r="M325" s="29"/>
      <c r="N325" s="29"/>
      <c r="O325" s="29"/>
      <c r="P325" s="29"/>
      <c r="Q325" s="29"/>
      <c r="R325" s="29"/>
      <c r="S325" s="28"/>
      <c r="T325" s="32" t="str">
        <f aca="false">IF(AND(K325="",L325=""),"",IF(OR(K325="-",L325="-"),"측정불가",IF(AND(ISNUMBER(K325),ISNUMBER(L325)),IF(OR(K325&gt;=설정!$C$9,L325&gt;=설정!$C$10),"긴급",IF(OR(K325&gt;=설정!$C$7,L325&gt;=설정!$C$8,K325&lt;설정!$C$11),"주의","정상")),"확인필요")))</f>
        <v/>
      </c>
      <c r="U325" s="32" t="str">
        <f aca="false">IF(M325="","",IF(M325="-","측정불가",IF(NOT(ISNUMBER(M325)),"확인필요",IF(M325&lt;설정!$C$15,"긴급(저혈당)",IF(M325&gt;=설정!$C$16,"긴급(고혈당)",IF(N325="공복",IF(M325&gt;=설정!$C$13,"주의","정상"),IF(N325="식후",IF(M325&gt;=설정!$C$14,"주의","정상"),"조건확인")))))))</f>
        <v/>
      </c>
      <c r="V325" s="32" t="str">
        <f aca="false">IF(OR(T325="긴급",LEFT(U325,2)="긴급",P325="O"),"대상","")</f>
        <v/>
      </c>
      <c r="W325" s="33" t="str">
        <f aca="false">IF(R325&lt;&gt;"",R325,IF(O325="O",IF(V325="대상",IF(Q325="O","완료","추가상담 대기"),"완료"),IF(COUNTA(K325:M325)=3,"상담 대기",IF(J325="O","측정 대기",IF(I325="O","운동평가 대기","미방문")))))</f>
        <v>미방문</v>
      </c>
      <c r="X325" s="34"/>
      <c r="Y325" s="34"/>
      <c r="Z325" s="34"/>
      <c r="AA325" s="34"/>
      <c r="AB325" s="34"/>
      <c r="AC325" s="35" t="str">
        <f aca="false">IF(AND(ISNUMBER(X325),ISNUMBER(Y325)),IF(Y325&gt;=X325,ROUND((Y325-X325)*1440,0),""),"")</f>
        <v/>
      </c>
      <c r="AD325" s="35" t="str">
        <f aca="false">IF(AND(ISNUMBER(Y325),ISNUMBER(Z325)),IF(Z325&gt;=Y325,ROUND((Z325-Y325)*1440,0),""),"")</f>
        <v/>
      </c>
      <c r="AE325" s="35" t="str">
        <f aca="false">IF(AND(ISNUMBER(Z325),ISNUMBER(AA325)),IF(AA325&gt;=Z325,ROUND((AA325-Z325)*1440,0),""),"")</f>
        <v/>
      </c>
      <c r="AF325" s="35" t="str">
        <f aca="false">IF(AND(ISNUMBER(AA325),ISNUMBER(AB325)),IF(AB325&gt;=AA325,ROUND((AB325-AA325)*1440,0),""),"")</f>
        <v/>
      </c>
      <c r="AG325" s="35" t="str">
        <f aca="false">IF(AND(W325="완료",ISNUMBER(X325)),IF(MAX(Y325:AB325)&gt;=X325,ROUND((MAX(Y325:AB325)-X325)*1440,0),""),"")</f>
        <v/>
      </c>
    </row>
    <row r="326" customFormat="false" ht="15" hidden="false" customHeight="false" outlineLevel="0" collapsed="false">
      <c r="A326" s="27" t="n">
        <v>322</v>
      </c>
      <c r="B326" s="28"/>
      <c r="C326" s="29"/>
      <c r="D326" s="29"/>
      <c r="E326" s="28"/>
      <c r="F326" s="30"/>
      <c r="G326" s="31"/>
      <c r="H326" s="28"/>
      <c r="I326" s="29"/>
      <c r="J326" s="29"/>
      <c r="K326" s="29"/>
      <c r="L326" s="29"/>
      <c r="M326" s="29"/>
      <c r="N326" s="29"/>
      <c r="O326" s="29"/>
      <c r="P326" s="29"/>
      <c r="Q326" s="29"/>
      <c r="R326" s="29"/>
      <c r="S326" s="28"/>
      <c r="T326" s="32" t="str">
        <f aca="false">IF(AND(K326="",L326=""),"",IF(OR(K326="-",L326="-"),"측정불가",IF(AND(ISNUMBER(K326),ISNUMBER(L326)),IF(OR(K326&gt;=설정!$C$9,L326&gt;=설정!$C$10),"긴급",IF(OR(K326&gt;=설정!$C$7,L326&gt;=설정!$C$8,K326&lt;설정!$C$11),"주의","정상")),"확인필요")))</f>
        <v/>
      </c>
      <c r="U326" s="32" t="str">
        <f aca="false">IF(M326="","",IF(M326="-","측정불가",IF(NOT(ISNUMBER(M326)),"확인필요",IF(M326&lt;설정!$C$15,"긴급(저혈당)",IF(M326&gt;=설정!$C$16,"긴급(고혈당)",IF(N326="공복",IF(M326&gt;=설정!$C$13,"주의","정상"),IF(N326="식후",IF(M326&gt;=설정!$C$14,"주의","정상"),"조건확인")))))))</f>
        <v/>
      </c>
      <c r="V326" s="32" t="str">
        <f aca="false">IF(OR(T326="긴급",LEFT(U326,2)="긴급",P326="O"),"대상","")</f>
        <v/>
      </c>
      <c r="W326" s="33" t="str">
        <f aca="false">IF(R326&lt;&gt;"",R326,IF(O326="O",IF(V326="대상",IF(Q326="O","완료","추가상담 대기"),"완료"),IF(COUNTA(K326:M326)=3,"상담 대기",IF(J326="O","측정 대기",IF(I326="O","운동평가 대기","미방문")))))</f>
        <v>미방문</v>
      </c>
      <c r="X326" s="34"/>
      <c r="Y326" s="34"/>
      <c r="Z326" s="34"/>
      <c r="AA326" s="34"/>
      <c r="AB326" s="34"/>
      <c r="AC326" s="35" t="str">
        <f aca="false">IF(AND(ISNUMBER(X326),ISNUMBER(Y326)),IF(Y326&gt;=X326,ROUND((Y326-X326)*1440,0),""),"")</f>
        <v/>
      </c>
      <c r="AD326" s="35" t="str">
        <f aca="false">IF(AND(ISNUMBER(Y326),ISNUMBER(Z326)),IF(Z326&gt;=Y326,ROUND((Z326-Y326)*1440,0),""),"")</f>
        <v/>
      </c>
      <c r="AE326" s="35" t="str">
        <f aca="false">IF(AND(ISNUMBER(Z326),ISNUMBER(AA326)),IF(AA326&gt;=Z326,ROUND((AA326-Z326)*1440,0),""),"")</f>
        <v/>
      </c>
      <c r="AF326" s="35" t="str">
        <f aca="false">IF(AND(ISNUMBER(AA326),ISNUMBER(AB326)),IF(AB326&gt;=AA326,ROUND((AB326-AA326)*1440,0),""),"")</f>
        <v/>
      </c>
      <c r="AG326" s="35" t="str">
        <f aca="false">IF(AND(W326="완료",ISNUMBER(X326)),IF(MAX(Y326:AB326)&gt;=X326,ROUND((MAX(Y326:AB326)-X326)*1440,0),""),"")</f>
        <v/>
      </c>
    </row>
    <row r="327" customFormat="false" ht="15" hidden="false" customHeight="false" outlineLevel="0" collapsed="false">
      <c r="A327" s="27" t="n">
        <v>323</v>
      </c>
      <c r="B327" s="28"/>
      <c r="C327" s="29"/>
      <c r="D327" s="29"/>
      <c r="E327" s="28"/>
      <c r="F327" s="30"/>
      <c r="G327" s="31"/>
      <c r="H327" s="28"/>
      <c r="I327" s="29"/>
      <c r="J327" s="29"/>
      <c r="K327" s="29"/>
      <c r="L327" s="29"/>
      <c r="M327" s="29"/>
      <c r="N327" s="29"/>
      <c r="O327" s="29"/>
      <c r="P327" s="29"/>
      <c r="Q327" s="29"/>
      <c r="R327" s="29"/>
      <c r="S327" s="28"/>
      <c r="T327" s="32" t="str">
        <f aca="false">IF(AND(K327="",L327=""),"",IF(OR(K327="-",L327="-"),"측정불가",IF(AND(ISNUMBER(K327),ISNUMBER(L327)),IF(OR(K327&gt;=설정!$C$9,L327&gt;=설정!$C$10),"긴급",IF(OR(K327&gt;=설정!$C$7,L327&gt;=설정!$C$8,K327&lt;설정!$C$11),"주의","정상")),"확인필요")))</f>
        <v/>
      </c>
      <c r="U327" s="32" t="str">
        <f aca="false">IF(M327="","",IF(M327="-","측정불가",IF(NOT(ISNUMBER(M327)),"확인필요",IF(M327&lt;설정!$C$15,"긴급(저혈당)",IF(M327&gt;=설정!$C$16,"긴급(고혈당)",IF(N327="공복",IF(M327&gt;=설정!$C$13,"주의","정상"),IF(N327="식후",IF(M327&gt;=설정!$C$14,"주의","정상"),"조건확인")))))))</f>
        <v/>
      </c>
      <c r="V327" s="32" t="str">
        <f aca="false">IF(OR(T327="긴급",LEFT(U327,2)="긴급",P327="O"),"대상","")</f>
        <v/>
      </c>
      <c r="W327" s="33" t="str">
        <f aca="false">IF(R327&lt;&gt;"",R327,IF(O327="O",IF(V327="대상",IF(Q327="O","완료","추가상담 대기"),"완료"),IF(COUNTA(K327:M327)=3,"상담 대기",IF(J327="O","측정 대기",IF(I327="O","운동평가 대기","미방문")))))</f>
        <v>미방문</v>
      </c>
      <c r="X327" s="34"/>
      <c r="Y327" s="34"/>
      <c r="Z327" s="34"/>
      <c r="AA327" s="34"/>
      <c r="AB327" s="34"/>
      <c r="AC327" s="35" t="str">
        <f aca="false">IF(AND(ISNUMBER(X327),ISNUMBER(Y327)),IF(Y327&gt;=X327,ROUND((Y327-X327)*1440,0),""),"")</f>
        <v/>
      </c>
      <c r="AD327" s="35" t="str">
        <f aca="false">IF(AND(ISNUMBER(Y327),ISNUMBER(Z327)),IF(Z327&gt;=Y327,ROUND((Z327-Y327)*1440,0),""),"")</f>
        <v/>
      </c>
      <c r="AE327" s="35" t="str">
        <f aca="false">IF(AND(ISNUMBER(Z327),ISNUMBER(AA327)),IF(AA327&gt;=Z327,ROUND((AA327-Z327)*1440,0),""),"")</f>
        <v/>
      </c>
      <c r="AF327" s="35" t="str">
        <f aca="false">IF(AND(ISNUMBER(AA327),ISNUMBER(AB327)),IF(AB327&gt;=AA327,ROUND((AB327-AA327)*1440,0),""),"")</f>
        <v/>
      </c>
      <c r="AG327" s="35" t="str">
        <f aca="false">IF(AND(W327="완료",ISNUMBER(X327)),IF(MAX(Y327:AB327)&gt;=X327,ROUND((MAX(Y327:AB327)-X327)*1440,0),""),"")</f>
        <v/>
      </c>
    </row>
    <row r="328" customFormat="false" ht="15" hidden="false" customHeight="false" outlineLevel="0" collapsed="false">
      <c r="A328" s="27" t="n">
        <v>324</v>
      </c>
      <c r="B328" s="28"/>
      <c r="C328" s="29"/>
      <c r="D328" s="29"/>
      <c r="E328" s="28"/>
      <c r="F328" s="30"/>
      <c r="G328" s="31"/>
      <c r="H328" s="28"/>
      <c r="I328" s="29"/>
      <c r="J328" s="29"/>
      <c r="K328" s="29"/>
      <c r="L328" s="29"/>
      <c r="M328" s="29"/>
      <c r="N328" s="29"/>
      <c r="O328" s="29"/>
      <c r="P328" s="29"/>
      <c r="Q328" s="29"/>
      <c r="R328" s="29"/>
      <c r="S328" s="28"/>
      <c r="T328" s="32" t="str">
        <f aca="false">IF(AND(K328="",L328=""),"",IF(OR(K328="-",L328="-"),"측정불가",IF(AND(ISNUMBER(K328),ISNUMBER(L328)),IF(OR(K328&gt;=설정!$C$9,L328&gt;=설정!$C$10),"긴급",IF(OR(K328&gt;=설정!$C$7,L328&gt;=설정!$C$8,K328&lt;설정!$C$11),"주의","정상")),"확인필요")))</f>
        <v/>
      </c>
      <c r="U328" s="32" t="str">
        <f aca="false">IF(M328="","",IF(M328="-","측정불가",IF(NOT(ISNUMBER(M328)),"확인필요",IF(M328&lt;설정!$C$15,"긴급(저혈당)",IF(M328&gt;=설정!$C$16,"긴급(고혈당)",IF(N328="공복",IF(M328&gt;=설정!$C$13,"주의","정상"),IF(N328="식후",IF(M328&gt;=설정!$C$14,"주의","정상"),"조건확인")))))))</f>
        <v/>
      </c>
      <c r="V328" s="32" t="str">
        <f aca="false">IF(OR(T328="긴급",LEFT(U328,2)="긴급",P328="O"),"대상","")</f>
        <v/>
      </c>
      <c r="W328" s="33" t="str">
        <f aca="false">IF(R328&lt;&gt;"",R328,IF(O328="O",IF(V328="대상",IF(Q328="O","완료","추가상담 대기"),"완료"),IF(COUNTA(K328:M328)=3,"상담 대기",IF(J328="O","측정 대기",IF(I328="O","운동평가 대기","미방문")))))</f>
        <v>미방문</v>
      </c>
      <c r="X328" s="34"/>
      <c r="Y328" s="34"/>
      <c r="Z328" s="34"/>
      <c r="AA328" s="34"/>
      <c r="AB328" s="34"/>
      <c r="AC328" s="35" t="str">
        <f aca="false">IF(AND(ISNUMBER(X328),ISNUMBER(Y328)),IF(Y328&gt;=X328,ROUND((Y328-X328)*1440,0),""),"")</f>
        <v/>
      </c>
      <c r="AD328" s="35" t="str">
        <f aca="false">IF(AND(ISNUMBER(Y328),ISNUMBER(Z328)),IF(Z328&gt;=Y328,ROUND((Z328-Y328)*1440,0),""),"")</f>
        <v/>
      </c>
      <c r="AE328" s="35" t="str">
        <f aca="false">IF(AND(ISNUMBER(Z328),ISNUMBER(AA328)),IF(AA328&gt;=Z328,ROUND((AA328-Z328)*1440,0),""),"")</f>
        <v/>
      </c>
      <c r="AF328" s="35" t="str">
        <f aca="false">IF(AND(ISNUMBER(AA328),ISNUMBER(AB328)),IF(AB328&gt;=AA328,ROUND((AB328-AA328)*1440,0),""),"")</f>
        <v/>
      </c>
      <c r="AG328" s="35" t="str">
        <f aca="false">IF(AND(W328="완료",ISNUMBER(X328)),IF(MAX(Y328:AB328)&gt;=X328,ROUND((MAX(Y328:AB328)-X328)*1440,0),""),"")</f>
        <v/>
      </c>
    </row>
    <row r="329" customFormat="false" ht="15" hidden="false" customHeight="false" outlineLevel="0" collapsed="false">
      <c r="A329" s="27" t="n">
        <v>325</v>
      </c>
      <c r="B329" s="28"/>
      <c r="C329" s="29"/>
      <c r="D329" s="29"/>
      <c r="E329" s="28"/>
      <c r="F329" s="30"/>
      <c r="G329" s="31"/>
      <c r="H329" s="28"/>
      <c r="I329" s="29"/>
      <c r="J329" s="29"/>
      <c r="K329" s="29"/>
      <c r="L329" s="29"/>
      <c r="M329" s="29"/>
      <c r="N329" s="29"/>
      <c r="O329" s="29"/>
      <c r="P329" s="29"/>
      <c r="Q329" s="29"/>
      <c r="R329" s="29"/>
      <c r="S329" s="28"/>
      <c r="T329" s="32" t="str">
        <f aca="false">IF(AND(K329="",L329=""),"",IF(OR(K329="-",L329="-"),"측정불가",IF(AND(ISNUMBER(K329),ISNUMBER(L329)),IF(OR(K329&gt;=설정!$C$9,L329&gt;=설정!$C$10),"긴급",IF(OR(K329&gt;=설정!$C$7,L329&gt;=설정!$C$8,K329&lt;설정!$C$11),"주의","정상")),"확인필요")))</f>
        <v/>
      </c>
      <c r="U329" s="32" t="str">
        <f aca="false">IF(M329="","",IF(M329="-","측정불가",IF(NOT(ISNUMBER(M329)),"확인필요",IF(M329&lt;설정!$C$15,"긴급(저혈당)",IF(M329&gt;=설정!$C$16,"긴급(고혈당)",IF(N329="공복",IF(M329&gt;=설정!$C$13,"주의","정상"),IF(N329="식후",IF(M329&gt;=설정!$C$14,"주의","정상"),"조건확인")))))))</f>
        <v/>
      </c>
      <c r="V329" s="32" t="str">
        <f aca="false">IF(OR(T329="긴급",LEFT(U329,2)="긴급",P329="O"),"대상","")</f>
        <v/>
      </c>
      <c r="W329" s="33" t="str">
        <f aca="false">IF(R329&lt;&gt;"",R329,IF(O329="O",IF(V329="대상",IF(Q329="O","완료","추가상담 대기"),"완료"),IF(COUNTA(K329:M329)=3,"상담 대기",IF(J329="O","측정 대기",IF(I329="O","운동평가 대기","미방문")))))</f>
        <v>미방문</v>
      </c>
      <c r="X329" s="34"/>
      <c r="Y329" s="34"/>
      <c r="Z329" s="34"/>
      <c r="AA329" s="34"/>
      <c r="AB329" s="34"/>
      <c r="AC329" s="35" t="str">
        <f aca="false">IF(AND(ISNUMBER(X329),ISNUMBER(Y329)),IF(Y329&gt;=X329,ROUND((Y329-X329)*1440,0),""),"")</f>
        <v/>
      </c>
      <c r="AD329" s="35" t="str">
        <f aca="false">IF(AND(ISNUMBER(Y329),ISNUMBER(Z329)),IF(Z329&gt;=Y329,ROUND((Z329-Y329)*1440,0),""),"")</f>
        <v/>
      </c>
      <c r="AE329" s="35" t="str">
        <f aca="false">IF(AND(ISNUMBER(Z329),ISNUMBER(AA329)),IF(AA329&gt;=Z329,ROUND((AA329-Z329)*1440,0),""),"")</f>
        <v/>
      </c>
      <c r="AF329" s="35" t="str">
        <f aca="false">IF(AND(ISNUMBER(AA329),ISNUMBER(AB329)),IF(AB329&gt;=AA329,ROUND((AB329-AA329)*1440,0),""),"")</f>
        <v/>
      </c>
      <c r="AG329" s="35" t="str">
        <f aca="false">IF(AND(W329="완료",ISNUMBER(X329)),IF(MAX(Y329:AB329)&gt;=X329,ROUND((MAX(Y329:AB329)-X329)*1440,0),""),"")</f>
        <v/>
      </c>
    </row>
    <row r="330" customFormat="false" ht="15" hidden="false" customHeight="false" outlineLevel="0" collapsed="false">
      <c r="A330" s="27" t="n">
        <v>326</v>
      </c>
      <c r="B330" s="28"/>
      <c r="C330" s="29"/>
      <c r="D330" s="29"/>
      <c r="E330" s="28"/>
      <c r="F330" s="30"/>
      <c r="G330" s="31"/>
      <c r="H330" s="28"/>
      <c r="I330" s="29"/>
      <c r="J330" s="29"/>
      <c r="K330" s="29"/>
      <c r="L330" s="29"/>
      <c r="M330" s="29"/>
      <c r="N330" s="29"/>
      <c r="O330" s="29"/>
      <c r="P330" s="29"/>
      <c r="Q330" s="29"/>
      <c r="R330" s="29"/>
      <c r="S330" s="28"/>
      <c r="T330" s="32" t="str">
        <f aca="false">IF(AND(K330="",L330=""),"",IF(OR(K330="-",L330="-"),"측정불가",IF(AND(ISNUMBER(K330),ISNUMBER(L330)),IF(OR(K330&gt;=설정!$C$9,L330&gt;=설정!$C$10),"긴급",IF(OR(K330&gt;=설정!$C$7,L330&gt;=설정!$C$8,K330&lt;설정!$C$11),"주의","정상")),"확인필요")))</f>
        <v/>
      </c>
      <c r="U330" s="32" t="str">
        <f aca="false">IF(M330="","",IF(M330="-","측정불가",IF(NOT(ISNUMBER(M330)),"확인필요",IF(M330&lt;설정!$C$15,"긴급(저혈당)",IF(M330&gt;=설정!$C$16,"긴급(고혈당)",IF(N330="공복",IF(M330&gt;=설정!$C$13,"주의","정상"),IF(N330="식후",IF(M330&gt;=설정!$C$14,"주의","정상"),"조건확인")))))))</f>
        <v/>
      </c>
      <c r="V330" s="32" t="str">
        <f aca="false">IF(OR(T330="긴급",LEFT(U330,2)="긴급",P330="O"),"대상","")</f>
        <v/>
      </c>
      <c r="W330" s="33" t="str">
        <f aca="false">IF(R330&lt;&gt;"",R330,IF(O330="O",IF(V330="대상",IF(Q330="O","완료","추가상담 대기"),"완료"),IF(COUNTA(K330:M330)=3,"상담 대기",IF(J330="O","측정 대기",IF(I330="O","운동평가 대기","미방문")))))</f>
        <v>미방문</v>
      </c>
      <c r="X330" s="34"/>
      <c r="Y330" s="34"/>
      <c r="Z330" s="34"/>
      <c r="AA330" s="34"/>
      <c r="AB330" s="34"/>
      <c r="AC330" s="35" t="str">
        <f aca="false">IF(AND(ISNUMBER(X330),ISNUMBER(Y330)),IF(Y330&gt;=X330,ROUND((Y330-X330)*1440,0),""),"")</f>
        <v/>
      </c>
      <c r="AD330" s="35" t="str">
        <f aca="false">IF(AND(ISNUMBER(Y330),ISNUMBER(Z330)),IF(Z330&gt;=Y330,ROUND((Z330-Y330)*1440,0),""),"")</f>
        <v/>
      </c>
      <c r="AE330" s="35" t="str">
        <f aca="false">IF(AND(ISNUMBER(Z330),ISNUMBER(AA330)),IF(AA330&gt;=Z330,ROUND((AA330-Z330)*1440,0),""),"")</f>
        <v/>
      </c>
      <c r="AF330" s="35" t="str">
        <f aca="false">IF(AND(ISNUMBER(AA330),ISNUMBER(AB330)),IF(AB330&gt;=AA330,ROUND((AB330-AA330)*1440,0),""),"")</f>
        <v/>
      </c>
      <c r="AG330" s="35" t="str">
        <f aca="false">IF(AND(W330="완료",ISNUMBER(X330)),IF(MAX(Y330:AB330)&gt;=X330,ROUND((MAX(Y330:AB330)-X330)*1440,0),""),"")</f>
        <v/>
      </c>
    </row>
    <row r="331" customFormat="false" ht="15" hidden="false" customHeight="false" outlineLevel="0" collapsed="false">
      <c r="A331" s="27" t="n">
        <v>327</v>
      </c>
      <c r="B331" s="28"/>
      <c r="C331" s="29"/>
      <c r="D331" s="29"/>
      <c r="E331" s="28"/>
      <c r="F331" s="30"/>
      <c r="G331" s="31"/>
      <c r="H331" s="28"/>
      <c r="I331" s="29"/>
      <c r="J331" s="29"/>
      <c r="K331" s="29"/>
      <c r="L331" s="29"/>
      <c r="M331" s="29"/>
      <c r="N331" s="29"/>
      <c r="O331" s="29"/>
      <c r="P331" s="29"/>
      <c r="Q331" s="29"/>
      <c r="R331" s="29"/>
      <c r="S331" s="28"/>
      <c r="T331" s="32" t="str">
        <f aca="false">IF(AND(K331="",L331=""),"",IF(OR(K331="-",L331="-"),"측정불가",IF(AND(ISNUMBER(K331),ISNUMBER(L331)),IF(OR(K331&gt;=설정!$C$9,L331&gt;=설정!$C$10),"긴급",IF(OR(K331&gt;=설정!$C$7,L331&gt;=설정!$C$8,K331&lt;설정!$C$11),"주의","정상")),"확인필요")))</f>
        <v/>
      </c>
      <c r="U331" s="32" t="str">
        <f aca="false">IF(M331="","",IF(M331="-","측정불가",IF(NOT(ISNUMBER(M331)),"확인필요",IF(M331&lt;설정!$C$15,"긴급(저혈당)",IF(M331&gt;=설정!$C$16,"긴급(고혈당)",IF(N331="공복",IF(M331&gt;=설정!$C$13,"주의","정상"),IF(N331="식후",IF(M331&gt;=설정!$C$14,"주의","정상"),"조건확인")))))))</f>
        <v/>
      </c>
      <c r="V331" s="32" t="str">
        <f aca="false">IF(OR(T331="긴급",LEFT(U331,2)="긴급",P331="O"),"대상","")</f>
        <v/>
      </c>
      <c r="W331" s="33" t="str">
        <f aca="false">IF(R331&lt;&gt;"",R331,IF(O331="O",IF(V331="대상",IF(Q331="O","완료","추가상담 대기"),"완료"),IF(COUNTA(K331:M331)=3,"상담 대기",IF(J331="O","측정 대기",IF(I331="O","운동평가 대기","미방문")))))</f>
        <v>미방문</v>
      </c>
      <c r="X331" s="34"/>
      <c r="Y331" s="34"/>
      <c r="Z331" s="34"/>
      <c r="AA331" s="34"/>
      <c r="AB331" s="34"/>
      <c r="AC331" s="35" t="str">
        <f aca="false">IF(AND(ISNUMBER(X331),ISNUMBER(Y331)),IF(Y331&gt;=X331,ROUND((Y331-X331)*1440,0),""),"")</f>
        <v/>
      </c>
      <c r="AD331" s="35" t="str">
        <f aca="false">IF(AND(ISNUMBER(Y331),ISNUMBER(Z331)),IF(Z331&gt;=Y331,ROUND((Z331-Y331)*1440,0),""),"")</f>
        <v/>
      </c>
      <c r="AE331" s="35" t="str">
        <f aca="false">IF(AND(ISNUMBER(Z331),ISNUMBER(AA331)),IF(AA331&gt;=Z331,ROUND((AA331-Z331)*1440,0),""),"")</f>
        <v/>
      </c>
      <c r="AF331" s="35" t="str">
        <f aca="false">IF(AND(ISNUMBER(AA331),ISNUMBER(AB331)),IF(AB331&gt;=AA331,ROUND((AB331-AA331)*1440,0),""),"")</f>
        <v/>
      </c>
      <c r="AG331" s="35" t="str">
        <f aca="false">IF(AND(W331="완료",ISNUMBER(X331)),IF(MAX(Y331:AB331)&gt;=X331,ROUND((MAX(Y331:AB331)-X331)*1440,0),""),"")</f>
        <v/>
      </c>
    </row>
    <row r="332" customFormat="false" ht="15" hidden="false" customHeight="false" outlineLevel="0" collapsed="false">
      <c r="A332" s="27" t="n">
        <v>328</v>
      </c>
      <c r="B332" s="28"/>
      <c r="C332" s="29"/>
      <c r="D332" s="29"/>
      <c r="E332" s="28"/>
      <c r="F332" s="30"/>
      <c r="G332" s="31"/>
      <c r="H332" s="28"/>
      <c r="I332" s="29"/>
      <c r="J332" s="29"/>
      <c r="K332" s="29"/>
      <c r="L332" s="29"/>
      <c r="M332" s="29"/>
      <c r="N332" s="29"/>
      <c r="O332" s="29"/>
      <c r="P332" s="29"/>
      <c r="Q332" s="29"/>
      <c r="R332" s="29"/>
      <c r="S332" s="28"/>
      <c r="T332" s="32" t="str">
        <f aca="false">IF(AND(K332="",L332=""),"",IF(OR(K332="-",L332="-"),"측정불가",IF(AND(ISNUMBER(K332),ISNUMBER(L332)),IF(OR(K332&gt;=설정!$C$9,L332&gt;=설정!$C$10),"긴급",IF(OR(K332&gt;=설정!$C$7,L332&gt;=설정!$C$8,K332&lt;설정!$C$11),"주의","정상")),"확인필요")))</f>
        <v/>
      </c>
      <c r="U332" s="32" t="str">
        <f aca="false">IF(M332="","",IF(M332="-","측정불가",IF(NOT(ISNUMBER(M332)),"확인필요",IF(M332&lt;설정!$C$15,"긴급(저혈당)",IF(M332&gt;=설정!$C$16,"긴급(고혈당)",IF(N332="공복",IF(M332&gt;=설정!$C$13,"주의","정상"),IF(N332="식후",IF(M332&gt;=설정!$C$14,"주의","정상"),"조건확인")))))))</f>
        <v/>
      </c>
      <c r="V332" s="32" t="str">
        <f aca="false">IF(OR(T332="긴급",LEFT(U332,2)="긴급",P332="O"),"대상","")</f>
        <v/>
      </c>
      <c r="W332" s="33" t="str">
        <f aca="false">IF(R332&lt;&gt;"",R332,IF(O332="O",IF(V332="대상",IF(Q332="O","완료","추가상담 대기"),"완료"),IF(COUNTA(K332:M332)=3,"상담 대기",IF(J332="O","측정 대기",IF(I332="O","운동평가 대기","미방문")))))</f>
        <v>미방문</v>
      </c>
      <c r="X332" s="34"/>
      <c r="Y332" s="34"/>
      <c r="Z332" s="34"/>
      <c r="AA332" s="34"/>
      <c r="AB332" s="34"/>
      <c r="AC332" s="35" t="str">
        <f aca="false">IF(AND(ISNUMBER(X332),ISNUMBER(Y332)),IF(Y332&gt;=X332,ROUND((Y332-X332)*1440,0),""),"")</f>
        <v/>
      </c>
      <c r="AD332" s="35" t="str">
        <f aca="false">IF(AND(ISNUMBER(Y332),ISNUMBER(Z332)),IF(Z332&gt;=Y332,ROUND((Z332-Y332)*1440,0),""),"")</f>
        <v/>
      </c>
      <c r="AE332" s="35" t="str">
        <f aca="false">IF(AND(ISNUMBER(Z332),ISNUMBER(AA332)),IF(AA332&gt;=Z332,ROUND((AA332-Z332)*1440,0),""),"")</f>
        <v/>
      </c>
      <c r="AF332" s="35" t="str">
        <f aca="false">IF(AND(ISNUMBER(AA332),ISNUMBER(AB332)),IF(AB332&gt;=AA332,ROUND((AB332-AA332)*1440,0),""),"")</f>
        <v/>
      </c>
      <c r="AG332" s="35" t="str">
        <f aca="false">IF(AND(W332="완료",ISNUMBER(X332)),IF(MAX(Y332:AB332)&gt;=X332,ROUND((MAX(Y332:AB332)-X332)*1440,0),""),"")</f>
        <v/>
      </c>
    </row>
    <row r="333" customFormat="false" ht="15" hidden="false" customHeight="false" outlineLevel="0" collapsed="false">
      <c r="A333" s="27" t="n">
        <v>329</v>
      </c>
      <c r="B333" s="28"/>
      <c r="C333" s="29"/>
      <c r="D333" s="29"/>
      <c r="E333" s="28"/>
      <c r="F333" s="30"/>
      <c r="G333" s="31"/>
      <c r="H333" s="28"/>
      <c r="I333" s="29"/>
      <c r="J333" s="29"/>
      <c r="K333" s="29"/>
      <c r="L333" s="29"/>
      <c r="M333" s="29"/>
      <c r="N333" s="29"/>
      <c r="O333" s="29"/>
      <c r="P333" s="29"/>
      <c r="Q333" s="29"/>
      <c r="R333" s="29"/>
      <c r="S333" s="28"/>
      <c r="T333" s="32" t="str">
        <f aca="false">IF(AND(K333="",L333=""),"",IF(OR(K333="-",L333="-"),"측정불가",IF(AND(ISNUMBER(K333),ISNUMBER(L333)),IF(OR(K333&gt;=설정!$C$9,L333&gt;=설정!$C$10),"긴급",IF(OR(K333&gt;=설정!$C$7,L333&gt;=설정!$C$8,K333&lt;설정!$C$11),"주의","정상")),"확인필요")))</f>
        <v/>
      </c>
      <c r="U333" s="32" t="str">
        <f aca="false">IF(M333="","",IF(M333="-","측정불가",IF(NOT(ISNUMBER(M333)),"확인필요",IF(M333&lt;설정!$C$15,"긴급(저혈당)",IF(M333&gt;=설정!$C$16,"긴급(고혈당)",IF(N333="공복",IF(M333&gt;=설정!$C$13,"주의","정상"),IF(N333="식후",IF(M333&gt;=설정!$C$14,"주의","정상"),"조건확인")))))))</f>
        <v/>
      </c>
      <c r="V333" s="32" t="str">
        <f aca="false">IF(OR(T333="긴급",LEFT(U333,2)="긴급",P333="O"),"대상","")</f>
        <v/>
      </c>
      <c r="W333" s="33" t="str">
        <f aca="false">IF(R333&lt;&gt;"",R333,IF(O333="O",IF(V333="대상",IF(Q333="O","완료","추가상담 대기"),"완료"),IF(COUNTA(K333:M333)=3,"상담 대기",IF(J333="O","측정 대기",IF(I333="O","운동평가 대기","미방문")))))</f>
        <v>미방문</v>
      </c>
      <c r="X333" s="34"/>
      <c r="Y333" s="34"/>
      <c r="Z333" s="34"/>
      <c r="AA333" s="34"/>
      <c r="AB333" s="34"/>
      <c r="AC333" s="35" t="str">
        <f aca="false">IF(AND(ISNUMBER(X333),ISNUMBER(Y333)),IF(Y333&gt;=X333,ROUND((Y333-X333)*1440,0),""),"")</f>
        <v/>
      </c>
      <c r="AD333" s="35" t="str">
        <f aca="false">IF(AND(ISNUMBER(Y333),ISNUMBER(Z333)),IF(Z333&gt;=Y333,ROUND((Z333-Y333)*1440,0),""),"")</f>
        <v/>
      </c>
      <c r="AE333" s="35" t="str">
        <f aca="false">IF(AND(ISNUMBER(Z333),ISNUMBER(AA333)),IF(AA333&gt;=Z333,ROUND((AA333-Z333)*1440,0),""),"")</f>
        <v/>
      </c>
      <c r="AF333" s="35" t="str">
        <f aca="false">IF(AND(ISNUMBER(AA333),ISNUMBER(AB333)),IF(AB333&gt;=AA333,ROUND((AB333-AA333)*1440,0),""),"")</f>
        <v/>
      </c>
      <c r="AG333" s="35" t="str">
        <f aca="false">IF(AND(W333="완료",ISNUMBER(X333)),IF(MAX(Y333:AB333)&gt;=X333,ROUND((MAX(Y333:AB333)-X333)*1440,0),""),"")</f>
        <v/>
      </c>
    </row>
    <row r="334" customFormat="false" ht="15" hidden="false" customHeight="false" outlineLevel="0" collapsed="false">
      <c r="A334" s="27" t="n">
        <v>330</v>
      </c>
      <c r="B334" s="28"/>
      <c r="C334" s="29"/>
      <c r="D334" s="29"/>
      <c r="E334" s="28"/>
      <c r="F334" s="30"/>
      <c r="G334" s="31"/>
      <c r="H334" s="28"/>
      <c r="I334" s="29"/>
      <c r="J334" s="29"/>
      <c r="K334" s="29"/>
      <c r="L334" s="29"/>
      <c r="M334" s="29"/>
      <c r="N334" s="29"/>
      <c r="O334" s="29"/>
      <c r="P334" s="29"/>
      <c r="Q334" s="29"/>
      <c r="R334" s="29"/>
      <c r="S334" s="28"/>
      <c r="T334" s="32" t="str">
        <f aca="false">IF(AND(K334="",L334=""),"",IF(OR(K334="-",L334="-"),"측정불가",IF(AND(ISNUMBER(K334),ISNUMBER(L334)),IF(OR(K334&gt;=설정!$C$9,L334&gt;=설정!$C$10),"긴급",IF(OR(K334&gt;=설정!$C$7,L334&gt;=설정!$C$8,K334&lt;설정!$C$11),"주의","정상")),"확인필요")))</f>
        <v/>
      </c>
      <c r="U334" s="32" t="str">
        <f aca="false">IF(M334="","",IF(M334="-","측정불가",IF(NOT(ISNUMBER(M334)),"확인필요",IF(M334&lt;설정!$C$15,"긴급(저혈당)",IF(M334&gt;=설정!$C$16,"긴급(고혈당)",IF(N334="공복",IF(M334&gt;=설정!$C$13,"주의","정상"),IF(N334="식후",IF(M334&gt;=설정!$C$14,"주의","정상"),"조건확인")))))))</f>
        <v/>
      </c>
      <c r="V334" s="32" t="str">
        <f aca="false">IF(OR(T334="긴급",LEFT(U334,2)="긴급",P334="O"),"대상","")</f>
        <v/>
      </c>
      <c r="W334" s="33" t="str">
        <f aca="false">IF(R334&lt;&gt;"",R334,IF(O334="O",IF(V334="대상",IF(Q334="O","완료","추가상담 대기"),"완료"),IF(COUNTA(K334:M334)=3,"상담 대기",IF(J334="O","측정 대기",IF(I334="O","운동평가 대기","미방문")))))</f>
        <v>미방문</v>
      </c>
      <c r="X334" s="34"/>
      <c r="Y334" s="34"/>
      <c r="Z334" s="34"/>
      <c r="AA334" s="34"/>
      <c r="AB334" s="34"/>
      <c r="AC334" s="35" t="str">
        <f aca="false">IF(AND(ISNUMBER(X334),ISNUMBER(Y334)),IF(Y334&gt;=X334,ROUND((Y334-X334)*1440,0),""),"")</f>
        <v/>
      </c>
      <c r="AD334" s="35" t="str">
        <f aca="false">IF(AND(ISNUMBER(Y334),ISNUMBER(Z334)),IF(Z334&gt;=Y334,ROUND((Z334-Y334)*1440,0),""),"")</f>
        <v/>
      </c>
      <c r="AE334" s="35" t="str">
        <f aca="false">IF(AND(ISNUMBER(Z334),ISNUMBER(AA334)),IF(AA334&gt;=Z334,ROUND((AA334-Z334)*1440,0),""),"")</f>
        <v/>
      </c>
      <c r="AF334" s="35" t="str">
        <f aca="false">IF(AND(ISNUMBER(AA334),ISNUMBER(AB334)),IF(AB334&gt;=AA334,ROUND((AB334-AA334)*1440,0),""),"")</f>
        <v/>
      </c>
      <c r="AG334" s="35" t="str">
        <f aca="false">IF(AND(W334="완료",ISNUMBER(X334)),IF(MAX(Y334:AB334)&gt;=X334,ROUND((MAX(Y334:AB334)-X334)*1440,0),""),"")</f>
        <v/>
      </c>
    </row>
    <row r="335" customFormat="false" ht="15" hidden="false" customHeight="false" outlineLevel="0" collapsed="false">
      <c r="A335" s="27" t="n">
        <v>331</v>
      </c>
      <c r="B335" s="28"/>
      <c r="C335" s="29"/>
      <c r="D335" s="29"/>
      <c r="E335" s="28"/>
      <c r="F335" s="30"/>
      <c r="G335" s="31"/>
      <c r="H335" s="28"/>
      <c r="I335" s="29"/>
      <c r="J335" s="29"/>
      <c r="K335" s="29"/>
      <c r="L335" s="29"/>
      <c r="M335" s="29"/>
      <c r="N335" s="29"/>
      <c r="O335" s="29"/>
      <c r="P335" s="29"/>
      <c r="Q335" s="29"/>
      <c r="R335" s="29"/>
      <c r="S335" s="28"/>
      <c r="T335" s="32" t="str">
        <f aca="false">IF(AND(K335="",L335=""),"",IF(OR(K335="-",L335="-"),"측정불가",IF(AND(ISNUMBER(K335),ISNUMBER(L335)),IF(OR(K335&gt;=설정!$C$9,L335&gt;=설정!$C$10),"긴급",IF(OR(K335&gt;=설정!$C$7,L335&gt;=설정!$C$8,K335&lt;설정!$C$11),"주의","정상")),"확인필요")))</f>
        <v/>
      </c>
      <c r="U335" s="32" t="str">
        <f aca="false">IF(M335="","",IF(M335="-","측정불가",IF(NOT(ISNUMBER(M335)),"확인필요",IF(M335&lt;설정!$C$15,"긴급(저혈당)",IF(M335&gt;=설정!$C$16,"긴급(고혈당)",IF(N335="공복",IF(M335&gt;=설정!$C$13,"주의","정상"),IF(N335="식후",IF(M335&gt;=설정!$C$14,"주의","정상"),"조건확인")))))))</f>
        <v/>
      </c>
      <c r="V335" s="32" t="str">
        <f aca="false">IF(OR(T335="긴급",LEFT(U335,2)="긴급",P335="O"),"대상","")</f>
        <v/>
      </c>
      <c r="W335" s="33" t="str">
        <f aca="false">IF(R335&lt;&gt;"",R335,IF(O335="O",IF(V335="대상",IF(Q335="O","완료","추가상담 대기"),"완료"),IF(COUNTA(K335:M335)=3,"상담 대기",IF(J335="O","측정 대기",IF(I335="O","운동평가 대기","미방문")))))</f>
        <v>미방문</v>
      </c>
      <c r="X335" s="34"/>
      <c r="Y335" s="34"/>
      <c r="Z335" s="34"/>
      <c r="AA335" s="34"/>
      <c r="AB335" s="34"/>
      <c r="AC335" s="35" t="str">
        <f aca="false">IF(AND(ISNUMBER(X335),ISNUMBER(Y335)),IF(Y335&gt;=X335,ROUND((Y335-X335)*1440,0),""),"")</f>
        <v/>
      </c>
      <c r="AD335" s="35" t="str">
        <f aca="false">IF(AND(ISNUMBER(Y335),ISNUMBER(Z335)),IF(Z335&gt;=Y335,ROUND((Z335-Y335)*1440,0),""),"")</f>
        <v/>
      </c>
      <c r="AE335" s="35" t="str">
        <f aca="false">IF(AND(ISNUMBER(Z335),ISNUMBER(AA335)),IF(AA335&gt;=Z335,ROUND((AA335-Z335)*1440,0),""),"")</f>
        <v/>
      </c>
      <c r="AF335" s="35" t="str">
        <f aca="false">IF(AND(ISNUMBER(AA335),ISNUMBER(AB335)),IF(AB335&gt;=AA335,ROUND((AB335-AA335)*1440,0),""),"")</f>
        <v/>
      </c>
      <c r="AG335" s="35" t="str">
        <f aca="false">IF(AND(W335="완료",ISNUMBER(X335)),IF(MAX(Y335:AB335)&gt;=X335,ROUND((MAX(Y335:AB335)-X335)*1440,0),""),"")</f>
        <v/>
      </c>
    </row>
    <row r="336" customFormat="false" ht="15" hidden="false" customHeight="false" outlineLevel="0" collapsed="false">
      <c r="A336" s="27" t="n">
        <v>332</v>
      </c>
      <c r="B336" s="28"/>
      <c r="C336" s="29"/>
      <c r="D336" s="29"/>
      <c r="E336" s="28"/>
      <c r="F336" s="30"/>
      <c r="G336" s="31"/>
      <c r="H336" s="28"/>
      <c r="I336" s="29"/>
      <c r="J336" s="29"/>
      <c r="K336" s="29"/>
      <c r="L336" s="29"/>
      <c r="M336" s="29"/>
      <c r="N336" s="29"/>
      <c r="O336" s="29"/>
      <c r="P336" s="29"/>
      <c r="Q336" s="29"/>
      <c r="R336" s="29"/>
      <c r="S336" s="28"/>
      <c r="T336" s="32" t="str">
        <f aca="false">IF(AND(K336="",L336=""),"",IF(OR(K336="-",L336="-"),"측정불가",IF(AND(ISNUMBER(K336),ISNUMBER(L336)),IF(OR(K336&gt;=설정!$C$9,L336&gt;=설정!$C$10),"긴급",IF(OR(K336&gt;=설정!$C$7,L336&gt;=설정!$C$8,K336&lt;설정!$C$11),"주의","정상")),"확인필요")))</f>
        <v/>
      </c>
      <c r="U336" s="32" t="str">
        <f aca="false">IF(M336="","",IF(M336="-","측정불가",IF(NOT(ISNUMBER(M336)),"확인필요",IF(M336&lt;설정!$C$15,"긴급(저혈당)",IF(M336&gt;=설정!$C$16,"긴급(고혈당)",IF(N336="공복",IF(M336&gt;=설정!$C$13,"주의","정상"),IF(N336="식후",IF(M336&gt;=설정!$C$14,"주의","정상"),"조건확인")))))))</f>
        <v/>
      </c>
      <c r="V336" s="32" t="str">
        <f aca="false">IF(OR(T336="긴급",LEFT(U336,2)="긴급",P336="O"),"대상","")</f>
        <v/>
      </c>
      <c r="W336" s="33" t="str">
        <f aca="false">IF(R336&lt;&gt;"",R336,IF(O336="O",IF(V336="대상",IF(Q336="O","완료","추가상담 대기"),"완료"),IF(COUNTA(K336:M336)=3,"상담 대기",IF(J336="O","측정 대기",IF(I336="O","운동평가 대기","미방문")))))</f>
        <v>미방문</v>
      </c>
      <c r="X336" s="34"/>
      <c r="Y336" s="34"/>
      <c r="Z336" s="34"/>
      <c r="AA336" s="34"/>
      <c r="AB336" s="34"/>
      <c r="AC336" s="35" t="str">
        <f aca="false">IF(AND(ISNUMBER(X336),ISNUMBER(Y336)),IF(Y336&gt;=X336,ROUND((Y336-X336)*1440,0),""),"")</f>
        <v/>
      </c>
      <c r="AD336" s="35" t="str">
        <f aca="false">IF(AND(ISNUMBER(Y336),ISNUMBER(Z336)),IF(Z336&gt;=Y336,ROUND((Z336-Y336)*1440,0),""),"")</f>
        <v/>
      </c>
      <c r="AE336" s="35" t="str">
        <f aca="false">IF(AND(ISNUMBER(Z336),ISNUMBER(AA336)),IF(AA336&gt;=Z336,ROUND((AA336-Z336)*1440,0),""),"")</f>
        <v/>
      </c>
      <c r="AF336" s="35" t="str">
        <f aca="false">IF(AND(ISNUMBER(AA336),ISNUMBER(AB336)),IF(AB336&gt;=AA336,ROUND((AB336-AA336)*1440,0),""),"")</f>
        <v/>
      </c>
      <c r="AG336" s="35" t="str">
        <f aca="false">IF(AND(W336="완료",ISNUMBER(X336)),IF(MAX(Y336:AB336)&gt;=X336,ROUND((MAX(Y336:AB336)-X336)*1440,0),""),"")</f>
        <v/>
      </c>
    </row>
    <row r="337" customFormat="false" ht="15" hidden="false" customHeight="false" outlineLevel="0" collapsed="false">
      <c r="A337" s="27" t="n">
        <v>333</v>
      </c>
      <c r="B337" s="28"/>
      <c r="C337" s="29"/>
      <c r="D337" s="29"/>
      <c r="E337" s="28"/>
      <c r="F337" s="30"/>
      <c r="G337" s="31"/>
      <c r="H337" s="28"/>
      <c r="I337" s="29"/>
      <c r="J337" s="29"/>
      <c r="K337" s="29"/>
      <c r="L337" s="29"/>
      <c r="M337" s="29"/>
      <c r="N337" s="29"/>
      <c r="O337" s="29"/>
      <c r="P337" s="29"/>
      <c r="Q337" s="29"/>
      <c r="R337" s="29"/>
      <c r="S337" s="28"/>
      <c r="T337" s="32" t="str">
        <f aca="false">IF(AND(K337="",L337=""),"",IF(OR(K337="-",L337="-"),"측정불가",IF(AND(ISNUMBER(K337),ISNUMBER(L337)),IF(OR(K337&gt;=설정!$C$9,L337&gt;=설정!$C$10),"긴급",IF(OR(K337&gt;=설정!$C$7,L337&gt;=설정!$C$8,K337&lt;설정!$C$11),"주의","정상")),"확인필요")))</f>
        <v/>
      </c>
      <c r="U337" s="32" t="str">
        <f aca="false">IF(M337="","",IF(M337="-","측정불가",IF(NOT(ISNUMBER(M337)),"확인필요",IF(M337&lt;설정!$C$15,"긴급(저혈당)",IF(M337&gt;=설정!$C$16,"긴급(고혈당)",IF(N337="공복",IF(M337&gt;=설정!$C$13,"주의","정상"),IF(N337="식후",IF(M337&gt;=설정!$C$14,"주의","정상"),"조건확인")))))))</f>
        <v/>
      </c>
      <c r="V337" s="32" t="str">
        <f aca="false">IF(OR(T337="긴급",LEFT(U337,2)="긴급",P337="O"),"대상","")</f>
        <v/>
      </c>
      <c r="W337" s="33" t="str">
        <f aca="false">IF(R337&lt;&gt;"",R337,IF(O337="O",IF(V337="대상",IF(Q337="O","완료","추가상담 대기"),"완료"),IF(COUNTA(K337:M337)=3,"상담 대기",IF(J337="O","측정 대기",IF(I337="O","운동평가 대기","미방문")))))</f>
        <v>미방문</v>
      </c>
      <c r="X337" s="34"/>
      <c r="Y337" s="34"/>
      <c r="Z337" s="34"/>
      <c r="AA337" s="34"/>
      <c r="AB337" s="34"/>
      <c r="AC337" s="35" t="str">
        <f aca="false">IF(AND(ISNUMBER(X337),ISNUMBER(Y337)),IF(Y337&gt;=X337,ROUND((Y337-X337)*1440,0),""),"")</f>
        <v/>
      </c>
      <c r="AD337" s="35" t="str">
        <f aca="false">IF(AND(ISNUMBER(Y337),ISNUMBER(Z337)),IF(Z337&gt;=Y337,ROUND((Z337-Y337)*1440,0),""),"")</f>
        <v/>
      </c>
      <c r="AE337" s="35" t="str">
        <f aca="false">IF(AND(ISNUMBER(Z337),ISNUMBER(AA337)),IF(AA337&gt;=Z337,ROUND((AA337-Z337)*1440,0),""),"")</f>
        <v/>
      </c>
      <c r="AF337" s="35" t="str">
        <f aca="false">IF(AND(ISNUMBER(AA337),ISNUMBER(AB337)),IF(AB337&gt;=AA337,ROUND((AB337-AA337)*1440,0),""),"")</f>
        <v/>
      </c>
      <c r="AG337" s="35" t="str">
        <f aca="false">IF(AND(W337="완료",ISNUMBER(X337)),IF(MAX(Y337:AB337)&gt;=X337,ROUND((MAX(Y337:AB337)-X337)*1440,0),""),"")</f>
        <v/>
      </c>
    </row>
    <row r="338" customFormat="false" ht="15" hidden="false" customHeight="false" outlineLevel="0" collapsed="false">
      <c r="A338" s="27" t="n">
        <v>334</v>
      </c>
      <c r="B338" s="28"/>
      <c r="C338" s="29"/>
      <c r="D338" s="29"/>
      <c r="E338" s="28"/>
      <c r="F338" s="30"/>
      <c r="G338" s="31"/>
      <c r="H338" s="28"/>
      <c r="I338" s="29"/>
      <c r="J338" s="29"/>
      <c r="K338" s="29"/>
      <c r="L338" s="29"/>
      <c r="M338" s="29"/>
      <c r="N338" s="29"/>
      <c r="O338" s="29"/>
      <c r="P338" s="29"/>
      <c r="Q338" s="29"/>
      <c r="R338" s="29"/>
      <c r="S338" s="28"/>
      <c r="T338" s="32" t="str">
        <f aca="false">IF(AND(K338="",L338=""),"",IF(OR(K338="-",L338="-"),"측정불가",IF(AND(ISNUMBER(K338),ISNUMBER(L338)),IF(OR(K338&gt;=설정!$C$9,L338&gt;=설정!$C$10),"긴급",IF(OR(K338&gt;=설정!$C$7,L338&gt;=설정!$C$8,K338&lt;설정!$C$11),"주의","정상")),"확인필요")))</f>
        <v/>
      </c>
      <c r="U338" s="32" t="str">
        <f aca="false">IF(M338="","",IF(M338="-","측정불가",IF(NOT(ISNUMBER(M338)),"확인필요",IF(M338&lt;설정!$C$15,"긴급(저혈당)",IF(M338&gt;=설정!$C$16,"긴급(고혈당)",IF(N338="공복",IF(M338&gt;=설정!$C$13,"주의","정상"),IF(N338="식후",IF(M338&gt;=설정!$C$14,"주의","정상"),"조건확인")))))))</f>
        <v/>
      </c>
      <c r="V338" s="32" t="str">
        <f aca="false">IF(OR(T338="긴급",LEFT(U338,2)="긴급",P338="O"),"대상","")</f>
        <v/>
      </c>
      <c r="W338" s="33" t="str">
        <f aca="false">IF(R338&lt;&gt;"",R338,IF(O338="O",IF(V338="대상",IF(Q338="O","완료","추가상담 대기"),"완료"),IF(COUNTA(K338:M338)=3,"상담 대기",IF(J338="O","측정 대기",IF(I338="O","운동평가 대기","미방문")))))</f>
        <v>미방문</v>
      </c>
      <c r="X338" s="34"/>
      <c r="Y338" s="34"/>
      <c r="Z338" s="34"/>
      <c r="AA338" s="34"/>
      <c r="AB338" s="34"/>
      <c r="AC338" s="35" t="str">
        <f aca="false">IF(AND(ISNUMBER(X338),ISNUMBER(Y338)),IF(Y338&gt;=X338,ROUND((Y338-X338)*1440,0),""),"")</f>
        <v/>
      </c>
      <c r="AD338" s="35" t="str">
        <f aca="false">IF(AND(ISNUMBER(Y338),ISNUMBER(Z338)),IF(Z338&gt;=Y338,ROUND((Z338-Y338)*1440,0),""),"")</f>
        <v/>
      </c>
      <c r="AE338" s="35" t="str">
        <f aca="false">IF(AND(ISNUMBER(Z338),ISNUMBER(AA338)),IF(AA338&gt;=Z338,ROUND((AA338-Z338)*1440,0),""),"")</f>
        <v/>
      </c>
      <c r="AF338" s="35" t="str">
        <f aca="false">IF(AND(ISNUMBER(AA338),ISNUMBER(AB338)),IF(AB338&gt;=AA338,ROUND((AB338-AA338)*1440,0),""),"")</f>
        <v/>
      </c>
      <c r="AG338" s="35" t="str">
        <f aca="false">IF(AND(W338="완료",ISNUMBER(X338)),IF(MAX(Y338:AB338)&gt;=X338,ROUND((MAX(Y338:AB338)-X338)*1440,0),""),"")</f>
        <v/>
      </c>
    </row>
    <row r="339" customFormat="false" ht="15" hidden="false" customHeight="false" outlineLevel="0" collapsed="false">
      <c r="A339" s="27" t="n">
        <v>335</v>
      </c>
      <c r="B339" s="28"/>
      <c r="C339" s="29"/>
      <c r="D339" s="29"/>
      <c r="E339" s="28"/>
      <c r="F339" s="30"/>
      <c r="G339" s="31"/>
      <c r="H339" s="28"/>
      <c r="I339" s="29"/>
      <c r="J339" s="29"/>
      <c r="K339" s="29"/>
      <c r="L339" s="29"/>
      <c r="M339" s="29"/>
      <c r="N339" s="29"/>
      <c r="O339" s="29"/>
      <c r="P339" s="29"/>
      <c r="Q339" s="29"/>
      <c r="R339" s="29"/>
      <c r="S339" s="28"/>
      <c r="T339" s="32" t="str">
        <f aca="false">IF(AND(K339="",L339=""),"",IF(OR(K339="-",L339="-"),"측정불가",IF(AND(ISNUMBER(K339),ISNUMBER(L339)),IF(OR(K339&gt;=설정!$C$9,L339&gt;=설정!$C$10),"긴급",IF(OR(K339&gt;=설정!$C$7,L339&gt;=설정!$C$8,K339&lt;설정!$C$11),"주의","정상")),"확인필요")))</f>
        <v/>
      </c>
      <c r="U339" s="32" t="str">
        <f aca="false">IF(M339="","",IF(M339="-","측정불가",IF(NOT(ISNUMBER(M339)),"확인필요",IF(M339&lt;설정!$C$15,"긴급(저혈당)",IF(M339&gt;=설정!$C$16,"긴급(고혈당)",IF(N339="공복",IF(M339&gt;=설정!$C$13,"주의","정상"),IF(N339="식후",IF(M339&gt;=설정!$C$14,"주의","정상"),"조건확인")))))))</f>
        <v/>
      </c>
      <c r="V339" s="32" t="str">
        <f aca="false">IF(OR(T339="긴급",LEFT(U339,2)="긴급",P339="O"),"대상","")</f>
        <v/>
      </c>
      <c r="W339" s="33" t="str">
        <f aca="false">IF(R339&lt;&gt;"",R339,IF(O339="O",IF(V339="대상",IF(Q339="O","완료","추가상담 대기"),"완료"),IF(COUNTA(K339:M339)=3,"상담 대기",IF(J339="O","측정 대기",IF(I339="O","운동평가 대기","미방문")))))</f>
        <v>미방문</v>
      </c>
      <c r="X339" s="34"/>
      <c r="Y339" s="34"/>
      <c r="Z339" s="34"/>
      <c r="AA339" s="34"/>
      <c r="AB339" s="34"/>
      <c r="AC339" s="35" t="str">
        <f aca="false">IF(AND(ISNUMBER(X339),ISNUMBER(Y339)),IF(Y339&gt;=X339,ROUND((Y339-X339)*1440,0),""),"")</f>
        <v/>
      </c>
      <c r="AD339" s="35" t="str">
        <f aca="false">IF(AND(ISNUMBER(Y339),ISNUMBER(Z339)),IF(Z339&gt;=Y339,ROUND((Z339-Y339)*1440,0),""),"")</f>
        <v/>
      </c>
      <c r="AE339" s="35" t="str">
        <f aca="false">IF(AND(ISNUMBER(Z339),ISNUMBER(AA339)),IF(AA339&gt;=Z339,ROUND((AA339-Z339)*1440,0),""),"")</f>
        <v/>
      </c>
      <c r="AF339" s="35" t="str">
        <f aca="false">IF(AND(ISNUMBER(AA339),ISNUMBER(AB339)),IF(AB339&gt;=AA339,ROUND((AB339-AA339)*1440,0),""),"")</f>
        <v/>
      </c>
      <c r="AG339" s="35" t="str">
        <f aca="false">IF(AND(W339="완료",ISNUMBER(X339)),IF(MAX(Y339:AB339)&gt;=X339,ROUND((MAX(Y339:AB339)-X339)*1440,0),""),"")</f>
        <v/>
      </c>
    </row>
    <row r="340" customFormat="false" ht="15" hidden="false" customHeight="false" outlineLevel="0" collapsed="false">
      <c r="A340" s="27" t="n">
        <v>336</v>
      </c>
      <c r="B340" s="28"/>
      <c r="C340" s="29"/>
      <c r="D340" s="29"/>
      <c r="E340" s="28"/>
      <c r="F340" s="30"/>
      <c r="G340" s="31"/>
      <c r="H340" s="28"/>
      <c r="I340" s="29"/>
      <c r="J340" s="29"/>
      <c r="K340" s="29"/>
      <c r="L340" s="29"/>
      <c r="M340" s="29"/>
      <c r="N340" s="29"/>
      <c r="O340" s="29"/>
      <c r="P340" s="29"/>
      <c r="Q340" s="29"/>
      <c r="R340" s="29"/>
      <c r="S340" s="28"/>
      <c r="T340" s="32" t="str">
        <f aca="false">IF(AND(K340="",L340=""),"",IF(OR(K340="-",L340="-"),"측정불가",IF(AND(ISNUMBER(K340),ISNUMBER(L340)),IF(OR(K340&gt;=설정!$C$9,L340&gt;=설정!$C$10),"긴급",IF(OR(K340&gt;=설정!$C$7,L340&gt;=설정!$C$8,K340&lt;설정!$C$11),"주의","정상")),"확인필요")))</f>
        <v/>
      </c>
      <c r="U340" s="32" t="str">
        <f aca="false">IF(M340="","",IF(M340="-","측정불가",IF(NOT(ISNUMBER(M340)),"확인필요",IF(M340&lt;설정!$C$15,"긴급(저혈당)",IF(M340&gt;=설정!$C$16,"긴급(고혈당)",IF(N340="공복",IF(M340&gt;=설정!$C$13,"주의","정상"),IF(N340="식후",IF(M340&gt;=설정!$C$14,"주의","정상"),"조건확인")))))))</f>
        <v/>
      </c>
      <c r="V340" s="32" t="str">
        <f aca="false">IF(OR(T340="긴급",LEFT(U340,2)="긴급",P340="O"),"대상","")</f>
        <v/>
      </c>
      <c r="W340" s="33" t="str">
        <f aca="false">IF(R340&lt;&gt;"",R340,IF(O340="O",IF(V340="대상",IF(Q340="O","완료","추가상담 대기"),"완료"),IF(COUNTA(K340:M340)=3,"상담 대기",IF(J340="O","측정 대기",IF(I340="O","운동평가 대기","미방문")))))</f>
        <v>미방문</v>
      </c>
      <c r="X340" s="34"/>
      <c r="Y340" s="34"/>
      <c r="Z340" s="34"/>
      <c r="AA340" s="34"/>
      <c r="AB340" s="34"/>
      <c r="AC340" s="35" t="str">
        <f aca="false">IF(AND(ISNUMBER(X340),ISNUMBER(Y340)),IF(Y340&gt;=X340,ROUND((Y340-X340)*1440,0),""),"")</f>
        <v/>
      </c>
      <c r="AD340" s="35" t="str">
        <f aca="false">IF(AND(ISNUMBER(Y340),ISNUMBER(Z340)),IF(Z340&gt;=Y340,ROUND((Z340-Y340)*1440,0),""),"")</f>
        <v/>
      </c>
      <c r="AE340" s="35" t="str">
        <f aca="false">IF(AND(ISNUMBER(Z340),ISNUMBER(AA340)),IF(AA340&gt;=Z340,ROUND((AA340-Z340)*1440,0),""),"")</f>
        <v/>
      </c>
      <c r="AF340" s="35" t="str">
        <f aca="false">IF(AND(ISNUMBER(AA340),ISNUMBER(AB340)),IF(AB340&gt;=AA340,ROUND((AB340-AA340)*1440,0),""),"")</f>
        <v/>
      </c>
      <c r="AG340" s="35" t="str">
        <f aca="false">IF(AND(W340="완료",ISNUMBER(X340)),IF(MAX(Y340:AB340)&gt;=X340,ROUND((MAX(Y340:AB340)-X340)*1440,0),""),"")</f>
        <v/>
      </c>
    </row>
    <row r="341" customFormat="false" ht="15" hidden="false" customHeight="false" outlineLevel="0" collapsed="false">
      <c r="A341" s="27" t="n">
        <v>337</v>
      </c>
      <c r="B341" s="28"/>
      <c r="C341" s="29"/>
      <c r="D341" s="29"/>
      <c r="E341" s="28"/>
      <c r="F341" s="30"/>
      <c r="G341" s="31"/>
      <c r="H341" s="28"/>
      <c r="I341" s="29"/>
      <c r="J341" s="29"/>
      <c r="K341" s="29"/>
      <c r="L341" s="29"/>
      <c r="M341" s="29"/>
      <c r="N341" s="29"/>
      <c r="O341" s="29"/>
      <c r="P341" s="29"/>
      <c r="Q341" s="29"/>
      <c r="R341" s="29"/>
      <c r="S341" s="28"/>
      <c r="T341" s="32" t="str">
        <f aca="false">IF(AND(K341="",L341=""),"",IF(OR(K341="-",L341="-"),"측정불가",IF(AND(ISNUMBER(K341),ISNUMBER(L341)),IF(OR(K341&gt;=설정!$C$9,L341&gt;=설정!$C$10),"긴급",IF(OR(K341&gt;=설정!$C$7,L341&gt;=설정!$C$8,K341&lt;설정!$C$11),"주의","정상")),"확인필요")))</f>
        <v/>
      </c>
      <c r="U341" s="32" t="str">
        <f aca="false">IF(M341="","",IF(M341="-","측정불가",IF(NOT(ISNUMBER(M341)),"확인필요",IF(M341&lt;설정!$C$15,"긴급(저혈당)",IF(M341&gt;=설정!$C$16,"긴급(고혈당)",IF(N341="공복",IF(M341&gt;=설정!$C$13,"주의","정상"),IF(N341="식후",IF(M341&gt;=설정!$C$14,"주의","정상"),"조건확인")))))))</f>
        <v/>
      </c>
      <c r="V341" s="32" t="str">
        <f aca="false">IF(OR(T341="긴급",LEFT(U341,2)="긴급",P341="O"),"대상","")</f>
        <v/>
      </c>
      <c r="W341" s="33" t="str">
        <f aca="false">IF(R341&lt;&gt;"",R341,IF(O341="O",IF(V341="대상",IF(Q341="O","완료","추가상담 대기"),"완료"),IF(COUNTA(K341:M341)=3,"상담 대기",IF(J341="O","측정 대기",IF(I341="O","운동평가 대기","미방문")))))</f>
        <v>미방문</v>
      </c>
      <c r="X341" s="34"/>
      <c r="Y341" s="34"/>
      <c r="Z341" s="34"/>
      <c r="AA341" s="34"/>
      <c r="AB341" s="34"/>
      <c r="AC341" s="35" t="str">
        <f aca="false">IF(AND(ISNUMBER(X341),ISNUMBER(Y341)),IF(Y341&gt;=X341,ROUND((Y341-X341)*1440,0),""),"")</f>
        <v/>
      </c>
      <c r="AD341" s="35" t="str">
        <f aca="false">IF(AND(ISNUMBER(Y341),ISNUMBER(Z341)),IF(Z341&gt;=Y341,ROUND((Z341-Y341)*1440,0),""),"")</f>
        <v/>
      </c>
      <c r="AE341" s="35" t="str">
        <f aca="false">IF(AND(ISNUMBER(Z341),ISNUMBER(AA341)),IF(AA341&gt;=Z341,ROUND((AA341-Z341)*1440,0),""),"")</f>
        <v/>
      </c>
      <c r="AF341" s="35" t="str">
        <f aca="false">IF(AND(ISNUMBER(AA341),ISNUMBER(AB341)),IF(AB341&gt;=AA341,ROUND((AB341-AA341)*1440,0),""),"")</f>
        <v/>
      </c>
      <c r="AG341" s="35" t="str">
        <f aca="false">IF(AND(W341="완료",ISNUMBER(X341)),IF(MAX(Y341:AB341)&gt;=X341,ROUND((MAX(Y341:AB341)-X341)*1440,0),""),"")</f>
        <v/>
      </c>
    </row>
    <row r="342" customFormat="false" ht="15" hidden="false" customHeight="false" outlineLevel="0" collapsed="false">
      <c r="A342" s="27" t="n">
        <v>338</v>
      </c>
      <c r="B342" s="28"/>
      <c r="C342" s="29"/>
      <c r="D342" s="29"/>
      <c r="E342" s="28"/>
      <c r="F342" s="30"/>
      <c r="G342" s="31"/>
      <c r="H342" s="28"/>
      <c r="I342" s="29"/>
      <c r="J342" s="29"/>
      <c r="K342" s="29"/>
      <c r="L342" s="29"/>
      <c r="M342" s="29"/>
      <c r="N342" s="29"/>
      <c r="O342" s="29"/>
      <c r="P342" s="29"/>
      <c r="Q342" s="29"/>
      <c r="R342" s="29"/>
      <c r="S342" s="28"/>
      <c r="T342" s="32" t="str">
        <f aca="false">IF(AND(K342="",L342=""),"",IF(OR(K342="-",L342="-"),"측정불가",IF(AND(ISNUMBER(K342),ISNUMBER(L342)),IF(OR(K342&gt;=설정!$C$9,L342&gt;=설정!$C$10),"긴급",IF(OR(K342&gt;=설정!$C$7,L342&gt;=설정!$C$8,K342&lt;설정!$C$11),"주의","정상")),"확인필요")))</f>
        <v/>
      </c>
      <c r="U342" s="32" t="str">
        <f aca="false">IF(M342="","",IF(M342="-","측정불가",IF(NOT(ISNUMBER(M342)),"확인필요",IF(M342&lt;설정!$C$15,"긴급(저혈당)",IF(M342&gt;=설정!$C$16,"긴급(고혈당)",IF(N342="공복",IF(M342&gt;=설정!$C$13,"주의","정상"),IF(N342="식후",IF(M342&gt;=설정!$C$14,"주의","정상"),"조건확인")))))))</f>
        <v/>
      </c>
      <c r="V342" s="32" t="str">
        <f aca="false">IF(OR(T342="긴급",LEFT(U342,2)="긴급",P342="O"),"대상","")</f>
        <v/>
      </c>
      <c r="W342" s="33" t="str">
        <f aca="false">IF(R342&lt;&gt;"",R342,IF(O342="O",IF(V342="대상",IF(Q342="O","완료","추가상담 대기"),"완료"),IF(COUNTA(K342:M342)=3,"상담 대기",IF(J342="O","측정 대기",IF(I342="O","운동평가 대기","미방문")))))</f>
        <v>미방문</v>
      </c>
      <c r="X342" s="34"/>
      <c r="Y342" s="34"/>
      <c r="Z342" s="34"/>
      <c r="AA342" s="34"/>
      <c r="AB342" s="34"/>
      <c r="AC342" s="35" t="str">
        <f aca="false">IF(AND(ISNUMBER(X342),ISNUMBER(Y342)),IF(Y342&gt;=X342,ROUND((Y342-X342)*1440,0),""),"")</f>
        <v/>
      </c>
      <c r="AD342" s="35" t="str">
        <f aca="false">IF(AND(ISNUMBER(Y342),ISNUMBER(Z342)),IF(Z342&gt;=Y342,ROUND((Z342-Y342)*1440,0),""),"")</f>
        <v/>
      </c>
      <c r="AE342" s="35" t="str">
        <f aca="false">IF(AND(ISNUMBER(Z342),ISNUMBER(AA342)),IF(AA342&gt;=Z342,ROUND((AA342-Z342)*1440,0),""),"")</f>
        <v/>
      </c>
      <c r="AF342" s="35" t="str">
        <f aca="false">IF(AND(ISNUMBER(AA342),ISNUMBER(AB342)),IF(AB342&gt;=AA342,ROUND((AB342-AA342)*1440,0),""),"")</f>
        <v/>
      </c>
      <c r="AG342" s="35" t="str">
        <f aca="false">IF(AND(W342="완료",ISNUMBER(X342)),IF(MAX(Y342:AB342)&gt;=X342,ROUND((MAX(Y342:AB342)-X342)*1440,0),""),"")</f>
        <v/>
      </c>
    </row>
    <row r="343" customFormat="false" ht="15" hidden="false" customHeight="false" outlineLevel="0" collapsed="false">
      <c r="A343" s="27" t="n">
        <v>339</v>
      </c>
      <c r="B343" s="28"/>
      <c r="C343" s="29"/>
      <c r="D343" s="29"/>
      <c r="E343" s="28"/>
      <c r="F343" s="30"/>
      <c r="G343" s="31"/>
      <c r="H343" s="28"/>
      <c r="I343" s="29"/>
      <c r="J343" s="29"/>
      <c r="K343" s="29"/>
      <c r="L343" s="29"/>
      <c r="M343" s="29"/>
      <c r="N343" s="29"/>
      <c r="O343" s="29"/>
      <c r="P343" s="29"/>
      <c r="Q343" s="29"/>
      <c r="R343" s="29"/>
      <c r="S343" s="28"/>
      <c r="T343" s="32" t="str">
        <f aca="false">IF(AND(K343="",L343=""),"",IF(OR(K343="-",L343="-"),"측정불가",IF(AND(ISNUMBER(K343),ISNUMBER(L343)),IF(OR(K343&gt;=설정!$C$9,L343&gt;=설정!$C$10),"긴급",IF(OR(K343&gt;=설정!$C$7,L343&gt;=설정!$C$8,K343&lt;설정!$C$11),"주의","정상")),"확인필요")))</f>
        <v/>
      </c>
      <c r="U343" s="32" t="str">
        <f aca="false">IF(M343="","",IF(M343="-","측정불가",IF(NOT(ISNUMBER(M343)),"확인필요",IF(M343&lt;설정!$C$15,"긴급(저혈당)",IF(M343&gt;=설정!$C$16,"긴급(고혈당)",IF(N343="공복",IF(M343&gt;=설정!$C$13,"주의","정상"),IF(N343="식후",IF(M343&gt;=설정!$C$14,"주의","정상"),"조건확인")))))))</f>
        <v/>
      </c>
      <c r="V343" s="32" t="str">
        <f aca="false">IF(OR(T343="긴급",LEFT(U343,2)="긴급",P343="O"),"대상","")</f>
        <v/>
      </c>
      <c r="W343" s="33" t="str">
        <f aca="false">IF(R343&lt;&gt;"",R343,IF(O343="O",IF(V343="대상",IF(Q343="O","완료","추가상담 대기"),"완료"),IF(COUNTA(K343:M343)=3,"상담 대기",IF(J343="O","측정 대기",IF(I343="O","운동평가 대기","미방문")))))</f>
        <v>미방문</v>
      </c>
      <c r="X343" s="34"/>
      <c r="Y343" s="34"/>
      <c r="Z343" s="34"/>
      <c r="AA343" s="34"/>
      <c r="AB343" s="34"/>
      <c r="AC343" s="35" t="str">
        <f aca="false">IF(AND(ISNUMBER(X343),ISNUMBER(Y343)),IF(Y343&gt;=X343,ROUND((Y343-X343)*1440,0),""),"")</f>
        <v/>
      </c>
      <c r="AD343" s="35" t="str">
        <f aca="false">IF(AND(ISNUMBER(Y343),ISNUMBER(Z343)),IF(Z343&gt;=Y343,ROUND((Z343-Y343)*1440,0),""),"")</f>
        <v/>
      </c>
      <c r="AE343" s="35" t="str">
        <f aca="false">IF(AND(ISNUMBER(Z343),ISNUMBER(AA343)),IF(AA343&gt;=Z343,ROUND((AA343-Z343)*1440,0),""),"")</f>
        <v/>
      </c>
      <c r="AF343" s="35" t="str">
        <f aca="false">IF(AND(ISNUMBER(AA343),ISNUMBER(AB343)),IF(AB343&gt;=AA343,ROUND((AB343-AA343)*1440,0),""),"")</f>
        <v/>
      </c>
      <c r="AG343" s="35" t="str">
        <f aca="false">IF(AND(W343="완료",ISNUMBER(X343)),IF(MAX(Y343:AB343)&gt;=X343,ROUND((MAX(Y343:AB343)-X343)*1440,0),""),"")</f>
        <v/>
      </c>
    </row>
    <row r="344" customFormat="false" ht="15" hidden="false" customHeight="false" outlineLevel="0" collapsed="false">
      <c r="A344" s="27" t="n">
        <v>340</v>
      </c>
      <c r="B344" s="28"/>
      <c r="C344" s="29"/>
      <c r="D344" s="29"/>
      <c r="E344" s="28"/>
      <c r="F344" s="30"/>
      <c r="G344" s="31"/>
      <c r="H344" s="28"/>
      <c r="I344" s="29"/>
      <c r="J344" s="29"/>
      <c r="K344" s="29"/>
      <c r="L344" s="29"/>
      <c r="M344" s="29"/>
      <c r="N344" s="29"/>
      <c r="O344" s="29"/>
      <c r="P344" s="29"/>
      <c r="Q344" s="29"/>
      <c r="R344" s="29"/>
      <c r="S344" s="28"/>
      <c r="T344" s="32" t="str">
        <f aca="false">IF(AND(K344="",L344=""),"",IF(OR(K344="-",L344="-"),"측정불가",IF(AND(ISNUMBER(K344),ISNUMBER(L344)),IF(OR(K344&gt;=설정!$C$9,L344&gt;=설정!$C$10),"긴급",IF(OR(K344&gt;=설정!$C$7,L344&gt;=설정!$C$8,K344&lt;설정!$C$11),"주의","정상")),"확인필요")))</f>
        <v/>
      </c>
      <c r="U344" s="32" t="str">
        <f aca="false">IF(M344="","",IF(M344="-","측정불가",IF(NOT(ISNUMBER(M344)),"확인필요",IF(M344&lt;설정!$C$15,"긴급(저혈당)",IF(M344&gt;=설정!$C$16,"긴급(고혈당)",IF(N344="공복",IF(M344&gt;=설정!$C$13,"주의","정상"),IF(N344="식후",IF(M344&gt;=설정!$C$14,"주의","정상"),"조건확인")))))))</f>
        <v/>
      </c>
      <c r="V344" s="32" t="str">
        <f aca="false">IF(OR(T344="긴급",LEFT(U344,2)="긴급",P344="O"),"대상","")</f>
        <v/>
      </c>
      <c r="W344" s="33" t="str">
        <f aca="false">IF(R344&lt;&gt;"",R344,IF(O344="O",IF(V344="대상",IF(Q344="O","완료","추가상담 대기"),"완료"),IF(COUNTA(K344:M344)=3,"상담 대기",IF(J344="O","측정 대기",IF(I344="O","운동평가 대기","미방문")))))</f>
        <v>미방문</v>
      </c>
      <c r="X344" s="34"/>
      <c r="Y344" s="34"/>
      <c r="Z344" s="34"/>
      <c r="AA344" s="34"/>
      <c r="AB344" s="34"/>
      <c r="AC344" s="35" t="str">
        <f aca="false">IF(AND(ISNUMBER(X344),ISNUMBER(Y344)),IF(Y344&gt;=X344,ROUND((Y344-X344)*1440,0),""),"")</f>
        <v/>
      </c>
      <c r="AD344" s="35" t="str">
        <f aca="false">IF(AND(ISNUMBER(Y344),ISNUMBER(Z344)),IF(Z344&gt;=Y344,ROUND((Z344-Y344)*1440,0),""),"")</f>
        <v/>
      </c>
      <c r="AE344" s="35" t="str">
        <f aca="false">IF(AND(ISNUMBER(Z344),ISNUMBER(AA344)),IF(AA344&gt;=Z344,ROUND((AA344-Z344)*1440,0),""),"")</f>
        <v/>
      </c>
      <c r="AF344" s="35" t="str">
        <f aca="false">IF(AND(ISNUMBER(AA344),ISNUMBER(AB344)),IF(AB344&gt;=AA344,ROUND((AB344-AA344)*1440,0),""),"")</f>
        <v/>
      </c>
      <c r="AG344" s="35" t="str">
        <f aca="false">IF(AND(W344="완료",ISNUMBER(X344)),IF(MAX(Y344:AB344)&gt;=X344,ROUND((MAX(Y344:AB344)-X344)*1440,0),""),"")</f>
        <v/>
      </c>
    </row>
    <row r="345" customFormat="false" ht="15" hidden="false" customHeight="false" outlineLevel="0" collapsed="false">
      <c r="A345" s="27" t="n">
        <v>341</v>
      </c>
      <c r="B345" s="28"/>
      <c r="C345" s="29"/>
      <c r="D345" s="29"/>
      <c r="E345" s="28"/>
      <c r="F345" s="30"/>
      <c r="G345" s="31"/>
      <c r="H345" s="28"/>
      <c r="I345" s="29"/>
      <c r="J345" s="29"/>
      <c r="K345" s="29"/>
      <c r="L345" s="29"/>
      <c r="M345" s="29"/>
      <c r="N345" s="29"/>
      <c r="O345" s="29"/>
      <c r="P345" s="29"/>
      <c r="Q345" s="29"/>
      <c r="R345" s="29"/>
      <c r="S345" s="28"/>
      <c r="T345" s="32" t="str">
        <f aca="false">IF(AND(K345="",L345=""),"",IF(OR(K345="-",L345="-"),"측정불가",IF(AND(ISNUMBER(K345),ISNUMBER(L345)),IF(OR(K345&gt;=설정!$C$9,L345&gt;=설정!$C$10),"긴급",IF(OR(K345&gt;=설정!$C$7,L345&gt;=설정!$C$8,K345&lt;설정!$C$11),"주의","정상")),"확인필요")))</f>
        <v/>
      </c>
      <c r="U345" s="32" t="str">
        <f aca="false">IF(M345="","",IF(M345="-","측정불가",IF(NOT(ISNUMBER(M345)),"확인필요",IF(M345&lt;설정!$C$15,"긴급(저혈당)",IF(M345&gt;=설정!$C$16,"긴급(고혈당)",IF(N345="공복",IF(M345&gt;=설정!$C$13,"주의","정상"),IF(N345="식후",IF(M345&gt;=설정!$C$14,"주의","정상"),"조건확인")))))))</f>
        <v/>
      </c>
      <c r="V345" s="32" t="str">
        <f aca="false">IF(OR(T345="긴급",LEFT(U345,2)="긴급",P345="O"),"대상","")</f>
        <v/>
      </c>
      <c r="W345" s="33" t="str">
        <f aca="false">IF(R345&lt;&gt;"",R345,IF(O345="O",IF(V345="대상",IF(Q345="O","완료","추가상담 대기"),"완료"),IF(COUNTA(K345:M345)=3,"상담 대기",IF(J345="O","측정 대기",IF(I345="O","운동평가 대기","미방문")))))</f>
        <v>미방문</v>
      </c>
      <c r="X345" s="34"/>
      <c r="Y345" s="34"/>
      <c r="Z345" s="34"/>
      <c r="AA345" s="34"/>
      <c r="AB345" s="34"/>
      <c r="AC345" s="35" t="str">
        <f aca="false">IF(AND(ISNUMBER(X345),ISNUMBER(Y345)),IF(Y345&gt;=X345,ROUND((Y345-X345)*1440,0),""),"")</f>
        <v/>
      </c>
      <c r="AD345" s="35" t="str">
        <f aca="false">IF(AND(ISNUMBER(Y345),ISNUMBER(Z345)),IF(Z345&gt;=Y345,ROUND((Z345-Y345)*1440,0),""),"")</f>
        <v/>
      </c>
      <c r="AE345" s="35" t="str">
        <f aca="false">IF(AND(ISNUMBER(Z345),ISNUMBER(AA345)),IF(AA345&gt;=Z345,ROUND((AA345-Z345)*1440,0),""),"")</f>
        <v/>
      </c>
      <c r="AF345" s="35" t="str">
        <f aca="false">IF(AND(ISNUMBER(AA345),ISNUMBER(AB345)),IF(AB345&gt;=AA345,ROUND((AB345-AA345)*1440,0),""),"")</f>
        <v/>
      </c>
      <c r="AG345" s="35" t="str">
        <f aca="false">IF(AND(W345="완료",ISNUMBER(X345)),IF(MAX(Y345:AB345)&gt;=X345,ROUND((MAX(Y345:AB345)-X345)*1440,0),""),"")</f>
        <v/>
      </c>
    </row>
    <row r="346" customFormat="false" ht="15" hidden="false" customHeight="false" outlineLevel="0" collapsed="false">
      <c r="A346" s="27" t="n">
        <v>342</v>
      </c>
      <c r="B346" s="28"/>
      <c r="C346" s="29"/>
      <c r="D346" s="29"/>
      <c r="E346" s="28"/>
      <c r="F346" s="30"/>
      <c r="G346" s="31"/>
      <c r="H346" s="28"/>
      <c r="I346" s="29"/>
      <c r="J346" s="29"/>
      <c r="K346" s="29"/>
      <c r="L346" s="29"/>
      <c r="M346" s="29"/>
      <c r="N346" s="29"/>
      <c r="O346" s="29"/>
      <c r="P346" s="29"/>
      <c r="Q346" s="29"/>
      <c r="R346" s="29"/>
      <c r="S346" s="28"/>
      <c r="T346" s="32" t="str">
        <f aca="false">IF(AND(K346="",L346=""),"",IF(OR(K346="-",L346="-"),"측정불가",IF(AND(ISNUMBER(K346),ISNUMBER(L346)),IF(OR(K346&gt;=설정!$C$9,L346&gt;=설정!$C$10),"긴급",IF(OR(K346&gt;=설정!$C$7,L346&gt;=설정!$C$8,K346&lt;설정!$C$11),"주의","정상")),"확인필요")))</f>
        <v/>
      </c>
      <c r="U346" s="32" t="str">
        <f aca="false">IF(M346="","",IF(M346="-","측정불가",IF(NOT(ISNUMBER(M346)),"확인필요",IF(M346&lt;설정!$C$15,"긴급(저혈당)",IF(M346&gt;=설정!$C$16,"긴급(고혈당)",IF(N346="공복",IF(M346&gt;=설정!$C$13,"주의","정상"),IF(N346="식후",IF(M346&gt;=설정!$C$14,"주의","정상"),"조건확인")))))))</f>
        <v/>
      </c>
      <c r="V346" s="32" t="str">
        <f aca="false">IF(OR(T346="긴급",LEFT(U346,2)="긴급",P346="O"),"대상","")</f>
        <v/>
      </c>
      <c r="W346" s="33" t="str">
        <f aca="false">IF(R346&lt;&gt;"",R346,IF(O346="O",IF(V346="대상",IF(Q346="O","완료","추가상담 대기"),"완료"),IF(COUNTA(K346:M346)=3,"상담 대기",IF(J346="O","측정 대기",IF(I346="O","운동평가 대기","미방문")))))</f>
        <v>미방문</v>
      </c>
      <c r="X346" s="34"/>
      <c r="Y346" s="34"/>
      <c r="Z346" s="34"/>
      <c r="AA346" s="34"/>
      <c r="AB346" s="34"/>
      <c r="AC346" s="35" t="str">
        <f aca="false">IF(AND(ISNUMBER(X346),ISNUMBER(Y346)),IF(Y346&gt;=X346,ROUND((Y346-X346)*1440,0),""),"")</f>
        <v/>
      </c>
      <c r="AD346" s="35" t="str">
        <f aca="false">IF(AND(ISNUMBER(Y346),ISNUMBER(Z346)),IF(Z346&gt;=Y346,ROUND((Z346-Y346)*1440,0),""),"")</f>
        <v/>
      </c>
      <c r="AE346" s="35" t="str">
        <f aca="false">IF(AND(ISNUMBER(Z346),ISNUMBER(AA346)),IF(AA346&gt;=Z346,ROUND((AA346-Z346)*1440,0),""),"")</f>
        <v/>
      </c>
      <c r="AF346" s="35" t="str">
        <f aca="false">IF(AND(ISNUMBER(AA346),ISNUMBER(AB346)),IF(AB346&gt;=AA346,ROUND((AB346-AA346)*1440,0),""),"")</f>
        <v/>
      </c>
      <c r="AG346" s="35" t="str">
        <f aca="false">IF(AND(W346="완료",ISNUMBER(X346)),IF(MAX(Y346:AB346)&gt;=X346,ROUND((MAX(Y346:AB346)-X346)*1440,0),""),"")</f>
        <v/>
      </c>
    </row>
    <row r="347" customFormat="false" ht="15" hidden="false" customHeight="false" outlineLevel="0" collapsed="false">
      <c r="A347" s="27" t="n">
        <v>343</v>
      </c>
      <c r="B347" s="28"/>
      <c r="C347" s="29"/>
      <c r="D347" s="29"/>
      <c r="E347" s="28"/>
      <c r="F347" s="30"/>
      <c r="G347" s="31"/>
      <c r="H347" s="28"/>
      <c r="I347" s="29"/>
      <c r="J347" s="29"/>
      <c r="K347" s="29"/>
      <c r="L347" s="29"/>
      <c r="M347" s="29"/>
      <c r="N347" s="29"/>
      <c r="O347" s="29"/>
      <c r="P347" s="29"/>
      <c r="Q347" s="29"/>
      <c r="R347" s="29"/>
      <c r="S347" s="28"/>
      <c r="T347" s="32" t="str">
        <f aca="false">IF(AND(K347="",L347=""),"",IF(OR(K347="-",L347="-"),"측정불가",IF(AND(ISNUMBER(K347),ISNUMBER(L347)),IF(OR(K347&gt;=설정!$C$9,L347&gt;=설정!$C$10),"긴급",IF(OR(K347&gt;=설정!$C$7,L347&gt;=설정!$C$8,K347&lt;설정!$C$11),"주의","정상")),"확인필요")))</f>
        <v/>
      </c>
      <c r="U347" s="32" t="str">
        <f aca="false">IF(M347="","",IF(M347="-","측정불가",IF(NOT(ISNUMBER(M347)),"확인필요",IF(M347&lt;설정!$C$15,"긴급(저혈당)",IF(M347&gt;=설정!$C$16,"긴급(고혈당)",IF(N347="공복",IF(M347&gt;=설정!$C$13,"주의","정상"),IF(N347="식후",IF(M347&gt;=설정!$C$14,"주의","정상"),"조건확인")))))))</f>
        <v/>
      </c>
      <c r="V347" s="32" t="str">
        <f aca="false">IF(OR(T347="긴급",LEFT(U347,2)="긴급",P347="O"),"대상","")</f>
        <v/>
      </c>
      <c r="W347" s="33" t="str">
        <f aca="false">IF(R347&lt;&gt;"",R347,IF(O347="O",IF(V347="대상",IF(Q347="O","완료","추가상담 대기"),"완료"),IF(COUNTA(K347:M347)=3,"상담 대기",IF(J347="O","측정 대기",IF(I347="O","운동평가 대기","미방문")))))</f>
        <v>미방문</v>
      </c>
      <c r="X347" s="34"/>
      <c r="Y347" s="34"/>
      <c r="Z347" s="34"/>
      <c r="AA347" s="34"/>
      <c r="AB347" s="34"/>
      <c r="AC347" s="35" t="str">
        <f aca="false">IF(AND(ISNUMBER(X347),ISNUMBER(Y347)),IF(Y347&gt;=X347,ROUND((Y347-X347)*1440,0),""),"")</f>
        <v/>
      </c>
      <c r="AD347" s="35" t="str">
        <f aca="false">IF(AND(ISNUMBER(Y347),ISNUMBER(Z347)),IF(Z347&gt;=Y347,ROUND((Z347-Y347)*1440,0),""),"")</f>
        <v/>
      </c>
      <c r="AE347" s="35" t="str">
        <f aca="false">IF(AND(ISNUMBER(Z347),ISNUMBER(AA347)),IF(AA347&gt;=Z347,ROUND((AA347-Z347)*1440,0),""),"")</f>
        <v/>
      </c>
      <c r="AF347" s="35" t="str">
        <f aca="false">IF(AND(ISNUMBER(AA347),ISNUMBER(AB347)),IF(AB347&gt;=AA347,ROUND((AB347-AA347)*1440,0),""),"")</f>
        <v/>
      </c>
      <c r="AG347" s="35" t="str">
        <f aca="false">IF(AND(W347="완료",ISNUMBER(X347)),IF(MAX(Y347:AB347)&gt;=X347,ROUND((MAX(Y347:AB347)-X347)*1440,0),""),"")</f>
        <v/>
      </c>
    </row>
    <row r="348" customFormat="false" ht="15" hidden="false" customHeight="false" outlineLevel="0" collapsed="false">
      <c r="A348" s="27" t="n">
        <v>344</v>
      </c>
      <c r="B348" s="28"/>
      <c r="C348" s="29"/>
      <c r="D348" s="29"/>
      <c r="E348" s="28"/>
      <c r="F348" s="30"/>
      <c r="G348" s="31"/>
      <c r="H348" s="28"/>
      <c r="I348" s="29"/>
      <c r="J348" s="29"/>
      <c r="K348" s="29"/>
      <c r="L348" s="29"/>
      <c r="M348" s="29"/>
      <c r="N348" s="29"/>
      <c r="O348" s="29"/>
      <c r="P348" s="29"/>
      <c r="Q348" s="29"/>
      <c r="R348" s="29"/>
      <c r="S348" s="28"/>
      <c r="T348" s="32" t="str">
        <f aca="false">IF(AND(K348="",L348=""),"",IF(OR(K348="-",L348="-"),"측정불가",IF(AND(ISNUMBER(K348),ISNUMBER(L348)),IF(OR(K348&gt;=설정!$C$9,L348&gt;=설정!$C$10),"긴급",IF(OR(K348&gt;=설정!$C$7,L348&gt;=설정!$C$8,K348&lt;설정!$C$11),"주의","정상")),"확인필요")))</f>
        <v/>
      </c>
      <c r="U348" s="32" t="str">
        <f aca="false">IF(M348="","",IF(M348="-","측정불가",IF(NOT(ISNUMBER(M348)),"확인필요",IF(M348&lt;설정!$C$15,"긴급(저혈당)",IF(M348&gt;=설정!$C$16,"긴급(고혈당)",IF(N348="공복",IF(M348&gt;=설정!$C$13,"주의","정상"),IF(N348="식후",IF(M348&gt;=설정!$C$14,"주의","정상"),"조건확인")))))))</f>
        <v/>
      </c>
      <c r="V348" s="32" t="str">
        <f aca="false">IF(OR(T348="긴급",LEFT(U348,2)="긴급",P348="O"),"대상","")</f>
        <v/>
      </c>
      <c r="W348" s="33" t="str">
        <f aca="false">IF(R348&lt;&gt;"",R348,IF(O348="O",IF(V348="대상",IF(Q348="O","완료","추가상담 대기"),"완료"),IF(COUNTA(K348:M348)=3,"상담 대기",IF(J348="O","측정 대기",IF(I348="O","운동평가 대기","미방문")))))</f>
        <v>미방문</v>
      </c>
      <c r="X348" s="34"/>
      <c r="Y348" s="34"/>
      <c r="Z348" s="34"/>
      <c r="AA348" s="34"/>
      <c r="AB348" s="34"/>
      <c r="AC348" s="35" t="str">
        <f aca="false">IF(AND(ISNUMBER(X348),ISNUMBER(Y348)),IF(Y348&gt;=X348,ROUND((Y348-X348)*1440,0),""),"")</f>
        <v/>
      </c>
      <c r="AD348" s="35" t="str">
        <f aca="false">IF(AND(ISNUMBER(Y348),ISNUMBER(Z348)),IF(Z348&gt;=Y348,ROUND((Z348-Y348)*1440,0),""),"")</f>
        <v/>
      </c>
      <c r="AE348" s="35" t="str">
        <f aca="false">IF(AND(ISNUMBER(Z348),ISNUMBER(AA348)),IF(AA348&gt;=Z348,ROUND((AA348-Z348)*1440,0),""),"")</f>
        <v/>
      </c>
      <c r="AF348" s="35" t="str">
        <f aca="false">IF(AND(ISNUMBER(AA348),ISNUMBER(AB348)),IF(AB348&gt;=AA348,ROUND((AB348-AA348)*1440,0),""),"")</f>
        <v/>
      </c>
      <c r="AG348" s="35" t="str">
        <f aca="false">IF(AND(W348="완료",ISNUMBER(X348)),IF(MAX(Y348:AB348)&gt;=X348,ROUND((MAX(Y348:AB348)-X348)*1440,0),""),"")</f>
        <v/>
      </c>
    </row>
    <row r="349" customFormat="false" ht="15" hidden="false" customHeight="false" outlineLevel="0" collapsed="false">
      <c r="A349" s="27" t="n">
        <v>345</v>
      </c>
      <c r="B349" s="28"/>
      <c r="C349" s="29"/>
      <c r="D349" s="29"/>
      <c r="E349" s="28"/>
      <c r="F349" s="30"/>
      <c r="G349" s="31"/>
      <c r="H349" s="28"/>
      <c r="I349" s="29"/>
      <c r="J349" s="29"/>
      <c r="K349" s="29"/>
      <c r="L349" s="29"/>
      <c r="M349" s="29"/>
      <c r="N349" s="29"/>
      <c r="O349" s="29"/>
      <c r="P349" s="29"/>
      <c r="Q349" s="29"/>
      <c r="R349" s="29"/>
      <c r="S349" s="28"/>
      <c r="T349" s="32" t="str">
        <f aca="false">IF(AND(K349="",L349=""),"",IF(OR(K349="-",L349="-"),"측정불가",IF(AND(ISNUMBER(K349),ISNUMBER(L349)),IF(OR(K349&gt;=설정!$C$9,L349&gt;=설정!$C$10),"긴급",IF(OR(K349&gt;=설정!$C$7,L349&gt;=설정!$C$8,K349&lt;설정!$C$11),"주의","정상")),"확인필요")))</f>
        <v/>
      </c>
      <c r="U349" s="32" t="str">
        <f aca="false">IF(M349="","",IF(M349="-","측정불가",IF(NOT(ISNUMBER(M349)),"확인필요",IF(M349&lt;설정!$C$15,"긴급(저혈당)",IF(M349&gt;=설정!$C$16,"긴급(고혈당)",IF(N349="공복",IF(M349&gt;=설정!$C$13,"주의","정상"),IF(N349="식후",IF(M349&gt;=설정!$C$14,"주의","정상"),"조건확인")))))))</f>
        <v/>
      </c>
      <c r="V349" s="32" t="str">
        <f aca="false">IF(OR(T349="긴급",LEFT(U349,2)="긴급",P349="O"),"대상","")</f>
        <v/>
      </c>
      <c r="W349" s="33" t="str">
        <f aca="false">IF(R349&lt;&gt;"",R349,IF(O349="O",IF(V349="대상",IF(Q349="O","완료","추가상담 대기"),"완료"),IF(COUNTA(K349:M349)=3,"상담 대기",IF(J349="O","측정 대기",IF(I349="O","운동평가 대기","미방문")))))</f>
        <v>미방문</v>
      </c>
      <c r="X349" s="34"/>
      <c r="Y349" s="34"/>
      <c r="Z349" s="34"/>
      <c r="AA349" s="34"/>
      <c r="AB349" s="34"/>
      <c r="AC349" s="35" t="str">
        <f aca="false">IF(AND(ISNUMBER(X349),ISNUMBER(Y349)),IF(Y349&gt;=X349,ROUND((Y349-X349)*1440,0),""),"")</f>
        <v/>
      </c>
      <c r="AD349" s="35" t="str">
        <f aca="false">IF(AND(ISNUMBER(Y349),ISNUMBER(Z349)),IF(Z349&gt;=Y349,ROUND((Z349-Y349)*1440,0),""),"")</f>
        <v/>
      </c>
      <c r="AE349" s="35" t="str">
        <f aca="false">IF(AND(ISNUMBER(Z349),ISNUMBER(AA349)),IF(AA349&gt;=Z349,ROUND((AA349-Z349)*1440,0),""),"")</f>
        <v/>
      </c>
      <c r="AF349" s="35" t="str">
        <f aca="false">IF(AND(ISNUMBER(AA349),ISNUMBER(AB349)),IF(AB349&gt;=AA349,ROUND((AB349-AA349)*1440,0),""),"")</f>
        <v/>
      </c>
      <c r="AG349" s="35" t="str">
        <f aca="false">IF(AND(W349="완료",ISNUMBER(X349)),IF(MAX(Y349:AB349)&gt;=X349,ROUND((MAX(Y349:AB349)-X349)*1440,0),""),"")</f>
        <v/>
      </c>
    </row>
    <row r="350" customFormat="false" ht="15" hidden="false" customHeight="false" outlineLevel="0" collapsed="false">
      <c r="A350" s="27" t="n">
        <v>346</v>
      </c>
      <c r="B350" s="28"/>
      <c r="C350" s="29"/>
      <c r="D350" s="29"/>
      <c r="E350" s="28"/>
      <c r="F350" s="30"/>
      <c r="G350" s="31"/>
      <c r="H350" s="28"/>
      <c r="I350" s="29"/>
      <c r="J350" s="29"/>
      <c r="K350" s="29"/>
      <c r="L350" s="29"/>
      <c r="M350" s="29"/>
      <c r="N350" s="29"/>
      <c r="O350" s="29"/>
      <c r="P350" s="29"/>
      <c r="Q350" s="29"/>
      <c r="R350" s="29"/>
      <c r="S350" s="28"/>
      <c r="T350" s="32" t="str">
        <f aca="false">IF(AND(K350="",L350=""),"",IF(OR(K350="-",L350="-"),"측정불가",IF(AND(ISNUMBER(K350),ISNUMBER(L350)),IF(OR(K350&gt;=설정!$C$9,L350&gt;=설정!$C$10),"긴급",IF(OR(K350&gt;=설정!$C$7,L350&gt;=설정!$C$8,K350&lt;설정!$C$11),"주의","정상")),"확인필요")))</f>
        <v/>
      </c>
      <c r="U350" s="32" t="str">
        <f aca="false">IF(M350="","",IF(M350="-","측정불가",IF(NOT(ISNUMBER(M350)),"확인필요",IF(M350&lt;설정!$C$15,"긴급(저혈당)",IF(M350&gt;=설정!$C$16,"긴급(고혈당)",IF(N350="공복",IF(M350&gt;=설정!$C$13,"주의","정상"),IF(N350="식후",IF(M350&gt;=설정!$C$14,"주의","정상"),"조건확인")))))))</f>
        <v/>
      </c>
      <c r="V350" s="32" t="str">
        <f aca="false">IF(OR(T350="긴급",LEFT(U350,2)="긴급",P350="O"),"대상","")</f>
        <v/>
      </c>
      <c r="W350" s="33" t="str">
        <f aca="false">IF(R350&lt;&gt;"",R350,IF(O350="O",IF(V350="대상",IF(Q350="O","완료","추가상담 대기"),"완료"),IF(COUNTA(K350:M350)=3,"상담 대기",IF(J350="O","측정 대기",IF(I350="O","운동평가 대기","미방문")))))</f>
        <v>미방문</v>
      </c>
      <c r="X350" s="34"/>
      <c r="Y350" s="34"/>
      <c r="Z350" s="34"/>
      <c r="AA350" s="34"/>
      <c r="AB350" s="34"/>
      <c r="AC350" s="35" t="str">
        <f aca="false">IF(AND(ISNUMBER(X350),ISNUMBER(Y350)),IF(Y350&gt;=X350,ROUND((Y350-X350)*1440,0),""),"")</f>
        <v/>
      </c>
      <c r="AD350" s="35" t="str">
        <f aca="false">IF(AND(ISNUMBER(Y350),ISNUMBER(Z350)),IF(Z350&gt;=Y350,ROUND((Z350-Y350)*1440,0),""),"")</f>
        <v/>
      </c>
      <c r="AE350" s="35" t="str">
        <f aca="false">IF(AND(ISNUMBER(Z350),ISNUMBER(AA350)),IF(AA350&gt;=Z350,ROUND((AA350-Z350)*1440,0),""),"")</f>
        <v/>
      </c>
      <c r="AF350" s="35" t="str">
        <f aca="false">IF(AND(ISNUMBER(AA350),ISNUMBER(AB350)),IF(AB350&gt;=AA350,ROUND((AB350-AA350)*1440,0),""),"")</f>
        <v/>
      </c>
      <c r="AG350" s="35" t="str">
        <f aca="false">IF(AND(W350="완료",ISNUMBER(X350)),IF(MAX(Y350:AB350)&gt;=X350,ROUND((MAX(Y350:AB350)-X350)*1440,0),""),"")</f>
        <v/>
      </c>
    </row>
    <row r="351" customFormat="false" ht="15" hidden="false" customHeight="false" outlineLevel="0" collapsed="false">
      <c r="A351" s="27" t="n">
        <v>347</v>
      </c>
      <c r="B351" s="28"/>
      <c r="C351" s="29"/>
      <c r="D351" s="29"/>
      <c r="E351" s="28"/>
      <c r="F351" s="30"/>
      <c r="G351" s="31"/>
      <c r="H351" s="28"/>
      <c r="I351" s="29"/>
      <c r="J351" s="29"/>
      <c r="K351" s="29"/>
      <c r="L351" s="29"/>
      <c r="M351" s="29"/>
      <c r="N351" s="29"/>
      <c r="O351" s="29"/>
      <c r="P351" s="29"/>
      <c r="Q351" s="29"/>
      <c r="R351" s="29"/>
      <c r="S351" s="28"/>
      <c r="T351" s="32" t="str">
        <f aca="false">IF(AND(K351="",L351=""),"",IF(OR(K351="-",L351="-"),"측정불가",IF(AND(ISNUMBER(K351),ISNUMBER(L351)),IF(OR(K351&gt;=설정!$C$9,L351&gt;=설정!$C$10),"긴급",IF(OR(K351&gt;=설정!$C$7,L351&gt;=설정!$C$8,K351&lt;설정!$C$11),"주의","정상")),"확인필요")))</f>
        <v/>
      </c>
      <c r="U351" s="32" t="str">
        <f aca="false">IF(M351="","",IF(M351="-","측정불가",IF(NOT(ISNUMBER(M351)),"확인필요",IF(M351&lt;설정!$C$15,"긴급(저혈당)",IF(M351&gt;=설정!$C$16,"긴급(고혈당)",IF(N351="공복",IF(M351&gt;=설정!$C$13,"주의","정상"),IF(N351="식후",IF(M351&gt;=설정!$C$14,"주의","정상"),"조건확인")))))))</f>
        <v/>
      </c>
      <c r="V351" s="32" t="str">
        <f aca="false">IF(OR(T351="긴급",LEFT(U351,2)="긴급",P351="O"),"대상","")</f>
        <v/>
      </c>
      <c r="W351" s="33" t="str">
        <f aca="false">IF(R351&lt;&gt;"",R351,IF(O351="O",IF(V351="대상",IF(Q351="O","완료","추가상담 대기"),"완료"),IF(COUNTA(K351:M351)=3,"상담 대기",IF(J351="O","측정 대기",IF(I351="O","운동평가 대기","미방문")))))</f>
        <v>미방문</v>
      </c>
      <c r="X351" s="34"/>
      <c r="Y351" s="34"/>
      <c r="Z351" s="34"/>
      <c r="AA351" s="34"/>
      <c r="AB351" s="34"/>
      <c r="AC351" s="35" t="str">
        <f aca="false">IF(AND(ISNUMBER(X351),ISNUMBER(Y351)),IF(Y351&gt;=X351,ROUND((Y351-X351)*1440,0),""),"")</f>
        <v/>
      </c>
      <c r="AD351" s="35" t="str">
        <f aca="false">IF(AND(ISNUMBER(Y351),ISNUMBER(Z351)),IF(Z351&gt;=Y351,ROUND((Z351-Y351)*1440,0),""),"")</f>
        <v/>
      </c>
      <c r="AE351" s="35" t="str">
        <f aca="false">IF(AND(ISNUMBER(Z351),ISNUMBER(AA351)),IF(AA351&gt;=Z351,ROUND((AA351-Z351)*1440,0),""),"")</f>
        <v/>
      </c>
      <c r="AF351" s="35" t="str">
        <f aca="false">IF(AND(ISNUMBER(AA351),ISNUMBER(AB351)),IF(AB351&gt;=AA351,ROUND((AB351-AA351)*1440,0),""),"")</f>
        <v/>
      </c>
      <c r="AG351" s="35" t="str">
        <f aca="false">IF(AND(W351="완료",ISNUMBER(X351)),IF(MAX(Y351:AB351)&gt;=X351,ROUND((MAX(Y351:AB351)-X351)*1440,0),""),"")</f>
        <v/>
      </c>
    </row>
    <row r="352" customFormat="false" ht="15" hidden="false" customHeight="false" outlineLevel="0" collapsed="false">
      <c r="A352" s="27" t="n">
        <v>348</v>
      </c>
      <c r="B352" s="28"/>
      <c r="C352" s="29"/>
      <c r="D352" s="29"/>
      <c r="E352" s="28"/>
      <c r="F352" s="30"/>
      <c r="G352" s="31"/>
      <c r="H352" s="28"/>
      <c r="I352" s="29"/>
      <c r="J352" s="29"/>
      <c r="K352" s="29"/>
      <c r="L352" s="29"/>
      <c r="M352" s="29"/>
      <c r="N352" s="29"/>
      <c r="O352" s="29"/>
      <c r="P352" s="29"/>
      <c r="Q352" s="29"/>
      <c r="R352" s="29"/>
      <c r="S352" s="28"/>
      <c r="T352" s="32" t="str">
        <f aca="false">IF(AND(K352="",L352=""),"",IF(OR(K352="-",L352="-"),"측정불가",IF(AND(ISNUMBER(K352),ISNUMBER(L352)),IF(OR(K352&gt;=설정!$C$9,L352&gt;=설정!$C$10),"긴급",IF(OR(K352&gt;=설정!$C$7,L352&gt;=설정!$C$8,K352&lt;설정!$C$11),"주의","정상")),"확인필요")))</f>
        <v/>
      </c>
      <c r="U352" s="32" t="str">
        <f aca="false">IF(M352="","",IF(M352="-","측정불가",IF(NOT(ISNUMBER(M352)),"확인필요",IF(M352&lt;설정!$C$15,"긴급(저혈당)",IF(M352&gt;=설정!$C$16,"긴급(고혈당)",IF(N352="공복",IF(M352&gt;=설정!$C$13,"주의","정상"),IF(N352="식후",IF(M352&gt;=설정!$C$14,"주의","정상"),"조건확인")))))))</f>
        <v/>
      </c>
      <c r="V352" s="32" t="str">
        <f aca="false">IF(OR(T352="긴급",LEFT(U352,2)="긴급",P352="O"),"대상","")</f>
        <v/>
      </c>
      <c r="W352" s="33" t="str">
        <f aca="false">IF(R352&lt;&gt;"",R352,IF(O352="O",IF(V352="대상",IF(Q352="O","완료","추가상담 대기"),"완료"),IF(COUNTA(K352:M352)=3,"상담 대기",IF(J352="O","측정 대기",IF(I352="O","운동평가 대기","미방문")))))</f>
        <v>미방문</v>
      </c>
      <c r="X352" s="34"/>
      <c r="Y352" s="34"/>
      <c r="Z352" s="34"/>
      <c r="AA352" s="34"/>
      <c r="AB352" s="34"/>
      <c r="AC352" s="35" t="str">
        <f aca="false">IF(AND(ISNUMBER(X352),ISNUMBER(Y352)),IF(Y352&gt;=X352,ROUND((Y352-X352)*1440,0),""),"")</f>
        <v/>
      </c>
      <c r="AD352" s="35" t="str">
        <f aca="false">IF(AND(ISNUMBER(Y352),ISNUMBER(Z352)),IF(Z352&gt;=Y352,ROUND((Z352-Y352)*1440,0),""),"")</f>
        <v/>
      </c>
      <c r="AE352" s="35" t="str">
        <f aca="false">IF(AND(ISNUMBER(Z352),ISNUMBER(AA352)),IF(AA352&gt;=Z352,ROUND((AA352-Z352)*1440,0),""),"")</f>
        <v/>
      </c>
      <c r="AF352" s="35" t="str">
        <f aca="false">IF(AND(ISNUMBER(AA352),ISNUMBER(AB352)),IF(AB352&gt;=AA352,ROUND((AB352-AA352)*1440,0),""),"")</f>
        <v/>
      </c>
      <c r="AG352" s="35" t="str">
        <f aca="false">IF(AND(W352="완료",ISNUMBER(X352)),IF(MAX(Y352:AB352)&gt;=X352,ROUND((MAX(Y352:AB352)-X352)*1440,0),""),"")</f>
        <v/>
      </c>
    </row>
    <row r="353" customFormat="false" ht="15" hidden="false" customHeight="false" outlineLevel="0" collapsed="false">
      <c r="A353" s="27" t="n">
        <v>349</v>
      </c>
      <c r="B353" s="28"/>
      <c r="C353" s="29"/>
      <c r="D353" s="29"/>
      <c r="E353" s="28"/>
      <c r="F353" s="30"/>
      <c r="G353" s="31"/>
      <c r="H353" s="28"/>
      <c r="I353" s="29"/>
      <c r="J353" s="29"/>
      <c r="K353" s="29"/>
      <c r="L353" s="29"/>
      <c r="M353" s="29"/>
      <c r="N353" s="29"/>
      <c r="O353" s="29"/>
      <c r="P353" s="29"/>
      <c r="Q353" s="29"/>
      <c r="R353" s="29"/>
      <c r="S353" s="28"/>
      <c r="T353" s="32" t="str">
        <f aca="false">IF(AND(K353="",L353=""),"",IF(OR(K353="-",L353="-"),"측정불가",IF(AND(ISNUMBER(K353),ISNUMBER(L353)),IF(OR(K353&gt;=설정!$C$9,L353&gt;=설정!$C$10),"긴급",IF(OR(K353&gt;=설정!$C$7,L353&gt;=설정!$C$8,K353&lt;설정!$C$11),"주의","정상")),"확인필요")))</f>
        <v/>
      </c>
      <c r="U353" s="32" t="str">
        <f aca="false">IF(M353="","",IF(M353="-","측정불가",IF(NOT(ISNUMBER(M353)),"확인필요",IF(M353&lt;설정!$C$15,"긴급(저혈당)",IF(M353&gt;=설정!$C$16,"긴급(고혈당)",IF(N353="공복",IF(M353&gt;=설정!$C$13,"주의","정상"),IF(N353="식후",IF(M353&gt;=설정!$C$14,"주의","정상"),"조건확인")))))))</f>
        <v/>
      </c>
      <c r="V353" s="32" t="str">
        <f aca="false">IF(OR(T353="긴급",LEFT(U353,2)="긴급",P353="O"),"대상","")</f>
        <v/>
      </c>
      <c r="W353" s="33" t="str">
        <f aca="false">IF(R353&lt;&gt;"",R353,IF(O353="O",IF(V353="대상",IF(Q353="O","완료","추가상담 대기"),"완료"),IF(COUNTA(K353:M353)=3,"상담 대기",IF(J353="O","측정 대기",IF(I353="O","운동평가 대기","미방문")))))</f>
        <v>미방문</v>
      </c>
      <c r="X353" s="34"/>
      <c r="Y353" s="34"/>
      <c r="Z353" s="34"/>
      <c r="AA353" s="34"/>
      <c r="AB353" s="34"/>
      <c r="AC353" s="35" t="str">
        <f aca="false">IF(AND(ISNUMBER(X353),ISNUMBER(Y353)),IF(Y353&gt;=X353,ROUND((Y353-X353)*1440,0),""),"")</f>
        <v/>
      </c>
      <c r="AD353" s="35" t="str">
        <f aca="false">IF(AND(ISNUMBER(Y353),ISNUMBER(Z353)),IF(Z353&gt;=Y353,ROUND((Z353-Y353)*1440,0),""),"")</f>
        <v/>
      </c>
      <c r="AE353" s="35" t="str">
        <f aca="false">IF(AND(ISNUMBER(Z353),ISNUMBER(AA353)),IF(AA353&gt;=Z353,ROUND((AA353-Z353)*1440,0),""),"")</f>
        <v/>
      </c>
      <c r="AF353" s="35" t="str">
        <f aca="false">IF(AND(ISNUMBER(AA353),ISNUMBER(AB353)),IF(AB353&gt;=AA353,ROUND((AB353-AA353)*1440,0),""),"")</f>
        <v/>
      </c>
      <c r="AG353" s="35" t="str">
        <f aca="false">IF(AND(W353="완료",ISNUMBER(X353)),IF(MAX(Y353:AB353)&gt;=X353,ROUND((MAX(Y353:AB353)-X353)*1440,0),""),"")</f>
        <v/>
      </c>
    </row>
    <row r="354" customFormat="false" ht="15" hidden="false" customHeight="false" outlineLevel="0" collapsed="false">
      <c r="A354" s="27" t="n">
        <v>350</v>
      </c>
      <c r="B354" s="28"/>
      <c r="C354" s="29"/>
      <c r="D354" s="29"/>
      <c r="E354" s="28"/>
      <c r="F354" s="30"/>
      <c r="G354" s="31"/>
      <c r="H354" s="28"/>
      <c r="I354" s="29"/>
      <c r="J354" s="29"/>
      <c r="K354" s="29"/>
      <c r="L354" s="29"/>
      <c r="M354" s="29"/>
      <c r="N354" s="29"/>
      <c r="O354" s="29"/>
      <c r="P354" s="29"/>
      <c r="Q354" s="29"/>
      <c r="R354" s="29"/>
      <c r="S354" s="28"/>
      <c r="T354" s="32" t="str">
        <f aca="false">IF(AND(K354="",L354=""),"",IF(OR(K354="-",L354="-"),"측정불가",IF(AND(ISNUMBER(K354),ISNUMBER(L354)),IF(OR(K354&gt;=설정!$C$9,L354&gt;=설정!$C$10),"긴급",IF(OR(K354&gt;=설정!$C$7,L354&gt;=설정!$C$8,K354&lt;설정!$C$11),"주의","정상")),"확인필요")))</f>
        <v/>
      </c>
      <c r="U354" s="32" t="str">
        <f aca="false">IF(M354="","",IF(M354="-","측정불가",IF(NOT(ISNUMBER(M354)),"확인필요",IF(M354&lt;설정!$C$15,"긴급(저혈당)",IF(M354&gt;=설정!$C$16,"긴급(고혈당)",IF(N354="공복",IF(M354&gt;=설정!$C$13,"주의","정상"),IF(N354="식후",IF(M354&gt;=설정!$C$14,"주의","정상"),"조건확인")))))))</f>
        <v/>
      </c>
      <c r="V354" s="32" t="str">
        <f aca="false">IF(OR(T354="긴급",LEFT(U354,2)="긴급",P354="O"),"대상","")</f>
        <v/>
      </c>
      <c r="W354" s="33" t="str">
        <f aca="false">IF(R354&lt;&gt;"",R354,IF(O354="O",IF(V354="대상",IF(Q354="O","완료","추가상담 대기"),"완료"),IF(COUNTA(K354:M354)=3,"상담 대기",IF(J354="O","측정 대기",IF(I354="O","운동평가 대기","미방문")))))</f>
        <v>미방문</v>
      </c>
      <c r="X354" s="34"/>
      <c r="Y354" s="34"/>
      <c r="Z354" s="34"/>
      <c r="AA354" s="34"/>
      <c r="AB354" s="34"/>
      <c r="AC354" s="35" t="str">
        <f aca="false">IF(AND(ISNUMBER(X354),ISNUMBER(Y354)),IF(Y354&gt;=X354,ROUND((Y354-X354)*1440,0),""),"")</f>
        <v/>
      </c>
      <c r="AD354" s="35" t="str">
        <f aca="false">IF(AND(ISNUMBER(Y354),ISNUMBER(Z354)),IF(Z354&gt;=Y354,ROUND((Z354-Y354)*1440,0),""),"")</f>
        <v/>
      </c>
      <c r="AE354" s="35" t="str">
        <f aca="false">IF(AND(ISNUMBER(Z354),ISNUMBER(AA354)),IF(AA354&gt;=Z354,ROUND((AA354-Z354)*1440,0),""),"")</f>
        <v/>
      </c>
      <c r="AF354" s="35" t="str">
        <f aca="false">IF(AND(ISNUMBER(AA354),ISNUMBER(AB354)),IF(AB354&gt;=AA354,ROUND((AB354-AA354)*1440,0),""),"")</f>
        <v/>
      </c>
      <c r="AG354" s="35" t="str">
        <f aca="false">IF(AND(W354="완료",ISNUMBER(X354)),IF(MAX(Y354:AB354)&gt;=X354,ROUND((MAX(Y354:AB354)-X354)*1440,0),""),"")</f>
        <v/>
      </c>
    </row>
    <row r="355" customFormat="false" ht="15" hidden="false" customHeight="false" outlineLevel="0" collapsed="false">
      <c r="A355" s="27" t="n">
        <v>351</v>
      </c>
      <c r="B355" s="28"/>
      <c r="C355" s="29"/>
      <c r="D355" s="29"/>
      <c r="E355" s="28"/>
      <c r="F355" s="30"/>
      <c r="G355" s="31"/>
      <c r="H355" s="28"/>
      <c r="I355" s="29"/>
      <c r="J355" s="29"/>
      <c r="K355" s="29"/>
      <c r="L355" s="29"/>
      <c r="M355" s="29"/>
      <c r="N355" s="29"/>
      <c r="O355" s="29"/>
      <c r="P355" s="29"/>
      <c r="Q355" s="29"/>
      <c r="R355" s="29"/>
      <c r="S355" s="28"/>
      <c r="T355" s="32" t="str">
        <f aca="false">IF(AND(K355="",L355=""),"",IF(OR(K355="-",L355="-"),"측정불가",IF(AND(ISNUMBER(K355),ISNUMBER(L355)),IF(OR(K355&gt;=설정!$C$9,L355&gt;=설정!$C$10),"긴급",IF(OR(K355&gt;=설정!$C$7,L355&gt;=설정!$C$8,K355&lt;설정!$C$11),"주의","정상")),"확인필요")))</f>
        <v/>
      </c>
      <c r="U355" s="32" t="str">
        <f aca="false">IF(M355="","",IF(M355="-","측정불가",IF(NOT(ISNUMBER(M355)),"확인필요",IF(M355&lt;설정!$C$15,"긴급(저혈당)",IF(M355&gt;=설정!$C$16,"긴급(고혈당)",IF(N355="공복",IF(M355&gt;=설정!$C$13,"주의","정상"),IF(N355="식후",IF(M355&gt;=설정!$C$14,"주의","정상"),"조건확인")))))))</f>
        <v/>
      </c>
      <c r="V355" s="32" t="str">
        <f aca="false">IF(OR(T355="긴급",LEFT(U355,2)="긴급",P355="O"),"대상","")</f>
        <v/>
      </c>
      <c r="W355" s="33" t="str">
        <f aca="false">IF(R355&lt;&gt;"",R355,IF(O355="O",IF(V355="대상",IF(Q355="O","완료","추가상담 대기"),"완료"),IF(COUNTA(K355:M355)=3,"상담 대기",IF(J355="O","측정 대기",IF(I355="O","운동평가 대기","미방문")))))</f>
        <v>미방문</v>
      </c>
      <c r="X355" s="34"/>
      <c r="Y355" s="34"/>
      <c r="Z355" s="34"/>
      <c r="AA355" s="34"/>
      <c r="AB355" s="34"/>
      <c r="AC355" s="35" t="str">
        <f aca="false">IF(AND(ISNUMBER(X355),ISNUMBER(Y355)),IF(Y355&gt;=X355,ROUND((Y355-X355)*1440,0),""),"")</f>
        <v/>
      </c>
      <c r="AD355" s="35" t="str">
        <f aca="false">IF(AND(ISNUMBER(Y355),ISNUMBER(Z355)),IF(Z355&gt;=Y355,ROUND((Z355-Y355)*1440,0),""),"")</f>
        <v/>
      </c>
      <c r="AE355" s="35" t="str">
        <f aca="false">IF(AND(ISNUMBER(Z355),ISNUMBER(AA355)),IF(AA355&gt;=Z355,ROUND((AA355-Z355)*1440,0),""),"")</f>
        <v/>
      </c>
      <c r="AF355" s="35" t="str">
        <f aca="false">IF(AND(ISNUMBER(AA355),ISNUMBER(AB355)),IF(AB355&gt;=AA355,ROUND((AB355-AA355)*1440,0),""),"")</f>
        <v/>
      </c>
      <c r="AG355" s="35" t="str">
        <f aca="false">IF(AND(W355="완료",ISNUMBER(X355)),IF(MAX(Y355:AB355)&gt;=X355,ROUND((MAX(Y355:AB355)-X355)*1440,0),""),"")</f>
        <v/>
      </c>
    </row>
    <row r="356" customFormat="false" ht="15" hidden="false" customHeight="false" outlineLevel="0" collapsed="false">
      <c r="A356" s="27" t="n">
        <v>352</v>
      </c>
      <c r="B356" s="28"/>
      <c r="C356" s="29"/>
      <c r="D356" s="29"/>
      <c r="E356" s="28"/>
      <c r="F356" s="30"/>
      <c r="G356" s="31"/>
      <c r="H356" s="28"/>
      <c r="I356" s="29"/>
      <c r="J356" s="29"/>
      <c r="K356" s="29"/>
      <c r="L356" s="29"/>
      <c r="M356" s="29"/>
      <c r="N356" s="29"/>
      <c r="O356" s="29"/>
      <c r="P356" s="29"/>
      <c r="Q356" s="29"/>
      <c r="R356" s="29"/>
      <c r="S356" s="28"/>
      <c r="T356" s="32" t="str">
        <f aca="false">IF(AND(K356="",L356=""),"",IF(OR(K356="-",L356="-"),"측정불가",IF(AND(ISNUMBER(K356),ISNUMBER(L356)),IF(OR(K356&gt;=설정!$C$9,L356&gt;=설정!$C$10),"긴급",IF(OR(K356&gt;=설정!$C$7,L356&gt;=설정!$C$8,K356&lt;설정!$C$11),"주의","정상")),"확인필요")))</f>
        <v/>
      </c>
      <c r="U356" s="32" t="str">
        <f aca="false">IF(M356="","",IF(M356="-","측정불가",IF(NOT(ISNUMBER(M356)),"확인필요",IF(M356&lt;설정!$C$15,"긴급(저혈당)",IF(M356&gt;=설정!$C$16,"긴급(고혈당)",IF(N356="공복",IF(M356&gt;=설정!$C$13,"주의","정상"),IF(N356="식후",IF(M356&gt;=설정!$C$14,"주의","정상"),"조건확인")))))))</f>
        <v/>
      </c>
      <c r="V356" s="32" t="str">
        <f aca="false">IF(OR(T356="긴급",LEFT(U356,2)="긴급",P356="O"),"대상","")</f>
        <v/>
      </c>
      <c r="W356" s="33" t="str">
        <f aca="false">IF(R356&lt;&gt;"",R356,IF(O356="O",IF(V356="대상",IF(Q356="O","완료","추가상담 대기"),"완료"),IF(COUNTA(K356:M356)=3,"상담 대기",IF(J356="O","측정 대기",IF(I356="O","운동평가 대기","미방문")))))</f>
        <v>미방문</v>
      </c>
      <c r="X356" s="34"/>
      <c r="Y356" s="34"/>
      <c r="Z356" s="34"/>
      <c r="AA356" s="34"/>
      <c r="AB356" s="34"/>
      <c r="AC356" s="35" t="str">
        <f aca="false">IF(AND(ISNUMBER(X356),ISNUMBER(Y356)),IF(Y356&gt;=X356,ROUND((Y356-X356)*1440,0),""),"")</f>
        <v/>
      </c>
      <c r="AD356" s="35" t="str">
        <f aca="false">IF(AND(ISNUMBER(Y356),ISNUMBER(Z356)),IF(Z356&gt;=Y356,ROUND((Z356-Y356)*1440,0),""),"")</f>
        <v/>
      </c>
      <c r="AE356" s="35" t="str">
        <f aca="false">IF(AND(ISNUMBER(Z356),ISNUMBER(AA356)),IF(AA356&gt;=Z356,ROUND((AA356-Z356)*1440,0),""),"")</f>
        <v/>
      </c>
      <c r="AF356" s="35" t="str">
        <f aca="false">IF(AND(ISNUMBER(AA356),ISNUMBER(AB356)),IF(AB356&gt;=AA356,ROUND((AB356-AA356)*1440,0),""),"")</f>
        <v/>
      </c>
      <c r="AG356" s="35" t="str">
        <f aca="false">IF(AND(W356="완료",ISNUMBER(X356)),IF(MAX(Y356:AB356)&gt;=X356,ROUND((MAX(Y356:AB356)-X356)*1440,0),""),"")</f>
        <v/>
      </c>
    </row>
    <row r="357" customFormat="false" ht="15" hidden="false" customHeight="false" outlineLevel="0" collapsed="false">
      <c r="A357" s="27" t="n">
        <v>353</v>
      </c>
      <c r="B357" s="28"/>
      <c r="C357" s="29"/>
      <c r="D357" s="29"/>
      <c r="E357" s="28"/>
      <c r="F357" s="30"/>
      <c r="G357" s="31"/>
      <c r="H357" s="28"/>
      <c r="I357" s="29"/>
      <c r="J357" s="29"/>
      <c r="K357" s="29"/>
      <c r="L357" s="29"/>
      <c r="M357" s="29"/>
      <c r="N357" s="29"/>
      <c r="O357" s="29"/>
      <c r="P357" s="29"/>
      <c r="Q357" s="29"/>
      <c r="R357" s="29"/>
      <c r="S357" s="28"/>
      <c r="T357" s="32" t="str">
        <f aca="false">IF(AND(K357="",L357=""),"",IF(OR(K357="-",L357="-"),"측정불가",IF(AND(ISNUMBER(K357),ISNUMBER(L357)),IF(OR(K357&gt;=설정!$C$9,L357&gt;=설정!$C$10),"긴급",IF(OR(K357&gt;=설정!$C$7,L357&gt;=설정!$C$8,K357&lt;설정!$C$11),"주의","정상")),"확인필요")))</f>
        <v/>
      </c>
      <c r="U357" s="32" t="str">
        <f aca="false">IF(M357="","",IF(M357="-","측정불가",IF(NOT(ISNUMBER(M357)),"확인필요",IF(M357&lt;설정!$C$15,"긴급(저혈당)",IF(M357&gt;=설정!$C$16,"긴급(고혈당)",IF(N357="공복",IF(M357&gt;=설정!$C$13,"주의","정상"),IF(N357="식후",IF(M357&gt;=설정!$C$14,"주의","정상"),"조건확인")))))))</f>
        <v/>
      </c>
      <c r="V357" s="32" t="str">
        <f aca="false">IF(OR(T357="긴급",LEFT(U357,2)="긴급",P357="O"),"대상","")</f>
        <v/>
      </c>
      <c r="W357" s="33" t="str">
        <f aca="false">IF(R357&lt;&gt;"",R357,IF(O357="O",IF(V357="대상",IF(Q357="O","완료","추가상담 대기"),"완료"),IF(COUNTA(K357:M357)=3,"상담 대기",IF(J357="O","측정 대기",IF(I357="O","운동평가 대기","미방문")))))</f>
        <v>미방문</v>
      </c>
      <c r="X357" s="34"/>
      <c r="Y357" s="34"/>
      <c r="Z357" s="34"/>
      <c r="AA357" s="34"/>
      <c r="AB357" s="34"/>
      <c r="AC357" s="35" t="str">
        <f aca="false">IF(AND(ISNUMBER(X357),ISNUMBER(Y357)),IF(Y357&gt;=X357,ROUND((Y357-X357)*1440,0),""),"")</f>
        <v/>
      </c>
      <c r="AD357" s="35" t="str">
        <f aca="false">IF(AND(ISNUMBER(Y357),ISNUMBER(Z357)),IF(Z357&gt;=Y357,ROUND((Z357-Y357)*1440,0),""),"")</f>
        <v/>
      </c>
      <c r="AE357" s="35" t="str">
        <f aca="false">IF(AND(ISNUMBER(Z357),ISNUMBER(AA357)),IF(AA357&gt;=Z357,ROUND((AA357-Z357)*1440,0),""),"")</f>
        <v/>
      </c>
      <c r="AF357" s="35" t="str">
        <f aca="false">IF(AND(ISNUMBER(AA357),ISNUMBER(AB357)),IF(AB357&gt;=AA357,ROUND((AB357-AA357)*1440,0),""),"")</f>
        <v/>
      </c>
      <c r="AG357" s="35" t="str">
        <f aca="false">IF(AND(W357="완료",ISNUMBER(X357)),IF(MAX(Y357:AB357)&gt;=X357,ROUND((MAX(Y357:AB357)-X357)*1440,0),""),"")</f>
        <v/>
      </c>
    </row>
    <row r="358" customFormat="false" ht="15" hidden="false" customHeight="false" outlineLevel="0" collapsed="false">
      <c r="A358" s="27" t="n">
        <v>354</v>
      </c>
      <c r="B358" s="28"/>
      <c r="C358" s="29"/>
      <c r="D358" s="29"/>
      <c r="E358" s="28"/>
      <c r="F358" s="30"/>
      <c r="G358" s="31"/>
      <c r="H358" s="28"/>
      <c r="I358" s="29"/>
      <c r="J358" s="29"/>
      <c r="K358" s="29"/>
      <c r="L358" s="29"/>
      <c r="M358" s="29"/>
      <c r="N358" s="29"/>
      <c r="O358" s="29"/>
      <c r="P358" s="29"/>
      <c r="Q358" s="29"/>
      <c r="R358" s="29"/>
      <c r="S358" s="28"/>
      <c r="T358" s="32" t="str">
        <f aca="false">IF(AND(K358="",L358=""),"",IF(OR(K358="-",L358="-"),"측정불가",IF(AND(ISNUMBER(K358),ISNUMBER(L358)),IF(OR(K358&gt;=설정!$C$9,L358&gt;=설정!$C$10),"긴급",IF(OR(K358&gt;=설정!$C$7,L358&gt;=설정!$C$8,K358&lt;설정!$C$11),"주의","정상")),"확인필요")))</f>
        <v/>
      </c>
      <c r="U358" s="32" t="str">
        <f aca="false">IF(M358="","",IF(M358="-","측정불가",IF(NOT(ISNUMBER(M358)),"확인필요",IF(M358&lt;설정!$C$15,"긴급(저혈당)",IF(M358&gt;=설정!$C$16,"긴급(고혈당)",IF(N358="공복",IF(M358&gt;=설정!$C$13,"주의","정상"),IF(N358="식후",IF(M358&gt;=설정!$C$14,"주의","정상"),"조건확인")))))))</f>
        <v/>
      </c>
      <c r="V358" s="32" t="str">
        <f aca="false">IF(OR(T358="긴급",LEFT(U358,2)="긴급",P358="O"),"대상","")</f>
        <v/>
      </c>
      <c r="W358" s="33" t="str">
        <f aca="false">IF(R358&lt;&gt;"",R358,IF(O358="O",IF(V358="대상",IF(Q358="O","완료","추가상담 대기"),"완료"),IF(COUNTA(K358:M358)=3,"상담 대기",IF(J358="O","측정 대기",IF(I358="O","운동평가 대기","미방문")))))</f>
        <v>미방문</v>
      </c>
      <c r="X358" s="34"/>
      <c r="Y358" s="34"/>
      <c r="Z358" s="34"/>
      <c r="AA358" s="34"/>
      <c r="AB358" s="34"/>
      <c r="AC358" s="35" t="str">
        <f aca="false">IF(AND(ISNUMBER(X358),ISNUMBER(Y358)),IF(Y358&gt;=X358,ROUND((Y358-X358)*1440,0),""),"")</f>
        <v/>
      </c>
      <c r="AD358" s="35" t="str">
        <f aca="false">IF(AND(ISNUMBER(Y358),ISNUMBER(Z358)),IF(Z358&gt;=Y358,ROUND((Z358-Y358)*1440,0),""),"")</f>
        <v/>
      </c>
      <c r="AE358" s="35" t="str">
        <f aca="false">IF(AND(ISNUMBER(Z358),ISNUMBER(AA358)),IF(AA358&gt;=Z358,ROUND((AA358-Z358)*1440,0),""),"")</f>
        <v/>
      </c>
      <c r="AF358" s="35" t="str">
        <f aca="false">IF(AND(ISNUMBER(AA358),ISNUMBER(AB358)),IF(AB358&gt;=AA358,ROUND((AB358-AA358)*1440,0),""),"")</f>
        <v/>
      </c>
      <c r="AG358" s="35" t="str">
        <f aca="false">IF(AND(W358="완료",ISNUMBER(X358)),IF(MAX(Y358:AB358)&gt;=X358,ROUND((MAX(Y358:AB358)-X358)*1440,0),""),"")</f>
        <v/>
      </c>
    </row>
    <row r="359" customFormat="false" ht="15" hidden="false" customHeight="false" outlineLevel="0" collapsed="false">
      <c r="A359" s="27" t="n">
        <v>355</v>
      </c>
      <c r="B359" s="28"/>
      <c r="C359" s="29"/>
      <c r="D359" s="29"/>
      <c r="E359" s="28"/>
      <c r="F359" s="30"/>
      <c r="G359" s="31"/>
      <c r="H359" s="28"/>
      <c r="I359" s="29"/>
      <c r="J359" s="29"/>
      <c r="K359" s="29"/>
      <c r="L359" s="29"/>
      <c r="M359" s="29"/>
      <c r="N359" s="29"/>
      <c r="O359" s="29"/>
      <c r="P359" s="29"/>
      <c r="Q359" s="29"/>
      <c r="R359" s="29"/>
      <c r="S359" s="28"/>
      <c r="T359" s="32" t="str">
        <f aca="false">IF(AND(K359="",L359=""),"",IF(OR(K359="-",L359="-"),"측정불가",IF(AND(ISNUMBER(K359),ISNUMBER(L359)),IF(OR(K359&gt;=설정!$C$9,L359&gt;=설정!$C$10),"긴급",IF(OR(K359&gt;=설정!$C$7,L359&gt;=설정!$C$8,K359&lt;설정!$C$11),"주의","정상")),"확인필요")))</f>
        <v/>
      </c>
      <c r="U359" s="32" t="str">
        <f aca="false">IF(M359="","",IF(M359="-","측정불가",IF(NOT(ISNUMBER(M359)),"확인필요",IF(M359&lt;설정!$C$15,"긴급(저혈당)",IF(M359&gt;=설정!$C$16,"긴급(고혈당)",IF(N359="공복",IF(M359&gt;=설정!$C$13,"주의","정상"),IF(N359="식후",IF(M359&gt;=설정!$C$14,"주의","정상"),"조건확인")))))))</f>
        <v/>
      </c>
      <c r="V359" s="32" t="str">
        <f aca="false">IF(OR(T359="긴급",LEFT(U359,2)="긴급",P359="O"),"대상","")</f>
        <v/>
      </c>
      <c r="W359" s="33" t="str">
        <f aca="false">IF(R359&lt;&gt;"",R359,IF(O359="O",IF(V359="대상",IF(Q359="O","완료","추가상담 대기"),"완료"),IF(COUNTA(K359:M359)=3,"상담 대기",IF(J359="O","측정 대기",IF(I359="O","운동평가 대기","미방문")))))</f>
        <v>미방문</v>
      </c>
      <c r="X359" s="34"/>
      <c r="Y359" s="34"/>
      <c r="Z359" s="34"/>
      <c r="AA359" s="34"/>
      <c r="AB359" s="34"/>
      <c r="AC359" s="35" t="str">
        <f aca="false">IF(AND(ISNUMBER(X359),ISNUMBER(Y359)),IF(Y359&gt;=X359,ROUND((Y359-X359)*1440,0),""),"")</f>
        <v/>
      </c>
      <c r="AD359" s="35" t="str">
        <f aca="false">IF(AND(ISNUMBER(Y359),ISNUMBER(Z359)),IF(Z359&gt;=Y359,ROUND((Z359-Y359)*1440,0),""),"")</f>
        <v/>
      </c>
      <c r="AE359" s="35" t="str">
        <f aca="false">IF(AND(ISNUMBER(Z359),ISNUMBER(AA359)),IF(AA359&gt;=Z359,ROUND((AA359-Z359)*1440,0),""),"")</f>
        <v/>
      </c>
      <c r="AF359" s="35" t="str">
        <f aca="false">IF(AND(ISNUMBER(AA359),ISNUMBER(AB359)),IF(AB359&gt;=AA359,ROUND((AB359-AA359)*1440,0),""),"")</f>
        <v/>
      </c>
      <c r="AG359" s="35" t="str">
        <f aca="false">IF(AND(W359="완료",ISNUMBER(X359)),IF(MAX(Y359:AB359)&gt;=X359,ROUND((MAX(Y359:AB359)-X359)*1440,0),""),"")</f>
        <v/>
      </c>
    </row>
    <row r="360" customFormat="false" ht="15" hidden="false" customHeight="false" outlineLevel="0" collapsed="false">
      <c r="A360" s="27" t="n">
        <v>356</v>
      </c>
      <c r="B360" s="28"/>
      <c r="C360" s="29"/>
      <c r="D360" s="29"/>
      <c r="E360" s="28"/>
      <c r="F360" s="30"/>
      <c r="G360" s="31"/>
      <c r="H360" s="28"/>
      <c r="I360" s="29"/>
      <c r="J360" s="29"/>
      <c r="K360" s="29"/>
      <c r="L360" s="29"/>
      <c r="M360" s="29"/>
      <c r="N360" s="29"/>
      <c r="O360" s="29"/>
      <c r="P360" s="29"/>
      <c r="Q360" s="29"/>
      <c r="R360" s="29"/>
      <c r="S360" s="28"/>
      <c r="T360" s="32" t="str">
        <f aca="false">IF(AND(K360="",L360=""),"",IF(OR(K360="-",L360="-"),"측정불가",IF(AND(ISNUMBER(K360),ISNUMBER(L360)),IF(OR(K360&gt;=설정!$C$9,L360&gt;=설정!$C$10),"긴급",IF(OR(K360&gt;=설정!$C$7,L360&gt;=설정!$C$8,K360&lt;설정!$C$11),"주의","정상")),"확인필요")))</f>
        <v/>
      </c>
      <c r="U360" s="32" t="str">
        <f aca="false">IF(M360="","",IF(M360="-","측정불가",IF(NOT(ISNUMBER(M360)),"확인필요",IF(M360&lt;설정!$C$15,"긴급(저혈당)",IF(M360&gt;=설정!$C$16,"긴급(고혈당)",IF(N360="공복",IF(M360&gt;=설정!$C$13,"주의","정상"),IF(N360="식후",IF(M360&gt;=설정!$C$14,"주의","정상"),"조건확인")))))))</f>
        <v/>
      </c>
      <c r="V360" s="32" t="str">
        <f aca="false">IF(OR(T360="긴급",LEFT(U360,2)="긴급",P360="O"),"대상","")</f>
        <v/>
      </c>
      <c r="W360" s="33" t="str">
        <f aca="false">IF(R360&lt;&gt;"",R360,IF(O360="O",IF(V360="대상",IF(Q360="O","완료","추가상담 대기"),"완료"),IF(COUNTA(K360:M360)=3,"상담 대기",IF(J360="O","측정 대기",IF(I360="O","운동평가 대기","미방문")))))</f>
        <v>미방문</v>
      </c>
      <c r="X360" s="34"/>
      <c r="Y360" s="34"/>
      <c r="Z360" s="34"/>
      <c r="AA360" s="34"/>
      <c r="AB360" s="34"/>
      <c r="AC360" s="35" t="str">
        <f aca="false">IF(AND(ISNUMBER(X360),ISNUMBER(Y360)),IF(Y360&gt;=X360,ROUND((Y360-X360)*1440,0),""),"")</f>
        <v/>
      </c>
      <c r="AD360" s="35" t="str">
        <f aca="false">IF(AND(ISNUMBER(Y360),ISNUMBER(Z360)),IF(Z360&gt;=Y360,ROUND((Z360-Y360)*1440,0),""),"")</f>
        <v/>
      </c>
      <c r="AE360" s="35" t="str">
        <f aca="false">IF(AND(ISNUMBER(Z360),ISNUMBER(AA360)),IF(AA360&gt;=Z360,ROUND((AA360-Z360)*1440,0),""),"")</f>
        <v/>
      </c>
      <c r="AF360" s="35" t="str">
        <f aca="false">IF(AND(ISNUMBER(AA360),ISNUMBER(AB360)),IF(AB360&gt;=AA360,ROUND((AB360-AA360)*1440,0),""),"")</f>
        <v/>
      </c>
      <c r="AG360" s="35" t="str">
        <f aca="false">IF(AND(W360="완료",ISNUMBER(X360)),IF(MAX(Y360:AB360)&gt;=X360,ROUND((MAX(Y360:AB360)-X360)*1440,0),""),"")</f>
        <v/>
      </c>
    </row>
    <row r="361" customFormat="false" ht="15" hidden="false" customHeight="false" outlineLevel="0" collapsed="false">
      <c r="A361" s="27" t="n">
        <v>357</v>
      </c>
      <c r="B361" s="28"/>
      <c r="C361" s="29"/>
      <c r="D361" s="29"/>
      <c r="E361" s="28"/>
      <c r="F361" s="30"/>
      <c r="G361" s="31"/>
      <c r="H361" s="28"/>
      <c r="I361" s="29"/>
      <c r="J361" s="29"/>
      <c r="K361" s="29"/>
      <c r="L361" s="29"/>
      <c r="M361" s="29"/>
      <c r="N361" s="29"/>
      <c r="O361" s="29"/>
      <c r="P361" s="29"/>
      <c r="Q361" s="29"/>
      <c r="R361" s="29"/>
      <c r="S361" s="28"/>
      <c r="T361" s="32" t="str">
        <f aca="false">IF(AND(K361="",L361=""),"",IF(OR(K361="-",L361="-"),"측정불가",IF(AND(ISNUMBER(K361),ISNUMBER(L361)),IF(OR(K361&gt;=설정!$C$9,L361&gt;=설정!$C$10),"긴급",IF(OR(K361&gt;=설정!$C$7,L361&gt;=설정!$C$8,K361&lt;설정!$C$11),"주의","정상")),"확인필요")))</f>
        <v/>
      </c>
      <c r="U361" s="32" t="str">
        <f aca="false">IF(M361="","",IF(M361="-","측정불가",IF(NOT(ISNUMBER(M361)),"확인필요",IF(M361&lt;설정!$C$15,"긴급(저혈당)",IF(M361&gt;=설정!$C$16,"긴급(고혈당)",IF(N361="공복",IF(M361&gt;=설정!$C$13,"주의","정상"),IF(N361="식후",IF(M361&gt;=설정!$C$14,"주의","정상"),"조건확인")))))))</f>
        <v/>
      </c>
      <c r="V361" s="32" t="str">
        <f aca="false">IF(OR(T361="긴급",LEFT(U361,2)="긴급",P361="O"),"대상","")</f>
        <v/>
      </c>
      <c r="W361" s="33" t="str">
        <f aca="false">IF(R361&lt;&gt;"",R361,IF(O361="O",IF(V361="대상",IF(Q361="O","완료","추가상담 대기"),"완료"),IF(COUNTA(K361:M361)=3,"상담 대기",IF(J361="O","측정 대기",IF(I361="O","운동평가 대기","미방문")))))</f>
        <v>미방문</v>
      </c>
      <c r="X361" s="34"/>
      <c r="Y361" s="34"/>
      <c r="Z361" s="34"/>
      <c r="AA361" s="34"/>
      <c r="AB361" s="34"/>
      <c r="AC361" s="35" t="str">
        <f aca="false">IF(AND(ISNUMBER(X361),ISNUMBER(Y361)),IF(Y361&gt;=X361,ROUND((Y361-X361)*1440,0),""),"")</f>
        <v/>
      </c>
      <c r="AD361" s="35" t="str">
        <f aca="false">IF(AND(ISNUMBER(Y361),ISNUMBER(Z361)),IF(Z361&gt;=Y361,ROUND((Z361-Y361)*1440,0),""),"")</f>
        <v/>
      </c>
      <c r="AE361" s="35" t="str">
        <f aca="false">IF(AND(ISNUMBER(Z361),ISNUMBER(AA361)),IF(AA361&gt;=Z361,ROUND((AA361-Z361)*1440,0),""),"")</f>
        <v/>
      </c>
      <c r="AF361" s="35" t="str">
        <f aca="false">IF(AND(ISNUMBER(AA361),ISNUMBER(AB361)),IF(AB361&gt;=AA361,ROUND((AB361-AA361)*1440,0),""),"")</f>
        <v/>
      </c>
      <c r="AG361" s="35" t="str">
        <f aca="false">IF(AND(W361="완료",ISNUMBER(X361)),IF(MAX(Y361:AB361)&gt;=X361,ROUND((MAX(Y361:AB361)-X361)*1440,0),""),"")</f>
        <v/>
      </c>
    </row>
    <row r="362" customFormat="false" ht="15" hidden="false" customHeight="false" outlineLevel="0" collapsed="false">
      <c r="A362" s="27" t="n">
        <v>358</v>
      </c>
      <c r="B362" s="28"/>
      <c r="C362" s="29"/>
      <c r="D362" s="29"/>
      <c r="E362" s="28"/>
      <c r="F362" s="30"/>
      <c r="G362" s="31"/>
      <c r="H362" s="28"/>
      <c r="I362" s="29"/>
      <c r="J362" s="29"/>
      <c r="K362" s="29"/>
      <c r="L362" s="29"/>
      <c r="M362" s="29"/>
      <c r="N362" s="29"/>
      <c r="O362" s="29"/>
      <c r="P362" s="29"/>
      <c r="Q362" s="29"/>
      <c r="R362" s="29"/>
      <c r="S362" s="28"/>
      <c r="T362" s="32" t="str">
        <f aca="false">IF(AND(K362="",L362=""),"",IF(OR(K362="-",L362="-"),"측정불가",IF(AND(ISNUMBER(K362),ISNUMBER(L362)),IF(OR(K362&gt;=설정!$C$9,L362&gt;=설정!$C$10),"긴급",IF(OR(K362&gt;=설정!$C$7,L362&gt;=설정!$C$8,K362&lt;설정!$C$11),"주의","정상")),"확인필요")))</f>
        <v/>
      </c>
      <c r="U362" s="32" t="str">
        <f aca="false">IF(M362="","",IF(M362="-","측정불가",IF(NOT(ISNUMBER(M362)),"확인필요",IF(M362&lt;설정!$C$15,"긴급(저혈당)",IF(M362&gt;=설정!$C$16,"긴급(고혈당)",IF(N362="공복",IF(M362&gt;=설정!$C$13,"주의","정상"),IF(N362="식후",IF(M362&gt;=설정!$C$14,"주의","정상"),"조건확인")))))))</f>
        <v/>
      </c>
      <c r="V362" s="32" t="str">
        <f aca="false">IF(OR(T362="긴급",LEFT(U362,2)="긴급",P362="O"),"대상","")</f>
        <v/>
      </c>
      <c r="W362" s="33" t="str">
        <f aca="false">IF(R362&lt;&gt;"",R362,IF(O362="O",IF(V362="대상",IF(Q362="O","완료","추가상담 대기"),"완료"),IF(COUNTA(K362:M362)=3,"상담 대기",IF(J362="O","측정 대기",IF(I362="O","운동평가 대기","미방문")))))</f>
        <v>미방문</v>
      </c>
      <c r="X362" s="34"/>
      <c r="Y362" s="34"/>
      <c r="Z362" s="34"/>
      <c r="AA362" s="34"/>
      <c r="AB362" s="34"/>
      <c r="AC362" s="35" t="str">
        <f aca="false">IF(AND(ISNUMBER(X362),ISNUMBER(Y362)),IF(Y362&gt;=X362,ROUND((Y362-X362)*1440,0),""),"")</f>
        <v/>
      </c>
      <c r="AD362" s="35" t="str">
        <f aca="false">IF(AND(ISNUMBER(Y362),ISNUMBER(Z362)),IF(Z362&gt;=Y362,ROUND((Z362-Y362)*1440,0),""),"")</f>
        <v/>
      </c>
      <c r="AE362" s="35" t="str">
        <f aca="false">IF(AND(ISNUMBER(Z362),ISNUMBER(AA362)),IF(AA362&gt;=Z362,ROUND((AA362-Z362)*1440,0),""),"")</f>
        <v/>
      </c>
      <c r="AF362" s="35" t="str">
        <f aca="false">IF(AND(ISNUMBER(AA362),ISNUMBER(AB362)),IF(AB362&gt;=AA362,ROUND((AB362-AA362)*1440,0),""),"")</f>
        <v/>
      </c>
      <c r="AG362" s="35" t="str">
        <f aca="false">IF(AND(W362="완료",ISNUMBER(X362)),IF(MAX(Y362:AB362)&gt;=X362,ROUND((MAX(Y362:AB362)-X362)*1440,0),""),"")</f>
        <v/>
      </c>
    </row>
    <row r="363" customFormat="false" ht="15" hidden="false" customHeight="false" outlineLevel="0" collapsed="false">
      <c r="A363" s="27" t="n">
        <v>359</v>
      </c>
      <c r="B363" s="28"/>
      <c r="C363" s="29"/>
      <c r="D363" s="29"/>
      <c r="E363" s="28"/>
      <c r="F363" s="30"/>
      <c r="G363" s="31"/>
      <c r="H363" s="28"/>
      <c r="I363" s="29"/>
      <c r="J363" s="29"/>
      <c r="K363" s="29"/>
      <c r="L363" s="29"/>
      <c r="M363" s="29"/>
      <c r="N363" s="29"/>
      <c r="O363" s="29"/>
      <c r="P363" s="29"/>
      <c r="Q363" s="29"/>
      <c r="R363" s="29"/>
      <c r="S363" s="28"/>
      <c r="T363" s="32" t="str">
        <f aca="false">IF(AND(K363="",L363=""),"",IF(OR(K363="-",L363="-"),"측정불가",IF(AND(ISNUMBER(K363),ISNUMBER(L363)),IF(OR(K363&gt;=설정!$C$9,L363&gt;=설정!$C$10),"긴급",IF(OR(K363&gt;=설정!$C$7,L363&gt;=설정!$C$8,K363&lt;설정!$C$11),"주의","정상")),"확인필요")))</f>
        <v/>
      </c>
      <c r="U363" s="32" t="str">
        <f aca="false">IF(M363="","",IF(M363="-","측정불가",IF(NOT(ISNUMBER(M363)),"확인필요",IF(M363&lt;설정!$C$15,"긴급(저혈당)",IF(M363&gt;=설정!$C$16,"긴급(고혈당)",IF(N363="공복",IF(M363&gt;=설정!$C$13,"주의","정상"),IF(N363="식후",IF(M363&gt;=설정!$C$14,"주의","정상"),"조건확인")))))))</f>
        <v/>
      </c>
      <c r="V363" s="32" t="str">
        <f aca="false">IF(OR(T363="긴급",LEFT(U363,2)="긴급",P363="O"),"대상","")</f>
        <v/>
      </c>
      <c r="W363" s="33" t="str">
        <f aca="false">IF(R363&lt;&gt;"",R363,IF(O363="O",IF(V363="대상",IF(Q363="O","완료","추가상담 대기"),"완료"),IF(COUNTA(K363:M363)=3,"상담 대기",IF(J363="O","측정 대기",IF(I363="O","운동평가 대기","미방문")))))</f>
        <v>미방문</v>
      </c>
      <c r="X363" s="34"/>
      <c r="Y363" s="34"/>
      <c r="Z363" s="34"/>
      <c r="AA363" s="34"/>
      <c r="AB363" s="34"/>
      <c r="AC363" s="35" t="str">
        <f aca="false">IF(AND(ISNUMBER(X363),ISNUMBER(Y363)),IF(Y363&gt;=X363,ROUND((Y363-X363)*1440,0),""),"")</f>
        <v/>
      </c>
      <c r="AD363" s="35" t="str">
        <f aca="false">IF(AND(ISNUMBER(Y363),ISNUMBER(Z363)),IF(Z363&gt;=Y363,ROUND((Z363-Y363)*1440,0),""),"")</f>
        <v/>
      </c>
      <c r="AE363" s="35" t="str">
        <f aca="false">IF(AND(ISNUMBER(Z363),ISNUMBER(AA363)),IF(AA363&gt;=Z363,ROUND((AA363-Z363)*1440,0),""),"")</f>
        <v/>
      </c>
      <c r="AF363" s="35" t="str">
        <f aca="false">IF(AND(ISNUMBER(AA363),ISNUMBER(AB363)),IF(AB363&gt;=AA363,ROUND((AB363-AA363)*1440,0),""),"")</f>
        <v/>
      </c>
      <c r="AG363" s="35" t="str">
        <f aca="false">IF(AND(W363="완료",ISNUMBER(X363)),IF(MAX(Y363:AB363)&gt;=X363,ROUND((MAX(Y363:AB363)-X363)*1440,0),""),"")</f>
        <v/>
      </c>
    </row>
    <row r="364" customFormat="false" ht="15" hidden="false" customHeight="false" outlineLevel="0" collapsed="false">
      <c r="A364" s="27" t="n">
        <v>360</v>
      </c>
      <c r="B364" s="28"/>
      <c r="C364" s="29"/>
      <c r="D364" s="29"/>
      <c r="E364" s="28"/>
      <c r="F364" s="30"/>
      <c r="G364" s="31"/>
      <c r="H364" s="28"/>
      <c r="I364" s="29"/>
      <c r="J364" s="29"/>
      <c r="K364" s="29"/>
      <c r="L364" s="29"/>
      <c r="M364" s="29"/>
      <c r="N364" s="29"/>
      <c r="O364" s="29"/>
      <c r="P364" s="29"/>
      <c r="Q364" s="29"/>
      <c r="R364" s="29"/>
      <c r="S364" s="28"/>
      <c r="T364" s="32" t="str">
        <f aca="false">IF(AND(K364="",L364=""),"",IF(OR(K364="-",L364="-"),"측정불가",IF(AND(ISNUMBER(K364),ISNUMBER(L364)),IF(OR(K364&gt;=설정!$C$9,L364&gt;=설정!$C$10),"긴급",IF(OR(K364&gt;=설정!$C$7,L364&gt;=설정!$C$8,K364&lt;설정!$C$11),"주의","정상")),"확인필요")))</f>
        <v/>
      </c>
      <c r="U364" s="32" t="str">
        <f aca="false">IF(M364="","",IF(M364="-","측정불가",IF(NOT(ISNUMBER(M364)),"확인필요",IF(M364&lt;설정!$C$15,"긴급(저혈당)",IF(M364&gt;=설정!$C$16,"긴급(고혈당)",IF(N364="공복",IF(M364&gt;=설정!$C$13,"주의","정상"),IF(N364="식후",IF(M364&gt;=설정!$C$14,"주의","정상"),"조건확인")))))))</f>
        <v/>
      </c>
      <c r="V364" s="32" t="str">
        <f aca="false">IF(OR(T364="긴급",LEFT(U364,2)="긴급",P364="O"),"대상","")</f>
        <v/>
      </c>
      <c r="W364" s="33" t="str">
        <f aca="false">IF(R364&lt;&gt;"",R364,IF(O364="O",IF(V364="대상",IF(Q364="O","완료","추가상담 대기"),"완료"),IF(COUNTA(K364:M364)=3,"상담 대기",IF(J364="O","측정 대기",IF(I364="O","운동평가 대기","미방문")))))</f>
        <v>미방문</v>
      </c>
      <c r="X364" s="34"/>
      <c r="Y364" s="34"/>
      <c r="Z364" s="34"/>
      <c r="AA364" s="34"/>
      <c r="AB364" s="34"/>
      <c r="AC364" s="35" t="str">
        <f aca="false">IF(AND(ISNUMBER(X364),ISNUMBER(Y364)),IF(Y364&gt;=X364,ROUND((Y364-X364)*1440,0),""),"")</f>
        <v/>
      </c>
      <c r="AD364" s="35" t="str">
        <f aca="false">IF(AND(ISNUMBER(Y364),ISNUMBER(Z364)),IF(Z364&gt;=Y364,ROUND((Z364-Y364)*1440,0),""),"")</f>
        <v/>
      </c>
      <c r="AE364" s="35" t="str">
        <f aca="false">IF(AND(ISNUMBER(Z364),ISNUMBER(AA364)),IF(AA364&gt;=Z364,ROUND((AA364-Z364)*1440,0),""),"")</f>
        <v/>
      </c>
      <c r="AF364" s="35" t="str">
        <f aca="false">IF(AND(ISNUMBER(AA364),ISNUMBER(AB364)),IF(AB364&gt;=AA364,ROUND((AB364-AA364)*1440,0),""),"")</f>
        <v/>
      </c>
      <c r="AG364" s="35" t="str">
        <f aca="false">IF(AND(W364="완료",ISNUMBER(X364)),IF(MAX(Y364:AB364)&gt;=X364,ROUND((MAX(Y364:AB364)-X364)*1440,0),""),"")</f>
        <v/>
      </c>
    </row>
    <row r="365" customFormat="false" ht="15" hidden="false" customHeight="false" outlineLevel="0" collapsed="false">
      <c r="A365" s="27" t="n">
        <v>361</v>
      </c>
      <c r="B365" s="28"/>
      <c r="C365" s="29"/>
      <c r="D365" s="29"/>
      <c r="E365" s="28"/>
      <c r="F365" s="30"/>
      <c r="G365" s="31"/>
      <c r="H365" s="28"/>
      <c r="I365" s="29"/>
      <c r="J365" s="29"/>
      <c r="K365" s="29"/>
      <c r="L365" s="29"/>
      <c r="M365" s="29"/>
      <c r="N365" s="29"/>
      <c r="O365" s="29"/>
      <c r="P365" s="29"/>
      <c r="Q365" s="29"/>
      <c r="R365" s="29"/>
      <c r="S365" s="28"/>
      <c r="T365" s="32" t="str">
        <f aca="false">IF(AND(K365="",L365=""),"",IF(OR(K365="-",L365="-"),"측정불가",IF(AND(ISNUMBER(K365),ISNUMBER(L365)),IF(OR(K365&gt;=설정!$C$9,L365&gt;=설정!$C$10),"긴급",IF(OR(K365&gt;=설정!$C$7,L365&gt;=설정!$C$8,K365&lt;설정!$C$11),"주의","정상")),"확인필요")))</f>
        <v/>
      </c>
      <c r="U365" s="32" t="str">
        <f aca="false">IF(M365="","",IF(M365="-","측정불가",IF(NOT(ISNUMBER(M365)),"확인필요",IF(M365&lt;설정!$C$15,"긴급(저혈당)",IF(M365&gt;=설정!$C$16,"긴급(고혈당)",IF(N365="공복",IF(M365&gt;=설정!$C$13,"주의","정상"),IF(N365="식후",IF(M365&gt;=설정!$C$14,"주의","정상"),"조건확인")))))))</f>
        <v/>
      </c>
      <c r="V365" s="32" t="str">
        <f aca="false">IF(OR(T365="긴급",LEFT(U365,2)="긴급",P365="O"),"대상","")</f>
        <v/>
      </c>
      <c r="W365" s="33" t="str">
        <f aca="false">IF(R365&lt;&gt;"",R365,IF(O365="O",IF(V365="대상",IF(Q365="O","완료","추가상담 대기"),"완료"),IF(COUNTA(K365:M365)=3,"상담 대기",IF(J365="O","측정 대기",IF(I365="O","운동평가 대기","미방문")))))</f>
        <v>미방문</v>
      </c>
      <c r="X365" s="34"/>
      <c r="Y365" s="34"/>
      <c r="Z365" s="34"/>
      <c r="AA365" s="34"/>
      <c r="AB365" s="34"/>
      <c r="AC365" s="35" t="str">
        <f aca="false">IF(AND(ISNUMBER(X365),ISNUMBER(Y365)),IF(Y365&gt;=X365,ROUND((Y365-X365)*1440,0),""),"")</f>
        <v/>
      </c>
      <c r="AD365" s="35" t="str">
        <f aca="false">IF(AND(ISNUMBER(Y365),ISNUMBER(Z365)),IF(Z365&gt;=Y365,ROUND((Z365-Y365)*1440,0),""),"")</f>
        <v/>
      </c>
      <c r="AE365" s="35" t="str">
        <f aca="false">IF(AND(ISNUMBER(Z365),ISNUMBER(AA365)),IF(AA365&gt;=Z365,ROUND((AA365-Z365)*1440,0),""),"")</f>
        <v/>
      </c>
      <c r="AF365" s="35" t="str">
        <f aca="false">IF(AND(ISNUMBER(AA365),ISNUMBER(AB365)),IF(AB365&gt;=AA365,ROUND((AB365-AA365)*1440,0),""),"")</f>
        <v/>
      </c>
      <c r="AG365" s="35" t="str">
        <f aca="false">IF(AND(W365="완료",ISNUMBER(X365)),IF(MAX(Y365:AB365)&gt;=X365,ROUND((MAX(Y365:AB365)-X365)*1440,0),""),"")</f>
        <v/>
      </c>
    </row>
    <row r="366" customFormat="false" ht="15" hidden="false" customHeight="false" outlineLevel="0" collapsed="false">
      <c r="A366" s="27" t="n">
        <v>362</v>
      </c>
      <c r="B366" s="28"/>
      <c r="C366" s="29"/>
      <c r="D366" s="29"/>
      <c r="E366" s="28"/>
      <c r="F366" s="30"/>
      <c r="G366" s="31"/>
      <c r="H366" s="28"/>
      <c r="I366" s="29"/>
      <c r="J366" s="29"/>
      <c r="K366" s="29"/>
      <c r="L366" s="29"/>
      <c r="M366" s="29"/>
      <c r="N366" s="29"/>
      <c r="O366" s="29"/>
      <c r="P366" s="29"/>
      <c r="Q366" s="29"/>
      <c r="R366" s="29"/>
      <c r="S366" s="28"/>
      <c r="T366" s="32" t="str">
        <f aca="false">IF(AND(K366="",L366=""),"",IF(OR(K366="-",L366="-"),"측정불가",IF(AND(ISNUMBER(K366),ISNUMBER(L366)),IF(OR(K366&gt;=설정!$C$9,L366&gt;=설정!$C$10),"긴급",IF(OR(K366&gt;=설정!$C$7,L366&gt;=설정!$C$8,K366&lt;설정!$C$11),"주의","정상")),"확인필요")))</f>
        <v/>
      </c>
      <c r="U366" s="32" t="str">
        <f aca="false">IF(M366="","",IF(M366="-","측정불가",IF(NOT(ISNUMBER(M366)),"확인필요",IF(M366&lt;설정!$C$15,"긴급(저혈당)",IF(M366&gt;=설정!$C$16,"긴급(고혈당)",IF(N366="공복",IF(M366&gt;=설정!$C$13,"주의","정상"),IF(N366="식후",IF(M366&gt;=설정!$C$14,"주의","정상"),"조건확인")))))))</f>
        <v/>
      </c>
      <c r="V366" s="32" t="str">
        <f aca="false">IF(OR(T366="긴급",LEFT(U366,2)="긴급",P366="O"),"대상","")</f>
        <v/>
      </c>
      <c r="W366" s="33" t="str">
        <f aca="false">IF(R366&lt;&gt;"",R366,IF(O366="O",IF(V366="대상",IF(Q366="O","완료","추가상담 대기"),"완료"),IF(COUNTA(K366:M366)=3,"상담 대기",IF(J366="O","측정 대기",IF(I366="O","운동평가 대기","미방문")))))</f>
        <v>미방문</v>
      </c>
      <c r="X366" s="34"/>
      <c r="Y366" s="34"/>
      <c r="Z366" s="34"/>
      <c r="AA366" s="34"/>
      <c r="AB366" s="34"/>
      <c r="AC366" s="35" t="str">
        <f aca="false">IF(AND(ISNUMBER(X366),ISNUMBER(Y366)),IF(Y366&gt;=X366,ROUND((Y366-X366)*1440,0),""),"")</f>
        <v/>
      </c>
      <c r="AD366" s="35" t="str">
        <f aca="false">IF(AND(ISNUMBER(Y366),ISNUMBER(Z366)),IF(Z366&gt;=Y366,ROUND((Z366-Y366)*1440,0),""),"")</f>
        <v/>
      </c>
      <c r="AE366" s="35" t="str">
        <f aca="false">IF(AND(ISNUMBER(Z366),ISNUMBER(AA366)),IF(AA366&gt;=Z366,ROUND((AA366-Z366)*1440,0),""),"")</f>
        <v/>
      </c>
      <c r="AF366" s="35" t="str">
        <f aca="false">IF(AND(ISNUMBER(AA366),ISNUMBER(AB366)),IF(AB366&gt;=AA366,ROUND((AB366-AA366)*1440,0),""),"")</f>
        <v/>
      </c>
      <c r="AG366" s="35" t="str">
        <f aca="false">IF(AND(W366="완료",ISNUMBER(X366)),IF(MAX(Y366:AB366)&gt;=X366,ROUND((MAX(Y366:AB366)-X366)*1440,0),""),"")</f>
        <v/>
      </c>
    </row>
    <row r="367" customFormat="false" ht="15" hidden="false" customHeight="false" outlineLevel="0" collapsed="false">
      <c r="A367" s="27" t="n">
        <v>363</v>
      </c>
      <c r="B367" s="28"/>
      <c r="C367" s="29"/>
      <c r="D367" s="29"/>
      <c r="E367" s="28"/>
      <c r="F367" s="30"/>
      <c r="G367" s="31"/>
      <c r="H367" s="28"/>
      <c r="I367" s="29"/>
      <c r="J367" s="29"/>
      <c r="K367" s="29"/>
      <c r="L367" s="29"/>
      <c r="M367" s="29"/>
      <c r="N367" s="29"/>
      <c r="O367" s="29"/>
      <c r="P367" s="29"/>
      <c r="Q367" s="29"/>
      <c r="R367" s="29"/>
      <c r="S367" s="28"/>
      <c r="T367" s="32" t="str">
        <f aca="false">IF(AND(K367="",L367=""),"",IF(OR(K367="-",L367="-"),"측정불가",IF(AND(ISNUMBER(K367),ISNUMBER(L367)),IF(OR(K367&gt;=설정!$C$9,L367&gt;=설정!$C$10),"긴급",IF(OR(K367&gt;=설정!$C$7,L367&gt;=설정!$C$8,K367&lt;설정!$C$11),"주의","정상")),"확인필요")))</f>
        <v/>
      </c>
      <c r="U367" s="32" t="str">
        <f aca="false">IF(M367="","",IF(M367="-","측정불가",IF(NOT(ISNUMBER(M367)),"확인필요",IF(M367&lt;설정!$C$15,"긴급(저혈당)",IF(M367&gt;=설정!$C$16,"긴급(고혈당)",IF(N367="공복",IF(M367&gt;=설정!$C$13,"주의","정상"),IF(N367="식후",IF(M367&gt;=설정!$C$14,"주의","정상"),"조건확인")))))))</f>
        <v/>
      </c>
      <c r="V367" s="32" t="str">
        <f aca="false">IF(OR(T367="긴급",LEFT(U367,2)="긴급",P367="O"),"대상","")</f>
        <v/>
      </c>
      <c r="W367" s="33" t="str">
        <f aca="false">IF(R367&lt;&gt;"",R367,IF(O367="O",IF(V367="대상",IF(Q367="O","완료","추가상담 대기"),"완료"),IF(COUNTA(K367:M367)=3,"상담 대기",IF(J367="O","측정 대기",IF(I367="O","운동평가 대기","미방문")))))</f>
        <v>미방문</v>
      </c>
      <c r="X367" s="34"/>
      <c r="Y367" s="34"/>
      <c r="Z367" s="34"/>
      <c r="AA367" s="34"/>
      <c r="AB367" s="34"/>
      <c r="AC367" s="35" t="str">
        <f aca="false">IF(AND(ISNUMBER(X367),ISNUMBER(Y367)),IF(Y367&gt;=X367,ROUND((Y367-X367)*1440,0),""),"")</f>
        <v/>
      </c>
      <c r="AD367" s="35" t="str">
        <f aca="false">IF(AND(ISNUMBER(Y367),ISNUMBER(Z367)),IF(Z367&gt;=Y367,ROUND((Z367-Y367)*1440,0),""),"")</f>
        <v/>
      </c>
      <c r="AE367" s="35" t="str">
        <f aca="false">IF(AND(ISNUMBER(Z367),ISNUMBER(AA367)),IF(AA367&gt;=Z367,ROUND((AA367-Z367)*1440,0),""),"")</f>
        <v/>
      </c>
      <c r="AF367" s="35" t="str">
        <f aca="false">IF(AND(ISNUMBER(AA367),ISNUMBER(AB367)),IF(AB367&gt;=AA367,ROUND((AB367-AA367)*1440,0),""),"")</f>
        <v/>
      </c>
      <c r="AG367" s="35" t="str">
        <f aca="false">IF(AND(W367="완료",ISNUMBER(X367)),IF(MAX(Y367:AB367)&gt;=X367,ROUND((MAX(Y367:AB367)-X367)*1440,0),""),"")</f>
        <v/>
      </c>
    </row>
    <row r="368" customFormat="false" ht="15" hidden="false" customHeight="false" outlineLevel="0" collapsed="false">
      <c r="A368" s="27" t="n">
        <v>364</v>
      </c>
      <c r="B368" s="28"/>
      <c r="C368" s="29"/>
      <c r="D368" s="29"/>
      <c r="E368" s="28"/>
      <c r="F368" s="30"/>
      <c r="G368" s="31"/>
      <c r="H368" s="28"/>
      <c r="I368" s="29"/>
      <c r="J368" s="29"/>
      <c r="K368" s="29"/>
      <c r="L368" s="29"/>
      <c r="M368" s="29"/>
      <c r="N368" s="29"/>
      <c r="O368" s="29"/>
      <c r="P368" s="29"/>
      <c r="Q368" s="29"/>
      <c r="R368" s="29"/>
      <c r="S368" s="28"/>
      <c r="T368" s="32" t="str">
        <f aca="false">IF(AND(K368="",L368=""),"",IF(OR(K368="-",L368="-"),"측정불가",IF(AND(ISNUMBER(K368),ISNUMBER(L368)),IF(OR(K368&gt;=설정!$C$9,L368&gt;=설정!$C$10),"긴급",IF(OR(K368&gt;=설정!$C$7,L368&gt;=설정!$C$8,K368&lt;설정!$C$11),"주의","정상")),"확인필요")))</f>
        <v/>
      </c>
      <c r="U368" s="32" t="str">
        <f aca="false">IF(M368="","",IF(M368="-","측정불가",IF(NOT(ISNUMBER(M368)),"확인필요",IF(M368&lt;설정!$C$15,"긴급(저혈당)",IF(M368&gt;=설정!$C$16,"긴급(고혈당)",IF(N368="공복",IF(M368&gt;=설정!$C$13,"주의","정상"),IF(N368="식후",IF(M368&gt;=설정!$C$14,"주의","정상"),"조건확인")))))))</f>
        <v/>
      </c>
      <c r="V368" s="32" t="str">
        <f aca="false">IF(OR(T368="긴급",LEFT(U368,2)="긴급",P368="O"),"대상","")</f>
        <v/>
      </c>
      <c r="W368" s="33" t="str">
        <f aca="false">IF(R368&lt;&gt;"",R368,IF(O368="O",IF(V368="대상",IF(Q368="O","완료","추가상담 대기"),"완료"),IF(COUNTA(K368:M368)=3,"상담 대기",IF(J368="O","측정 대기",IF(I368="O","운동평가 대기","미방문")))))</f>
        <v>미방문</v>
      </c>
      <c r="X368" s="34"/>
      <c r="Y368" s="34"/>
      <c r="Z368" s="34"/>
      <c r="AA368" s="34"/>
      <c r="AB368" s="34"/>
      <c r="AC368" s="35" t="str">
        <f aca="false">IF(AND(ISNUMBER(X368),ISNUMBER(Y368)),IF(Y368&gt;=X368,ROUND((Y368-X368)*1440,0),""),"")</f>
        <v/>
      </c>
      <c r="AD368" s="35" t="str">
        <f aca="false">IF(AND(ISNUMBER(Y368),ISNUMBER(Z368)),IF(Z368&gt;=Y368,ROUND((Z368-Y368)*1440,0),""),"")</f>
        <v/>
      </c>
      <c r="AE368" s="35" t="str">
        <f aca="false">IF(AND(ISNUMBER(Z368),ISNUMBER(AA368)),IF(AA368&gt;=Z368,ROUND((AA368-Z368)*1440,0),""),"")</f>
        <v/>
      </c>
      <c r="AF368" s="35" t="str">
        <f aca="false">IF(AND(ISNUMBER(AA368),ISNUMBER(AB368)),IF(AB368&gt;=AA368,ROUND((AB368-AA368)*1440,0),""),"")</f>
        <v/>
      </c>
      <c r="AG368" s="35" t="str">
        <f aca="false">IF(AND(W368="완료",ISNUMBER(X368)),IF(MAX(Y368:AB368)&gt;=X368,ROUND((MAX(Y368:AB368)-X368)*1440,0),""),"")</f>
        <v/>
      </c>
    </row>
    <row r="369" customFormat="false" ht="15" hidden="false" customHeight="false" outlineLevel="0" collapsed="false">
      <c r="A369" s="27" t="n">
        <v>365</v>
      </c>
      <c r="B369" s="28"/>
      <c r="C369" s="29"/>
      <c r="D369" s="29"/>
      <c r="E369" s="28"/>
      <c r="F369" s="30"/>
      <c r="G369" s="31"/>
      <c r="H369" s="28"/>
      <c r="I369" s="29"/>
      <c r="J369" s="29"/>
      <c r="K369" s="29"/>
      <c r="L369" s="29"/>
      <c r="M369" s="29"/>
      <c r="N369" s="29"/>
      <c r="O369" s="29"/>
      <c r="P369" s="29"/>
      <c r="Q369" s="29"/>
      <c r="R369" s="29"/>
      <c r="S369" s="28"/>
      <c r="T369" s="32" t="str">
        <f aca="false">IF(AND(K369="",L369=""),"",IF(OR(K369="-",L369="-"),"측정불가",IF(AND(ISNUMBER(K369),ISNUMBER(L369)),IF(OR(K369&gt;=설정!$C$9,L369&gt;=설정!$C$10),"긴급",IF(OR(K369&gt;=설정!$C$7,L369&gt;=설정!$C$8,K369&lt;설정!$C$11),"주의","정상")),"확인필요")))</f>
        <v/>
      </c>
      <c r="U369" s="32" t="str">
        <f aca="false">IF(M369="","",IF(M369="-","측정불가",IF(NOT(ISNUMBER(M369)),"확인필요",IF(M369&lt;설정!$C$15,"긴급(저혈당)",IF(M369&gt;=설정!$C$16,"긴급(고혈당)",IF(N369="공복",IF(M369&gt;=설정!$C$13,"주의","정상"),IF(N369="식후",IF(M369&gt;=설정!$C$14,"주의","정상"),"조건확인")))))))</f>
        <v/>
      </c>
      <c r="V369" s="32" t="str">
        <f aca="false">IF(OR(T369="긴급",LEFT(U369,2)="긴급",P369="O"),"대상","")</f>
        <v/>
      </c>
      <c r="W369" s="33" t="str">
        <f aca="false">IF(R369&lt;&gt;"",R369,IF(O369="O",IF(V369="대상",IF(Q369="O","완료","추가상담 대기"),"완료"),IF(COUNTA(K369:M369)=3,"상담 대기",IF(J369="O","측정 대기",IF(I369="O","운동평가 대기","미방문")))))</f>
        <v>미방문</v>
      </c>
      <c r="X369" s="34"/>
      <c r="Y369" s="34"/>
      <c r="Z369" s="34"/>
      <c r="AA369" s="34"/>
      <c r="AB369" s="34"/>
      <c r="AC369" s="35" t="str">
        <f aca="false">IF(AND(ISNUMBER(X369),ISNUMBER(Y369)),IF(Y369&gt;=X369,ROUND((Y369-X369)*1440,0),""),"")</f>
        <v/>
      </c>
      <c r="AD369" s="35" t="str">
        <f aca="false">IF(AND(ISNUMBER(Y369),ISNUMBER(Z369)),IF(Z369&gt;=Y369,ROUND((Z369-Y369)*1440,0),""),"")</f>
        <v/>
      </c>
      <c r="AE369" s="35" t="str">
        <f aca="false">IF(AND(ISNUMBER(Z369),ISNUMBER(AA369)),IF(AA369&gt;=Z369,ROUND((AA369-Z369)*1440,0),""),"")</f>
        <v/>
      </c>
      <c r="AF369" s="35" t="str">
        <f aca="false">IF(AND(ISNUMBER(AA369),ISNUMBER(AB369)),IF(AB369&gt;=AA369,ROUND((AB369-AA369)*1440,0),""),"")</f>
        <v/>
      </c>
      <c r="AG369" s="35" t="str">
        <f aca="false">IF(AND(W369="완료",ISNUMBER(X369)),IF(MAX(Y369:AB369)&gt;=X369,ROUND((MAX(Y369:AB369)-X369)*1440,0),""),"")</f>
        <v/>
      </c>
    </row>
    <row r="370" customFormat="false" ht="15" hidden="false" customHeight="false" outlineLevel="0" collapsed="false">
      <c r="A370" s="27" t="n">
        <v>366</v>
      </c>
      <c r="B370" s="28"/>
      <c r="C370" s="29"/>
      <c r="D370" s="29"/>
      <c r="E370" s="28"/>
      <c r="F370" s="30"/>
      <c r="G370" s="31"/>
      <c r="H370" s="28"/>
      <c r="I370" s="29"/>
      <c r="J370" s="29"/>
      <c r="K370" s="29"/>
      <c r="L370" s="29"/>
      <c r="M370" s="29"/>
      <c r="N370" s="29"/>
      <c r="O370" s="29"/>
      <c r="P370" s="29"/>
      <c r="Q370" s="29"/>
      <c r="R370" s="29"/>
      <c r="S370" s="28"/>
      <c r="T370" s="32" t="str">
        <f aca="false">IF(AND(K370="",L370=""),"",IF(OR(K370="-",L370="-"),"측정불가",IF(AND(ISNUMBER(K370),ISNUMBER(L370)),IF(OR(K370&gt;=설정!$C$9,L370&gt;=설정!$C$10),"긴급",IF(OR(K370&gt;=설정!$C$7,L370&gt;=설정!$C$8,K370&lt;설정!$C$11),"주의","정상")),"확인필요")))</f>
        <v/>
      </c>
      <c r="U370" s="32" t="str">
        <f aca="false">IF(M370="","",IF(M370="-","측정불가",IF(NOT(ISNUMBER(M370)),"확인필요",IF(M370&lt;설정!$C$15,"긴급(저혈당)",IF(M370&gt;=설정!$C$16,"긴급(고혈당)",IF(N370="공복",IF(M370&gt;=설정!$C$13,"주의","정상"),IF(N370="식후",IF(M370&gt;=설정!$C$14,"주의","정상"),"조건확인")))))))</f>
        <v/>
      </c>
      <c r="V370" s="32" t="str">
        <f aca="false">IF(OR(T370="긴급",LEFT(U370,2)="긴급",P370="O"),"대상","")</f>
        <v/>
      </c>
      <c r="W370" s="33" t="str">
        <f aca="false">IF(R370&lt;&gt;"",R370,IF(O370="O",IF(V370="대상",IF(Q370="O","완료","추가상담 대기"),"완료"),IF(COUNTA(K370:M370)=3,"상담 대기",IF(J370="O","측정 대기",IF(I370="O","운동평가 대기","미방문")))))</f>
        <v>미방문</v>
      </c>
      <c r="X370" s="34"/>
      <c r="Y370" s="34"/>
      <c r="Z370" s="34"/>
      <c r="AA370" s="34"/>
      <c r="AB370" s="34"/>
      <c r="AC370" s="35" t="str">
        <f aca="false">IF(AND(ISNUMBER(X370),ISNUMBER(Y370)),IF(Y370&gt;=X370,ROUND((Y370-X370)*1440,0),""),"")</f>
        <v/>
      </c>
      <c r="AD370" s="35" t="str">
        <f aca="false">IF(AND(ISNUMBER(Y370),ISNUMBER(Z370)),IF(Z370&gt;=Y370,ROUND((Z370-Y370)*1440,0),""),"")</f>
        <v/>
      </c>
      <c r="AE370" s="35" t="str">
        <f aca="false">IF(AND(ISNUMBER(Z370),ISNUMBER(AA370)),IF(AA370&gt;=Z370,ROUND((AA370-Z370)*1440,0),""),"")</f>
        <v/>
      </c>
      <c r="AF370" s="35" t="str">
        <f aca="false">IF(AND(ISNUMBER(AA370),ISNUMBER(AB370)),IF(AB370&gt;=AA370,ROUND((AB370-AA370)*1440,0),""),"")</f>
        <v/>
      </c>
      <c r="AG370" s="35" t="str">
        <f aca="false">IF(AND(W370="완료",ISNUMBER(X370)),IF(MAX(Y370:AB370)&gt;=X370,ROUND((MAX(Y370:AB370)-X370)*1440,0),""),"")</f>
        <v/>
      </c>
    </row>
    <row r="371" customFormat="false" ht="15" hidden="false" customHeight="false" outlineLevel="0" collapsed="false">
      <c r="A371" s="27" t="n">
        <v>367</v>
      </c>
      <c r="B371" s="28"/>
      <c r="C371" s="29"/>
      <c r="D371" s="29"/>
      <c r="E371" s="28"/>
      <c r="F371" s="30"/>
      <c r="G371" s="31"/>
      <c r="H371" s="28"/>
      <c r="I371" s="29"/>
      <c r="J371" s="29"/>
      <c r="K371" s="29"/>
      <c r="L371" s="29"/>
      <c r="M371" s="29"/>
      <c r="N371" s="29"/>
      <c r="O371" s="29"/>
      <c r="P371" s="29"/>
      <c r="Q371" s="29"/>
      <c r="R371" s="29"/>
      <c r="S371" s="28"/>
      <c r="T371" s="32" t="str">
        <f aca="false">IF(AND(K371="",L371=""),"",IF(OR(K371="-",L371="-"),"측정불가",IF(AND(ISNUMBER(K371),ISNUMBER(L371)),IF(OR(K371&gt;=설정!$C$9,L371&gt;=설정!$C$10),"긴급",IF(OR(K371&gt;=설정!$C$7,L371&gt;=설정!$C$8,K371&lt;설정!$C$11),"주의","정상")),"확인필요")))</f>
        <v/>
      </c>
      <c r="U371" s="32" t="str">
        <f aca="false">IF(M371="","",IF(M371="-","측정불가",IF(NOT(ISNUMBER(M371)),"확인필요",IF(M371&lt;설정!$C$15,"긴급(저혈당)",IF(M371&gt;=설정!$C$16,"긴급(고혈당)",IF(N371="공복",IF(M371&gt;=설정!$C$13,"주의","정상"),IF(N371="식후",IF(M371&gt;=설정!$C$14,"주의","정상"),"조건확인")))))))</f>
        <v/>
      </c>
      <c r="V371" s="32" t="str">
        <f aca="false">IF(OR(T371="긴급",LEFT(U371,2)="긴급",P371="O"),"대상","")</f>
        <v/>
      </c>
      <c r="W371" s="33" t="str">
        <f aca="false">IF(R371&lt;&gt;"",R371,IF(O371="O",IF(V371="대상",IF(Q371="O","완료","추가상담 대기"),"완료"),IF(COUNTA(K371:M371)=3,"상담 대기",IF(J371="O","측정 대기",IF(I371="O","운동평가 대기","미방문")))))</f>
        <v>미방문</v>
      </c>
      <c r="X371" s="34"/>
      <c r="Y371" s="34"/>
      <c r="Z371" s="34"/>
      <c r="AA371" s="34"/>
      <c r="AB371" s="34"/>
      <c r="AC371" s="35" t="str">
        <f aca="false">IF(AND(ISNUMBER(X371),ISNUMBER(Y371)),IF(Y371&gt;=X371,ROUND((Y371-X371)*1440,0),""),"")</f>
        <v/>
      </c>
      <c r="AD371" s="35" t="str">
        <f aca="false">IF(AND(ISNUMBER(Y371),ISNUMBER(Z371)),IF(Z371&gt;=Y371,ROUND((Z371-Y371)*1440,0),""),"")</f>
        <v/>
      </c>
      <c r="AE371" s="35" t="str">
        <f aca="false">IF(AND(ISNUMBER(Z371),ISNUMBER(AA371)),IF(AA371&gt;=Z371,ROUND((AA371-Z371)*1440,0),""),"")</f>
        <v/>
      </c>
      <c r="AF371" s="35" t="str">
        <f aca="false">IF(AND(ISNUMBER(AA371),ISNUMBER(AB371)),IF(AB371&gt;=AA371,ROUND((AB371-AA371)*1440,0),""),"")</f>
        <v/>
      </c>
      <c r="AG371" s="35" t="str">
        <f aca="false">IF(AND(W371="완료",ISNUMBER(X371)),IF(MAX(Y371:AB371)&gt;=X371,ROUND((MAX(Y371:AB371)-X371)*1440,0),""),"")</f>
        <v/>
      </c>
    </row>
    <row r="372" customFormat="false" ht="15" hidden="false" customHeight="false" outlineLevel="0" collapsed="false">
      <c r="A372" s="27" t="n">
        <v>368</v>
      </c>
      <c r="B372" s="28"/>
      <c r="C372" s="29"/>
      <c r="D372" s="29"/>
      <c r="E372" s="28"/>
      <c r="F372" s="30"/>
      <c r="G372" s="31"/>
      <c r="H372" s="28"/>
      <c r="I372" s="29"/>
      <c r="J372" s="29"/>
      <c r="K372" s="29"/>
      <c r="L372" s="29"/>
      <c r="M372" s="29"/>
      <c r="N372" s="29"/>
      <c r="O372" s="29"/>
      <c r="P372" s="29"/>
      <c r="Q372" s="29"/>
      <c r="R372" s="29"/>
      <c r="S372" s="28"/>
      <c r="T372" s="32" t="str">
        <f aca="false">IF(AND(K372="",L372=""),"",IF(OR(K372="-",L372="-"),"측정불가",IF(AND(ISNUMBER(K372),ISNUMBER(L372)),IF(OR(K372&gt;=설정!$C$9,L372&gt;=설정!$C$10),"긴급",IF(OR(K372&gt;=설정!$C$7,L372&gt;=설정!$C$8,K372&lt;설정!$C$11),"주의","정상")),"확인필요")))</f>
        <v/>
      </c>
      <c r="U372" s="32" t="str">
        <f aca="false">IF(M372="","",IF(M372="-","측정불가",IF(NOT(ISNUMBER(M372)),"확인필요",IF(M372&lt;설정!$C$15,"긴급(저혈당)",IF(M372&gt;=설정!$C$16,"긴급(고혈당)",IF(N372="공복",IF(M372&gt;=설정!$C$13,"주의","정상"),IF(N372="식후",IF(M372&gt;=설정!$C$14,"주의","정상"),"조건확인")))))))</f>
        <v/>
      </c>
      <c r="V372" s="32" t="str">
        <f aca="false">IF(OR(T372="긴급",LEFT(U372,2)="긴급",P372="O"),"대상","")</f>
        <v/>
      </c>
      <c r="W372" s="33" t="str">
        <f aca="false">IF(R372&lt;&gt;"",R372,IF(O372="O",IF(V372="대상",IF(Q372="O","완료","추가상담 대기"),"완료"),IF(COUNTA(K372:M372)=3,"상담 대기",IF(J372="O","측정 대기",IF(I372="O","운동평가 대기","미방문")))))</f>
        <v>미방문</v>
      </c>
      <c r="X372" s="34"/>
      <c r="Y372" s="34"/>
      <c r="Z372" s="34"/>
      <c r="AA372" s="34"/>
      <c r="AB372" s="34"/>
      <c r="AC372" s="35" t="str">
        <f aca="false">IF(AND(ISNUMBER(X372),ISNUMBER(Y372)),IF(Y372&gt;=X372,ROUND((Y372-X372)*1440,0),""),"")</f>
        <v/>
      </c>
      <c r="AD372" s="35" t="str">
        <f aca="false">IF(AND(ISNUMBER(Y372),ISNUMBER(Z372)),IF(Z372&gt;=Y372,ROUND((Z372-Y372)*1440,0),""),"")</f>
        <v/>
      </c>
      <c r="AE372" s="35" t="str">
        <f aca="false">IF(AND(ISNUMBER(Z372),ISNUMBER(AA372)),IF(AA372&gt;=Z372,ROUND((AA372-Z372)*1440,0),""),"")</f>
        <v/>
      </c>
      <c r="AF372" s="35" t="str">
        <f aca="false">IF(AND(ISNUMBER(AA372),ISNUMBER(AB372)),IF(AB372&gt;=AA372,ROUND((AB372-AA372)*1440,0),""),"")</f>
        <v/>
      </c>
      <c r="AG372" s="35" t="str">
        <f aca="false">IF(AND(W372="완료",ISNUMBER(X372)),IF(MAX(Y372:AB372)&gt;=X372,ROUND((MAX(Y372:AB372)-X372)*1440,0),""),"")</f>
        <v/>
      </c>
    </row>
    <row r="373" customFormat="false" ht="15" hidden="false" customHeight="false" outlineLevel="0" collapsed="false">
      <c r="A373" s="27" t="n">
        <v>369</v>
      </c>
      <c r="B373" s="28"/>
      <c r="C373" s="29"/>
      <c r="D373" s="29"/>
      <c r="E373" s="28"/>
      <c r="F373" s="30"/>
      <c r="G373" s="31"/>
      <c r="H373" s="28"/>
      <c r="I373" s="29"/>
      <c r="J373" s="29"/>
      <c r="K373" s="29"/>
      <c r="L373" s="29"/>
      <c r="M373" s="29"/>
      <c r="N373" s="29"/>
      <c r="O373" s="29"/>
      <c r="P373" s="29"/>
      <c r="Q373" s="29"/>
      <c r="R373" s="29"/>
      <c r="S373" s="28"/>
      <c r="T373" s="32" t="str">
        <f aca="false">IF(AND(K373="",L373=""),"",IF(OR(K373="-",L373="-"),"측정불가",IF(AND(ISNUMBER(K373),ISNUMBER(L373)),IF(OR(K373&gt;=설정!$C$9,L373&gt;=설정!$C$10),"긴급",IF(OR(K373&gt;=설정!$C$7,L373&gt;=설정!$C$8,K373&lt;설정!$C$11),"주의","정상")),"확인필요")))</f>
        <v/>
      </c>
      <c r="U373" s="32" t="str">
        <f aca="false">IF(M373="","",IF(M373="-","측정불가",IF(NOT(ISNUMBER(M373)),"확인필요",IF(M373&lt;설정!$C$15,"긴급(저혈당)",IF(M373&gt;=설정!$C$16,"긴급(고혈당)",IF(N373="공복",IF(M373&gt;=설정!$C$13,"주의","정상"),IF(N373="식후",IF(M373&gt;=설정!$C$14,"주의","정상"),"조건확인")))))))</f>
        <v/>
      </c>
      <c r="V373" s="32" t="str">
        <f aca="false">IF(OR(T373="긴급",LEFT(U373,2)="긴급",P373="O"),"대상","")</f>
        <v/>
      </c>
      <c r="W373" s="33" t="str">
        <f aca="false">IF(R373&lt;&gt;"",R373,IF(O373="O",IF(V373="대상",IF(Q373="O","완료","추가상담 대기"),"완료"),IF(COUNTA(K373:M373)=3,"상담 대기",IF(J373="O","측정 대기",IF(I373="O","운동평가 대기","미방문")))))</f>
        <v>미방문</v>
      </c>
      <c r="X373" s="34"/>
      <c r="Y373" s="34"/>
      <c r="Z373" s="34"/>
      <c r="AA373" s="34"/>
      <c r="AB373" s="34"/>
      <c r="AC373" s="35" t="str">
        <f aca="false">IF(AND(ISNUMBER(X373),ISNUMBER(Y373)),IF(Y373&gt;=X373,ROUND((Y373-X373)*1440,0),""),"")</f>
        <v/>
      </c>
      <c r="AD373" s="35" t="str">
        <f aca="false">IF(AND(ISNUMBER(Y373),ISNUMBER(Z373)),IF(Z373&gt;=Y373,ROUND((Z373-Y373)*1440,0),""),"")</f>
        <v/>
      </c>
      <c r="AE373" s="35" t="str">
        <f aca="false">IF(AND(ISNUMBER(Z373),ISNUMBER(AA373)),IF(AA373&gt;=Z373,ROUND((AA373-Z373)*1440,0),""),"")</f>
        <v/>
      </c>
      <c r="AF373" s="35" t="str">
        <f aca="false">IF(AND(ISNUMBER(AA373),ISNUMBER(AB373)),IF(AB373&gt;=AA373,ROUND((AB373-AA373)*1440,0),""),"")</f>
        <v/>
      </c>
      <c r="AG373" s="35" t="str">
        <f aca="false">IF(AND(W373="완료",ISNUMBER(X373)),IF(MAX(Y373:AB373)&gt;=X373,ROUND((MAX(Y373:AB373)-X373)*1440,0),""),"")</f>
        <v/>
      </c>
    </row>
    <row r="374" customFormat="false" ht="15" hidden="false" customHeight="false" outlineLevel="0" collapsed="false">
      <c r="A374" s="27" t="n">
        <v>370</v>
      </c>
      <c r="B374" s="28"/>
      <c r="C374" s="29"/>
      <c r="D374" s="29"/>
      <c r="E374" s="28"/>
      <c r="F374" s="30"/>
      <c r="G374" s="31"/>
      <c r="H374" s="28"/>
      <c r="I374" s="29"/>
      <c r="J374" s="29"/>
      <c r="K374" s="29"/>
      <c r="L374" s="29"/>
      <c r="M374" s="29"/>
      <c r="N374" s="29"/>
      <c r="O374" s="29"/>
      <c r="P374" s="29"/>
      <c r="Q374" s="29"/>
      <c r="R374" s="29"/>
      <c r="S374" s="28"/>
      <c r="T374" s="32" t="str">
        <f aca="false">IF(AND(K374="",L374=""),"",IF(OR(K374="-",L374="-"),"측정불가",IF(AND(ISNUMBER(K374),ISNUMBER(L374)),IF(OR(K374&gt;=설정!$C$9,L374&gt;=설정!$C$10),"긴급",IF(OR(K374&gt;=설정!$C$7,L374&gt;=설정!$C$8,K374&lt;설정!$C$11),"주의","정상")),"확인필요")))</f>
        <v/>
      </c>
      <c r="U374" s="32" t="str">
        <f aca="false">IF(M374="","",IF(M374="-","측정불가",IF(NOT(ISNUMBER(M374)),"확인필요",IF(M374&lt;설정!$C$15,"긴급(저혈당)",IF(M374&gt;=설정!$C$16,"긴급(고혈당)",IF(N374="공복",IF(M374&gt;=설정!$C$13,"주의","정상"),IF(N374="식후",IF(M374&gt;=설정!$C$14,"주의","정상"),"조건확인")))))))</f>
        <v/>
      </c>
      <c r="V374" s="32" t="str">
        <f aca="false">IF(OR(T374="긴급",LEFT(U374,2)="긴급",P374="O"),"대상","")</f>
        <v/>
      </c>
      <c r="W374" s="33" t="str">
        <f aca="false">IF(R374&lt;&gt;"",R374,IF(O374="O",IF(V374="대상",IF(Q374="O","완료","추가상담 대기"),"완료"),IF(COUNTA(K374:M374)=3,"상담 대기",IF(J374="O","측정 대기",IF(I374="O","운동평가 대기","미방문")))))</f>
        <v>미방문</v>
      </c>
      <c r="X374" s="34"/>
      <c r="Y374" s="34"/>
      <c r="Z374" s="34"/>
      <c r="AA374" s="34"/>
      <c r="AB374" s="34"/>
      <c r="AC374" s="35" t="str">
        <f aca="false">IF(AND(ISNUMBER(X374),ISNUMBER(Y374)),IF(Y374&gt;=X374,ROUND((Y374-X374)*1440,0),""),"")</f>
        <v/>
      </c>
      <c r="AD374" s="35" t="str">
        <f aca="false">IF(AND(ISNUMBER(Y374),ISNUMBER(Z374)),IF(Z374&gt;=Y374,ROUND((Z374-Y374)*1440,0),""),"")</f>
        <v/>
      </c>
      <c r="AE374" s="35" t="str">
        <f aca="false">IF(AND(ISNUMBER(Z374),ISNUMBER(AA374)),IF(AA374&gt;=Z374,ROUND((AA374-Z374)*1440,0),""),"")</f>
        <v/>
      </c>
      <c r="AF374" s="35" t="str">
        <f aca="false">IF(AND(ISNUMBER(AA374),ISNUMBER(AB374)),IF(AB374&gt;=AA374,ROUND((AB374-AA374)*1440,0),""),"")</f>
        <v/>
      </c>
      <c r="AG374" s="35" t="str">
        <f aca="false">IF(AND(W374="완료",ISNUMBER(X374)),IF(MAX(Y374:AB374)&gt;=X374,ROUND((MAX(Y374:AB374)-X374)*1440,0),""),"")</f>
        <v/>
      </c>
    </row>
    <row r="375" customFormat="false" ht="15" hidden="false" customHeight="false" outlineLevel="0" collapsed="false">
      <c r="A375" s="27" t="n">
        <v>371</v>
      </c>
      <c r="B375" s="28"/>
      <c r="C375" s="29"/>
      <c r="D375" s="29"/>
      <c r="E375" s="28"/>
      <c r="F375" s="30"/>
      <c r="G375" s="31"/>
      <c r="H375" s="28"/>
      <c r="I375" s="29"/>
      <c r="J375" s="29"/>
      <c r="K375" s="29"/>
      <c r="L375" s="29"/>
      <c r="M375" s="29"/>
      <c r="N375" s="29"/>
      <c r="O375" s="29"/>
      <c r="P375" s="29"/>
      <c r="Q375" s="29"/>
      <c r="R375" s="29"/>
      <c r="S375" s="28"/>
      <c r="T375" s="32" t="str">
        <f aca="false">IF(AND(K375="",L375=""),"",IF(OR(K375="-",L375="-"),"측정불가",IF(AND(ISNUMBER(K375),ISNUMBER(L375)),IF(OR(K375&gt;=설정!$C$9,L375&gt;=설정!$C$10),"긴급",IF(OR(K375&gt;=설정!$C$7,L375&gt;=설정!$C$8,K375&lt;설정!$C$11),"주의","정상")),"확인필요")))</f>
        <v/>
      </c>
      <c r="U375" s="32" t="str">
        <f aca="false">IF(M375="","",IF(M375="-","측정불가",IF(NOT(ISNUMBER(M375)),"확인필요",IF(M375&lt;설정!$C$15,"긴급(저혈당)",IF(M375&gt;=설정!$C$16,"긴급(고혈당)",IF(N375="공복",IF(M375&gt;=설정!$C$13,"주의","정상"),IF(N375="식후",IF(M375&gt;=설정!$C$14,"주의","정상"),"조건확인")))))))</f>
        <v/>
      </c>
      <c r="V375" s="32" t="str">
        <f aca="false">IF(OR(T375="긴급",LEFT(U375,2)="긴급",P375="O"),"대상","")</f>
        <v/>
      </c>
      <c r="W375" s="33" t="str">
        <f aca="false">IF(R375&lt;&gt;"",R375,IF(O375="O",IF(V375="대상",IF(Q375="O","완료","추가상담 대기"),"완료"),IF(COUNTA(K375:M375)=3,"상담 대기",IF(J375="O","측정 대기",IF(I375="O","운동평가 대기","미방문")))))</f>
        <v>미방문</v>
      </c>
      <c r="X375" s="34"/>
      <c r="Y375" s="34"/>
      <c r="Z375" s="34"/>
      <c r="AA375" s="34"/>
      <c r="AB375" s="34"/>
      <c r="AC375" s="35" t="str">
        <f aca="false">IF(AND(ISNUMBER(X375),ISNUMBER(Y375)),IF(Y375&gt;=X375,ROUND((Y375-X375)*1440,0),""),"")</f>
        <v/>
      </c>
      <c r="AD375" s="35" t="str">
        <f aca="false">IF(AND(ISNUMBER(Y375),ISNUMBER(Z375)),IF(Z375&gt;=Y375,ROUND((Z375-Y375)*1440,0),""),"")</f>
        <v/>
      </c>
      <c r="AE375" s="35" t="str">
        <f aca="false">IF(AND(ISNUMBER(Z375),ISNUMBER(AA375)),IF(AA375&gt;=Z375,ROUND((AA375-Z375)*1440,0),""),"")</f>
        <v/>
      </c>
      <c r="AF375" s="35" t="str">
        <f aca="false">IF(AND(ISNUMBER(AA375),ISNUMBER(AB375)),IF(AB375&gt;=AA375,ROUND((AB375-AA375)*1440,0),""),"")</f>
        <v/>
      </c>
      <c r="AG375" s="35" t="str">
        <f aca="false">IF(AND(W375="완료",ISNUMBER(X375)),IF(MAX(Y375:AB375)&gt;=X375,ROUND((MAX(Y375:AB375)-X375)*1440,0),""),"")</f>
        <v/>
      </c>
    </row>
    <row r="376" customFormat="false" ht="15" hidden="false" customHeight="false" outlineLevel="0" collapsed="false">
      <c r="A376" s="27" t="n">
        <v>372</v>
      </c>
      <c r="B376" s="28"/>
      <c r="C376" s="29"/>
      <c r="D376" s="29"/>
      <c r="E376" s="28"/>
      <c r="F376" s="30"/>
      <c r="G376" s="31"/>
      <c r="H376" s="28"/>
      <c r="I376" s="29"/>
      <c r="J376" s="29"/>
      <c r="K376" s="29"/>
      <c r="L376" s="29"/>
      <c r="M376" s="29"/>
      <c r="N376" s="29"/>
      <c r="O376" s="29"/>
      <c r="P376" s="29"/>
      <c r="Q376" s="29"/>
      <c r="R376" s="29"/>
      <c r="S376" s="28"/>
      <c r="T376" s="32" t="str">
        <f aca="false">IF(AND(K376="",L376=""),"",IF(OR(K376="-",L376="-"),"측정불가",IF(AND(ISNUMBER(K376),ISNUMBER(L376)),IF(OR(K376&gt;=설정!$C$9,L376&gt;=설정!$C$10),"긴급",IF(OR(K376&gt;=설정!$C$7,L376&gt;=설정!$C$8,K376&lt;설정!$C$11),"주의","정상")),"확인필요")))</f>
        <v/>
      </c>
      <c r="U376" s="32" t="str">
        <f aca="false">IF(M376="","",IF(M376="-","측정불가",IF(NOT(ISNUMBER(M376)),"확인필요",IF(M376&lt;설정!$C$15,"긴급(저혈당)",IF(M376&gt;=설정!$C$16,"긴급(고혈당)",IF(N376="공복",IF(M376&gt;=설정!$C$13,"주의","정상"),IF(N376="식후",IF(M376&gt;=설정!$C$14,"주의","정상"),"조건확인")))))))</f>
        <v/>
      </c>
      <c r="V376" s="32" t="str">
        <f aca="false">IF(OR(T376="긴급",LEFT(U376,2)="긴급",P376="O"),"대상","")</f>
        <v/>
      </c>
      <c r="W376" s="33" t="str">
        <f aca="false">IF(R376&lt;&gt;"",R376,IF(O376="O",IF(V376="대상",IF(Q376="O","완료","추가상담 대기"),"완료"),IF(COUNTA(K376:M376)=3,"상담 대기",IF(J376="O","측정 대기",IF(I376="O","운동평가 대기","미방문")))))</f>
        <v>미방문</v>
      </c>
      <c r="X376" s="34"/>
      <c r="Y376" s="34"/>
      <c r="Z376" s="34"/>
      <c r="AA376" s="34"/>
      <c r="AB376" s="34"/>
      <c r="AC376" s="35" t="str">
        <f aca="false">IF(AND(ISNUMBER(X376),ISNUMBER(Y376)),IF(Y376&gt;=X376,ROUND((Y376-X376)*1440,0),""),"")</f>
        <v/>
      </c>
      <c r="AD376" s="35" t="str">
        <f aca="false">IF(AND(ISNUMBER(Y376),ISNUMBER(Z376)),IF(Z376&gt;=Y376,ROUND((Z376-Y376)*1440,0),""),"")</f>
        <v/>
      </c>
      <c r="AE376" s="35" t="str">
        <f aca="false">IF(AND(ISNUMBER(Z376),ISNUMBER(AA376)),IF(AA376&gt;=Z376,ROUND((AA376-Z376)*1440,0),""),"")</f>
        <v/>
      </c>
      <c r="AF376" s="35" t="str">
        <f aca="false">IF(AND(ISNUMBER(AA376),ISNUMBER(AB376)),IF(AB376&gt;=AA376,ROUND((AB376-AA376)*1440,0),""),"")</f>
        <v/>
      </c>
      <c r="AG376" s="35" t="str">
        <f aca="false">IF(AND(W376="완료",ISNUMBER(X376)),IF(MAX(Y376:AB376)&gt;=X376,ROUND((MAX(Y376:AB376)-X376)*1440,0),""),"")</f>
        <v/>
      </c>
    </row>
    <row r="377" customFormat="false" ht="15" hidden="false" customHeight="false" outlineLevel="0" collapsed="false">
      <c r="A377" s="27" t="n">
        <v>373</v>
      </c>
      <c r="B377" s="28"/>
      <c r="C377" s="29"/>
      <c r="D377" s="29"/>
      <c r="E377" s="28"/>
      <c r="F377" s="30"/>
      <c r="G377" s="31"/>
      <c r="H377" s="28"/>
      <c r="I377" s="29"/>
      <c r="J377" s="29"/>
      <c r="K377" s="29"/>
      <c r="L377" s="29"/>
      <c r="M377" s="29"/>
      <c r="N377" s="29"/>
      <c r="O377" s="29"/>
      <c r="P377" s="29"/>
      <c r="Q377" s="29"/>
      <c r="R377" s="29"/>
      <c r="S377" s="28"/>
      <c r="T377" s="32" t="str">
        <f aca="false">IF(AND(K377="",L377=""),"",IF(OR(K377="-",L377="-"),"측정불가",IF(AND(ISNUMBER(K377),ISNUMBER(L377)),IF(OR(K377&gt;=설정!$C$9,L377&gt;=설정!$C$10),"긴급",IF(OR(K377&gt;=설정!$C$7,L377&gt;=설정!$C$8,K377&lt;설정!$C$11),"주의","정상")),"확인필요")))</f>
        <v/>
      </c>
      <c r="U377" s="32" t="str">
        <f aca="false">IF(M377="","",IF(M377="-","측정불가",IF(NOT(ISNUMBER(M377)),"확인필요",IF(M377&lt;설정!$C$15,"긴급(저혈당)",IF(M377&gt;=설정!$C$16,"긴급(고혈당)",IF(N377="공복",IF(M377&gt;=설정!$C$13,"주의","정상"),IF(N377="식후",IF(M377&gt;=설정!$C$14,"주의","정상"),"조건확인")))))))</f>
        <v/>
      </c>
      <c r="V377" s="32" t="str">
        <f aca="false">IF(OR(T377="긴급",LEFT(U377,2)="긴급",P377="O"),"대상","")</f>
        <v/>
      </c>
      <c r="W377" s="33" t="str">
        <f aca="false">IF(R377&lt;&gt;"",R377,IF(O377="O",IF(V377="대상",IF(Q377="O","완료","추가상담 대기"),"완료"),IF(COUNTA(K377:M377)=3,"상담 대기",IF(J377="O","측정 대기",IF(I377="O","운동평가 대기","미방문")))))</f>
        <v>미방문</v>
      </c>
      <c r="X377" s="34"/>
      <c r="Y377" s="34"/>
      <c r="Z377" s="34"/>
      <c r="AA377" s="34"/>
      <c r="AB377" s="34"/>
      <c r="AC377" s="35" t="str">
        <f aca="false">IF(AND(ISNUMBER(X377),ISNUMBER(Y377)),IF(Y377&gt;=X377,ROUND((Y377-X377)*1440,0),""),"")</f>
        <v/>
      </c>
      <c r="AD377" s="35" t="str">
        <f aca="false">IF(AND(ISNUMBER(Y377),ISNUMBER(Z377)),IF(Z377&gt;=Y377,ROUND((Z377-Y377)*1440,0),""),"")</f>
        <v/>
      </c>
      <c r="AE377" s="35" t="str">
        <f aca="false">IF(AND(ISNUMBER(Z377),ISNUMBER(AA377)),IF(AA377&gt;=Z377,ROUND((AA377-Z377)*1440,0),""),"")</f>
        <v/>
      </c>
      <c r="AF377" s="35" t="str">
        <f aca="false">IF(AND(ISNUMBER(AA377),ISNUMBER(AB377)),IF(AB377&gt;=AA377,ROUND((AB377-AA377)*1440,0),""),"")</f>
        <v/>
      </c>
      <c r="AG377" s="35" t="str">
        <f aca="false">IF(AND(W377="완료",ISNUMBER(X377)),IF(MAX(Y377:AB377)&gt;=X377,ROUND((MAX(Y377:AB377)-X377)*1440,0),""),"")</f>
        <v/>
      </c>
    </row>
    <row r="378" customFormat="false" ht="15" hidden="false" customHeight="false" outlineLevel="0" collapsed="false">
      <c r="A378" s="27" t="n">
        <v>374</v>
      </c>
      <c r="B378" s="28"/>
      <c r="C378" s="29"/>
      <c r="D378" s="29"/>
      <c r="E378" s="28"/>
      <c r="F378" s="30"/>
      <c r="G378" s="31"/>
      <c r="H378" s="28"/>
      <c r="I378" s="29"/>
      <c r="J378" s="29"/>
      <c r="K378" s="29"/>
      <c r="L378" s="29"/>
      <c r="M378" s="29"/>
      <c r="N378" s="29"/>
      <c r="O378" s="29"/>
      <c r="P378" s="29"/>
      <c r="Q378" s="29"/>
      <c r="R378" s="29"/>
      <c r="S378" s="28"/>
      <c r="T378" s="32" t="str">
        <f aca="false">IF(AND(K378="",L378=""),"",IF(OR(K378="-",L378="-"),"측정불가",IF(AND(ISNUMBER(K378),ISNUMBER(L378)),IF(OR(K378&gt;=설정!$C$9,L378&gt;=설정!$C$10),"긴급",IF(OR(K378&gt;=설정!$C$7,L378&gt;=설정!$C$8,K378&lt;설정!$C$11),"주의","정상")),"확인필요")))</f>
        <v/>
      </c>
      <c r="U378" s="32" t="str">
        <f aca="false">IF(M378="","",IF(M378="-","측정불가",IF(NOT(ISNUMBER(M378)),"확인필요",IF(M378&lt;설정!$C$15,"긴급(저혈당)",IF(M378&gt;=설정!$C$16,"긴급(고혈당)",IF(N378="공복",IF(M378&gt;=설정!$C$13,"주의","정상"),IF(N378="식후",IF(M378&gt;=설정!$C$14,"주의","정상"),"조건확인")))))))</f>
        <v/>
      </c>
      <c r="V378" s="32" t="str">
        <f aca="false">IF(OR(T378="긴급",LEFT(U378,2)="긴급",P378="O"),"대상","")</f>
        <v/>
      </c>
      <c r="W378" s="33" t="str">
        <f aca="false">IF(R378&lt;&gt;"",R378,IF(O378="O",IF(V378="대상",IF(Q378="O","완료","추가상담 대기"),"완료"),IF(COUNTA(K378:M378)=3,"상담 대기",IF(J378="O","측정 대기",IF(I378="O","운동평가 대기","미방문")))))</f>
        <v>미방문</v>
      </c>
      <c r="X378" s="34"/>
      <c r="Y378" s="34"/>
      <c r="Z378" s="34"/>
      <c r="AA378" s="34"/>
      <c r="AB378" s="34"/>
      <c r="AC378" s="35" t="str">
        <f aca="false">IF(AND(ISNUMBER(X378),ISNUMBER(Y378)),IF(Y378&gt;=X378,ROUND((Y378-X378)*1440,0),""),"")</f>
        <v/>
      </c>
      <c r="AD378" s="35" t="str">
        <f aca="false">IF(AND(ISNUMBER(Y378),ISNUMBER(Z378)),IF(Z378&gt;=Y378,ROUND((Z378-Y378)*1440,0),""),"")</f>
        <v/>
      </c>
      <c r="AE378" s="35" t="str">
        <f aca="false">IF(AND(ISNUMBER(Z378),ISNUMBER(AA378)),IF(AA378&gt;=Z378,ROUND((AA378-Z378)*1440,0),""),"")</f>
        <v/>
      </c>
      <c r="AF378" s="35" t="str">
        <f aca="false">IF(AND(ISNUMBER(AA378),ISNUMBER(AB378)),IF(AB378&gt;=AA378,ROUND((AB378-AA378)*1440,0),""),"")</f>
        <v/>
      </c>
      <c r="AG378" s="35" t="str">
        <f aca="false">IF(AND(W378="완료",ISNUMBER(X378)),IF(MAX(Y378:AB378)&gt;=X378,ROUND((MAX(Y378:AB378)-X378)*1440,0),""),"")</f>
        <v/>
      </c>
    </row>
    <row r="379" customFormat="false" ht="15" hidden="false" customHeight="false" outlineLevel="0" collapsed="false">
      <c r="A379" s="27" t="n">
        <v>375</v>
      </c>
      <c r="B379" s="28"/>
      <c r="C379" s="29"/>
      <c r="D379" s="29"/>
      <c r="E379" s="28"/>
      <c r="F379" s="30"/>
      <c r="G379" s="31"/>
      <c r="H379" s="28"/>
      <c r="I379" s="29"/>
      <c r="J379" s="29"/>
      <c r="K379" s="29"/>
      <c r="L379" s="29"/>
      <c r="M379" s="29"/>
      <c r="N379" s="29"/>
      <c r="O379" s="29"/>
      <c r="P379" s="29"/>
      <c r="Q379" s="29"/>
      <c r="R379" s="29"/>
      <c r="S379" s="28"/>
      <c r="T379" s="32" t="str">
        <f aca="false">IF(AND(K379="",L379=""),"",IF(OR(K379="-",L379="-"),"측정불가",IF(AND(ISNUMBER(K379),ISNUMBER(L379)),IF(OR(K379&gt;=설정!$C$9,L379&gt;=설정!$C$10),"긴급",IF(OR(K379&gt;=설정!$C$7,L379&gt;=설정!$C$8,K379&lt;설정!$C$11),"주의","정상")),"확인필요")))</f>
        <v/>
      </c>
      <c r="U379" s="32" t="str">
        <f aca="false">IF(M379="","",IF(M379="-","측정불가",IF(NOT(ISNUMBER(M379)),"확인필요",IF(M379&lt;설정!$C$15,"긴급(저혈당)",IF(M379&gt;=설정!$C$16,"긴급(고혈당)",IF(N379="공복",IF(M379&gt;=설정!$C$13,"주의","정상"),IF(N379="식후",IF(M379&gt;=설정!$C$14,"주의","정상"),"조건확인")))))))</f>
        <v/>
      </c>
      <c r="V379" s="32" t="str">
        <f aca="false">IF(OR(T379="긴급",LEFT(U379,2)="긴급",P379="O"),"대상","")</f>
        <v/>
      </c>
      <c r="W379" s="33" t="str">
        <f aca="false">IF(R379&lt;&gt;"",R379,IF(O379="O",IF(V379="대상",IF(Q379="O","완료","추가상담 대기"),"완료"),IF(COUNTA(K379:M379)=3,"상담 대기",IF(J379="O","측정 대기",IF(I379="O","운동평가 대기","미방문")))))</f>
        <v>미방문</v>
      </c>
      <c r="X379" s="34"/>
      <c r="Y379" s="34"/>
      <c r="Z379" s="34"/>
      <c r="AA379" s="34"/>
      <c r="AB379" s="34"/>
      <c r="AC379" s="35" t="str">
        <f aca="false">IF(AND(ISNUMBER(X379),ISNUMBER(Y379)),IF(Y379&gt;=X379,ROUND((Y379-X379)*1440,0),""),"")</f>
        <v/>
      </c>
      <c r="AD379" s="35" t="str">
        <f aca="false">IF(AND(ISNUMBER(Y379),ISNUMBER(Z379)),IF(Z379&gt;=Y379,ROUND((Z379-Y379)*1440,0),""),"")</f>
        <v/>
      </c>
      <c r="AE379" s="35" t="str">
        <f aca="false">IF(AND(ISNUMBER(Z379),ISNUMBER(AA379)),IF(AA379&gt;=Z379,ROUND((AA379-Z379)*1440,0),""),"")</f>
        <v/>
      </c>
      <c r="AF379" s="35" t="str">
        <f aca="false">IF(AND(ISNUMBER(AA379),ISNUMBER(AB379)),IF(AB379&gt;=AA379,ROUND((AB379-AA379)*1440,0),""),"")</f>
        <v/>
      </c>
      <c r="AG379" s="35" t="str">
        <f aca="false">IF(AND(W379="완료",ISNUMBER(X379)),IF(MAX(Y379:AB379)&gt;=X379,ROUND((MAX(Y379:AB379)-X379)*1440,0),""),"")</f>
        <v/>
      </c>
    </row>
    <row r="380" customFormat="false" ht="15" hidden="false" customHeight="false" outlineLevel="0" collapsed="false">
      <c r="A380" s="27" t="n">
        <v>376</v>
      </c>
      <c r="B380" s="28"/>
      <c r="C380" s="29"/>
      <c r="D380" s="29"/>
      <c r="E380" s="28"/>
      <c r="F380" s="30"/>
      <c r="G380" s="31"/>
      <c r="H380" s="28"/>
      <c r="I380" s="29"/>
      <c r="J380" s="29"/>
      <c r="K380" s="29"/>
      <c r="L380" s="29"/>
      <c r="M380" s="29"/>
      <c r="N380" s="29"/>
      <c r="O380" s="29"/>
      <c r="P380" s="29"/>
      <c r="Q380" s="29"/>
      <c r="R380" s="29"/>
      <c r="S380" s="28"/>
      <c r="T380" s="32" t="str">
        <f aca="false">IF(AND(K380="",L380=""),"",IF(OR(K380="-",L380="-"),"측정불가",IF(AND(ISNUMBER(K380),ISNUMBER(L380)),IF(OR(K380&gt;=설정!$C$9,L380&gt;=설정!$C$10),"긴급",IF(OR(K380&gt;=설정!$C$7,L380&gt;=설정!$C$8,K380&lt;설정!$C$11),"주의","정상")),"확인필요")))</f>
        <v/>
      </c>
      <c r="U380" s="32" t="str">
        <f aca="false">IF(M380="","",IF(M380="-","측정불가",IF(NOT(ISNUMBER(M380)),"확인필요",IF(M380&lt;설정!$C$15,"긴급(저혈당)",IF(M380&gt;=설정!$C$16,"긴급(고혈당)",IF(N380="공복",IF(M380&gt;=설정!$C$13,"주의","정상"),IF(N380="식후",IF(M380&gt;=설정!$C$14,"주의","정상"),"조건확인")))))))</f>
        <v/>
      </c>
      <c r="V380" s="32" t="str">
        <f aca="false">IF(OR(T380="긴급",LEFT(U380,2)="긴급",P380="O"),"대상","")</f>
        <v/>
      </c>
      <c r="W380" s="33" t="str">
        <f aca="false">IF(R380&lt;&gt;"",R380,IF(O380="O",IF(V380="대상",IF(Q380="O","완료","추가상담 대기"),"완료"),IF(COUNTA(K380:M380)=3,"상담 대기",IF(J380="O","측정 대기",IF(I380="O","운동평가 대기","미방문")))))</f>
        <v>미방문</v>
      </c>
      <c r="X380" s="34"/>
      <c r="Y380" s="34"/>
      <c r="Z380" s="34"/>
      <c r="AA380" s="34"/>
      <c r="AB380" s="34"/>
      <c r="AC380" s="35" t="str">
        <f aca="false">IF(AND(ISNUMBER(X380),ISNUMBER(Y380)),IF(Y380&gt;=X380,ROUND((Y380-X380)*1440,0),""),"")</f>
        <v/>
      </c>
      <c r="AD380" s="35" t="str">
        <f aca="false">IF(AND(ISNUMBER(Y380),ISNUMBER(Z380)),IF(Z380&gt;=Y380,ROUND((Z380-Y380)*1440,0),""),"")</f>
        <v/>
      </c>
      <c r="AE380" s="35" t="str">
        <f aca="false">IF(AND(ISNUMBER(Z380),ISNUMBER(AA380)),IF(AA380&gt;=Z380,ROUND((AA380-Z380)*1440,0),""),"")</f>
        <v/>
      </c>
      <c r="AF380" s="35" t="str">
        <f aca="false">IF(AND(ISNUMBER(AA380),ISNUMBER(AB380)),IF(AB380&gt;=AA380,ROUND((AB380-AA380)*1440,0),""),"")</f>
        <v/>
      </c>
      <c r="AG380" s="35" t="str">
        <f aca="false">IF(AND(W380="완료",ISNUMBER(X380)),IF(MAX(Y380:AB380)&gt;=X380,ROUND((MAX(Y380:AB380)-X380)*1440,0),""),"")</f>
        <v/>
      </c>
    </row>
    <row r="381" customFormat="false" ht="15" hidden="false" customHeight="false" outlineLevel="0" collapsed="false">
      <c r="A381" s="27" t="n">
        <v>377</v>
      </c>
      <c r="B381" s="28"/>
      <c r="C381" s="29"/>
      <c r="D381" s="29"/>
      <c r="E381" s="28"/>
      <c r="F381" s="30"/>
      <c r="G381" s="31"/>
      <c r="H381" s="28"/>
      <c r="I381" s="29"/>
      <c r="J381" s="29"/>
      <c r="K381" s="29"/>
      <c r="L381" s="29"/>
      <c r="M381" s="29"/>
      <c r="N381" s="29"/>
      <c r="O381" s="29"/>
      <c r="P381" s="29"/>
      <c r="Q381" s="29"/>
      <c r="R381" s="29"/>
      <c r="S381" s="28"/>
      <c r="T381" s="32" t="str">
        <f aca="false">IF(AND(K381="",L381=""),"",IF(OR(K381="-",L381="-"),"측정불가",IF(AND(ISNUMBER(K381),ISNUMBER(L381)),IF(OR(K381&gt;=설정!$C$9,L381&gt;=설정!$C$10),"긴급",IF(OR(K381&gt;=설정!$C$7,L381&gt;=설정!$C$8,K381&lt;설정!$C$11),"주의","정상")),"확인필요")))</f>
        <v/>
      </c>
      <c r="U381" s="32" t="str">
        <f aca="false">IF(M381="","",IF(M381="-","측정불가",IF(NOT(ISNUMBER(M381)),"확인필요",IF(M381&lt;설정!$C$15,"긴급(저혈당)",IF(M381&gt;=설정!$C$16,"긴급(고혈당)",IF(N381="공복",IF(M381&gt;=설정!$C$13,"주의","정상"),IF(N381="식후",IF(M381&gt;=설정!$C$14,"주의","정상"),"조건확인")))))))</f>
        <v/>
      </c>
      <c r="V381" s="32" t="str">
        <f aca="false">IF(OR(T381="긴급",LEFT(U381,2)="긴급",P381="O"),"대상","")</f>
        <v/>
      </c>
      <c r="W381" s="33" t="str">
        <f aca="false">IF(R381&lt;&gt;"",R381,IF(O381="O",IF(V381="대상",IF(Q381="O","완료","추가상담 대기"),"완료"),IF(COUNTA(K381:M381)=3,"상담 대기",IF(J381="O","측정 대기",IF(I381="O","운동평가 대기","미방문")))))</f>
        <v>미방문</v>
      </c>
      <c r="X381" s="34"/>
      <c r="Y381" s="34"/>
      <c r="Z381" s="34"/>
      <c r="AA381" s="34"/>
      <c r="AB381" s="34"/>
      <c r="AC381" s="35" t="str">
        <f aca="false">IF(AND(ISNUMBER(X381),ISNUMBER(Y381)),IF(Y381&gt;=X381,ROUND((Y381-X381)*1440,0),""),"")</f>
        <v/>
      </c>
      <c r="AD381" s="35" t="str">
        <f aca="false">IF(AND(ISNUMBER(Y381),ISNUMBER(Z381)),IF(Z381&gt;=Y381,ROUND((Z381-Y381)*1440,0),""),"")</f>
        <v/>
      </c>
      <c r="AE381" s="35" t="str">
        <f aca="false">IF(AND(ISNUMBER(Z381),ISNUMBER(AA381)),IF(AA381&gt;=Z381,ROUND((AA381-Z381)*1440,0),""),"")</f>
        <v/>
      </c>
      <c r="AF381" s="35" t="str">
        <f aca="false">IF(AND(ISNUMBER(AA381),ISNUMBER(AB381)),IF(AB381&gt;=AA381,ROUND((AB381-AA381)*1440,0),""),"")</f>
        <v/>
      </c>
      <c r="AG381" s="35" t="str">
        <f aca="false">IF(AND(W381="완료",ISNUMBER(X381)),IF(MAX(Y381:AB381)&gt;=X381,ROUND((MAX(Y381:AB381)-X381)*1440,0),""),"")</f>
        <v/>
      </c>
    </row>
    <row r="382" customFormat="false" ht="15" hidden="false" customHeight="false" outlineLevel="0" collapsed="false">
      <c r="A382" s="27" t="n">
        <v>378</v>
      </c>
      <c r="B382" s="28"/>
      <c r="C382" s="29"/>
      <c r="D382" s="29"/>
      <c r="E382" s="28"/>
      <c r="F382" s="30"/>
      <c r="G382" s="31"/>
      <c r="H382" s="28"/>
      <c r="I382" s="29"/>
      <c r="J382" s="29"/>
      <c r="K382" s="29"/>
      <c r="L382" s="29"/>
      <c r="M382" s="29"/>
      <c r="N382" s="29"/>
      <c r="O382" s="29"/>
      <c r="P382" s="29"/>
      <c r="Q382" s="29"/>
      <c r="R382" s="29"/>
      <c r="S382" s="28"/>
      <c r="T382" s="32" t="str">
        <f aca="false">IF(AND(K382="",L382=""),"",IF(OR(K382="-",L382="-"),"측정불가",IF(AND(ISNUMBER(K382),ISNUMBER(L382)),IF(OR(K382&gt;=설정!$C$9,L382&gt;=설정!$C$10),"긴급",IF(OR(K382&gt;=설정!$C$7,L382&gt;=설정!$C$8,K382&lt;설정!$C$11),"주의","정상")),"확인필요")))</f>
        <v/>
      </c>
      <c r="U382" s="32" t="str">
        <f aca="false">IF(M382="","",IF(M382="-","측정불가",IF(NOT(ISNUMBER(M382)),"확인필요",IF(M382&lt;설정!$C$15,"긴급(저혈당)",IF(M382&gt;=설정!$C$16,"긴급(고혈당)",IF(N382="공복",IF(M382&gt;=설정!$C$13,"주의","정상"),IF(N382="식후",IF(M382&gt;=설정!$C$14,"주의","정상"),"조건확인")))))))</f>
        <v/>
      </c>
      <c r="V382" s="32" t="str">
        <f aca="false">IF(OR(T382="긴급",LEFT(U382,2)="긴급",P382="O"),"대상","")</f>
        <v/>
      </c>
      <c r="W382" s="33" t="str">
        <f aca="false">IF(R382&lt;&gt;"",R382,IF(O382="O",IF(V382="대상",IF(Q382="O","완료","추가상담 대기"),"완료"),IF(COUNTA(K382:M382)=3,"상담 대기",IF(J382="O","측정 대기",IF(I382="O","운동평가 대기","미방문")))))</f>
        <v>미방문</v>
      </c>
      <c r="X382" s="34"/>
      <c r="Y382" s="34"/>
      <c r="Z382" s="34"/>
      <c r="AA382" s="34"/>
      <c r="AB382" s="34"/>
      <c r="AC382" s="35" t="str">
        <f aca="false">IF(AND(ISNUMBER(X382),ISNUMBER(Y382)),IF(Y382&gt;=X382,ROUND((Y382-X382)*1440,0),""),"")</f>
        <v/>
      </c>
      <c r="AD382" s="35" t="str">
        <f aca="false">IF(AND(ISNUMBER(Y382),ISNUMBER(Z382)),IF(Z382&gt;=Y382,ROUND((Z382-Y382)*1440,0),""),"")</f>
        <v/>
      </c>
      <c r="AE382" s="35" t="str">
        <f aca="false">IF(AND(ISNUMBER(Z382),ISNUMBER(AA382)),IF(AA382&gt;=Z382,ROUND((AA382-Z382)*1440,0),""),"")</f>
        <v/>
      </c>
      <c r="AF382" s="35" t="str">
        <f aca="false">IF(AND(ISNUMBER(AA382),ISNUMBER(AB382)),IF(AB382&gt;=AA382,ROUND((AB382-AA382)*1440,0),""),"")</f>
        <v/>
      </c>
      <c r="AG382" s="35" t="str">
        <f aca="false">IF(AND(W382="완료",ISNUMBER(X382)),IF(MAX(Y382:AB382)&gt;=X382,ROUND((MAX(Y382:AB382)-X382)*1440,0),""),"")</f>
        <v/>
      </c>
    </row>
    <row r="383" customFormat="false" ht="15" hidden="false" customHeight="false" outlineLevel="0" collapsed="false">
      <c r="A383" s="27" t="n">
        <v>379</v>
      </c>
      <c r="B383" s="28"/>
      <c r="C383" s="29"/>
      <c r="D383" s="29"/>
      <c r="E383" s="28"/>
      <c r="F383" s="30"/>
      <c r="G383" s="31"/>
      <c r="H383" s="28"/>
      <c r="I383" s="29"/>
      <c r="J383" s="29"/>
      <c r="K383" s="29"/>
      <c r="L383" s="29"/>
      <c r="M383" s="29"/>
      <c r="N383" s="29"/>
      <c r="O383" s="29"/>
      <c r="P383" s="29"/>
      <c r="Q383" s="29"/>
      <c r="R383" s="29"/>
      <c r="S383" s="28"/>
      <c r="T383" s="32" t="str">
        <f aca="false">IF(AND(K383="",L383=""),"",IF(OR(K383="-",L383="-"),"측정불가",IF(AND(ISNUMBER(K383),ISNUMBER(L383)),IF(OR(K383&gt;=설정!$C$9,L383&gt;=설정!$C$10),"긴급",IF(OR(K383&gt;=설정!$C$7,L383&gt;=설정!$C$8,K383&lt;설정!$C$11),"주의","정상")),"확인필요")))</f>
        <v/>
      </c>
      <c r="U383" s="32" t="str">
        <f aca="false">IF(M383="","",IF(M383="-","측정불가",IF(NOT(ISNUMBER(M383)),"확인필요",IF(M383&lt;설정!$C$15,"긴급(저혈당)",IF(M383&gt;=설정!$C$16,"긴급(고혈당)",IF(N383="공복",IF(M383&gt;=설정!$C$13,"주의","정상"),IF(N383="식후",IF(M383&gt;=설정!$C$14,"주의","정상"),"조건확인")))))))</f>
        <v/>
      </c>
      <c r="V383" s="32" t="str">
        <f aca="false">IF(OR(T383="긴급",LEFT(U383,2)="긴급",P383="O"),"대상","")</f>
        <v/>
      </c>
      <c r="W383" s="33" t="str">
        <f aca="false">IF(R383&lt;&gt;"",R383,IF(O383="O",IF(V383="대상",IF(Q383="O","완료","추가상담 대기"),"완료"),IF(COUNTA(K383:M383)=3,"상담 대기",IF(J383="O","측정 대기",IF(I383="O","운동평가 대기","미방문")))))</f>
        <v>미방문</v>
      </c>
      <c r="X383" s="34"/>
      <c r="Y383" s="34"/>
      <c r="Z383" s="34"/>
      <c r="AA383" s="34"/>
      <c r="AB383" s="34"/>
      <c r="AC383" s="35" t="str">
        <f aca="false">IF(AND(ISNUMBER(X383),ISNUMBER(Y383)),IF(Y383&gt;=X383,ROUND((Y383-X383)*1440,0),""),"")</f>
        <v/>
      </c>
      <c r="AD383" s="35" t="str">
        <f aca="false">IF(AND(ISNUMBER(Y383),ISNUMBER(Z383)),IF(Z383&gt;=Y383,ROUND((Z383-Y383)*1440,0),""),"")</f>
        <v/>
      </c>
      <c r="AE383" s="35" t="str">
        <f aca="false">IF(AND(ISNUMBER(Z383),ISNUMBER(AA383)),IF(AA383&gt;=Z383,ROUND((AA383-Z383)*1440,0),""),"")</f>
        <v/>
      </c>
      <c r="AF383" s="35" t="str">
        <f aca="false">IF(AND(ISNUMBER(AA383),ISNUMBER(AB383)),IF(AB383&gt;=AA383,ROUND((AB383-AA383)*1440,0),""),"")</f>
        <v/>
      </c>
      <c r="AG383" s="35" t="str">
        <f aca="false">IF(AND(W383="완료",ISNUMBER(X383)),IF(MAX(Y383:AB383)&gt;=X383,ROUND((MAX(Y383:AB383)-X383)*1440,0),""),"")</f>
        <v/>
      </c>
    </row>
    <row r="384" customFormat="false" ht="15" hidden="false" customHeight="false" outlineLevel="0" collapsed="false">
      <c r="A384" s="27" t="n">
        <v>380</v>
      </c>
      <c r="B384" s="28"/>
      <c r="C384" s="29"/>
      <c r="D384" s="29"/>
      <c r="E384" s="28"/>
      <c r="F384" s="30"/>
      <c r="G384" s="31"/>
      <c r="H384" s="28"/>
      <c r="I384" s="29"/>
      <c r="J384" s="29"/>
      <c r="K384" s="29"/>
      <c r="L384" s="29"/>
      <c r="M384" s="29"/>
      <c r="N384" s="29"/>
      <c r="O384" s="29"/>
      <c r="P384" s="29"/>
      <c r="Q384" s="29"/>
      <c r="R384" s="29"/>
      <c r="S384" s="28"/>
      <c r="T384" s="32" t="str">
        <f aca="false">IF(AND(K384="",L384=""),"",IF(OR(K384="-",L384="-"),"측정불가",IF(AND(ISNUMBER(K384),ISNUMBER(L384)),IF(OR(K384&gt;=설정!$C$9,L384&gt;=설정!$C$10),"긴급",IF(OR(K384&gt;=설정!$C$7,L384&gt;=설정!$C$8,K384&lt;설정!$C$11),"주의","정상")),"확인필요")))</f>
        <v/>
      </c>
      <c r="U384" s="32" t="str">
        <f aca="false">IF(M384="","",IF(M384="-","측정불가",IF(NOT(ISNUMBER(M384)),"확인필요",IF(M384&lt;설정!$C$15,"긴급(저혈당)",IF(M384&gt;=설정!$C$16,"긴급(고혈당)",IF(N384="공복",IF(M384&gt;=설정!$C$13,"주의","정상"),IF(N384="식후",IF(M384&gt;=설정!$C$14,"주의","정상"),"조건확인")))))))</f>
        <v/>
      </c>
      <c r="V384" s="32" t="str">
        <f aca="false">IF(OR(T384="긴급",LEFT(U384,2)="긴급",P384="O"),"대상","")</f>
        <v/>
      </c>
      <c r="W384" s="33" t="str">
        <f aca="false">IF(R384&lt;&gt;"",R384,IF(O384="O",IF(V384="대상",IF(Q384="O","완료","추가상담 대기"),"완료"),IF(COUNTA(K384:M384)=3,"상담 대기",IF(J384="O","측정 대기",IF(I384="O","운동평가 대기","미방문")))))</f>
        <v>미방문</v>
      </c>
      <c r="X384" s="34"/>
      <c r="Y384" s="34"/>
      <c r="Z384" s="34"/>
      <c r="AA384" s="34"/>
      <c r="AB384" s="34"/>
      <c r="AC384" s="35" t="str">
        <f aca="false">IF(AND(ISNUMBER(X384),ISNUMBER(Y384)),IF(Y384&gt;=X384,ROUND((Y384-X384)*1440,0),""),"")</f>
        <v/>
      </c>
      <c r="AD384" s="35" t="str">
        <f aca="false">IF(AND(ISNUMBER(Y384),ISNUMBER(Z384)),IF(Z384&gt;=Y384,ROUND((Z384-Y384)*1440,0),""),"")</f>
        <v/>
      </c>
      <c r="AE384" s="35" t="str">
        <f aca="false">IF(AND(ISNUMBER(Z384),ISNUMBER(AA384)),IF(AA384&gt;=Z384,ROUND((AA384-Z384)*1440,0),""),"")</f>
        <v/>
      </c>
      <c r="AF384" s="35" t="str">
        <f aca="false">IF(AND(ISNUMBER(AA384),ISNUMBER(AB384)),IF(AB384&gt;=AA384,ROUND((AB384-AA384)*1440,0),""),"")</f>
        <v/>
      </c>
      <c r="AG384" s="35" t="str">
        <f aca="false">IF(AND(W384="완료",ISNUMBER(X384)),IF(MAX(Y384:AB384)&gt;=X384,ROUND((MAX(Y384:AB384)-X384)*1440,0),""),"")</f>
        <v/>
      </c>
    </row>
    <row r="385" customFormat="false" ht="15" hidden="false" customHeight="false" outlineLevel="0" collapsed="false">
      <c r="A385" s="27" t="n">
        <v>381</v>
      </c>
      <c r="B385" s="28"/>
      <c r="C385" s="29"/>
      <c r="D385" s="29"/>
      <c r="E385" s="28"/>
      <c r="F385" s="30"/>
      <c r="G385" s="31"/>
      <c r="H385" s="28"/>
      <c r="I385" s="29"/>
      <c r="J385" s="29"/>
      <c r="K385" s="29"/>
      <c r="L385" s="29"/>
      <c r="M385" s="29"/>
      <c r="N385" s="29"/>
      <c r="O385" s="29"/>
      <c r="P385" s="29"/>
      <c r="Q385" s="29"/>
      <c r="R385" s="29"/>
      <c r="S385" s="28"/>
      <c r="T385" s="32" t="str">
        <f aca="false">IF(AND(K385="",L385=""),"",IF(OR(K385="-",L385="-"),"측정불가",IF(AND(ISNUMBER(K385),ISNUMBER(L385)),IF(OR(K385&gt;=설정!$C$9,L385&gt;=설정!$C$10),"긴급",IF(OR(K385&gt;=설정!$C$7,L385&gt;=설정!$C$8,K385&lt;설정!$C$11),"주의","정상")),"확인필요")))</f>
        <v/>
      </c>
      <c r="U385" s="32" t="str">
        <f aca="false">IF(M385="","",IF(M385="-","측정불가",IF(NOT(ISNUMBER(M385)),"확인필요",IF(M385&lt;설정!$C$15,"긴급(저혈당)",IF(M385&gt;=설정!$C$16,"긴급(고혈당)",IF(N385="공복",IF(M385&gt;=설정!$C$13,"주의","정상"),IF(N385="식후",IF(M385&gt;=설정!$C$14,"주의","정상"),"조건확인")))))))</f>
        <v/>
      </c>
      <c r="V385" s="32" t="str">
        <f aca="false">IF(OR(T385="긴급",LEFT(U385,2)="긴급",P385="O"),"대상","")</f>
        <v/>
      </c>
      <c r="W385" s="33" t="str">
        <f aca="false">IF(R385&lt;&gt;"",R385,IF(O385="O",IF(V385="대상",IF(Q385="O","완료","추가상담 대기"),"완료"),IF(COUNTA(K385:M385)=3,"상담 대기",IF(J385="O","측정 대기",IF(I385="O","운동평가 대기","미방문")))))</f>
        <v>미방문</v>
      </c>
      <c r="X385" s="34"/>
      <c r="Y385" s="34"/>
      <c r="Z385" s="34"/>
      <c r="AA385" s="34"/>
      <c r="AB385" s="34"/>
      <c r="AC385" s="35" t="str">
        <f aca="false">IF(AND(ISNUMBER(X385),ISNUMBER(Y385)),IF(Y385&gt;=X385,ROUND((Y385-X385)*1440,0),""),"")</f>
        <v/>
      </c>
      <c r="AD385" s="35" t="str">
        <f aca="false">IF(AND(ISNUMBER(Y385),ISNUMBER(Z385)),IF(Z385&gt;=Y385,ROUND((Z385-Y385)*1440,0),""),"")</f>
        <v/>
      </c>
      <c r="AE385" s="35" t="str">
        <f aca="false">IF(AND(ISNUMBER(Z385),ISNUMBER(AA385)),IF(AA385&gt;=Z385,ROUND((AA385-Z385)*1440,0),""),"")</f>
        <v/>
      </c>
      <c r="AF385" s="35" t="str">
        <f aca="false">IF(AND(ISNUMBER(AA385),ISNUMBER(AB385)),IF(AB385&gt;=AA385,ROUND((AB385-AA385)*1440,0),""),"")</f>
        <v/>
      </c>
      <c r="AG385" s="35" t="str">
        <f aca="false">IF(AND(W385="완료",ISNUMBER(X385)),IF(MAX(Y385:AB385)&gt;=X385,ROUND((MAX(Y385:AB385)-X385)*1440,0),""),"")</f>
        <v/>
      </c>
    </row>
    <row r="386" customFormat="false" ht="15" hidden="false" customHeight="false" outlineLevel="0" collapsed="false">
      <c r="A386" s="27" t="n">
        <v>382</v>
      </c>
      <c r="B386" s="28"/>
      <c r="C386" s="29"/>
      <c r="D386" s="29"/>
      <c r="E386" s="28"/>
      <c r="F386" s="30"/>
      <c r="G386" s="31"/>
      <c r="H386" s="28"/>
      <c r="I386" s="29"/>
      <c r="J386" s="29"/>
      <c r="K386" s="29"/>
      <c r="L386" s="29"/>
      <c r="M386" s="29"/>
      <c r="N386" s="29"/>
      <c r="O386" s="29"/>
      <c r="P386" s="29"/>
      <c r="Q386" s="29"/>
      <c r="R386" s="29"/>
      <c r="S386" s="28"/>
      <c r="T386" s="32" t="str">
        <f aca="false">IF(AND(K386="",L386=""),"",IF(OR(K386="-",L386="-"),"측정불가",IF(AND(ISNUMBER(K386),ISNUMBER(L386)),IF(OR(K386&gt;=설정!$C$9,L386&gt;=설정!$C$10),"긴급",IF(OR(K386&gt;=설정!$C$7,L386&gt;=설정!$C$8,K386&lt;설정!$C$11),"주의","정상")),"확인필요")))</f>
        <v/>
      </c>
      <c r="U386" s="32" t="str">
        <f aca="false">IF(M386="","",IF(M386="-","측정불가",IF(NOT(ISNUMBER(M386)),"확인필요",IF(M386&lt;설정!$C$15,"긴급(저혈당)",IF(M386&gt;=설정!$C$16,"긴급(고혈당)",IF(N386="공복",IF(M386&gt;=설정!$C$13,"주의","정상"),IF(N386="식후",IF(M386&gt;=설정!$C$14,"주의","정상"),"조건확인")))))))</f>
        <v/>
      </c>
      <c r="V386" s="32" t="str">
        <f aca="false">IF(OR(T386="긴급",LEFT(U386,2)="긴급",P386="O"),"대상","")</f>
        <v/>
      </c>
      <c r="W386" s="33" t="str">
        <f aca="false">IF(R386&lt;&gt;"",R386,IF(O386="O",IF(V386="대상",IF(Q386="O","완료","추가상담 대기"),"완료"),IF(COUNTA(K386:M386)=3,"상담 대기",IF(J386="O","측정 대기",IF(I386="O","운동평가 대기","미방문")))))</f>
        <v>미방문</v>
      </c>
      <c r="X386" s="34"/>
      <c r="Y386" s="34"/>
      <c r="Z386" s="34"/>
      <c r="AA386" s="34"/>
      <c r="AB386" s="34"/>
      <c r="AC386" s="35" t="str">
        <f aca="false">IF(AND(ISNUMBER(X386),ISNUMBER(Y386)),IF(Y386&gt;=X386,ROUND((Y386-X386)*1440,0),""),"")</f>
        <v/>
      </c>
      <c r="AD386" s="35" t="str">
        <f aca="false">IF(AND(ISNUMBER(Y386),ISNUMBER(Z386)),IF(Z386&gt;=Y386,ROUND((Z386-Y386)*1440,0),""),"")</f>
        <v/>
      </c>
      <c r="AE386" s="35" t="str">
        <f aca="false">IF(AND(ISNUMBER(Z386),ISNUMBER(AA386)),IF(AA386&gt;=Z386,ROUND((AA386-Z386)*1440,0),""),"")</f>
        <v/>
      </c>
      <c r="AF386" s="35" t="str">
        <f aca="false">IF(AND(ISNUMBER(AA386),ISNUMBER(AB386)),IF(AB386&gt;=AA386,ROUND((AB386-AA386)*1440,0),""),"")</f>
        <v/>
      </c>
      <c r="AG386" s="35" t="str">
        <f aca="false">IF(AND(W386="완료",ISNUMBER(X386)),IF(MAX(Y386:AB386)&gt;=X386,ROUND((MAX(Y386:AB386)-X386)*1440,0),""),"")</f>
        <v/>
      </c>
    </row>
    <row r="387" customFormat="false" ht="15" hidden="false" customHeight="false" outlineLevel="0" collapsed="false">
      <c r="A387" s="27" t="n">
        <v>383</v>
      </c>
      <c r="B387" s="28"/>
      <c r="C387" s="29"/>
      <c r="D387" s="29"/>
      <c r="E387" s="28"/>
      <c r="F387" s="30"/>
      <c r="G387" s="31"/>
      <c r="H387" s="28"/>
      <c r="I387" s="29"/>
      <c r="J387" s="29"/>
      <c r="K387" s="29"/>
      <c r="L387" s="29"/>
      <c r="M387" s="29"/>
      <c r="N387" s="29"/>
      <c r="O387" s="29"/>
      <c r="P387" s="29"/>
      <c r="Q387" s="29"/>
      <c r="R387" s="29"/>
      <c r="S387" s="28"/>
      <c r="T387" s="32" t="str">
        <f aca="false">IF(AND(K387="",L387=""),"",IF(OR(K387="-",L387="-"),"측정불가",IF(AND(ISNUMBER(K387),ISNUMBER(L387)),IF(OR(K387&gt;=설정!$C$9,L387&gt;=설정!$C$10),"긴급",IF(OR(K387&gt;=설정!$C$7,L387&gt;=설정!$C$8,K387&lt;설정!$C$11),"주의","정상")),"확인필요")))</f>
        <v/>
      </c>
      <c r="U387" s="32" t="str">
        <f aca="false">IF(M387="","",IF(M387="-","측정불가",IF(NOT(ISNUMBER(M387)),"확인필요",IF(M387&lt;설정!$C$15,"긴급(저혈당)",IF(M387&gt;=설정!$C$16,"긴급(고혈당)",IF(N387="공복",IF(M387&gt;=설정!$C$13,"주의","정상"),IF(N387="식후",IF(M387&gt;=설정!$C$14,"주의","정상"),"조건확인")))))))</f>
        <v/>
      </c>
      <c r="V387" s="32" t="str">
        <f aca="false">IF(OR(T387="긴급",LEFT(U387,2)="긴급",P387="O"),"대상","")</f>
        <v/>
      </c>
      <c r="W387" s="33" t="str">
        <f aca="false">IF(R387&lt;&gt;"",R387,IF(O387="O",IF(V387="대상",IF(Q387="O","완료","추가상담 대기"),"완료"),IF(COUNTA(K387:M387)=3,"상담 대기",IF(J387="O","측정 대기",IF(I387="O","운동평가 대기","미방문")))))</f>
        <v>미방문</v>
      </c>
      <c r="X387" s="34"/>
      <c r="Y387" s="34"/>
      <c r="Z387" s="34"/>
      <c r="AA387" s="34"/>
      <c r="AB387" s="34"/>
      <c r="AC387" s="35" t="str">
        <f aca="false">IF(AND(ISNUMBER(X387),ISNUMBER(Y387)),IF(Y387&gt;=X387,ROUND((Y387-X387)*1440,0),""),"")</f>
        <v/>
      </c>
      <c r="AD387" s="35" t="str">
        <f aca="false">IF(AND(ISNUMBER(Y387),ISNUMBER(Z387)),IF(Z387&gt;=Y387,ROUND((Z387-Y387)*1440,0),""),"")</f>
        <v/>
      </c>
      <c r="AE387" s="35" t="str">
        <f aca="false">IF(AND(ISNUMBER(Z387),ISNUMBER(AA387)),IF(AA387&gt;=Z387,ROUND((AA387-Z387)*1440,0),""),"")</f>
        <v/>
      </c>
      <c r="AF387" s="35" t="str">
        <f aca="false">IF(AND(ISNUMBER(AA387),ISNUMBER(AB387)),IF(AB387&gt;=AA387,ROUND((AB387-AA387)*1440,0),""),"")</f>
        <v/>
      </c>
      <c r="AG387" s="35" t="str">
        <f aca="false">IF(AND(W387="완료",ISNUMBER(X387)),IF(MAX(Y387:AB387)&gt;=X387,ROUND((MAX(Y387:AB387)-X387)*1440,0),""),"")</f>
        <v/>
      </c>
    </row>
    <row r="388" customFormat="false" ht="15" hidden="false" customHeight="false" outlineLevel="0" collapsed="false">
      <c r="A388" s="27" t="n">
        <v>384</v>
      </c>
      <c r="B388" s="28"/>
      <c r="C388" s="29"/>
      <c r="D388" s="29"/>
      <c r="E388" s="28"/>
      <c r="F388" s="30"/>
      <c r="G388" s="31"/>
      <c r="H388" s="28"/>
      <c r="I388" s="29"/>
      <c r="J388" s="29"/>
      <c r="K388" s="29"/>
      <c r="L388" s="29"/>
      <c r="M388" s="29"/>
      <c r="N388" s="29"/>
      <c r="O388" s="29"/>
      <c r="P388" s="29"/>
      <c r="Q388" s="29"/>
      <c r="R388" s="29"/>
      <c r="S388" s="28"/>
      <c r="T388" s="32" t="str">
        <f aca="false">IF(AND(K388="",L388=""),"",IF(OR(K388="-",L388="-"),"측정불가",IF(AND(ISNUMBER(K388),ISNUMBER(L388)),IF(OR(K388&gt;=설정!$C$9,L388&gt;=설정!$C$10),"긴급",IF(OR(K388&gt;=설정!$C$7,L388&gt;=설정!$C$8,K388&lt;설정!$C$11),"주의","정상")),"확인필요")))</f>
        <v/>
      </c>
      <c r="U388" s="32" t="str">
        <f aca="false">IF(M388="","",IF(M388="-","측정불가",IF(NOT(ISNUMBER(M388)),"확인필요",IF(M388&lt;설정!$C$15,"긴급(저혈당)",IF(M388&gt;=설정!$C$16,"긴급(고혈당)",IF(N388="공복",IF(M388&gt;=설정!$C$13,"주의","정상"),IF(N388="식후",IF(M388&gt;=설정!$C$14,"주의","정상"),"조건확인")))))))</f>
        <v/>
      </c>
      <c r="V388" s="32" t="str">
        <f aca="false">IF(OR(T388="긴급",LEFT(U388,2)="긴급",P388="O"),"대상","")</f>
        <v/>
      </c>
      <c r="W388" s="33" t="str">
        <f aca="false">IF(R388&lt;&gt;"",R388,IF(O388="O",IF(V388="대상",IF(Q388="O","완료","추가상담 대기"),"완료"),IF(COUNTA(K388:M388)=3,"상담 대기",IF(J388="O","측정 대기",IF(I388="O","운동평가 대기","미방문")))))</f>
        <v>미방문</v>
      </c>
      <c r="X388" s="34"/>
      <c r="Y388" s="34"/>
      <c r="Z388" s="34"/>
      <c r="AA388" s="34"/>
      <c r="AB388" s="34"/>
      <c r="AC388" s="35" t="str">
        <f aca="false">IF(AND(ISNUMBER(X388),ISNUMBER(Y388)),IF(Y388&gt;=X388,ROUND((Y388-X388)*1440,0),""),"")</f>
        <v/>
      </c>
      <c r="AD388" s="35" t="str">
        <f aca="false">IF(AND(ISNUMBER(Y388),ISNUMBER(Z388)),IF(Z388&gt;=Y388,ROUND((Z388-Y388)*1440,0),""),"")</f>
        <v/>
      </c>
      <c r="AE388" s="35" t="str">
        <f aca="false">IF(AND(ISNUMBER(Z388),ISNUMBER(AA388)),IF(AA388&gt;=Z388,ROUND((AA388-Z388)*1440,0),""),"")</f>
        <v/>
      </c>
      <c r="AF388" s="35" t="str">
        <f aca="false">IF(AND(ISNUMBER(AA388),ISNUMBER(AB388)),IF(AB388&gt;=AA388,ROUND((AB388-AA388)*1440,0),""),"")</f>
        <v/>
      </c>
      <c r="AG388" s="35" t="str">
        <f aca="false">IF(AND(W388="완료",ISNUMBER(X388)),IF(MAX(Y388:AB388)&gt;=X388,ROUND((MAX(Y388:AB388)-X388)*1440,0),""),"")</f>
        <v/>
      </c>
    </row>
    <row r="389" customFormat="false" ht="15" hidden="false" customHeight="false" outlineLevel="0" collapsed="false">
      <c r="A389" s="27" t="n">
        <v>385</v>
      </c>
      <c r="B389" s="28"/>
      <c r="C389" s="29"/>
      <c r="D389" s="29"/>
      <c r="E389" s="28"/>
      <c r="F389" s="30"/>
      <c r="G389" s="31"/>
      <c r="H389" s="28"/>
      <c r="I389" s="29"/>
      <c r="J389" s="29"/>
      <c r="K389" s="29"/>
      <c r="L389" s="29"/>
      <c r="M389" s="29"/>
      <c r="N389" s="29"/>
      <c r="O389" s="29"/>
      <c r="P389" s="29"/>
      <c r="Q389" s="29"/>
      <c r="R389" s="29"/>
      <c r="S389" s="28"/>
      <c r="T389" s="32" t="str">
        <f aca="false">IF(AND(K389="",L389=""),"",IF(OR(K389="-",L389="-"),"측정불가",IF(AND(ISNUMBER(K389),ISNUMBER(L389)),IF(OR(K389&gt;=설정!$C$9,L389&gt;=설정!$C$10),"긴급",IF(OR(K389&gt;=설정!$C$7,L389&gt;=설정!$C$8,K389&lt;설정!$C$11),"주의","정상")),"확인필요")))</f>
        <v/>
      </c>
      <c r="U389" s="32" t="str">
        <f aca="false">IF(M389="","",IF(M389="-","측정불가",IF(NOT(ISNUMBER(M389)),"확인필요",IF(M389&lt;설정!$C$15,"긴급(저혈당)",IF(M389&gt;=설정!$C$16,"긴급(고혈당)",IF(N389="공복",IF(M389&gt;=설정!$C$13,"주의","정상"),IF(N389="식후",IF(M389&gt;=설정!$C$14,"주의","정상"),"조건확인")))))))</f>
        <v/>
      </c>
      <c r="V389" s="32" t="str">
        <f aca="false">IF(OR(T389="긴급",LEFT(U389,2)="긴급",P389="O"),"대상","")</f>
        <v/>
      </c>
      <c r="W389" s="33" t="str">
        <f aca="false">IF(R389&lt;&gt;"",R389,IF(O389="O",IF(V389="대상",IF(Q389="O","완료","추가상담 대기"),"완료"),IF(COUNTA(K389:M389)=3,"상담 대기",IF(J389="O","측정 대기",IF(I389="O","운동평가 대기","미방문")))))</f>
        <v>미방문</v>
      </c>
      <c r="X389" s="34"/>
      <c r="Y389" s="34"/>
      <c r="Z389" s="34"/>
      <c r="AA389" s="34"/>
      <c r="AB389" s="34"/>
      <c r="AC389" s="35" t="str">
        <f aca="false">IF(AND(ISNUMBER(X389),ISNUMBER(Y389)),IF(Y389&gt;=X389,ROUND((Y389-X389)*1440,0),""),"")</f>
        <v/>
      </c>
      <c r="AD389" s="35" t="str">
        <f aca="false">IF(AND(ISNUMBER(Y389),ISNUMBER(Z389)),IF(Z389&gt;=Y389,ROUND((Z389-Y389)*1440,0),""),"")</f>
        <v/>
      </c>
      <c r="AE389" s="35" t="str">
        <f aca="false">IF(AND(ISNUMBER(Z389),ISNUMBER(AA389)),IF(AA389&gt;=Z389,ROUND((AA389-Z389)*1440,0),""),"")</f>
        <v/>
      </c>
      <c r="AF389" s="35" t="str">
        <f aca="false">IF(AND(ISNUMBER(AA389),ISNUMBER(AB389)),IF(AB389&gt;=AA389,ROUND((AB389-AA389)*1440,0),""),"")</f>
        <v/>
      </c>
      <c r="AG389" s="35" t="str">
        <f aca="false">IF(AND(W389="완료",ISNUMBER(X389)),IF(MAX(Y389:AB389)&gt;=X389,ROUND((MAX(Y389:AB389)-X389)*1440,0),""),"")</f>
        <v/>
      </c>
    </row>
    <row r="390" customFormat="false" ht="15" hidden="false" customHeight="false" outlineLevel="0" collapsed="false">
      <c r="A390" s="27" t="n">
        <v>386</v>
      </c>
      <c r="B390" s="28"/>
      <c r="C390" s="29"/>
      <c r="D390" s="29"/>
      <c r="E390" s="28"/>
      <c r="F390" s="30"/>
      <c r="G390" s="31"/>
      <c r="H390" s="28"/>
      <c r="I390" s="29"/>
      <c r="J390" s="29"/>
      <c r="K390" s="29"/>
      <c r="L390" s="29"/>
      <c r="M390" s="29"/>
      <c r="N390" s="29"/>
      <c r="O390" s="29"/>
      <c r="P390" s="29"/>
      <c r="Q390" s="29"/>
      <c r="R390" s="29"/>
      <c r="S390" s="28"/>
      <c r="T390" s="32" t="str">
        <f aca="false">IF(AND(K390="",L390=""),"",IF(OR(K390="-",L390="-"),"측정불가",IF(AND(ISNUMBER(K390),ISNUMBER(L390)),IF(OR(K390&gt;=설정!$C$9,L390&gt;=설정!$C$10),"긴급",IF(OR(K390&gt;=설정!$C$7,L390&gt;=설정!$C$8,K390&lt;설정!$C$11),"주의","정상")),"확인필요")))</f>
        <v/>
      </c>
      <c r="U390" s="32" t="str">
        <f aca="false">IF(M390="","",IF(M390="-","측정불가",IF(NOT(ISNUMBER(M390)),"확인필요",IF(M390&lt;설정!$C$15,"긴급(저혈당)",IF(M390&gt;=설정!$C$16,"긴급(고혈당)",IF(N390="공복",IF(M390&gt;=설정!$C$13,"주의","정상"),IF(N390="식후",IF(M390&gt;=설정!$C$14,"주의","정상"),"조건확인")))))))</f>
        <v/>
      </c>
      <c r="V390" s="32" t="str">
        <f aca="false">IF(OR(T390="긴급",LEFT(U390,2)="긴급",P390="O"),"대상","")</f>
        <v/>
      </c>
      <c r="W390" s="33" t="str">
        <f aca="false">IF(R390&lt;&gt;"",R390,IF(O390="O",IF(V390="대상",IF(Q390="O","완료","추가상담 대기"),"완료"),IF(COUNTA(K390:M390)=3,"상담 대기",IF(J390="O","측정 대기",IF(I390="O","운동평가 대기","미방문")))))</f>
        <v>미방문</v>
      </c>
      <c r="X390" s="34"/>
      <c r="Y390" s="34"/>
      <c r="Z390" s="34"/>
      <c r="AA390" s="34"/>
      <c r="AB390" s="34"/>
      <c r="AC390" s="35" t="str">
        <f aca="false">IF(AND(ISNUMBER(X390),ISNUMBER(Y390)),IF(Y390&gt;=X390,ROUND((Y390-X390)*1440,0),""),"")</f>
        <v/>
      </c>
      <c r="AD390" s="35" t="str">
        <f aca="false">IF(AND(ISNUMBER(Y390),ISNUMBER(Z390)),IF(Z390&gt;=Y390,ROUND((Z390-Y390)*1440,0),""),"")</f>
        <v/>
      </c>
      <c r="AE390" s="35" t="str">
        <f aca="false">IF(AND(ISNUMBER(Z390),ISNUMBER(AA390)),IF(AA390&gt;=Z390,ROUND((AA390-Z390)*1440,0),""),"")</f>
        <v/>
      </c>
      <c r="AF390" s="35" t="str">
        <f aca="false">IF(AND(ISNUMBER(AA390),ISNUMBER(AB390)),IF(AB390&gt;=AA390,ROUND((AB390-AA390)*1440,0),""),"")</f>
        <v/>
      </c>
      <c r="AG390" s="35" t="str">
        <f aca="false">IF(AND(W390="완료",ISNUMBER(X390)),IF(MAX(Y390:AB390)&gt;=X390,ROUND((MAX(Y390:AB390)-X390)*1440,0),""),"")</f>
        <v/>
      </c>
    </row>
    <row r="391" customFormat="false" ht="15" hidden="false" customHeight="false" outlineLevel="0" collapsed="false">
      <c r="A391" s="27" t="n">
        <v>387</v>
      </c>
      <c r="B391" s="28"/>
      <c r="C391" s="29"/>
      <c r="D391" s="29"/>
      <c r="E391" s="28"/>
      <c r="F391" s="30"/>
      <c r="G391" s="31"/>
      <c r="H391" s="28"/>
      <c r="I391" s="29"/>
      <c r="J391" s="29"/>
      <c r="K391" s="29"/>
      <c r="L391" s="29"/>
      <c r="M391" s="29"/>
      <c r="N391" s="29"/>
      <c r="O391" s="29"/>
      <c r="P391" s="29"/>
      <c r="Q391" s="29"/>
      <c r="R391" s="29"/>
      <c r="S391" s="28"/>
      <c r="T391" s="32" t="str">
        <f aca="false">IF(AND(K391="",L391=""),"",IF(OR(K391="-",L391="-"),"측정불가",IF(AND(ISNUMBER(K391),ISNUMBER(L391)),IF(OR(K391&gt;=설정!$C$9,L391&gt;=설정!$C$10),"긴급",IF(OR(K391&gt;=설정!$C$7,L391&gt;=설정!$C$8,K391&lt;설정!$C$11),"주의","정상")),"확인필요")))</f>
        <v/>
      </c>
      <c r="U391" s="32" t="str">
        <f aca="false">IF(M391="","",IF(M391="-","측정불가",IF(NOT(ISNUMBER(M391)),"확인필요",IF(M391&lt;설정!$C$15,"긴급(저혈당)",IF(M391&gt;=설정!$C$16,"긴급(고혈당)",IF(N391="공복",IF(M391&gt;=설정!$C$13,"주의","정상"),IF(N391="식후",IF(M391&gt;=설정!$C$14,"주의","정상"),"조건확인")))))))</f>
        <v/>
      </c>
      <c r="V391" s="32" t="str">
        <f aca="false">IF(OR(T391="긴급",LEFT(U391,2)="긴급",P391="O"),"대상","")</f>
        <v/>
      </c>
      <c r="W391" s="33" t="str">
        <f aca="false">IF(R391&lt;&gt;"",R391,IF(O391="O",IF(V391="대상",IF(Q391="O","완료","추가상담 대기"),"완료"),IF(COUNTA(K391:M391)=3,"상담 대기",IF(J391="O","측정 대기",IF(I391="O","운동평가 대기","미방문")))))</f>
        <v>미방문</v>
      </c>
      <c r="X391" s="34"/>
      <c r="Y391" s="34"/>
      <c r="Z391" s="34"/>
      <c r="AA391" s="34"/>
      <c r="AB391" s="34"/>
      <c r="AC391" s="35" t="str">
        <f aca="false">IF(AND(ISNUMBER(X391),ISNUMBER(Y391)),IF(Y391&gt;=X391,ROUND((Y391-X391)*1440,0),""),"")</f>
        <v/>
      </c>
      <c r="AD391" s="35" t="str">
        <f aca="false">IF(AND(ISNUMBER(Y391),ISNUMBER(Z391)),IF(Z391&gt;=Y391,ROUND((Z391-Y391)*1440,0),""),"")</f>
        <v/>
      </c>
      <c r="AE391" s="35" t="str">
        <f aca="false">IF(AND(ISNUMBER(Z391),ISNUMBER(AA391)),IF(AA391&gt;=Z391,ROUND((AA391-Z391)*1440,0),""),"")</f>
        <v/>
      </c>
      <c r="AF391" s="35" t="str">
        <f aca="false">IF(AND(ISNUMBER(AA391),ISNUMBER(AB391)),IF(AB391&gt;=AA391,ROUND((AB391-AA391)*1440,0),""),"")</f>
        <v/>
      </c>
      <c r="AG391" s="35" t="str">
        <f aca="false">IF(AND(W391="완료",ISNUMBER(X391)),IF(MAX(Y391:AB391)&gt;=X391,ROUND((MAX(Y391:AB391)-X391)*1440,0),""),"")</f>
        <v/>
      </c>
    </row>
    <row r="392" customFormat="false" ht="15" hidden="false" customHeight="false" outlineLevel="0" collapsed="false">
      <c r="A392" s="27" t="n">
        <v>388</v>
      </c>
      <c r="B392" s="28"/>
      <c r="C392" s="29"/>
      <c r="D392" s="29"/>
      <c r="E392" s="28"/>
      <c r="F392" s="30"/>
      <c r="G392" s="31"/>
      <c r="H392" s="28"/>
      <c r="I392" s="29"/>
      <c r="J392" s="29"/>
      <c r="K392" s="29"/>
      <c r="L392" s="29"/>
      <c r="M392" s="29"/>
      <c r="N392" s="29"/>
      <c r="O392" s="29"/>
      <c r="P392" s="29"/>
      <c r="Q392" s="29"/>
      <c r="R392" s="29"/>
      <c r="S392" s="28"/>
      <c r="T392" s="32" t="str">
        <f aca="false">IF(AND(K392="",L392=""),"",IF(OR(K392="-",L392="-"),"측정불가",IF(AND(ISNUMBER(K392),ISNUMBER(L392)),IF(OR(K392&gt;=설정!$C$9,L392&gt;=설정!$C$10),"긴급",IF(OR(K392&gt;=설정!$C$7,L392&gt;=설정!$C$8,K392&lt;설정!$C$11),"주의","정상")),"확인필요")))</f>
        <v/>
      </c>
      <c r="U392" s="32" t="str">
        <f aca="false">IF(M392="","",IF(M392="-","측정불가",IF(NOT(ISNUMBER(M392)),"확인필요",IF(M392&lt;설정!$C$15,"긴급(저혈당)",IF(M392&gt;=설정!$C$16,"긴급(고혈당)",IF(N392="공복",IF(M392&gt;=설정!$C$13,"주의","정상"),IF(N392="식후",IF(M392&gt;=설정!$C$14,"주의","정상"),"조건확인")))))))</f>
        <v/>
      </c>
      <c r="V392" s="32" t="str">
        <f aca="false">IF(OR(T392="긴급",LEFT(U392,2)="긴급",P392="O"),"대상","")</f>
        <v/>
      </c>
      <c r="W392" s="33" t="str">
        <f aca="false">IF(R392&lt;&gt;"",R392,IF(O392="O",IF(V392="대상",IF(Q392="O","완료","추가상담 대기"),"완료"),IF(COUNTA(K392:M392)=3,"상담 대기",IF(J392="O","측정 대기",IF(I392="O","운동평가 대기","미방문")))))</f>
        <v>미방문</v>
      </c>
      <c r="X392" s="34"/>
      <c r="Y392" s="34"/>
      <c r="Z392" s="34"/>
      <c r="AA392" s="34"/>
      <c r="AB392" s="34"/>
      <c r="AC392" s="35" t="str">
        <f aca="false">IF(AND(ISNUMBER(X392),ISNUMBER(Y392)),IF(Y392&gt;=X392,ROUND((Y392-X392)*1440,0),""),"")</f>
        <v/>
      </c>
      <c r="AD392" s="35" t="str">
        <f aca="false">IF(AND(ISNUMBER(Y392),ISNUMBER(Z392)),IF(Z392&gt;=Y392,ROUND((Z392-Y392)*1440,0),""),"")</f>
        <v/>
      </c>
      <c r="AE392" s="35" t="str">
        <f aca="false">IF(AND(ISNUMBER(Z392),ISNUMBER(AA392)),IF(AA392&gt;=Z392,ROUND((AA392-Z392)*1440,0),""),"")</f>
        <v/>
      </c>
      <c r="AF392" s="35" t="str">
        <f aca="false">IF(AND(ISNUMBER(AA392),ISNUMBER(AB392)),IF(AB392&gt;=AA392,ROUND((AB392-AA392)*1440,0),""),"")</f>
        <v/>
      </c>
      <c r="AG392" s="35" t="str">
        <f aca="false">IF(AND(W392="완료",ISNUMBER(X392)),IF(MAX(Y392:AB392)&gt;=X392,ROUND((MAX(Y392:AB392)-X392)*1440,0),""),"")</f>
        <v/>
      </c>
    </row>
    <row r="393" customFormat="false" ht="15" hidden="false" customHeight="false" outlineLevel="0" collapsed="false">
      <c r="A393" s="27" t="n">
        <v>389</v>
      </c>
      <c r="B393" s="28"/>
      <c r="C393" s="29"/>
      <c r="D393" s="29"/>
      <c r="E393" s="28"/>
      <c r="F393" s="30"/>
      <c r="G393" s="31"/>
      <c r="H393" s="28"/>
      <c r="I393" s="29"/>
      <c r="J393" s="29"/>
      <c r="K393" s="29"/>
      <c r="L393" s="29"/>
      <c r="M393" s="29"/>
      <c r="N393" s="29"/>
      <c r="O393" s="29"/>
      <c r="P393" s="29"/>
      <c r="Q393" s="29"/>
      <c r="R393" s="29"/>
      <c r="S393" s="28"/>
      <c r="T393" s="32" t="str">
        <f aca="false">IF(AND(K393="",L393=""),"",IF(OR(K393="-",L393="-"),"측정불가",IF(AND(ISNUMBER(K393),ISNUMBER(L393)),IF(OR(K393&gt;=설정!$C$9,L393&gt;=설정!$C$10),"긴급",IF(OR(K393&gt;=설정!$C$7,L393&gt;=설정!$C$8,K393&lt;설정!$C$11),"주의","정상")),"확인필요")))</f>
        <v/>
      </c>
      <c r="U393" s="32" t="str">
        <f aca="false">IF(M393="","",IF(M393="-","측정불가",IF(NOT(ISNUMBER(M393)),"확인필요",IF(M393&lt;설정!$C$15,"긴급(저혈당)",IF(M393&gt;=설정!$C$16,"긴급(고혈당)",IF(N393="공복",IF(M393&gt;=설정!$C$13,"주의","정상"),IF(N393="식후",IF(M393&gt;=설정!$C$14,"주의","정상"),"조건확인")))))))</f>
        <v/>
      </c>
      <c r="V393" s="32" t="str">
        <f aca="false">IF(OR(T393="긴급",LEFT(U393,2)="긴급",P393="O"),"대상","")</f>
        <v/>
      </c>
      <c r="W393" s="33" t="str">
        <f aca="false">IF(R393&lt;&gt;"",R393,IF(O393="O",IF(V393="대상",IF(Q393="O","완료","추가상담 대기"),"완료"),IF(COUNTA(K393:M393)=3,"상담 대기",IF(J393="O","측정 대기",IF(I393="O","운동평가 대기","미방문")))))</f>
        <v>미방문</v>
      </c>
      <c r="X393" s="34"/>
      <c r="Y393" s="34"/>
      <c r="Z393" s="34"/>
      <c r="AA393" s="34"/>
      <c r="AB393" s="34"/>
      <c r="AC393" s="35" t="str">
        <f aca="false">IF(AND(ISNUMBER(X393),ISNUMBER(Y393)),IF(Y393&gt;=X393,ROUND((Y393-X393)*1440,0),""),"")</f>
        <v/>
      </c>
      <c r="AD393" s="35" t="str">
        <f aca="false">IF(AND(ISNUMBER(Y393),ISNUMBER(Z393)),IF(Z393&gt;=Y393,ROUND((Z393-Y393)*1440,0),""),"")</f>
        <v/>
      </c>
      <c r="AE393" s="35" t="str">
        <f aca="false">IF(AND(ISNUMBER(Z393),ISNUMBER(AA393)),IF(AA393&gt;=Z393,ROUND((AA393-Z393)*1440,0),""),"")</f>
        <v/>
      </c>
      <c r="AF393" s="35" t="str">
        <f aca="false">IF(AND(ISNUMBER(AA393),ISNUMBER(AB393)),IF(AB393&gt;=AA393,ROUND((AB393-AA393)*1440,0),""),"")</f>
        <v/>
      </c>
      <c r="AG393" s="35" t="str">
        <f aca="false">IF(AND(W393="완료",ISNUMBER(X393)),IF(MAX(Y393:AB393)&gt;=X393,ROUND((MAX(Y393:AB393)-X393)*1440,0),""),"")</f>
        <v/>
      </c>
    </row>
    <row r="394" customFormat="false" ht="15" hidden="false" customHeight="false" outlineLevel="0" collapsed="false">
      <c r="A394" s="27" t="n">
        <v>390</v>
      </c>
      <c r="B394" s="28"/>
      <c r="C394" s="29"/>
      <c r="D394" s="29"/>
      <c r="E394" s="28"/>
      <c r="F394" s="30"/>
      <c r="G394" s="31"/>
      <c r="H394" s="28"/>
      <c r="I394" s="29"/>
      <c r="J394" s="29"/>
      <c r="K394" s="29"/>
      <c r="L394" s="29"/>
      <c r="M394" s="29"/>
      <c r="N394" s="29"/>
      <c r="O394" s="29"/>
      <c r="P394" s="29"/>
      <c r="Q394" s="29"/>
      <c r="R394" s="29"/>
      <c r="S394" s="28"/>
      <c r="T394" s="32" t="str">
        <f aca="false">IF(AND(K394="",L394=""),"",IF(OR(K394="-",L394="-"),"측정불가",IF(AND(ISNUMBER(K394),ISNUMBER(L394)),IF(OR(K394&gt;=설정!$C$9,L394&gt;=설정!$C$10),"긴급",IF(OR(K394&gt;=설정!$C$7,L394&gt;=설정!$C$8,K394&lt;설정!$C$11),"주의","정상")),"확인필요")))</f>
        <v/>
      </c>
      <c r="U394" s="32" t="str">
        <f aca="false">IF(M394="","",IF(M394="-","측정불가",IF(NOT(ISNUMBER(M394)),"확인필요",IF(M394&lt;설정!$C$15,"긴급(저혈당)",IF(M394&gt;=설정!$C$16,"긴급(고혈당)",IF(N394="공복",IF(M394&gt;=설정!$C$13,"주의","정상"),IF(N394="식후",IF(M394&gt;=설정!$C$14,"주의","정상"),"조건확인")))))))</f>
        <v/>
      </c>
      <c r="V394" s="32" t="str">
        <f aca="false">IF(OR(T394="긴급",LEFT(U394,2)="긴급",P394="O"),"대상","")</f>
        <v/>
      </c>
      <c r="W394" s="33" t="str">
        <f aca="false">IF(R394&lt;&gt;"",R394,IF(O394="O",IF(V394="대상",IF(Q394="O","완료","추가상담 대기"),"완료"),IF(COUNTA(K394:M394)=3,"상담 대기",IF(J394="O","측정 대기",IF(I394="O","운동평가 대기","미방문")))))</f>
        <v>미방문</v>
      </c>
      <c r="X394" s="34"/>
      <c r="Y394" s="34"/>
      <c r="Z394" s="34"/>
      <c r="AA394" s="34"/>
      <c r="AB394" s="34"/>
      <c r="AC394" s="35" t="str">
        <f aca="false">IF(AND(ISNUMBER(X394),ISNUMBER(Y394)),IF(Y394&gt;=X394,ROUND((Y394-X394)*1440,0),""),"")</f>
        <v/>
      </c>
      <c r="AD394" s="35" t="str">
        <f aca="false">IF(AND(ISNUMBER(Y394),ISNUMBER(Z394)),IF(Z394&gt;=Y394,ROUND((Z394-Y394)*1440,0),""),"")</f>
        <v/>
      </c>
      <c r="AE394" s="35" t="str">
        <f aca="false">IF(AND(ISNUMBER(Z394),ISNUMBER(AA394)),IF(AA394&gt;=Z394,ROUND((AA394-Z394)*1440,0),""),"")</f>
        <v/>
      </c>
      <c r="AF394" s="35" t="str">
        <f aca="false">IF(AND(ISNUMBER(AA394),ISNUMBER(AB394)),IF(AB394&gt;=AA394,ROUND((AB394-AA394)*1440,0),""),"")</f>
        <v/>
      </c>
      <c r="AG394" s="35" t="str">
        <f aca="false">IF(AND(W394="완료",ISNUMBER(X394)),IF(MAX(Y394:AB394)&gt;=X394,ROUND((MAX(Y394:AB394)-X394)*1440,0),""),"")</f>
        <v/>
      </c>
    </row>
    <row r="395" customFormat="false" ht="15" hidden="false" customHeight="false" outlineLevel="0" collapsed="false">
      <c r="A395" s="27" t="n">
        <v>391</v>
      </c>
      <c r="B395" s="28"/>
      <c r="C395" s="29"/>
      <c r="D395" s="29"/>
      <c r="E395" s="28"/>
      <c r="F395" s="30"/>
      <c r="G395" s="31"/>
      <c r="H395" s="28"/>
      <c r="I395" s="29"/>
      <c r="J395" s="29"/>
      <c r="K395" s="29"/>
      <c r="L395" s="29"/>
      <c r="M395" s="29"/>
      <c r="N395" s="29"/>
      <c r="O395" s="29"/>
      <c r="P395" s="29"/>
      <c r="Q395" s="29"/>
      <c r="R395" s="29"/>
      <c r="S395" s="28"/>
      <c r="T395" s="32" t="str">
        <f aca="false">IF(AND(K395="",L395=""),"",IF(OR(K395="-",L395="-"),"측정불가",IF(AND(ISNUMBER(K395),ISNUMBER(L395)),IF(OR(K395&gt;=설정!$C$9,L395&gt;=설정!$C$10),"긴급",IF(OR(K395&gt;=설정!$C$7,L395&gt;=설정!$C$8,K395&lt;설정!$C$11),"주의","정상")),"확인필요")))</f>
        <v/>
      </c>
      <c r="U395" s="32" t="str">
        <f aca="false">IF(M395="","",IF(M395="-","측정불가",IF(NOT(ISNUMBER(M395)),"확인필요",IF(M395&lt;설정!$C$15,"긴급(저혈당)",IF(M395&gt;=설정!$C$16,"긴급(고혈당)",IF(N395="공복",IF(M395&gt;=설정!$C$13,"주의","정상"),IF(N395="식후",IF(M395&gt;=설정!$C$14,"주의","정상"),"조건확인")))))))</f>
        <v/>
      </c>
      <c r="V395" s="32" t="str">
        <f aca="false">IF(OR(T395="긴급",LEFT(U395,2)="긴급",P395="O"),"대상","")</f>
        <v/>
      </c>
      <c r="W395" s="33" t="str">
        <f aca="false">IF(R395&lt;&gt;"",R395,IF(O395="O",IF(V395="대상",IF(Q395="O","완료","추가상담 대기"),"완료"),IF(COUNTA(K395:M395)=3,"상담 대기",IF(J395="O","측정 대기",IF(I395="O","운동평가 대기","미방문")))))</f>
        <v>미방문</v>
      </c>
      <c r="X395" s="34"/>
      <c r="Y395" s="34"/>
      <c r="Z395" s="34"/>
      <c r="AA395" s="34"/>
      <c r="AB395" s="34"/>
      <c r="AC395" s="35" t="str">
        <f aca="false">IF(AND(ISNUMBER(X395),ISNUMBER(Y395)),IF(Y395&gt;=X395,ROUND((Y395-X395)*1440,0),""),"")</f>
        <v/>
      </c>
      <c r="AD395" s="35" t="str">
        <f aca="false">IF(AND(ISNUMBER(Y395),ISNUMBER(Z395)),IF(Z395&gt;=Y395,ROUND((Z395-Y395)*1440,0),""),"")</f>
        <v/>
      </c>
      <c r="AE395" s="35" t="str">
        <f aca="false">IF(AND(ISNUMBER(Z395),ISNUMBER(AA395)),IF(AA395&gt;=Z395,ROUND((AA395-Z395)*1440,0),""),"")</f>
        <v/>
      </c>
      <c r="AF395" s="35" t="str">
        <f aca="false">IF(AND(ISNUMBER(AA395),ISNUMBER(AB395)),IF(AB395&gt;=AA395,ROUND((AB395-AA395)*1440,0),""),"")</f>
        <v/>
      </c>
      <c r="AG395" s="35" t="str">
        <f aca="false">IF(AND(W395="완료",ISNUMBER(X395)),IF(MAX(Y395:AB395)&gt;=X395,ROUND((MAX(Y395:AB395)-X395)*1440,0),""),"")</f>
        <v/>
      </c>
    </row>
    <row r="396" customFormat="false" ht="15" hidden="false" customHeight="false" outlineLevel="0" collapsed="false">
      <c r="A396" s="27" t="n">
        <v>392</v>
      </c>
      <c r="B396" s="28"/>
      <c r="C396" s="29"/>
      <c r="D396" s="29"/>
      <c r="E396" s="28"/>
      <c r="F396" s="30"/>
      <c r="G396" s="31"/>
      <c r="H396" s="28"/>
      <c r="I396" s="29"/>
      <c r="J396" s="29"/>
      <c r="K396" s="29"/>
      <c r="L396" s="29"/>
      <c r="M396" s="29"/>
      <c r="N396" s="29"/>
      <c r="O396" s="29"/>
      <c r="P396" s="29"/>
      <c r="Q396" s="29"/>
      <c r="R396" s="29"/>
      <c r="S396" s="28"/>
      <c r="T396" s="32" t="str">
        <f aca="false">IF(AND(K396="",L396=""),"",IF(OR(K396="-",L396="-"),"측정불가",IF(AND(ISNUMBER(K396),ISNUMBER(L396)),IF(OR(K396&gt;=설정!$C$9,L396&gt;=설정!$C$10),"긴급",IF(OR(K396&gt;=설정!$C$7,L396&gt;=설정!$C$8,K396&lt;설정!$C$11),"주의","정상")),"확인필요")))</f>
        <v/>
      </c>
      <c r="U396" s="32" t="str">
        <f aca="false">IF(M396="","",IF(M396="-","측정불가",IF(NOT(ISNUMBER(M396)),"확인필요",IF(M396&lt;설정!$C$15,"긴급(저혈당)",IF(M396&gt;=설정!$C$16,"긴급(고혈당)",IF(N396="공복",IF(M396&gt;=설정!$C$13,"주의","정상"),IF(N396="식후",IF(M396&gt;=설정!$C$14,"주의","정상"),"조건확인")))))))</f>
        <v/>
      </c>
      <c r="V396" s="32" t="str">
        <f aca="false">IF(OR(T396="긴급",LEFT(U396,2)="긴급",P396="O"),"대상","")</f>
        <v/>
      </c>
      <c r="W396" s="33" t="str">
        <f aca="false">IF(R396&lt;&gt;"",R396,IF(O396="O",IF(V396="대상",IF(Q396="O","완료","추가상담 대기"),"완료"),IF(COUNTA(K396:M396)=3,"상담 대기",IF(J396="O","측정 대기",IF(I396="O","운동평가 대기","미방문")))))</f>
        <v>미방문</v>
      </c>
      <c r="X396" s="34"/>
      <c r="Y396" s="34"/>
      <c r="Z396" s="34"/>
      <c r="AA396" s="34"/>
      <c r="AB396" s="34"/>
      <c r="AC396" s="35" t="str">
        <f aca="false">IF(AND(ISNUMBER(X396),ISNUMBER(Y396)),IF(Y396&gt;=X396,ROUND((Y396-X396)*1440,0),""),"")</f>
        <v/>
      </c>
      <c r="AD396" s="35" t="str">
        <f aca="false">IF(AND(ISNUMBER(Y396),ISNUMBER(Z396)),IF(Z396&gt;=Y396,ROUND((Z396-Y396)*1440,0),""),"")</f>
        <v/>
      </c>
      <c r="AE396" s="35" t="str">
        <f aca="false">IF(AND(ISNUMBER(Z396),ISNUMBER(AA396)),IF(AA396&gt;=Z396,ROUND((AA396-Z396)*1440,0),""),"")</f>
        <v/>
      </c>
      <c r="AF396" s="35" t="str">
        <f aca="false">IF(AND(ISNUMBER(AA396),ISNUMBER(AB396)),IF(AB396&gt;=AA396,ROUND((AB396-AA396)*1440,0),""),"")</f>
        <v/>
      </c>
      <c r="AG396" s="35" t="str">
        <f aca="false">IF(AND(W396="완료",ISNUMBER(X396)),IF(MAX(Y396:AB396)&gt;=X396,ROUND((MAX(Y396:AB396)-X396)*1440,0),""),"")</f>
        <v/>
      </c>
    </row>
    <row r="397" customFormat="false" ht="15" hidden="false" customHeight="false" outlineLevel="0" collapsed="false">
      <c r="A397" s="27" t="n">
        <v>393</v>
      </c>
      <c r="B397" s="28"/>
      <c r="C397" s="29"/>
      <c r="D397" s="29"/>
      <c r="E397" s="28"/>
      <c r="F397" s="30"/>
      <c r="G397" s="31"/>
      <c r="H397" s="28"/>
      <c r="I397" s="29"/>
      <c r="J397" s="29"/>
      <c r="K397" s="29"/>
      <c r="L397" s="29"/>
      <c r="M397" s="29"/>
      <c r="N397" s="29"/>
      <c r="O397" s="29"/>
      <c r="P397" s="29"/>
      <c r="Q397" s="29"/>
      <c r="R397" s="29"/>
      <c r="S397" s="28"/>
      <c r="T397" s="32" t="str">
        <f aca="false">IF(AND(K397="",L397=""),"",IF(OR(K397="-",L397="-"),"측정불가",IF(AND(ISNUMBER(K397),ISNUMBER(L397)),IF(OR(K397&gt;=설정!$C$9,L397&gt;=설정!$C$10),"긴급",IF(OR(K397&gt;=설정!$C$7,L397&gt;=설정!$C$8,K397&lt;설정!$C$11),"주의","정상")),"확인필요")))</f>
        <v/>
      </c>
      <c r="U397" s="32" t="str">
        <f aca="false">IF(M397="","",IF(M397="-","측정불가",IF(NOT(ISNUMBER(M397)),"확인필요",IF(M397&lt;설정!$C$15,"긴급(저혈당)",IF(M397&gt;=설정!$C$16,"긴급(고혈당)",IF(N397="공복",IF(M397&gt;=설정!$C$13,"주의","정상"),IF(N397="식후",IF(M397&gt;=설정!$C$14,"주의","정상"),"조건확인")))))))</f>
        <v/>
      </c>
      <c r="V397" s="32" t="str">
        <f aca="false">IF(OR(T397="긴급",LEFT(U397,2)="긴급",P397="O"),"대상","")</f>
        <v/>
      </c>
      <c r="W397" s="33" t="str">
        <f aca="false">IF(R397&lt;&gt;"",R397,IF(O397="O",IF(V397="대상",IF(Q397="O","완료","추가상담 대기"),"완료"),IF(COUNTA(K397:M397)=3,"상담 대기",IF(J397="O","측정 대기",IF(I397="O","운동평가 대기","미방문")))))</f>
        <v>미방문</v>
      </c>
      <c r="X397" s="34"/>
      <c r="Y397" s="34"/>
      <c r="Z397" s="34"/>
      <c r="AA397" s="34"/>
      <c r="AB397" s="34"/>
      <c r="AC397" s="35" t="str">
        <f aca="false">IF(AND(ISNUMBER(X397),ISNUMBER(Y397)),IF(Y397&gt;=X397,ROUND((Y397-X397)*1440,0),""),"")</f>
        <v/>
      </c>
      <c r="AD397" s="35" t="str">
        <f aca="false">IF(AND(ISNUMBER(Y397),ISNUMBER(Z397)),IF(Z397&gt;=Y397,ROUND((Z397-Y397)*1440,0),""),"")</f>
        <v/>
      </c>
      <c r="AE397" s="35" t="str">
        <f aca="false">IF(AND(ISNUMBER(Z397),ISNUMBER(AA397)),IF(AA397&gt;=Z397,ROUND((AA397-Z397)*1440,0),""),"")</f>
        <v/>
      </c>
      <c r="AF397" s="35" t="str">
        <f aca="false">IF(AND(ISNUMBER(AA397),ISNUMBER(AB397)),IF(AB397&gt;=AA397,ROUND((AB397-AA397)*1440,0),""),"")</f>
        <v/>
      </c>
      <c r="AG397" s="35" t="str">
        <f aca="false">IF(AND(W397="완료",ISNUMBER(X397)),IF(MAX(Y397:AB397)&gt;=X397,ROUND((MAX(Y397:AB397)-X397)*1440,0),""),"")</f>
        <v/>
      </c>
    </row>
    <row r="398" customFormat="false" ht="15" hidden="false" customHeight="false" outlineLevel="0" collapsed="false">
      <c r="A398" s="27" t="n">
        <v>394</v>
      </c>
      <c r="B398" s="28"/>
      <c r="C398" s="29"/>
      <c r="D398" s="29"/>
      <c r="E398" s="28"/>
      <c r="F398" s="30"/>
      <c r="G398" s="31"/>
      <c r="H398" s="28"/>
      <c r="I398" s="29"/>
      <c r="J398" s="29"/>
      <c r="K398" s="29"/>
      <c r="L398" s="29"/>
      <c r="M398" s="29"/>
      <c r="N398" s="29"/>
      <c r="O398" s="29"/>
      <c r="P398" s="29"/>
      <c r="Q398" s="29"/>
      <c r="R398" s="29"/>
      <c r="S398" s="28"/>
      <c r="T398" s="32" t="str">
        <f aca="false">IF(AND(K398="",L398=""),"",IF(OR(K398="-",L398="-"),"측정불가",IF(AND(ISNUMBER(K398),ISNUMBER(L398)),IF(OR(K398&gt;=설정!$C$9,L398&gt;=설정!$C$10),"긴급",IF(OR(K398&gt;=설정!$C$7,L398&gt;=설정!$C$8,K398&lt;설정!$C$11),"주의","정상")),"확인필요")))</f>
        <v/>
      </c>
      <c r="U398" s="32" t="str">
        <f aca="false">IF(M398="","",IF(M398="-","측정불가",IF(NOT(ISNUMBER(M398)),"확인필요",IF(M398&lt;설정!$C$15,"긴급(저혈당)",IF(M398&gt;=설정!$C$16,"긴급(고혈당)",IF(N398="공복",IF(M398&gt;=설정!$C$13,"주의","정상"),IF(N398="식후",IF(M398&gt;=설정!$C$14,"주의","정상"),"조건확인")))))))</f>
        <v/>
      </c>
      <c r="V398" s="32" t="str">
        <f aca="false">IF(OR(T398="긴급",LEFT(U398,2)="긴급",P398="O"),"대상","")</f>
        <v/>
      </c>
      <c r="W398" s="33" t="str">
        <f aca="false">IF(R398&lt;&gt;"",R398,IF(O398="O",IF(V398="대상",IF(Q398="O","완료","추가상담 대기"),"완료"),IF(COUNTA(K398:M398)=3,"상담 대기",IF(J398="O","측정 대기",IF(I398="O","운동평가 대기","미방문")))))</f>
        <v>미방문</v>
      </c>
      <c r="X398" s="34"/>
      <c r="Y398" s="34"/>
      <c r="Z398" s="34"/>
      <c r="AA398" s="34"/>
      <c r="AB398" s="34"/>
      <c r="AC398" s="35" t="str">
        <f aca="false">IF(AND(ISNUMBER(X398),ISNUMBER(Y398)),IF(Y398&gt;=X398,ROUND((Y398-X398)*1440,0),""),"")</f>
        <v/>
      </c>
      <c r="AD398" s="35" t="str">
        <f aca="false">IF(AND(ISNUMBER(Y398),ISNUMBER(Z398)),IF(Z398&gt;=Y398,ROUND((Z398-Y398)*1440,0),""),"")</f>
        <v/>
      </c>
      <c r="AE398" s="35" t="str">
        <f aca="false">IF(AND(ISNUMBER(Z398),ISNUMBER(AA398)),IF(AA398&gt;=Z398,ROUND((AA398-Z398)*1440,0),""),"")</f>
        <v/>
      </c>
      <c r="AF398" s="35" t="str">
        <f aca="false">IF(AND(ISNUMBER(AA398),ISNUMBER(AB398)),IF(AB398&gt;=AA398,ROUND((AB398-AA398)*1440,0),""),"")</f>
        <v/>
      </c>
      <c r="AG398" s="35" t="str">
        <f aca="false">IF(AND(W398="완료",ISNUMBER(X398)),IF(MAX(Y398:AB398)&gt;=X398,ROUND((MAX(Y398:AB398)-X398)*1440,0),""),"")</f>
        <v/>
      </c>
    </row>
    <row r="399" customFormat="false" ht="15" hidden="false" customHeight="false" outlineLevel="0" collapsed="false">
      <c r="A399" s="27" t="n">
        <v>395</v>
      </c>
      <c r="B399" s="28"/>
      <c r="C399" s="29"/>
      <c r="D399" s="29"/>
      <c r="E399" s="28"/>
      <c r="F399" s="30"/>
      <c r="G399" s="31"/>
      <c r="H399" s="28"/>
      <c r="I399" s="29"/>
      <c r="J399" s="29"/>
      <c r="K399" s="29"/>
      <c r="L399" s="29"/>
      <c r="M399" s="29"/>
      <c r="N399" s="29"/>
      <c r="O399" s="29"/>
      <c r="P399" s="29"/>
      <c r="Q399" s="29"/>
      <c r="R399" s="29"/>
      <c r="S399" s="28"/>
      <c r="T399" s="32" t="str">
        <f aca="false">IF(AND(K399="",L399=""),"",IF(OR(K399="-",L399="-"),"측정불가",IF(AND(ISNUMBER(K399),ISNUMBER(L399)),IF(OR(K399&gt;=설정!$C$9,L399&gt;=설정!$C$10),"긴급",IF(OR(K399&gt;=설정!$C$7,L399&gt;=설정!$C$8,K399&lt;설정!$C$11),"주의","정상")),"확인필요")))</f>
        <v/>
      </c>
      <c r="U399" s="32" t="str">
        <f aca="false">IF(M399="","",IF(M399="-","측정불가",IF(NOT(ISNUMBER(M399)),"확인필요",IF(M399&lt;설정!$C$15,"긴급(저혈당)",IF(M399&gt;=설정!$C$16,"긴급(고혈당)",IF(N399="공복",IF(M399&gt;=설정!$C$13,"주의","정상"),IF(N399="식후",IF(M399&gt;=설정!$C$14,"주의","정상"),"조건확인")))))))</f>
        <v/>
      </c>
      <c r="V399" s="32" t="str">
        <f aca="false">IF(OR(T399="긴급",LEFT(U399,2)="긴급",P399="O"),"대상","")</f>
        <v/>
      </c>
      <c r="W399" s="33" t="str">
        <f aca="false">IF(R399&lt;&gt;"",R399,IF(O399="O",IF(V399="대상",IF(Q399="O","완료","추가상담 대기"),"완료"),IF(COUNTA(K399:M399)=3,"상담 대기",IF(J399="O","측정 대기",IF(I399="O","운동평가 대기","미방문")))))</f>
        <v>미방문</v>
      </c>
      <c r="X399" s="34"/>
      <c r="Y399" s="34"/>
      <c r="Z399" s="34"/>
      <c r="AA399" s="34"/>
      <c r="AB399" s="34"/>
      <c r="AC399" s="35" t="str">
        <f aca="false">IF(AND(ISNUMBER(X399),ISNUMBER(Y399)),IF(Y399&gt;=X399,ROUND((Y399-X399)*1440,0),""),"")</f>
        <v/>
      </c>
      <c r="AD399" s="35" t="str">
        <f aca="false">IF(AND(ISNUMBER(Y399),ISNUMBER(Z399)),IF(Z399&gt;=Y399,ROUND((Z399-Y399)*1440,0),""),"")</f>
        <v/>
      </c>
      <c r="AE399" s="35" t="str">
        <f aca="false">IF(AND(ISNUMBER(Z399),ISNUMBER(AA399)),IF(AA399&gt;=Z399,ROUND((AA399-Z399)*1440,0),""),"")</f>
        <v/>
      </c>
      <c r="AF399" s="35" t="str">
        <f aca="false">IF(AND(ISNUMBER(AA399),ISNUMBER(AB399)),IF(AB399&gt;=AA399,ROUND((AB399-AA399)*1440,0),""),"")</f>
        <v/>
      </c>
      <c r="AG399" s="35" t="str">
        <f aca="false">IF(AND(W399="완료",ISNUMBER(X399)),IF(MAX(Y399:AB399)&gt;=X399,ROUND((MAX(Y399:AB399)-X399)*1440,0),""),"")</f>
        <v/>
      </c>
    </row>
    <row r="400" customFormat="false" ht="15" hidden="false" customHeight="false" outlineLevel="0" collapsed="false">
      <c r="A400" s="27" t="n">
        <v>396</v>
      </c>
      <c r="B400" s="28"/>
      <c r="C400" s="29"/>
      <c r="D400" s="29"/>
      <c r="E400" s="28"/>
      <c r="F400" s="30"/>
      <c r="G400" s="31"/>
      <c r="H400" s="28"/>
      <c r="I400" s="29"/>
      <c r="J400" s="29"/>
      <c r="K400" s="29"/>
      <c r="L400" s="29"/>
      <c r="M400" s="29"/>
      <c r="N400" s="29"/>
      <c r="O400" s="29"/>
      <c r="P400" s="29"/>
      <c r="Q400" s="29"/>
      <c r="R400" s="29"/>
      <c r="S400" s="28"/>
      <c r="T400" s="32" t="str">
        <f aca="false">IF(AND(K400="",L400=""),"",IF(OR(K400="-",L400="-"),"측정불가",IF(AND(ISNUMBER(K400),ISNUMBER(L400)),IF(OR(K400&gt;=설정!$C$9,L400&gt;=설정!$C$10),"긴급",IF(OR(K400&gt;=설정!$C$7,L400&gt;=설정!$C$8,K400&lt;설정!$C$11),"주의","정상")),"확인필요")))</f>
        <v/>
      </c>
      <c r="U400" s="32" t="str">
        <f aca="false">IF(M400="","",IF(M400="-","측정불가",IF(NOT(ISNUMBER(M400)),"확인필요",IF(M400&lt;설정!$C$15,"긴급(저혈당)",IF(M400&gt;=설정!$C$16,"긴급(고혈당)",IF(N400="공복",IF(M400&gt;=설정!$C$13,"주의","정상"),IF(N400="식후",IF(M400&gt;=설정!$C$14,"주의","정상"),"조건확인")))))))</f>
        <v/>
      </c>
      <c r="V400" s="32" t="str">
        <f aca="false">IF(OR(T400="긴급",LEFT(U400,2)="긴급",P400="O"),"대상","")</f>
        <v/>
      </c>
      <c r="W400" s="33" t="str">
        <f aca="false">IF(R400&lt;&gt;"",R400,IF(O400="O",IF(V400="대상",IF(Q400="O","완료","추가상담 대기"),"완료"),IF(COUNTA(K400:M400)=3,"상담 대기",IF(J400="O","측정 대기",IF(I400="O","운동평가 대기","미방문")))))</f>
        <v>미방문</v>
      </c>
      <c r="X400" s="34"/>
      <c r="Y400" s="34"/>
      <c r="Z400" s="34"/>
      <c r="AA400" s="34"/>
      <c r="AB400" s="34"/>
      <c r="AC400" s="35" t="str">
        <f aca="false">IF(AND(ISNUMBER(X400),ISNUMBER(Y400)),IF(Y400&gt;=X400,ROUND((Y400-X400)*1440,0),""),"")</f>
        <v/>
      </c>
      <c r="AD400" s="35" t="str">
        <f aca="false">IF(AND(ISNUMBER(Y400),ISNUMBER(Z400)),IF(Z400&gt;=Y400,ROUND((Z400-Y400)*1440,0),""),"")</f>
        <v/>
      </c>
      <c r="AE400" s="35" t="str">
        <f aca="false">IF(AND(ISNUMBER(Z400),ISNUMBER(AA400)),IF(AA400&gt;=Z400,ROUND((AA400-Z400)*1440,0),""),"")</f>
        <v/>
      </c>
      <c r="AF400" s="35" t="str">
        <f aca="false">IF(AND(ISNUMBER(AA400),ISNUMBER(AB400)),IF(AB400&gt;=AA400,ROUND((AB400-AA400)*1440,0),""),"")</f>
        <v/>
      </c>
      <c r="AG400" s="35" t="str">
        <f aca="false">IF(AND(W400="완료",ISNUMBER(X400)),IF(MAX(Y400:AB400)&gt;=X400,ROUND((MAX(Y400:AB400)-X400)*1440,0),""),"")</f>
        <v/>
      </c>
    </row>
    <row r="401" customFormat="false" ht="15" hidden="false" customHeight="false" outlineLevel="0" collapsed="false">
      <c r="A401" s="27" t="n">
        <v>397</v>
      </c>
      <c r="B401" s="28"/>
      <c r="C401" s="29"/>
      <c r="D401" s="29"/>
      <c r="E401" s="28"/>
      <c r="F401" s="30"/>
      <c r="G401" s="31"/>
      <c r="H401" s="28"/>
      <c r="I401" s="29"/>
      <c r="J401" s="29"/>
      <c r="K401" s="29"/>
      <c r="L401" s="29"/>
      <c r="M401" s="29"/>
      <c r="N401" s="29"/>
      <c r="O401" s="29"/>
      <c r="P401" s="29"/>
      <c r="Q401" s="29"/>
      <c r="R401" s="29"/>
      <c r="S401" s="28"/>
      <c r="T401" s="32" t="str">
        <f aca="false">IF(AND(K401="",L401=""),"",IF(OR(K401="-",L401="-"),"측정불가",IF(AND(ISNUMBER(K401),ISNUMBER(L401)),IF(OR(K401&gt;=설정!$C$9,L401&gt;=설정!$C$10),"긴급",IF(OR(K401&gt;=설정!$C$7,L401&gt;=설정!$C$8,K401&lt;설정!$C$11),"주의","정상")),"확인필요")))</f>
        <v/>
      </c>
      <c r="U401" s="32" t="str">
        <f aca="false">IF(M401="","",IF(M401="-","측정불가",IF(NOT(ISNUMBER(M401)),"확인필요",IF(M401&lt;설정!$C$15,"긴급(저혈당)",IF(M401&gt;=설정!$C$16,"긴급(고혈당)",IF(N401="공복",IF(M401&gt;=설정!$C$13,"주의","정상"),IF(N401="식후",IF(M401&gt;=설정!$C$14,"주의","정상"),"조건확인")))))))</f>
        <v/>
      </c>
      <c r="V401" s="32" t="str">
        <f aca="false">IF(OR(T401="긴급",LEFT(U401,2)="긴급",P401="O"),"대상","")</f>
        <v/>
      </c>
      <c r="W401" s="33" t="str">
        <f aca="false">IF(R401&lt;&gt;"",R401,IF(O401="O",IF(V401="대상",IF(Q401="O","완료","추가상담 대기"),"완료"),IF(COUNTA(K401:M401)=3,"상담 대기",IF(J401="O","측정 대기",IF(I401="O","운동평가 대기","미방문")))))</f>
        <v>미방문</v>
      </c>
      <c r="X401" s="34"/>
      <c r="Y401" s="34"/>
      <c r="Z401" s="34"/>
      <c r="AA401" s="34"/>
      <c r="AB401" s="34"/>
      <c r="AC401" s="35" t="str">
        <f aca="false">IF(AND(ISNUMBER(X401),ISNUMBER(Y401)),IF(Y401&gt;=X401,ROUND((Y401-X401)*1440,0),""),"")</f>
        <v/>
      </c>
      <c r="AD401" s="35" t="str">
        <f aca="false">IF(AND(ISNUMBER(Y401),ISNUMBER(Z401)),IF(Z401&gt;=Y401,ROUND((Z401-Y401)*1440,0),""),"")</f>
        <v/>
      </c>
      <c r="AE401" s="35" t="str">
        <f aca="false">IF(AND(ISNUMBER(Z401),ISNUMBER(AA401)),IF(AA401&gt;=Z401,ROUND((AA401-Z401)*1440,0),""),"")</f>
        <v/>
      </c>
      <c r="AF401" s="35" t="str">
        <f aca="false">IF(AND(ISNUMBER(AA401),ISNUMBER(AB401)),IF(AB401&gt;=AA401,ROUND((AB401-AA401)*1440,0),""),"")</f>
        <v/>
      </c>
      <c r="AG401" s="35" t="str">
        <f aca="false">IF(AND(W401="완료",ISNUMBER(X401)),IF(MAX(Y401:AB401)&gt;=X401,ROUND((MAX(Y401:AB401)-X401)*1440,0),""),"")</f>
        <v/>
      </c>
    </row>
    <row r="402" customFormat="false" ht="15" hidden="false" customHeight="false" outlineLevel="0" collapsed="false">
      <c r="A402" s="27" t="n">
        <v>398</v>
      </c>
      <c r="B402" s="28"/>
      <c r="C402" s="29"/>
      <c r="D402" s="29"/>
      <c r="E402" s="28"/>
      <c r="F402" s="30"/>
      <c r="G402" s="31"/>
      <c r="H402" s="28"/>
      <c r="I402" s="29"/>
      <c r="J402" s="29"/>
      <c r="K402" s="29"/>
      <c r="L402" s="29"/>
      <c r="M402" s="29"/>
      <c r="N402" s="29"/>
      <c r="O402" s="29"/>
      <c r="P402" s="29"/>
      <c r="Q402" s="29"/>
      <c r="R402" s="29"/>
      <c r="S402" s="28"/>
      <c r="T402" s="32" t="str">
        <f aca="false">IF(AND(K402="",L402=""),"",IF(OR(K402="-",L402="-"),"측정불가",IF(AND(ISNUMBER(K402),ISNUMBER(L402)),IF(OR(K402&gt;=설정!$C$9,L402&gt;=설정!$C$10),"긴급",IF(OR(K402&gt;=설정!$C$7,L402&gt;=설정!$C$8,K402&lt;설정!$C$11),"주의","정상")),"확인필요")))</f>
        <v/>
      </c>
      <c r="U402" s="32" t="str">
        <f aca="false">IF(M402="","",IF(M402="-","측정불가",IF(NOT(ISNUMBER(M402)),"확인필요",IF(M402&lt;설정!$C$15,"긴급(저혈당)",IF(M402&gt;=설정!$C$16,"긴급(고혈당)",IF(N402="공복",IF(M402&gt;=설정!$C$13,"주의","정상"),IF(N402="식후",IF(M402&gt;=설정!$C$14,"주의","정상"),"조건확인")))))))</f>
        <v/>
      </c>
      <c r="V402" s="32" t="str">
        <f aca="false">IF(OR(T402="긴급",LEFT(U402,2)="긴급",P402="O"),"대상","")</f>
        <v/>
      </c>
      <c r="W402" s="33" t="str">
        <f aca="false">IF(R402&lt;&gt;"",R402,IF(O402="O",IF(V402="대상",IF(Q402="O","완료","추가상담 대기"),"완료"),IF(COUNTA(K402:M402)=3,"상담 대기",IF(J402="O","측정 대기",IF(I402="O","운동평가 대기","미방문")))))</f>
        <v>미방문</v>
      </c>
      <c r="X402" s="34"/>
      <c r="Y402" s="34"/>
      <c r="Z402" s="34"/>
      <c r="AA402" s="34"/>
      <c r="AB402" s="34"/>
      <c r="AC402" s="35" t="str">
        <f aca="false">IF(AND(ISNUMBER(X402),ISNUMBER(Y402)),IF(Y402&gt;=X402,ROUND((Y402-X402)*1440,0),""),"")</f>
        <v/>
      </c>
      <c r="AD402" s="35" t="str">
        <f aca="false">IF(AND(ISNUMBER(Y402),ISNUMBER(Z402)),IF(Z402&gt;=Y402,ROUND((Z402-Y402)*1440,0),""),"")</f>
        <v/>
      </c>
      <c r="AE402" s="35" t="str">
        <f aca="false">IF(AND(ISNUMBER(Z402),ISNUMBER(AA402)),IF(AA402&gt;=Z402,ROUND((AA402-Z402)*1440,0),""),"")</f>
        <v/>
      </c>
      <c r="AF402" s="35" t="str">
        <f aca="false">IF(AND(ISNUMBER(AA402),ISNUMBER(AB402)),IF(AB402&gt;=AA402,ROUND((AB402-AA402)*1440,0),""),"")</f>
        <v/>
      </c>
      <c r="AG402" s="35" t="str">
        <f aca="false">IF(AND(W402="완료",ISNUMBER(X402)),IF(MAX(Y402:AB402)&gt;=X402,ROUND((MAX(Y402:AB402)-X402)*1440,0),""),"")</f>
        <v/>
      </c>
    </row>
    <row r="403" customFormat="false" ht="15" hidden="false" customHeight="false" outlineLevel="0" collapsed="false">
      <c r="A403" s="27" t="n">
        <v>399</v>
      </c>
      <c r="B403" s="28"/>
      <c r="C403" s="29"/>
      <c r="D403" s="29"/>
      <c r="E403" s="28"/>
      <c r="F403" s="30"/>
      <c r="G403" s="31"/>
      <c r="H403" s="28"/>
      <c r="I403" s="29"/>
      <c r="J403" s="29"/>
      <c r="K403" s="29"/>
      <c r="L403" s="29"/>
      <c r="M403" s="29"/>
      <c r="N403" s="29"/>
      <c r="O403" s="29"/>
      <c r="P403" s="29"/>
      <c r="Q403" s="29"/>
      <c r="R403" s="29"/>
      <c r="S403" s="28"/>
      <c r="T403" s="32" t="str">
        <f aca="false">IF(AND(K403="",L403=""),"",IF(OR(K403="-",L403="-"),"측정불가",IF(AND(ISNUMBER(K403),ISNUMBER(L403)),IF(OR(K403&gt;=설정!$C$9,L403&gt;=설정!$C$10),"긴급",IF(OR(K403&gt;=설정!$C$7,L403&gt;=설정!$C$8,K403&lt;설정!$C$11),"주의","정상")),"확인필요")))</f>
        <v/>
      </c>
      <c r="U403" s="32" t="str">
        <f aca="false">IF(M403="","",IF(M403="-","측정불가",IF(NOT(ISNUMBER(M403)),"확인필요",IF(M403&lt;설정!$C$15,"긴급(저혈당)",IF(M403&gt;=설정!$C$16,"긴급(고혈당)",IF(N403="공복",IF(M403&gt;=설정!$C$13,"주의","정상"),IF(N403="식후",IF(M403&gt;=설정!$C$14,"주의","정상"),"조건확인")))))))</f>
        <v/>
      </c>
      <c r="V403" s="32" t="str">
        <f aca="false">IF(OR(T403="긴급",LEFT(U403,2)="긴급",P403="O"),"대상","")</f>
        <v/>
      </c>
      <c r="W403" s="33" t="str">
        <f aca="false">IF(R403&lt;&gt;"",R403,IF(O403="O",IF(V403="대상",IF(Q403="O","완료","추가상담 대기"),"완료"),IF(COUNTA(K403:M403)=3,"상담 대기",IF(J403="O","측정 대기",IF(I403="O","운동평가 대기","미방문")))))</f>
        <v>미방문</v>
      </c>
      <c r="X403" s="34"/>
      <c r="Y403" s="34"/>
      <c r="Z403" s="34"/>
      <c r="AA403" s="34"/>
      <c r="AB403" s="34"/>
      <c r="AC403" s="35" t="str">
        <f aca="false">IF(AND(ISNUMBER(X403),ISNUMBER(Y403)),IF(Y403&gt;=X403,ROUND((Y403-X403)*1440,0),""),"")</f>
        <v/>
      </c>
      <c r="AD403" s="35" t="str">
        <f aca="false">IF(AND(ISNUMBER(Y403),ISNUMBER(Z403)),IF(Z403&gt;=Y403,ROUND((Z403-Y403)*1440,0),""),"")</f>
        <v/>
      </c>
      <c r="AE403" s="35" t="str">
        <f aca="false">IF(AND(ISNUMBER(Z403),ISNUMBER(AA403)),IF(AA403&gt;=Z403,ROUND((AA403-Z403)*1440,0),""),"")</f>
        <v/>
      </c>
      <c r="AF403" s="35" t="str">
        <f aca="false">IF(AND(ISNUMBER(AA403),ISNUMBER(AB403)),IF(AB403&gt;=AA403,ROUND((AB403-AA403)*1440,0),""),"")</f>
        <v/>
      </c>
      <c r="AG403" s="35" t="str">
        <f aca="false">IF(AND(W403="완료",ISNUMBER(X403)),IF(MAX(Y403:AB403)&gt;=X403,ROUND((MAX(Y403:AB403)-X403)*1440,0),""),"")</f>
        <v/>
      </c>
    </row>
    <row r="404" customFormat="false" ht="15" hidden="false" customHeight="false" outlineLevel="0" collapsed="false">
      <c r="A404" s="27" t="n">
        <v>400</v>
      </c>
      <c r="B404" s="28"/>
      <c r="C404" s="29"/>
      <c r="D404" s="29"/>
      <c r="E404" s="28"/>
      <c r="F404" s="30"/>
      <c r="G404" s="31"/>
      <c r="H404" s="28"/>
      <c r="I404" s="29"/>
      <c r="J404" s="29"/>
      <c r="K404" s="29"/>
      <c r="L404" s="29"/>
      <c r="M404" s="29"/>
      <c r="N404" s="29"/>
      <c r="O404" s="29"/>
      <c r="P404" s="29"/>
      <c r="Q404" s="29"/>
      <c r="R404" s="29"/>
      <c r="S404" s="28"/>
      <c r="T404" s="32" t="str">
        <f aca="false">IF(AND(K404="",L404=""),"",IF(OR(K404="-",L404="-"),"측정불가",IF(AND(ISNUMBER(K404),ISNUMBER(L404)),IF(OR(K404&gt;=설정!$C$9,L404&gt;=설정!$C$10),"긴급",IF(OR(K404&gt;=설정!$C$7,L404&gt;=설정!$C$8,K404&lt;설정!$C$11),"주의","정상")),"확인필요")))</f>
        <v/>
      </c>
      <c r="U404" s="32" t="str">
        <f aca="false">IF(M404="","",IF(M404="-","측정불가",IF(NOT(ISNUMBER(M404)),"확인필요",IF(M404&lt;설정!$C$15,"긴급(저혈당)",IF(M404&gt;=설정!$C$16,"긴급(고혈당)",IF(N404="공복",IF(M404&gt;=설정!$C$13,"주의","정상"),IF(N404="식후",IF(M404&gt;=설정!$C$14,"주의","정상"),"조건확인")))))))</f>
        <v/>
      </c>
      <c r="V404" s="32" t="str">
        <f aca="false">IF(OR(T404="긴급",LEFT(U404,2)="긴급",P404="O"),"대상","")</f>
        <v/>
      </c>
      <c r="W404" s="33" t="str">
        <f aca="false">IF(R404&lt;&gt;"",R404,IF(O404="O",IF(V404="대상",IF(Q404="O","완료","추가상담 대기"),"완료"),IF(COUNTA(K404:M404)=3,"상담 대기",IF(J404="O","측정 대기",IF(I404="O","운동평가 대기","미방문")))))</f>
        <v>미방문</v>
      </c>
      <c r="X404" s="34"/>
      <c r="Y404" s="34"/>
      <c r="Z404" s="34"/>
      <c r="AA404" s="34"/>
      <c r="AB404" s="34"/>
      <c r="AC404" s="35" t="str">
        <f aca="false">IF(AND(ISNUMBER(X404),ISNUMBER(Y404)),IF(Y404&gt;=X404,ROUND((Y404-X404)*1440,0),""),"")</f>
        <v/>
      </c>
      <c r="AD404" s="35" t="str">
        <f aca="false">IF(AND(ISNUMBER(Y404),ISNUMBER(Z404)),IF(Z404&gt;=Y404,ROUND((Z404-Y404)*1440,0),""),"")</f>
        <v/>
      </c>
      <c r="AE404" s="35" t="str">
        <f aca="false">IF(AND(ISNUMBER(Z404),ISNUMBER(AA404)),IF(AA404&gt;=Z404,ROUND((AA404-Z404)*1440,0),""),"")</f>
        <v/>
      </c>
      <c r="AF404" s="35" t="str">
        <f aca="false">IF(AND(ISNUMBER(AA404),ISNUMBER(AB404)),IF(AB404&gt;=AA404,ROUND((AB404-AA404)*1440,0),""),"")</f>
        <v/>
      </c>
      <c r="AG404" s="35" t="str">
        <f aca="false">IF(AND(W404="완료",ISNUMBER(X404)),IF(MAX(Y404:AB404)&gt;=X404,ROUND((MAX(Y404:AB404)-X404)*1440,0),""),"")</f>
        <v/>
      </c>
    </row>
  </sheetData>
  <autoFilter ref="A4:AG404"/>
  <mergeCells count="8">
    <mergeCell ref="A3:H3"/>
    <mergeCell ref="I3:J3"/>
    <mergeCell ref="K3:N3"/>
    <mergeCell ref="O3:Q3"/>
    <mergeCell ref="R3:S3"/>
    <mergeCell ref="T3:W3"/>
    <mergeCell ref="X3:AB3"/>
    <mergeCell ref="AC3:AG3"/>
  </mergeCells>
  <conditionalFormatting sqref="T5:U404">
    <cfRule type="expression" priority="2" aboveAverage="0" equalAverage="0" bottom="0" percent="0" rank="0" text="" dxfId="11">
      <formula>LEFT(T5,2)="긴급"</formula>
    </cfRule>
    <cfRule type="expression" priority="3" aboveAverage="0" equalAverage="0" bottom="0" percent="0" rank="0" text="" dxfId="12">
      <formula>T5="주의"</formula>
    </cfRule>
    <cfRule type="expression" priority="4" aboveAverage="0" equalAverage="0" bottom="0" percent="0" rank="0" text="" dxfId="13">
      <formula>OR(T5="확인필요",T5="조건확인",T5="측정불가")</formula>
    </cfRule>
  </conditionalFormatting>
  <conditionalFormatting sqref="V5:V404">
    <cfRule type="expression" priority="5" aboveAverage="0" equalAverage="0" bottom="0" percent="0" rank="0" text="" dxfId="14">
      <formula>V5="대상"</formula>
    </cfRule>
  </conditionalFormatting>
  <conditionalFormatting sqref="I5:I404">
    <cfRule type="cellIs" priority="6" operator="equal" aboveAverage="0" equalAverage="0" bottom="0" percent="0" rank="0" text="" dxfId="15">
      <formula>"O"</formula>
    </cfRule>
  </conditionalFormatting>
  <conditionalFormatting sqref="J5:J404">
    <cfRule type="cellIs" priority="7" operator="equal" aboveAverage="0" equalAverage="0" bottom="0" percent="0" rank="0" text="" dxfId="15">
      <formula>"O"</formula>
    </cfRule>
  </conditionalFormatting>
  <conditionalFormatting sqref="O5:O404">
    <cfRule type="cellIs" priority="8" operator="equal" aboveAverage="0" equalAverage="0" bottom="0" percent="0" rank="0" text="" dxfId="15">
      <formula>"O"</formula>
    </cfRule>
  </conditionalFormatting>
  <conditionalFormatting sqref="P5:P404">
    <cfRule type="cellIs" priority="9" operator="equal" aboveAverage="0" equalAverage="0" bottom="0" percent="0" rank="0" text="" dxfId="15">
      <formula>"O"</formula>
    </cfRule>
  </conditionalFormatting>
  <conditionalFormatting sqref="Q5:Q404">
    <cfRule type="cellIs" priority="10" operator="equal" aboveAverage="0" equalAverage="0" bottom="0" percent="0" rank="0" text="" dxfId="15">
      <formula>"O"</formula>
    </cfRule>
  </conditionalFormatting>
  <conditionalFormatting sqref="W5:W404">
    <cfRule type="expression" priority="11" aboveAverage="0" equalAverage="0" bottom="0" percent="0" rank="0" text="" dxfId="16">
      <formula>W5="완료"</formula>
    </cfRule>
    <cfRule type="expression" priority="12" aboveAverage="0" equalAverage="0" bottom="0" percent="0" rank="0" text="" dxfId="17">
      <formula>W5="추가상담 대기"</formula>
    </cfRule>
    <cfRule type="expression" priority="13" aboveAverage="0" equalAverage="0" bottom="0" percent="0" rank="0" text="" dxfId="18">
      <formula>OR(W5="불참",W5="연기")</formula>
    </cfRule>
    <cfRule type="expression" priority="14" aboveAverage="0" equalAverage="0" bottom="0" percent="0" rank="0" text="" dxfId="19">
      <formula>OR(W5="운동평가 대기",W5="측정 대기",W5="상담 대기")</formula>
    </cfRule>
  </conditionalFormatting>
  <dataValidations count="9">
    <dataValidation allowBlank="true" errorStyle="stop" operator="between" showDropDown="false" showErrorMessage="true" showInputMessage="false" sqref="C5:C404" type="list">
      <formula1>"남,여"</formula1>
      <formula2>0</formula2>
    </dataValidation>
    <dataValidation allowBlank="true" error="목록에 없는 날짜입니다. 그래도 입력할까요?" errorStyle="warning" errorTitle="운영일 아님" operator="between" showDropDown="false" showErrorMessage="true" showInputMessage="false" sqref="F5:F404" type="list">
      <formula1>설정!$C$19:$C$28</formula1>
      <formula2>0</formula2>
    </dataValidation>
    <dataValidation allowBlank="true" error="목록에 없는 시간입니다. 그래도 입력할까요?" errorStyle="warning" errorTitle="슬롯 아님" operator="between" showDropDown="false" showErrorMessage="true" showInputMessage="false" sqref="G5:G404" type="list">
      <formula1>설정!$C$31:$C$42</formula1>
      <formula2>0</formula2>
    </dataValidation>
    <dataValidation allowBlank="true" errorStyle="stop" operator="between" showDropDown="false" showErrorMessage="true" showInputMessage="false" sqref="I5:J404 O5:Q404" type="list">
      <formula1>"O"</formula1>
      <formula2>0</formula2>
    </dataValidation>
    <dataValidation allowBlank="true" errorStyle="stop" operator="between" showDropDown="false" showErrorMessage="true" showInputMessage="false" sqref="N5:N404" type="list">
      <formula1>"공복,식후"</formula1>
      <formula2>0</formula2>
    </dataValidation>
    <dataValidation allowBlank="true" errorStyle="stop" operator="between" showDropDown="false" showErrorMessage="true" showInputMessage="false" sqref="R5:R404" type="list">
      <formula1>"불참,연기"</formula1>
      <formula2>0</formula2>
    </dataValidation>
    <dataValidation allowBlank="true" error="60~260 범위를 벗어났습니다. 측정 거부·불가라면 '-'를 입력하세요. 그대로 입력할까요?" errorStyle="warning" errorTitle="값 확인" operator="between" showDropDown="false" showErrorMessage="true" showInputMessage="false" sqref="K5:K404" type="decimal">
      <formula1>60</formula1>
      <formula2>260</formula2>
    </dataValidation>
    <dataValidation allowBlank="true" error="30~160 범위를 벗어났습니다. 측정 거부·불가라면 '-'를 입력하세요. 그대로 입력할까요?" errorStyle="warning" errorTitle="값 확인" operator="between" showDropDown="false" showErrorMessage="true" showInputMessage="false" sqref="L5:L404" type="decimal">
      <formula1>30</formula1>
      <formula2>160</formula2>
    </dataValidation>
    <dataValidation allowBlank="true" error="20~600 범위를 벗어났습니다. 측정 거부·불가라면 '-'를 입력하세요. 그대로 입력할까요?" errorStyle="warning" errorTitle="값 확인" operator="between" showDropDown="false" showErrorMessage="true" showInputMessage="false" sqref="M5:M404" type="decimal">
      <formula1>20</formula1>
      <formula2>600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48235"/>
    <pageSetUpPr fitToPage="true"/>
  </sheetPr>
  <dimension ref="B1:M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16"/>
    <col collapsed="false" customWidth="true" hidden="false" outlineLevel="0" max="3" min="3" style="0" width="8"/>
    <col collapsed="false" customWidth="true" hidden="false" outlineLevel="0" max="13" min="4" style="0" width="10"/>
  </cols>
  <sheetData>
    <row r="1" customFormat="false" ht="19.4" hidden="false" customHeight="false" outlineLevel="0" collapsed="false">
      <c r="B1" s="18" t="s">
        <v>166</v>
      </c>
    </row>
    <row r="2" customFormat="false" ht="15" hidden="false" customHeight="false" outlineLevel="0" collapsed="false">
      <c r="B2" s="2" t="s">
        <v>167</v>
      </c>
    </row>
    <row r="3" customFormat="false" ht="15" hidden="false" customHeight="false" outlineLevel="0" collapsed="false">
      <c r="D3" s="36" t="str">
        <f aca="false">IF(D4="","",CHOOSE(WEEKDAY(D4),"일","월","화","수","목","금","토"))</f>
        <v>월</v>
      </c>
      <c r="E3" s="36" t="str">
        <f aca="false">IF(E4="","",CHOOSE(WEEKDAY(E4),"일","월","화","수","목","금","토"))</f>
        <v>화</v>
      </c>
      <c r="F3" s="36" t="str">
        <f aca="false">IF(F4="","",CHOOSE(WEEKDAY(F4),"일","월","화","수","목","금","토"))</f>
        <v>수</v>
      </c>
      <c r="G3" s="36" t="str">
        <f aca="false">IF(G4="","",CHOOSE(WEEKDAY(G4),"일","월","화","수","목","금","토"))</f>
        <v>목</v>
      </c>
      <c r="H3" s="36" t="str">
        <f aca="false">IF(H4="","",CHOOSE(WEEKDAY(H4),"일","월","화","수","목","금","토"))</f>
        <v>금</v>
      </c>
      <c r="I3" s="36" t="str">
        <f aca="false">IF(I4="","",CHOOSE(WEEKDAY(I4),"일","월","화","수","목","금","토"))</f>
        <v>월</v>
      </c>
      <c r="J3" s="36" t="str">
        <f aca="false">IF(J4="","",CHOOSE(WEEKDAY(J4),"일","월","화","수","목","금","토"))</f>
        <v>화</v>
      </c>
      <c r="K3" s="36" t="str">
        <f aca="false">IF(K4="","",CHOOSE(WEEKDAY(K4),"일","월","화","수","목","금","토"))</f>
        <v>수</v>
      </c>
      <c r="L3" s="36" t="str">
        <f aca="false">IF(L4="","",CHOOSE(WEEKDAY(L4),"일","월","화","수","목","금","토"))</f>
        <v>목</v>
      </c>
      <c r="M3" s="36" t="str">
        <f aca="false">IF(M4="","",CHOOSE(WEEKDAY(M4),"일","월","화","수","목","금","토"))</f>
        <v>금</v>
      </c>
    </row>
    <row r="4" customFormat="false" ht="15" hidden="false" customHeight="false" outlineLevel="0" collapsed="false">
      <c r="B4" s="23" t="s">
        <v>168</v>
      </c>
      <c r="C4" s="23" t="s">
        <v>169</v>
      </c>
      <c r="D4" s="37" t="n">
        <f aca="false">IF(설정!$C$19="","",설정!$C$19)</f>
        <v>46314</v>
      </c>
      <c r="E4" s="37" t="n">
        <f aca="false">IF(설정!$C$20="","",설정!$C$20)</f>
        <v>46315</v>
      </c>
      <c r="F4" s="37" t="n">
        <f aca="false">IF(설정!$C$21="","",설정!$C$21)</f>
        <v>46316</v>
      </c>
      <c r="G4" s="37" t="n">
        <f aca="false">IF(설정!$C$22="","",설정!$C$22)</f>
        <v>46317</v>
      </c>
      <c r="H4" s="37" t="n">
        <f aca="false">IF(설정!$C$23="","",설정!$C$23)</f>
        <v>46318</v>
      </c>
      <c r="I4" s="37" t="n">
        <f aca="false">IF(설정!$C$24="","",설정!$C$24)</f>
        <v>46321</v>
      </c>
      <c r="J4" s="37" t="n">
        <f aca="false">IF(설정!$C$25="","",설정!$C$25)</f>
        <v>46322</v>
      </c>
      <c r="K4" s="37" t="n">
        <f aca="false">IF(설정!$C$26="","",설정!$C$26)</f>
        <v>46323</v>
      </c>
      <c r="L4" s="37" t="n">
        <f aca="false">IF(설정!$C$27="","",설정!$C$27)</f>
        <v>46324</v>
      </c>
      <c r="M4" s="37" t="n">
        <f aca="false">IF(설정!$C$28="","",설정!$C$28)</f>
        <v>46325</v>
      </c>
    </row>
    <row r="5" customFormat="false" ht="15" hidden="false" customHeight="false" outlineLevel="0" collapsed="false">
      <c r="B5" s="38" t="n">
        <f aca="false">IF(설정!$C$31="","",설정!$C$31)</f>
        <v>0.375</v>
      </c>
      <c r="C5" s="39" t="n">
        <f aca="false">IF(설정!$D$31="","",설정!$D$31)</f>
        <v>4</v>
      </c>
      <c r="D5" s="40" t="n">
        <f aca="false">IF(OR(D$4="",$B5=""),"",COUNTIFS(명단!$F$5:$F$404,D$4,명단!$G$5:$G$404,$B5))</f>
        <v>0</v>
      </c>
      <c r="E5" s="40" t="n">
        <f aca="false">IF(OR(E$4="",$B5=""),"",COUNTIFS(명단!$F$5:$F$404,E$4,명단!$G$5:$G$404,$B5))</f>
        <v>0</v>
      </c>
      <c r="F5" s="40" t="n">
        <f aca="false">IF(OR(F$4="",$B5=""),"",COUNTIFS(명단!$F$5:$F$404,F$4,명단!$G$5:$G$404,$B5))</f>
        <v>0</v>
      </c>
      <c r="G5" s="40" t="n">
        <f aca="false">IF(OR(G$4="",$B5=""),"",COUNTIFS(명단!$F$5:$F$404,G$4,명단!$G$5:$G$404,$B5))</f>
        <v>0</v>
      </c>
      <c r="H5" s="40" t="n">
        <f aca="false">IF(OR(H$4="",$B5=""),"",COUNTIFS(명단!$F$5:$F$404,H$4,명단!$G$5:$G$404,$B5))</f>
        <v>0</v>
      </c>
      <c r="I5" s="40" t="n">
        <f aca="false">IF(OR(I$4="",$B5=""),"",COUNTIFS(명단!$F$5:$F$404,I$4,명단!$G$5:$G$404,$B5))</f>
        <v>0</v>
      </c>
      <c r="J5" s="40" t="n">
        <f aca="false">IF(OR(J$4="",$B5=""),"",COUNTIFS(명단!$F$5:$F$404,J$4,명단!$G$5:$G$404,$B5))</f>
        <v>0</v>
      </c>
      <c r="K5" s="40" t="n">
        <f aca="false">IF(OR(K$4="",$B5=""),"",COUNTIFS(명단!$F$5:$F$404,K$4,명단!$G$5:$G$404,$B5))</f>
        <v>0</v>
      </c>
      <c r="L5" s="40" t="n">
        <f aca="false">IF(OR(L$4="",$B5=""),"",COUNTIFS(명단!$F$5:$F$404,L$4,명단!$G$5:$G$404,$B5))</f>
        <v>0</v>
      </c>
      <c r="M5" s="40" t="n">
        <f aca="false">IF(OR(M$4="",$B5=""),"",COUNTIFS(명단!$F$5:$F$404,M$4,명단!$G$5:$G$404,$B5))</f>
        <v>0</v>
      </c>
    </row>
    <row r="6" customFormat="false" ht="15" hidden="false" customHeight="false" outlineLevel="0" collapsed="false">
      <c r="B6" s="38" t="n">
        <f aca="false">IF(설정!$C$32="","",설정!$C$32)</f>
        <v>0.395833333333333</v>
      </c>
      <c r="C6" s="39" t="n">
        <f aca="false">IF(설정!$D$32="","",설정!$D$32)</f>
        <v>4</v>
      </c>
      <c r="D6" s="40" t="n">
        <f aca="false">IF(OR(D$4="",$B6=""),"",COUNTIFS(명단!$F$5:$F$404,D$4,명단!$G$5:$G$404,$B6))</f>
        <v>0</v>
      </c>
      <c r="E6" s="40" t="n">
        <f aca="false">IF(OR(E$4="",$B6=""),"",COUNTIFS(명단!$F$5:$F$404,E$4,명단!$G$5:$G$404,$B6))</f>
        <v>0</v>
      </c>
      <c r="F6" s="40" t="n">
        <f aca="false">IF(OR(F$4="",$B6=""),"",COUNTIFS(명단!$F$5:$F$404,F$4,명단!$G$5:$G$404,$B6))</f>
        <v>0</v>
      </c>
      <c r="G6" s="40" t="n">
        <f aca="false">IF(OR(G$4="",$B6=""),"",COUNTIFS(명단!$F$5:$F$404,G$4,명단!$G$5:$G$404,$B6))</f>
        <v>0</v>
      </c>
      <c r="H6" s="40" t="n">
        <f aca="false">IF(OR(H$4="",$B6=""),"",COUNTIFS(명단!$F$5:$F$404,H$4,명단!$G$5:$G$404,$B6))</f>
        <v>0</v>
      </c>
      <c r="I6" s="40" t="n">
        <f aca="false">IF(OR(I$4="",$B6=""),"",COUNTIFS(명단!$F$5:$F$404,I$4,명단!$G$5:$G$404,$B6))</f>
        <v>0</v>
      </c>
      <c r="J6" s="40" t="n">
        <f aca="false">IF(OR(J$4="",$B6=""),"",COUNTIFS(명단!$F$5:$F$404,J$4,명단!$G$5:$G$404,$B6))</f>
        <v>0</v>
      </c>
      <c r="K6" s="40" t="n">
        <f aca="false">IF(OR(K$4="",$B6=""),"",COUNTIFS(명단!$F$5:$F$404,K$4,명단!$G$5:$G$404,$B6))</f>
        <v>0</v>
      </c>
      <c r="L6" s="40" t="n">
        <f aca="false">IF(OR(L$4="",$B6=""),"",COUNTIFS(명단!$F$5:$F$404,L$4,명단!$G$5:$G$404,$B6))</f>
        <v>0</v>
      </c>
      <c r="M6" s="40" t="n">
        <f aca="false">IF(OR(M$4="",$B6=""),"",COUNTIFS(명단!$F$5:$F$404,M$4,명단!$G$5:$G$404,$B6))</f>
        <v>0</v>
      </c>
    </row>
    <row r="7" customFormat="false" ht="15" hidden="false" customHeight="false" outlineLevel="0" collapsed="false">
      <c r="B7" s="38" t="n">
        <f aca="false">IF(설정!$C$33="","",설정!$C$33)</f>
        <v>0.416666666666667</v>
      </c>
      <c r="C7" s="39" t="n">
        <f aca="false">IF(설정!$D$33="","",설정!$D$33)</f>
        <v>4</v>
      </c>
      <c r="D7" s="40" t="n">
        <f aca="false">IF(OR(D$4="",$B7=""),"",COUNTIFS(명단!$F$5:$F$404,D$4,명단!$G$5:$G$404,$B7))</f>
        <v>0</v>
      </c>
      <c r="E7" s="40" t="n">
        <f aca="false">IF(OR(E$4="",$B7=""),"",COUNTIFS(명단!$F$5:$F$404,E$4,명단!$G$5:$G$404,$B7))</f>
        <v>0</v>
      </c>
      <c r="F7" s="40" t="n">
        <f aca="false">IF(OR(F$4="",$B7=""),"",COUNTIFS(명단!$F$5:$F$404,F$4,명단!$G$5:$G$404,$B7))</f>
        <v>0</v>
      </c>
      <c r="G7" s="40" t="n">
        <f aca="false">IF(OR(G$4="",$B7=""),"",COUNTIFS(명단!$F$5:$F$404,G$4,명단!$G$5:$G$404,$B7))</f>
        <v>0</v>
      </c>
      <c r="H7" s="40" t="n">
        <f aca="false">IF(OR(H$4="",$B7=""),"",COUNTIFS(명단!$F$5:$F$404,H$4,명단!$G$5:$G$404,$B7))</f>
        <v>0</v>
      </c>
      <c r="I7" s="40" t="n">
        <f aca="false">IF(OR(I$4="",$B7=""),"",COUNTIFS(명단!$F$5:$F$404,I$4,명단!$G$5:$G$404,$B7))</f>
        <v>0</v>
      </c>
      <c r="J7" s="40" t="n">
        <f aca="false">IF(OR(J$4="",$B7=""),"",COUNTIFS(명단!$F$5:$F$404,J$4,명단!$G$5:$G$404,$B7))</f>
        <v>0</v>
      </c>
      <c r="K7" s="40" t="n">
        <f aca="false">IF(OR(K$4="",$B7=""),"",COUNTIFS(명단!$F$5:$F$404,K$4,명단!$G$5:$G$404,$B7))</f>
        <v>0</v>
      </c>
      <c r="L7" s="40" t="n">
        <f aca="false">IF(OR(L$4="",$B7=""),"",COUNTIFS(명단!$F$5:$F$404,L$4,명단!$G$5:$G$404,$B7))</f>
        <v>0</v>
      </c>
      <c r="M7" s="40" t="n">
        <f aca="false">IF(OR(M$4="",$B7=""),"",COUNTIFS(명단!$F$5:$F$404,M$4,명단!$G$5:$G$404,$B7))</f>
        <v>0</v>
      </c>
    </row>
    <row r="8" customFormat="false" ht="15" hidden="false" customHeight="false" outlineLevel="0" collapsed="false">
      <c r="B8" s="38" t="n">
        <f aca="false">IF(설정!$C$34="","",설정!$C$34)</f>
        <v>0.4375</v>
      </c>
      <c r="C8" s="39" t="n">
        <f aca="false">IF(설정!$D$34="","",설정!$D$34)</f>
        <v>4</v>
      </c>
      <c r="D8" s="40" t="n">
        <f aca="false">IF(OR(D$4="",$B8=""),"",COUNTIFS(명단!$F$5:$F$404,D$4,명단!$G$5:$G$404,$B8))</f>
        <v>0</v>
      </c>
      <c r="E8" s="40" t="n">
        <f aca="false">IF(OR(E$4="",$B8=""),"",COUNTIFS(명단!$F$5:$F$404,E$4,명단!$G$5:$G$404,$B8))</f>
        <v>0</v>
      </c>
      <c r="F8" s="40" t="n">
        <f aca="false">IF(OR(F$4="",$B8=""),"",COUNTIFS(명단!$F$5:$F$404,F$4,명단!$G$5:$G$404,$B8))</f>
        <v>0</v>
      </c>
      <c r="G8" s="40" t="n">
        <f aca="false">IF(OR(G$4="",$B8=""),"",COUNTIFS(명단!$F$5:$F$404,G$4,명단!$G$5:$G$404,$B8))</f>
        <v>0</v>
      </c>
      <c r="H8" s="40" t="n">
        <f aca="false">IF(OR(H$4="",$B8=""),"",COUNTIFS(명단!$F$5:$F$404,H$4,명단!$G$5:$G$404,$B8))</f>
        <v>0</v>
      </c>
      <c r="I8" s="40" t="n">
        <f aca="false">IF(OR(I$4="",$B8=""),"",COUNTIFS(명단!$F$5:$F$404,I$4,명단!$G$5:$G$404,$B8))</f>
        <v>0</v>
      </c>
      <c r="J8" s="40" t="n">
        <f aca="false">IF(OR(J$4="",$B8=""),"",COUNTIFS(명단!$F$5:$F$404,J$4,명단!$G$5:$G$404,$B8))</f>
        <v>0</v>
      </c>
      <c r="K8" s="40" t="n">
        <f aca="false">IF(OR(K$4="",$B8=""),"",COUNTIFS(명단!$F$5:$F$404,K$4,명단!$G$5:$G$404,$B8))</f>
        <v>0</v>
      </c>
      <c r="L8" s="40" t="n">
        <f aca="false">IF(OR(L$4="",$B8=""),"",COUNTIFS(명단!$F$5:$F$404,L$4,명단!$G$5:$G$404,$B8))</f>
        <v>0</v>
      </c>
      <c r="M8" s="40" t="n">
        <f aca="false">IF(OR(M$4="",$B8=""),"",COUNTIFS(명단!$F$5:$F$404,M$4,명단!$G$5:$G$404,$B8))</f>
        <v>0</v>
      </c>
    </row>
    <row r="9" customFormat="false" ht="15" hidden="false" customHeight="false" outlineLevel="0" collapsed="false">
      <c r="B9" s="38" t="n">
        <f aca="false">IF(설정!$C$35="","",설정!$C$35)</f>
        <v>0.458333333333333</v>
      </c>
      <c r="C9" s="39" t="n">
        <f aca="false">IF(설정!$D$35="","",설정!$D$35)</f>
        <v>4</v>
      </c>
      <c r="D9" s="40" t="n">
        <f aca="false">IF(OR(D$4="",$B9=""),"",COUNTIFS(명단!$F$5:$F$404,D$4,명단!$G$5:$G$404,$B9))</f>
        <v>0</v>
      </c>
      <c r="E9" s="40" t="n">
        <f aca="false">IF(OR(E$4="",$B9=""),"",COUNTIFS(명단!$F$5:$F$404,E$4,명단!$G$5:$G$404,$B9))</f>
        <v>0</v>
      </c>
      <c r="F9" s="40" t="n">
        <f aca="false">IF(OR(F$4="",$B9=""),"",COUNTIFS(명단!$F$5:$F$404,F$4,명단!$G$5:$G$404,$B9))</f>
        <v>0</v>
      </c>
      <c r="G9" s="40" t="n">
        <f aca="false">IF(OR(G$4="",$B9=""),"",COUNTIFS(명단!$F$5:$F$404,G$4,명단!$G$5:$G$404,$B9))</f>
        <v>0</v>
      </c>
      <c r="H9" s="40" t="n">
        <f aca="false">IF(OR(H$4="",$B9=""),"",COUNTIFS(명단!$F$5:$F$404,H$4,명단!$G$5:$G$404,$B9))</f>
        <v>0</v>
      </c>
      <c r="I9" s="40" t="n">
        <f aca="false">IF(OR(I$4="",$B9=""),"",COUNTIFS(명단!$F$5:$F$404,I$4,명단!$G$5:$G$404,$B9))</f>
        <v>0</v>
      </c>
      <c r="J9" s="40" t="n">
        <f aca="false">IF(OR(J$4="",$B9=""),"",COUNTIFS(명단!$F$5:$F$404,J$4,명단!$G$5:$G$404,$B9))</f>
        <v>0</v>
      </c>
      <c r="K9" s="40" t="n">
        <f aca="false">IF(OR(K$4="",$B9=""),"",COUNTIFS(명단!$F$5:$F$404,K$4,명단!$G$5:$G$404,$B9))</f>
        <v>0</v>
      </c>
      <c r="L9" s="40" t="n">
        <f aca="false">IF(OR(L$4="",$B9=""),"",COUNTIFS(명단!$F$5:$F$404,L$4,명단!$G$5:$G$404,$B9))</f>
        <v>0</v>
      </c>
      <c r="M9" s="40" t="n">
        <f aca="false">IF(OR(M$4="",$B9=""),"",COUNTIFS(명단!$F$5:$F$404,M$4,명단!$G$5:$G$404,$B9))</f>
        <v>0</v>
      </c>
    </row>
    <row r="10" customFormat="false" ht="15" hidden="false" customHeight="false" outlineLevel="0" collapsed="false">
      <c r="B10" s="38" t="n">
        <f aca="false">IF(설정!$C$36="","",설정!$C$36)</f>
        <v>0.479166666666667</v>
      </c>
      <c r="C10" s="39" t="n">
        <f aca="false">IF(설정!$D$36="","",설정!$D$36)</f>
        <v>4</v>
      </c>
      <c r="D10" s="40" t="n">
        <f aca="false">IF(OR(D$4="",$B10=""),"",COUNTIFS(명단!$F$5:$F$404,D$4,명단!$G$5:$G$404,$B10))</f>
        <v>0</v>
      </c>
      <c r="E10" s="40" t="n">
        <f aca="false">IF(OR(E$4="",$B10=""),"",COUNTIFS(명단!$F$5:$F$404,E$4,명단!$G$5:$G$404,$B10))</f>
        <v>0</v>
      </c>
      <c r="F10" s="40" t="n">
        <f aca="false">IF(OR(F$4="",$B10=""),"",COUNTIFS(명단!$F$5:$F$404,F$4,명단!$G$5:$G$404,$B10))</f>
        <v>0</v>
      </c>
      <c r="G10" s="40" t="n">
        <f aca="false">IF(OR(G$4="",$B10=""),"",COUNTIFS(명단!$F$5:$F$404,G$4,명단!$G$5:$G$404,$B10))</f>
        <v>0</v>
      </c>
      <c r="H10" s="40" t="n">
        <f aca="false">IF(OR(H$4="",$B10=""),"",COUNTIFS(명단!$F$5:$F$404,H$4,명단!$G$5:$G$404,$B10))</f>
        <v>0</v>
      </c>
      <c r="I10" s="40" t="n">
        <f aca="false">IF(OR(I$4="",$B10=""),"",COUNTIFS(명단!$F$5:$F$404,I$4,명단!$G$5:$G$404,$B10))</f>
        <v>0</v>
      </c>
      <c r="J10" s="40" t="n">
        <f aca="false">IF(OR(J$4="",$B10=""),"",COUNTIFS(명단!$F$5:$F$404,J$4,명단!$G$5:$G$404,$B10))</f>
        <v>0</v>
      </c>
      <c r="K10" s="40" t="n">
        <f aca="false">IF(OR(K$4="",$B10=""),"",COUNTIFS(명단!$F$5:$F$404,K$4,명단!$G$5:$G$404,$B10))</f>
        <v>0</v>
      </c>
      <c r="L10" s="40" t="n">
        <f aca="false">IF(OR(L$4="",$B10=""),"",COUNTIFS(명단!$F$5:$F$404,L$4,명단!$G$5:$G$404,$B10))</f>
        <v>0</v>
      </c>
      <c r="M10" s="40" t="n">
        <f aca="false">IF(OR(M$4="",$B10=""),"",COUNTIFS(명단!$F$5:$F$404,M$4,명단!$G$5:$G$404,$B10))</f>
        <v>0</v>
      </c>
    </row>
    <row r="11" customFormat="false" ht="15" hidden="false" customHeight="false" outlineLevel="0" collapsed="false">
      <c r="B11" s="38" t="n">
        <f aca="false">IF(설정!$C$37="","",설정!$C$37)</f>
        <v>0.5625</v>
      </c>
      <c r="C11" s="39" t="n">
        <f aca="false">IF(설정!$D$37="","",설정!$D$37)</f>
        <v>4</v>
      </c>
      <c r="D11" s="40" t="n">
        <f aca="false">IF(OR(D$4="",$B11=""),"",COUNTIFS(명단!$F$5:$F$404,D$4,명단!$G$5:$G$404,$B11))</f>
        <v>0</v>
      </c>
      <c r="E11" s="40" t="n">
        <f aca="false">IF(OR(E$4="",$B11=""),"",COUNTIFS(명단!$F$5:$F$404,E$4,명단!$G$5:$G$404,$B11))</f>
        <v>0</v>
      </c>
      <c r="F11" s="40" t="n">
        <f aca="false">IF(OR(F$4="",$B11=""),"",COUNTIFS(명단!$F$5:$F$404,F$4,명단!$G$5:$G$404,$B11))</f>
        <v>0</v>
      </c>
      <c r="G11" s="40" t="n">
        <f aca="false">IF(OR(G$4="",$B11=""),"",COUNTIFS(명단!$F$5:$F$404,G$4,명단!$G$5:$G$404,$B11))</f>
        <v>0</v>
      </c>
      <c r="H11" s="40" t="n">
        <f aca="false">IF(OR(H$4="",$B11=""),"",COUNTIFS(명단!$F$5:$F$404,H$4,명단!$G$5:$G$404,$B11))</f>
        <v>0</v>
      </c>
      <c r="I11" s="40" t="n">
        <f aca="false">IF(OR(I$4="",$B11=""),"",COUNTIFS(명단!$F$5:$F$404,I$4,명단!$G$5:$G$404,$B11))</f>
        <v>0</v>
      </c>
      <c r="J11" s="40" t="n">
        <f aca="false">IF(OR(J$4="",$B11=""),"",COUNTIFS(명단!$F$5:$F$404,J$4,명단!$G$5:$G$404,$B11))</f>
        <v>0</v>
      </c>
      <c r="K11" s="40" t="n">
        <f aca="false">IF(OR(K$4="",$B11=""),"",COUNTIFS(명단!$F$5:$F$404,K$4,명단!$G$5:$G$404,$B11))</f>
        <v>0</v>
      </c>
      <c r="L11" s="40" t="n">
        <f aca="false">IF(OR(L$4="",$B11=""),"",COUNTIFS(명단!$F$5:$F$404,L$4,명단!$G$5:$G$404,$B11))</f>
        <v>0</v>
      </c>
      <c r="M11" s="40" t="n">
        <f aca="false">IF(OR(M$4="",$B11=""),"",COUNTIFS(명단!$F$5:$F$404,M$4,명단!$G$5:$G$404,$B11))</f>
        <v>0</v>
      </c>
    </row>
    <row r="12" customFormat="false" ht="15" hidden="false" customHeight="false" outlineLevel="0" collapsed="false">
      <c r="B12" s="38" t="n">
        <f aca="false">IF(설정!$C$38="","",설정!$C$38)</f>
        <v>0.583333333333333</v>
      </c>
      <c r="C12" s="39" t="n">
        <f aca="false">IF(설정!$D$38="","",설정!$D$38)</f>
        <v>4</v>
      </c>
      <c r="D12" s="40" t="n">
        <f aca="false">IF(OR(D$4="",$B12=""),"",COUNTIFS(명단!$F$5:$F$404,D$4,명단!$G$5:$G$404,$B12))</f>
        <v>0</v>
      </c>
      <c r="E12" s="40" t="n">
        <f aca="false">IF(OR(E$4="",$B12=""),"",COUNTIFS(명단!$F$5:$F$404,E$4,명단!$G$5:$G$404,$B12))</f>
        <v>0</v>
      </c>
      <c r="F12" s="40" t="n">
        <f aca="false">IF(OR(F$4="",$B12=""),"",COUNTIFS(명단!$F$5:$F$404,F$4,명단!$G$5:$G$404,$B12))</f>
        <v>0</v>
      </c>
      <c r="G12" s="40" t="n">
        <f aca="false">IF(OR(G$4="",$B12=""),"",COUNTIFS(명단!$F$5:$F$404,G$4,명단!$G$5:$G$404,$B12))</f>
        <v>0</v>
      </c>
      <c r="H12" s="40" t="n">
        <f aca="false">IF(OR(H$4="",$B12=""),"",COUNTIFS(명단!$F$5:$F$404,H$4,명단!$G$5:$G$404,$B12))</f>
        <v>0</v>
      </c>
      <c r="I12" s="40" t="n">
        <f aca="false">IF(OR(I$4="",$B12=""),"",COUNTIFS(명단!$F$5:$F$404,I$4,명단!$G$5:$G$404,$B12))</f>
        <v>0</v>
      </c>
      <c r="J12" s="40" t="n">
        <f aca="false">IF(OR(J$4="",$B12=""),"",COUNTIFS(명단!$F$5:$F$404,J$4,명단!$G$5:$G$404,$B12))</f>
        <v>0</v>
      </c>
      <c r="K12" s="40" t="n">
        <f aca="false">IF(OR(K$4="",$B12=""),"",COUNTIFS(명단!$F$5:$F$404,K$4,명단!$G$5:$G$404,$B12))</f>
        <v>0</v>
      </c>
      <c r="L12" s="40" t="n">
        <f aca="false">IF(OR(L$4="",$B12=""),"",COUNTIFS(명단!$F$5:$F$404,L$4,명단!$G$5:$G$404,$B12))</f>
        <v>0</v>
      </c>
      <c r="M12" s="40" t="n">
        <f aca="false">IF(OR(M$4="",$B12=""),"",COUNTIFS(명단!$F$5:$F$404,M$4,명단!$G$5:$G$404,$B12))</f>
        <v>0</v>
      </c>
    </row>
    <row r="13" customFormat="false" ht="15" hidden="false" customHeight="false" outlineLevel="0" collapsed="false">
      <c r="B13" s="38" t="n">
        <f aca="false">IF(설정!$C$39="","",설정!$C$39)</f>
        <v>0.604166666666667</v>
      </c>
      <c r="C13" s="39" t="n">
        <f aca="false">IF(설정!$D$39="","",설정!$D$39)</f>
        <v>4</v>
      </c>
      <c r="D13" s="40" t="n">
        <f aca="false">IF(OR(D$4="",$B13=""),"",COUNTIFS(명단!$F$5:$F$404,D$4,명단!$G$5:$G$404,$B13))</f>
        <v>0</v>
      </c>
      <c r="E13" s="40" t="n">
        <f aca="false">IF(OR(E$4="",$B13=""),"",COUNTIFS(명단!$F$5:$F$404,E$4,명단!$G$5:$G$404,$B13))</f>
        <v>0</v>
      </c>
      <c r="F13" s="40" t="n">
        <f aca="false">IF(OR(F$4="",$B13=""),"",COUNTIFS(명단!$F$5:$F$404,F$4,명단!$G$5:$G$404,$B13))</f>
        <v>0</v>
      </c>
      <c r="G13" s="40" t="n">
        <f aca="false">IF(OR(G$4="",$B13=""),"",COUNTIFS(명단!$F$5:$F$404,G$4,명단!$G$5:$G$404,$B13))</f>
        <v>0</v>
      </c>
      <c r="H13" s="40" t="n">
        <f aca="false">IF(OR(H$4="",$B13=""),"",COUNTIFS(명단!$F$5:$F$404,H$4,명단!$G$5:$G$404,$B13))</f>
        <v>0</v>
      </c>
      <c r="I13" s="40" t="n">
        <f aca="false">IF(OR(I$4="",$B13=""),"",COUNTIFS(명단!$F$5:$F$404,I$4,명단!$G$5:$G$404,$B13))</f>
        <v>0</v>
      </c>
      <c r="J13" s="40" t="n">
        <f aca="false">IF(OR(J$4="",$B13=""),"",COUNTIFS(명단!$F$5:$F$404,J$4,명단!$G$5:$G$404,$B13))</f>
        <v>0</v>
      </c>
      <c r="K13" s="40" t="n">
        <f aca="false">IF(OR(K$4="",$B13=""),"",COUNTIFS(명단!$F$5:$F$404,K$4,명단!$G$5:$G$404,$B13))</f>
        <v>0</v>
      </c>
      <c r="L13" s="40" t="n">
        <f aca="false">IF(OR(L$4="",$B13=""),"",COUNTIFS(명단!$F$5:$F$404,L$4,명단!$G$5:$G$404,$B13))</f>
        <v>0</v>
      </c>
      <c r="M13" s="40" t="n">
        <f aca="false">IF(OR(M$4="",$B13=""),"",COUNTIFS(명단!$F$5:$F$404,M$4,명단!$G$5:$G$404,$B13))</f>
        <v>0</v>
      </c>
    </row>
    <row r="14" customFormat="false" ht="15" hidden="false" customHeight="false" outlineLevel="0" collapsed="false">
      <c r="B14" s="38" t="n">
        <f aca="false">IF(설정!$C$40="","",설정!$C$40)</f>
        <v>0.625</v>
      </c>
      <c r="C14" s="39" t="n">
        <f aca="false">IF(설정!$D$40="","",설정!$D$40)</f>
        <v>4</v>
      </c>
      <c r="D14" s="40" t="n">
        <f aca="false">IF(OR(D$4="",$B14=""),"",COUNTIFS(명단!$F$5:$F$404,D$4,명단!$G$5:$G$404,$B14))</f>
        <v>0</v>
      </c>
      <c r="E14" s="40" t="n">
        <f aca="false">IF(OR(E$4="",$B14=""),"",COUNTIFS(명단!$F$5:$F$404,E$4,명단!$G$5:$G$404,$B14))</f>
        <v>0</v>
      </c>
      <c r="F14" s="40" t="n">
        <f aca="false">IF(OR(F$4="",$B14=""),"",COUNTIFS(명단!$F$5:$F$404,F$4,명단!$G$5:$G$404,$B14))</f>
        <v>0</v>
      </c>
      <c r="G14" s="40" t="n">
        <f aca="false">IF(OR(G$4="",$B14=""),"",COUNTIFS(명단!$F$5:$F$404,G$4,명단!$G$5:$G$404,$B14))</f>
        <v>0</v>
      </c>
      <c r="H14" s="40" t="n">
        <f aca="false">IF(OR(H$4="",$B14=""),"",COUNTIFS(명단!$F$5:$F$404,H$4,명단!$G$5:$G$404,$B14))</f>
        <v>0</v>
      </c>
      <c r="I14" s="40" t="n">
        <f aca="false">IF(OR(I$4="",$B14=""),"",COUNTIFS(명단!$F$5:$F$404,I$4,명단!$G$5:$G$404,$B14))</f>
        <v>0</v>
      </c>
      <c r="J14" s="40" t="n">
        <f aca="false">IF(OR(J$4="",$B14=""),"",COUNTIFS(명단!$F$5:$F$404,J$4,명단!$G$5:$G$404,$B14))</f>
        <v>0</v>
      </c>
      <c r="K14" s="40" t="n">
        <f aca="false">IF(OR(K$4="",$B14=""),"",COUNTIFS(명단!$F$5:$F$404,K$4,명단!$G$5:$G$404,$B14))</f>
        <v>0</v>
      </c>
      <c r="L14" s="40" t="n">
        <f aca="false">IF(OR(L$4="",$B14=""),"",COUNTIFS(명단!$F$5:$F$404,L$4,명단!$G$5:$G$404,$B14))</f>
        <v>0</v>
      </c>
      <c r="M14" s="40" t="n">
        <f aca="false">IF(OR(M$4="",$B14=""),"",COUNTIFS(명단!$F$5:$F$404,M$4,명단!$G$5:$G$404,$B14))</f>
        <v>0</v>
      </c>
    </row>
    <row r="15" customFormat="false" ht="15" hidden="false" customHeight="false" outlineLevel="0" collapsed="false">
      <c r="B15" s="38" t="n">
        <f aca="false">IF(설정!$C$41="","",설정!$C$41)</f>
        <v>0.645833333333333</v>
      </c>
      <c r="C15" s="39" t="n">
        <f aca="false">IF(설정!$D$41="","",설정!$D$41)</f>
        <v>4</v>
      </c>
      <c r="D15" s="40" t="n">
        <f aca="false">IF(OR(D$4="",$B15=""),"",COUNTIFS(명단!$F$5:$F$404,D$4,명단!$G$5:$G$404,$B15))</f>
        <v>0</v>
      </c>
      <c r="E15" s="40" t="n">
        <f aca="false">IF(OR(E$4="",$B15=""),"",COUNTIFS(명단!$F$5:$F$404,E$4,명단!$G$5:$G$404,$B15))</f>
        <v>0</v>
      </c>
      <c r="F15" s="40" t="n">
        <f aca="false">IF(OR(F$4="",$B15=""),"",COUNTIFS(명단!$F$5:$F$404,F$4,명단!$G$5:$G$404,$B15))</f>
        <v>0</v>
      </c>
      <c r="G15" s="40" t="n">
        <f aca="false">IF(OR(G$4="",$B15=""),"",COUNTIFS(명단!$F$5:$F$404,G$4,명단!$G$5:$G$404,$B15))</f>
        <v>0</v>
      </c>
      <c r="H15" s="40" t="n">
        <f aca="false">IF(OR(H$4="",$B15=""),"",COUNTIFS(명단!$F$5:$F$404,H$4,명단!$G$5:$G$404,$B15))</f>
        <v>0</v>
      </c>
      <c r="I15" s="40" t="n">
        <f aca="false">IF(OR(I$4="",$B15=""),"",COUNTIFS(명단!$F$5:$F$404,I$4,명단!$G$5:$G$404,$B15))</f>
        <v>0</v>
      </c>
      <c r="J15" s="40" t="n">
        <f aca="false">IF(OR(J$4="",$B15=""),"",COUNTIFS(명단!$F$5:$F$404,J$4,명단!$G$5:$G$404,$B15))</f>
        <v>0</v>
      </c>
      <c r="K15" s="40" t="n">
        <f aca="false">IF(OR(K$4="",$B15=""),"",COUNTIFS(명단!$F$5:$F$404,K$4,명단!$G$5:$G$404,$B15))</f>
        <v>0</v>
      </c>
      <c r="L15" s="40" t="n">
        <f aca="false">IF(OR(L$4="",$B15=""),"",COUNTIFS(명단!$F$5:$F$404,L$4,명단!$G$5:$G$404,$B15))</f>
        <v>0</v>
      </c>
      <c r="M15" s="40" t="n">
        <f aca="false">IF(OR(M$4="",$B15=""),"",COUNTIFS(명단!$F$5:$F$404,M$4,명단!$G$5:$G$404,$B15))</f>
        <v>0</v>
      </c>
    </row>
    <row r="16" customFormat="false" ht="15" hidden="false" customHeight="false" outlineLevel="0" collapsed="false">
      <c r="B16" s="38" t="n">
        <f aca="false">IF(설정!$C$42="","",설정!$C$42)</f>
        <v>0.666666666666667</v>
      </c>
      <c r="C16" s="39" t="n">
        <f aca="false">IF(설정!$D$42="","",설정!$D$42)</f>
        <v>4</v>
      </c>
      <c r="D16" s="40" t="n">
        <f aca="false">IF(OR(D$4="",$B16=""),"",COUNTIFS(명단!$F$5:$F$404,D$4,명단!$G$5:$G$404,$B16))</f>
        <v>0</v>
      </c>
      <c r="E16" s="40" t="n">
        <f aca="false">IF(OR(E$4="",$B16=""),"",COUNTIFS(명단!$F$5:$F$404,E$4,명단!$G$5:$G$404,$B16))</f>
        <v>0</v>
      </c>
      <c r="F16" s="40" t="n">
        <f aca="false">IF(OR(F$4="",$B16=""),"",COUNTIFS(명단!$F$5:$F$404,F$4,명단!$G$5:$G$404,$B16))</f>
        <v>0</v>
      </c>
      <c r="G16" s="40" t="n">
        <f aca="false">IF(OR(G$4="",$B16=""),"",COUNTIFS(명단!$F$5:$F$404,G$4,명단!$G$5:$G$404,$B16))</f>
        <v>0</v>
      </c>
      <c r="H16" s="40" t="n">
        <f aca="false">IF(OR(H$4="",$B16=""),"",COUNTIFS(명단!$F$5:$F$404,H$4,명단!$G$5:$G$404,$B16))</f>
        <v>0</v>
      </c>
      <c r="I16" s="40" t="n">
        <f aca="false">IF(OR(I$4="",$B16=""),"",COUNTIFS(명단!$F$5:$F$404,I$4,명단!$G$5:$G$404,$B16))</f>
        <v>0</v>
      </c>
      <c r="J16" s="40" t="n">
        <f aca="false">IF(OR(J$4="",$B16=""),"",COUNTIFS(명단!$F$5:$F$404,J$4,명단!$G$5:$G$404,$B16))</f>
        <v>0</v>
      </c>
      <c r="K16" s="40" t="n">
        <f aca="false">IF(OR(K$4="",$B16=""),"",COUNTIFS(명단!$F$5:$F$404,K$4,명단!$G$5:$G$404,$B16))</f>
        <v>0</v>
      </c>
      <c r="L16" s="40" t="n">
        <f aca="false">IF(OR(L$4="",$B16=""),"",COUNTIFS(명단!$F$5:$F$404,L$4,명단!$G$5:$G$404,$B16))</f>
        <v>0</v>
      </c>
      <c r="M16" s="40" t="n">
        <f aca="false">IF(OR(M$4="",$B16=""),"",COUNTIFS(명단!$F$5:$F$404,M$4,명단!$G$5:$G$404,$B16))</f>
        <v>0</v>
      </c>
    </row>
    <row r="17" customFormat="false" ht="15" hidden="false" customHeight="true" outlineLevel="0" collapsed="false">
      <c r="B17" s="41" t="s">
        <v>170</v>
      </c>
      <c r="C17" s="41"/>
      <c r="D17" s="40" t="n">
        <f aca="false">IF(D$4="","",COUNTIFS(명단!$F$5:$F$404,D$4,명단!$G$5:$G$404,""))</f>
        <v>0</v>
      </c>
      <c r="E17" s="40" t="n">
        <f aca="false">IF(E$4="","",COUNTIFS(명단!$F$5:$F$404,E$4,명단!$G$5:$G$404,""))</f>
        <v>0</v>
      </c>
      <c r="F17" s="40" t="n">
        <f aca="false">IF(F$4="","",COUNTIFS(명단!$F$5:$F$404,F$4,명단!$G$5:$G$404,""))</f>
        <v>0</v>
      </c>
      <c r="G17" s="40" t="n">
        <f aca="false">IF(G$4="","",COUNTIFS(명단!$F$5:$F$404,G$4,명단!$G$5:$G$404,""))</f>
        <v>0</v>
      </c>
      <c r="H17" s="40" t="n">
        <f aca="false">IF(H$4="","",COUNTIFS(명단!$F$5:$F$404,H$4,명단!$G$5:$G$404,""))</f>
        <v>0</v>
      </c>
      <c r="I17" s="40" t="n">
        <f aca="false">IF(I$4="","",COUNTIFS(명단!$F$5:$F$404,I$4,명단!$G$5:$G$404,""))</f>
        <v>0</v>
      </c>
      <c r="J17" s="40" t="n">
        <f aca="false">IF(J$4="","",COUNTIFS(명단!$F$5:$F$404,J$4,명단!$G$5:$G$404,""))</f>
        <v>0</v>
      </c>
      <c r="K17" s="40" t="n">
        <f aca="false">IF(K$4="","",COUNTIFS(명단!$F$5:$F$404,K$4,명단!$G$5:$G$404,""))</f>
        <v>0</v>
      </c>
      <c r="L17" s="40" t="n">
        <f aca="false">IF(L$4="","",COUNTIFS(명단!$F$5:$F$404,L$4,명단!$G$5:$G$404,""))</f>
        <v>0</v>
      </c>
      <c r="M17" s="40" t="n">
        <f aca="false">IF(M$4="","",COUNTIFS(명단!$F$5:$F$404,M$4,명단!$G$5:$G$404,""))</f>
        <v>0</v>
      </c>
    </row>
    <row r="18" customFormat="false" ht="15" hidden="false" customHeight="true" outlineLevel="0" collapsed="false">
      <c r="B18" s="41" t="s">
        <v>171</v>
      </c>
      <c r="C18" s="41"/>
      <c r="D18" s="42" t="n">
        <f aca="false">IF(D$4="","",COUNTIFS(명단!$F$5:$F$404,D$4))</f>
        <v>0</v>
      </c>
      <c r="E18" s="42" t="n">
        <f aca="false">IF(E$4="","",COUNTIFS(명단!$F$5:$F$404,E$4))</f>
        <v>0</v>
      </c>
      <c r="F18" s="42" t="n">
        <f aca="false">IF(F$4="","",COUNTIFS(명단!$F$5:$F$404,F$4))</f>
        <v>0</v>
      </c>
      <c r="G18" s="42" t="n">
        <f aca="false">IF(G$4="","",COUNTIFS(명단!$F$5:$F$404,G$4))</f>
        <v>0</v>
      </c>
      <c r="H18" s="42" t="n">
        <f aca="false">IF(H$4="","",COUNTIFS(명단!$F$5:$F$404,H$4))</f>
        <v>0</v>
      </c>
      <c r="I18" s="42" t="n">
        <f aca="false">IF(I$4="","",COUNTIFS(명단!$F$5:$F$404,I$4))</f>
        <v>0</v>
      </c>
      <c r="J18" s="42" t="n">
        <f aca="false">IF(J$4="","",COUNTIFS(명단!$F$5:$F$404,J$4))</f>
        <v>0</v>
      </c>
      <c r="K18" s="42" t="n">
        <f aca="false">IF(K$4="","",COUNTIFS(명단!$F$5:$F$404,K$4))</f>
        <v>0</v>
      </c>
      <c r="L18" s="42" t="n">
        <f aca="false">IF(L$4="","",COUNTIFS(명단!$F$5:$F$404,L$4))</f>
        <v>0</v>
      </c>
      <c r="M18" s="42" t="n">
        <f aca="false">IF(M$4="","",COUNTIFS(명단!$F$5:$F$404,M$4))</f>
        <v>0</v>
      </c>
    </row>
    <row r="19" customFormat="false" ht="15" hidden="false" customHeight="true" outlineLevel="0" collapsed="false">
      <c r="B19" s="41" t="s">
        <v>172</v>
      </c>
      <c r="C19" s="41"/>
      <c r="D19" s="40" t="n">
        <f aca="false">IF(D$4="","",SUM($C$5:$C$16))</f>
        <v>48</v>
      </c>
      <c r="E19" s="40" t="n">
        <f aca="false">IF(E$4="","",SUM($C$5:$C$16))</f>
        <v>48</v>
      </c>
      <c r="F19" s="40" t="n">
        <f aca="false">IF(F$4="","",SUM($C$5:$C$16))</f>
        <v>48</v>
      </c>
      <c r="G19" s="40" t="n">
        <f aca="false">IF(G$4="","",SUM($C$5:$C$16))</f>
        <v>48</v>
      </c>
      <c r="H19" s="40" t="n">
        <f aca="false">IF(H$4="","",SUM($C$5:$C$16))</f>
        <v>48</v>
      </c>
      <c r="I19" s="40" t="n">
        <f aca="false">IF(I$4="","",SUM($C$5:$C$16))</f>
        <v>48</v>
      </c>
      <c r="J19" s="40" t="n">
        <f aca="false">IF(J$4="","",SUM($C$5:$C$16))</f>
        <v>48</v>
      </c>
      <c r="K19" s="40" t="n">
        <f aca="false">IF(K$4="","",SUM($C$5:$C$16))</f>
        <v>48</v>
      </c>
      <c r="L19" s="40" t="n">
        <f aca="false">IF(L$4="","",SUM($C$5:$C$16))</f>
        <v>48</v>
      </c>
      <c r="M19" s="40" t="n">
        <f aca="false">IF(M$4="","",SUM($C$5:$C$16))</f>
        <v>48</v>
      </c>
    </row>
    <row r="20" customFormat="false" ht="15" hidden="false" customHeight="true" outlineLevel="0" collapsed="false">
      <c r="B20" s="41" t="s">
        <v>105</v>
      </c>
      <c r="C20" s="41"/>
      <c r="D20" s="42" t="n">
        <f aca="false">IF(D$4="","",COUNTIFS(명단!$F$5:$F$404,D$4,명단!$W$5:$W$404,"완료"))</f>
        <v>0</v>
      </c>
      <c r="E20" s="42" t="n">
        <f aca="false">IF(E$4="","",COUNTIFS(명단!$F$5:$F$404,E$4,명단!$W$5:$W$404,"완료"))</f>
        <v>0</v>
      </c>
      <c r="F20" s="42" t="n">
        <f aca="false">IF(F$4="","",COUNTIFS(명단!$F$5:$F$404,F$4,명단!$W$5:$W$404,"완료"))</f>
        <v>0</v>
      </c>
      <c r="G20" s="42" t="n">
        <f aca="false">IF(G$4="","",COUNTIFS(명단!$F$5:$F$404,G$4,명단!$W$5:$W$404,"완료"))</f>
        <v>0</v>
      </c>
      <c r="H20" s="42" t="n">
        <f aca="false">IF(H$4="","",COUNTIFS(명단!$F$5:$F$404,H$4,명단!$W$5:$W$404,"완료"))</f>
        <v>0</v>
      </c>
      <c r="I20" s="42" t="n">
        <f aca="false">IF(I$4="","",COUNTIFS(명단!$F$5:$F$404,I$4,명단!$W$5:$W$404,"완료"))</f>
        <v>0</v>
      </c>
      <c r="J20" s="42" t="n">
        <f aca="false">IF(J$4="","",COUNTIFS(명단!$F$5:$F$404,J$4,명단!$W$5:$W$404,"완료"))</f>
        <v>0</v>
      </c>
      <c r="K20" s="42" t="n">
        <f aca="false">IF(K$4="","",COUNTIFS(명단!$F$5:$F$404,K$4,명단!$W$5:$W$404,"완료"))</f>
        <v>0</v>
      </c>
      <c r="L20" s="42" t="n">
        <f aca="false">IF(L$4="","",COUNTIFS(명단!$F$5:$F$404,L$4,명단!$W$5:$W$404,"완료"))</f>
        <v>0</v>
      </c>
      <c r="M20" s="42" t="n">
        <f aca="false">IF(M$4="","",COUNTIFS(명단!$F$5:$F$404,M$4,명단!$W$5:$W$404,"완료"))</f>
        <v>0</v>
      </c>
    </row>
    <row r="21" customFormat="false" ht="15" hidden="false" customHeight="true" outlineLevel="0" collapsed="false">
      <c r="B21" s="41" t="s">
        <v>173</v>
      </c>
      <c r="C21" s="41"/>
      <c r="D21" s="40" t="n">
        <f aca="false">IF(D$4="","",COUNTIFS(명단!$F$5:$F$404,D$4,명단!$W$5:$W$404,"불참")+COUNTIFS(명단!$F$5:$F$404,D$4,명단!$W$5:$W$404,"연기"))</f>
        <v>0</v>
      </c>
      <c r="E21" s="40" t="n">
        <f aca="false">IF(E$4="","",COUNTIFS(명단!$F$5:$F$404,E$4,명단!$W$5:$W$404,"불참")+COUNTIFS(명단!$F$5:$F$404,E$4,명단!$W$5:$W$404,"연기"))</f>
        <v>0</v>
      </c>
      <c r="F21" s="40" t="n">
        <f aca="false">IF(F$4="","",COUNTIFS(명단!$F$5:$F$404,F$4,명단!$W$5:$W$404,"불참")+COUNTIFS(명단!$F$5:$F$404,F$4,명단!$W$5:$W$404,"연기"))</f>
        <v>0</v>
      </c>
      <c r="G21" s="40" t="n">
        <f aca="false">IF(G$4="","",COUNTIFS(명단!$F$5:$F$404,G$4,명단!$W$5:$W$404,"불참")+COUNTIFS(명단!$F$5:$F$404,G$4,명단!$W$5:$W$404,"연기"))</f>
        <v>0</v>
      </c>
      <c r="H21" s="40" t="n">
        <f aca="false">IF(H$4="","",COUNTIFS(명단!$F$5:$F$404,H$4,명단!$W$5:$W$404,"불참")+COUNTIFS(명단!$F$5:$F$404,H$4,명단!$W$5:$W$404,"연기"))</f>
        <v>0</v>
      </c>
      <c r="I21" s="40" t="n">
        <f aca="false">IF(I$4="","",COUNTIFS(명단!$F$5:$F$404,I$4,명단!$W$5:$W$404,"불참")+COUNTIFS(명단!$F$5:$F$404,I$4,명단!$W$5:$W$404,"연기"))</f>
        <v>0</v>
      </c>
      <c r="J21" s="40" t="n">
        <f aca="false">IF(J$4="","",COUNTIFS(명단!$F$5:$F$404,J$4,명단!$W$5:$W$404,"불참")+COUNTIFS(명단!$F$5:$F$404,J$4,명단!$W$5:$W$404,"연기"))</f>
        <v>0</v>
      </c>
      <c r="K21" s="40" t="n">
        <f aca="false">IF(K$4="","",COUNTIFS(명단!$F$5:$F$404,K$4,명단!$W$5:$W$404,"불참")+COUNTIFS(명단!$F$5:$F$404,K$4,명단!$W$5:$W$404,"연기"))</f>
        <v>0</v>
      </c>
      <c r="L21" s="40" t="n">
        <f aca="false">IF(L$4="","",COUNTIFS(명단!$F$5:$F$404,L$4,명단!$W$5:$W$404,"불참")+COUNTIFS(명단!$F$5:$F$404,L$4,명단!$W$5:$W$404,"연기"))</f>
        <v>0</v>
      </c>
      <c r="M21" s="40" t="n">
        <f aca="false">IF(M$4="","",COUNTIFS(명단!$F$5:$F$404,M$4,명단!$W$5:$W$404,"불참")+COUNTIFS(명단!$F$5:$F$404,M$4,명단!$W$5:$W$404,"연기"))</f>
        <v>0</v>
      </c>
    </row>
    <row r="22" customFormat="false" ht="15" hidden="false" customHeight="true" outlineLevel="0" collapsed="false">
      <c r="B22" s="41" t="s">
        <v>174</v>
      </c>
      <c r="C22" s="41"/>
      <c r="D22" s="40" t="n">
        <f aca="false">IF(D$4="","",D18-D20-D21)</f>
        <v>0</v>
      </c>
      <c r="E22" s="40" t="n">
        <f aca="false">IF(E$4="","",E18-E20-E21)</f>
        <v>0</v>
      </c>
      <c r="F22" s="40" t="n">
        <f aca="false">IF(F$4="","",F18-F20-F21)</f>
        <v>0</v>
      </c>
      <c r="G22" s="40" t="n">
        <f aca="false">IF(G$4="","",G18-G20-G21)</f>
        <v>0</v>
      </c>
      <c r="H22" s="40" t="n">
        <f aca="false">IF(H$4="","",H18-H20-H21)</f>
        <v>0</v>
      </c>
      <c r="I22" s="40" t="n">
        <f aca="false">IF(I$4="","",I18-I20-I21)</f>
        <v>0</v>
      </c>
      <c r="J22" s="40" t="n">
        <f aca="false">IF(J$4="","",J18-J20-J21)</f>
        <v>0</v>
      </c>
      <c r="K22" s="40" t="n">
        <f aca="false">IF(K$4="","",K18-K20-K21)</f>
        <v>0</v>
      </c>
      <c r="L22" s="40" t="n">
        <f aca="false">IF(L$4="","",L18-L20-L21)</f>
        <v>0</v>
      </c>
      <c r="M22" s="40" t="n">
        <f aca="false">IF(M$4="","",M18-M20-M21)</f>
        <v>0</v>
      </c>
    </row>
    <row r="23" customFormat="false" ht="15" hidden="false" customHeight="true" outlineLevel="0" collapsed="false">
      <c r="B23" s="41" t="s">
        <v>175</v>
      </c>
      <c r="C23" s="41"/>
      <c r="D23" s="43" t="str">
        <f aca="false">IF(D$4="","",IF(D18=0,"-",D20/D18))</f>
        <v>-</v>
      </c>
      <c r="E23" s="43" t="str">
        <f aca="false">IF(E$4="","",IF(E18=0,"-",E20/E18))</f>
        <v>-</v>
      </c>
      <c r="F23" s="43" t="str">
        <f aca="false">IF(F$4="","",IF(F18=0,"-",F20/F18))</f>
        <v>-</v>
      </c>
      <c r="G23" s="43" t="str">
        <f aca="false">IF(G$4="","",IF(G18=0,"-",G20/G18))</f>
        <v>-</v>
      </c>
      <c r="H23" s="43" t="str">
        <f aca="false">IF(H$4="","",IF(H18=0,"-",H20/H18))</f>
        <v>-</v>
      </c>
      <c r="I23" s="43" t="str">
        <f aca="false">IF(I$4="","",IF(I18=0,"-",I20/I18))</f>
        <v>-</v>
      </c>
      <c r="J23" s="43" t="str">
        <f aca="false">IF(J$4="","",IF(J18=0,"-",J20/J18))</f>
        <v>-</v>
      </c>
      <c r="K23" s="43" t="str">
        <f aca="false">IF(K$4="","",IF(K18=0,"-",K20/K18))</f>
        <v>-</v>
      </c>
      <c r="L23" s="43" t="str">
        <f aca="false">IF(L$4="","",IF(L18=0,"-",L20/L18))</f>
        <v>-</v>
      </c>
      <c r="M23" s="43" t="str">
        <f aca="false">IF(M$4="","",IF(M18=0,"-",M20/M18))</f>
        <v>-</v>
      </c>
    </row>
    <row r="24" customFormat="false" ht="15" hidden="false" customHeight="true" outlineLevel="0" collapsed="false">
      <c r="B24" s="41" t="s">
        <v>176</v>
      </c>
      <c r="C24" s="41"/>
      <c r="D24" s="40" t="str">
        <f aca="false">IF(D$4="","",TEXT(D$4,"m/d"))</f>
        <v>10/19</v>
      </c>
      <c r="E24" s="40" t="str">
        <f aca="false">IF(E$4="","",TEXT(E$4,"m/d"))</f>
        <v>10/20</v>
      </c>
      <c r="F24" s="40" t="str">
        <f aca="false">IF(F$4="","",TEXT(F$4,"m/d"))</f>
        <v>10/21</v>
      </c>
      <c r="G24" s="40" t="str">
        <f aca="false">IF(G$4="","",TEXT(G$4,"m/d"))</f>
        <v>10/22</v>
      </c>
      <c r="H24" s="40" t="str">
        <f aca="false">IF(H$4="","",TEXT(H$4,"m/d"))</f>
        <v>10/23</v>
      </c>
      <c r="I24" s="40" t="str">
        <f aca="false">IF(I$4="","",TEXT(I$4,"m/d"))</f>
        <v>10/26</v>
      </c>
      <c r="J24" s="40" t="str">
        <f aca="false">IF(J$4="","",TEXT(J$4,"m/d"))</f>
        <v>10/27</v>
      </c>
      <c r="K24" s="40" t="str">
        <f aca="false">IF(K$4="","",TEXT(K$4,"m/d"))</f>
        <v>10/28</v>
      </c>
      <c r="L24" s="40" t="str">
        <f aca="false">IF(L$4="","",TEXT(L$4,"m/d"))</f>
        <v>10/29</v>
      </c>
      <c r="M24" s="40" t="str">
        <f aca="false">IF(M$4="","",TEXT(M$4,"m/d"))</f>
        <v>10/30</v>
      </c>
    </row>
    <row r="25" customFormat="false" ht="15" hidden="false" customHeight="false" outlineLevel="0" collapsed="false">
      <c r="B25" s="2" t="s">
        <v>177</v>
      </c>
    </row>
  </sheetData>
  <mergeCells count="8">
    <mergeCell ref="B17:C17"/>
    <mergeCell ref="B18:C18"/>
    <mergeCell ref="B19:C19"/>
    <mergeCell ref="B20:C20"/>
    <mergeCell ref="B21:C21"/>
    <mergeCell ref="B22:C22"/>
    <mergeCell ref="B23:C23"/>
    <mergeCell ref="B24:C24"/>
  </mergeCells>
  <conditionalFormatting sqref="D5:M16">
    <cfRule type="expression" priority="2" aboveAverage="0" equalAverage="0" bottom="0" percent="0" rank="0" text="" dxfId="20">
      <formula>AND(ISNUMBER(D5),ISNUMBER($C5),D5&gt;$C5)</formula>
    </cfRule>
    <cfRule type="expression" priority="3" aboveAverage="0" equalAverage="0" bottom="0" percent="0" rank="0" text="" dxfId="13">
      <formula>AND(ISNUMBER(D5),ISNUMBER($C5),D5=$C5,D5&gt;0)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55A11"/>
    <pageSetUpPr fitToPage="true"/>
  </sheetPr>
  <dimension ref="B1:H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0"/>
    <col collapsed="false" customWidth="true" hidden="false" outlineLevel="0" max="8" min="3" style="0" width="21"/>
  </cols>
  <sheetData>
    <row r="1" customFormat="false" ht="19.4" hidden="false" customHeight="false" outlineLevel="0" collapsed="false">
      <c r="B1" s="18" t="s">
        <v>178</v>
      </c>
    </row>
    <row r="2" customFormat="false" ht="15" hidden="false" customHeight="false" outlineLevel="0" collapsed="false">
      <c r="B2" s="2" t="s">
        <v>179</v>
      </c>
    </row>
    <row r="3" customFormat="false" ht="15" hidden="false" customHeight="false" outlineLevel="0" collapsed="false">
      <c r="B3" s="6" t="s">
        <v>180</v>
      </c>
      <c r="C3" s="44" t="n">
        <v>5</v>
      </c>
    </row>
    <row r="4" customFormat="false" ht="15" hidden="false" customHeight="false" outlineLevel="0" collapsed="false">
      <c r="B4" s="6" t="s">
        <v>181</v>
      </c>
      <c r="C4" s="42" t="n">
        <f aca="false">설정!C4</f>
        <v>350</v>
      </c>
    </row>
    <row r="5" customFormat="false" ht="15" hidden="false" customHeight="false" outlineLevel="0" collapsed="false">
      <c r="B5" s="6" t="s">
        <v>182</v>
      </c>
      <c r="C5" s="42" t="n">
        <f aca="false">COUNT(설정!C19:C28)</f>
        <v>10</v>
      </c>
    </row>
    <row r="6" customFormat="false" ht="15" hidden="false" customHeight="false" outlineLevel="0" collapsed="false">
      <c r="B6" s="6" t="s">
        <v>183</v>
      </c>
      <c r="C6" s="44" t="n">
        <v>2</v>
      </c>
      <c r="E6" s="2" t="s">
        <v>184</v>
      </c>
    </row>
    <row r="7" customFormat="false" ht="15" hidden="false" customHeight="false" outlineLevel="0" collapsed="false">
      <c r="B7" s="6" t="s">
        <v>185</v>
      </c>
      <c r="C7" s="42" t="n">
        <f aca="false">C5-C6</f>
        <v>8</v>
      </c>
    </row>
    <row r="8" customFormat="false" ht="15" hidden="false" customHeight="false" outlineLevel="0" collapsed="false">
      <c r="B8" s="6" t="s">
        <v>186</v>
      </c>
      <c r="C8" s="42" t="n">
        <f aca="false">IF(C7&lt;=0,"-",ROUNDUP(C4/C7,0))</f>
        <v>44</v>
      </c>
    </row>
    <row r="10" customFormat="false" ht="33.75" hidden="false" customHeight="true" outlineLevel="0" collapsed="false">
      <c r="B10" s="23" t="s">
        <v>187</v>
      </c>
      <c r="C10" s="45" t="s">
        <v>188</v>
      </c>
      <c r="D10" s="23" t="s">
        <v>189</v>
      </c>
      <c r="E10" s="23" t="s">
        <v>190</v>
      </c>
      <c r="F10" s="23" t="s">
        <v>191</v>
      </c>
      <c r="G10" s="23" t="s">
        <v>192</v>
      </c>
      <c r="H10" s="23" t="s">
        <v>193</v>
      </c>
    </row>
    <row r="11" customFormat="false" ht="15" hidden="false" customHeight="false" outlineLevel="0" collapsed="false">
      <c r="B11" s="6" t="s">
        <v>194</v>
      </c>
      <c r="C11" s="44" t="n">
        <v>15</v>
      </c>
      <c r="D11" s="44" t="n">
        <v>1</v>
      </c>
      <c r="E11" s="46" t="n">
        <v>1</v>
      </c>
      <c r="F11" s="47" t="n">
        <f aca="false">D11*60/C11/E11</f>
        <v>4</v>
      </c>
      <c r="G11" s="48" t="n">
        <f aca="false">F11*$C$3</f>
        <v>20</v>
      </c>
      <c r="H11" s="48" t="n">
        <f aca="false">IF(ISNUMBER($C$8),ROUNDUP($C$8*E11*C11/60/$C$3,0),"-")</f>
        <v>3</v>
      </c>
    </row>
    <row r="12" customFormat="false" ht="15" hidden="false" customHeight="false" outlineLevel="0" collapsed="false">
      <c r="B12" s="6" t="s">
        <v>195</v>
      </c>
      <c r="C12" s="44" t="n">
        <v>8</v>
      </c>
      <c r="D12" s="44" t="n">
        <v>2</v>
      </c>
      <c r="E12" s="46" t="n">
        <v>1</v>
      </c>
      <c r="F12" s="47" t="n">
        <f aca="false">D12*60/C12/E12</f>
        <v>15</v>
      </c>
      <c r="G12" s="48" t="n">
        <f aca="false">F12*$C$3</f>
        <v>75</v>
      </c>
      <c r="H12" s="48" t="n">
        <f aca="false">IF(ISNUMBER($C$8),ROUNDUP($C$8*E12*C12/60/$C$3,0),"-")</f>
        <v>2</v>
      </c>
    </row>
    <row r="13" customFormat="false" ht="15" hidden="false" customHeight="false" outlineLevel="0" collapsed="false">
      <c r="B13" s="6" t="s">
        <v>196</v>
      </c>
      <c r="C13" s="44" t="n">
        <v>10</v>
      </c>
      <c r="D13" s="44" t="n">
        <v>3</v>
      </c>
      <c r="E13" s="46" t="n">
        <v>1</v>
      </c>
      <c r="F13" s="47" t="n">
        <f aca="false">D13*60/C13/E13</f>
        <v>18</v>
      </c>
      <c r="G13" s="48" t="n">
        <f aca="false">F13*$C$3</f>
        <v>90</v>
      </c>
      <c r="H13" s="48" t="n">
        <f aca="false">IF(ISNUMBER($C$8),ROUNDUP($C$8*E13*C13/60/$C$3,0),"-")</f>
        <v>2</v>
      </c>
    </row>
    <row r="14" customFormat="false" ht="15" hidden="false" customHeight="false" outlineLevel="0" collapsed="false">
      <c r="B14" s="6" t="s">
        <v>197</v>
      </c>
      <c r="C14" s="44" t="n">
        <v>15</v>
      </c>
      <c r="D14" s="44" t="n">
        <v>2</v>
      </c>
      <c r="E14" s="46" t="n">
        <v>0.2</v>
      </c>
      <c r="F14" s="47" t="n">
        <f aca="false">D14*60/C14/E14</f>
        <v>40</v>
      </c>
      <c r="G14" s="48" t="n">
        <f aca="false">F14*$C$3</f>
        <v>200</v>
      </c>
      <c r="H14" s="48" t="n">
        <f aca="false">IF(ISNUMBER($C$8),ROUNDUP($C$8*E14*C14/60/$C$3,0),"-")</f>
        <v>1</v>
      </c>
    </row>
    <row r="15" customFormat="false" ht="15" hidden="false" customHeight="false" outlineLevel="0" collapsed="false">
      <c r="B15" s="2" t="s">
        <v>198</v>
      </c>
    </row>
    <row r="17" customFormat="false" ht="15" hidden="false" customHeight="false" outlineLevel="0" collapsed="false">
      <c r="B17" s="12" t="s">
        <v>199</v>
      </c>
      <c r="C17" s="4"/>
    </row>
    <row r="18" customFormat="false" ht="15" hidden="false" customHeight="false" outlineLevel="0" collapsed="false">
      <c r="B18" s="6" t="s">
        <v>200</v>
      </c>
      <c r="C18" s="42" t="str">
        <f aca="false">INDEX(B11:B14,MATCH(MIN(F11:F14),F11:F14,0))</f>
        <v>운동평가</v>
      </c>
    </row>
    <row r="19" customFormat="false" ht="15" hidden="false" customHeight="false" outlineLevel="0" collapsed="false">
      <c r="B19" s="6" t="s">
        <v>201</v>
      </c>
      <c r="C19" s="49" t="n">
        <f aca="false">MIN(F11:F14)</f>
        <v>4</v>
      </c>
    </row>
    <row r="20" customFormat="false" ht="15" hidden="false" customHeight="false" outlineLevel="0" collapsed="false">
      <c r="B20" s="6" t="s">
        <v>202</v>
      </c>
      <c r="C20" s="50" t="n">
        <f aca="false">C19*C3</f>
        <v>20</v>
      </c>
    </row>
    <row r="21" customFormat="false" ht="15" hidden="false" customHeight="false" outlineLevel="0" collapsed="false">
      <c r="B21" s="6" t="s">
        <v>203</v>
      </c>
      <c r="C21" s="42" t="n">
        <f aca="false">ROUNDUP(C4/C20,0)</f>
        <v>18</v>
      </c>
    </row>
    <row r="22" customFormat="false" ht="15" hidden="false" customHeight="false" outlineLevel="0" collapsed="false">
      <c r="B22" s="6" t="s">
        <v>204</v>
      </c>
      <c r="C22" s="10" t="str">
        <f aca="false">IF(C21&lt;=C7,"가능 ("&amp;C7&amp;"일 이내)","부족: "&amp;C18&amp;" 인력을 늘리거나 운영일·시간 확대 필요")</f>
        <v>부족: 운동평가 인력을 늘리거나 운영일·시간 확대 필요</v>
      </c>
      <c r="D22" s="10"/>
      <c r="E22" s="10"/>
      <c r="F22" s="10"/>
    </row>
    <row r="24" customFormat="false" ht="15" hidden="false" customHeight="false" outlineLevel="0" collapsed="false">
      <c r="B24" s="2" t="s">
        <v>205</v>
      </c>
    </row>
  </sheetData>
  <mergeCells count="1">
    <mergeCell ref="C22:F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F9000"/>
    <pageSetUpPr fitToPage="true"/>
  </sheetPr>
  <dimension ref="B2:E4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0"/>
    <col collapsed="false" customWidth="true" hidden="false" outlineLevel="0" max="3" min="3" style="0" width="16"/>
    <col collapsed="false" customWidth="true" hidden="false" outlineLevel="0" max="4" min="4" style="0" width="14"/>
    <col collapsed="false" customWidth="true" hidden="false" outlineLevel="0" max="5" min="5" style="0" width="70"/>
  </cols>
  <sheetData>
    <row r="2" customFormat="false" ht="19.4" hidden="false" customHeight="false" outlineLevel="0" collapsed="false">
      <c r="B2" s="18" t="s">
        <v>206</v>
      </c>
    </row>
    <row r="3" customFormat="false" ht="15" hidden="false" customHeight="false" outlineLevel="0" collapsed="false">
      <c r="B3" s="2" t="s">
        <v>207</v>
      </c>
    </row>
    <row r="4" customFormat="false" ht="15" hidden="false" customHeight="false" outlineLevel="0" collapsed="false">
      <c r="B4" s="6" t="s">
        <v>181</v>
      </c>
      <c r="C4" s="44" t="n">
        <v>350</v>
      </c>
      <c r="E4" s="51" t="s">
        <v>208</v>
      </c>
    </row>
    <row r="6" customFormat="false" ht="15" hidden="false" customHeight="false" outlineLevel="0" collapsed="false">
      <c r="B6" s="12" t="s">
        <v>209</v>
      </c>
      <c r="C6" s="4"/>
      <c r="D6" s="4"/>
    </row>
    <row r="7" customFormat="false" ht="15" hidden="false" customHeight="false" outlineLevel="0" collapsed="false">
      <c r="B7" s="6" t="s">
        <v>210</v>
      </c>
      <c r="C7" s="44" t="n">
        <v>140</v>
      </c>
      <c r="E7" s="51" t="s">
        <v>211</v>
      </c>
    </row>
    <row r="8" customFormat="false" ht="15" hidden="false" customHeight="false" outlineLevel="0" collapsed="false">
      <c r="B8" s="6" t="s">
        <v>212</v>
      </c>
      <c r="C8" s="44" t="n">
        <v>90</v>
      </c>
      <c r="E8" s="51"/>
    </row>
    <row r="9" customFormat="false" ht="15" hidden="false" customHeight="false" outlineLevel="0" collapsed="false">
      <c r="B9" s="6" t="s">
        <v>213</v>
      </c>
      <c r="C9" s="44" t="n">
        <v>180</v>
      </c>
      <c r="E9" s="51" t="s">
        <v>214</v>
      </c>
    </row>
    <row r="10" customFormat="false" ht="15" hidden="false" customHeight="false" outlineLevel="0" collapsed="false">
      <c r="B10" s="6" t="s">
        <v>215</v>
      </c>
      <c r="C10" s="44" t="n">
        <v>110</v>
      </c>
      <c r="E10" s="51"/>
    </row>
    <row r="11" customFormat="false" ht="15" hidden="false" customHeight="false" outlineLevel="0" collapsed="false">
      <c r="B11" s="6" t="s">
        <v>216</v>
      </c>
      <c r="C11" s="44" t="n">
        <v>90</v>
      </c>
      <c r="E11" s="51" t="s">
        <v>217</v>
      </c>
    </row>
    <row r="12" customFormat="false" ht="15" hidden="false" customHeight="false" outlineLevel="0" collapsed="false">
      <c r="B12" s="12" t="s">
        <v>218</v>
      </c>
      <c r="C12" s="4"/>
      <c r="D12" s="4"/>
    </row>
    <row r="13" customFormat="false" ht="15" hidden="false" customHeight="false" outlineLevel="0" collapsed="false">
      <c r="B13" s="6" t="s">
        <v>219</v>
      </c>
      <c r="C13" s="44" t="n">
        <v>126</v>
      </c>
      <c r="E13" s="51" t="s">
        <v>220</v>
      </c>
    </row>
    <row r="14" customFormat="false" ht="15" hidden="false" customHeight="false" outlineLevel="0" collapsed="false">
      <c r="B14" s="6" t="s">
        <v>221</v>
      </c>
      <c r="C14" s="44" t="n">
        <v>200</v>
      </c>
      <c r="E14" s="51" t="s">
        <v>222</v>
      </c>
    </row>
    <row r="15" customFormat="false" ht="15" hidden="false" customHeight="false" outlineLevel="0" collapsed="false">
      <c r="B15" s="6" t="s">
        <v>223</v>
      </c>
      <c r="C15" s="44" t="n">
        <v>70</v>
      </c>
      <c r="E15" s="51" t="s">
        <v>224</v>
      </c>
    </row>
    <row r="16" customFormat="false" ht="15" hidden="false" customHeight="false" outlineLevel="0" collapsed="false">
      <c r="B16" s="6" t="s">
        <v>225</v>
      </c>
      <c r="C16" s="44" t="n">
        <v>300</v>
      </c>
      <c r="E16" s="51" t="s">
        <v>226</v>
      </c>
    </row>
    <row r="17" customFormat="false" ht="15" hidden="false" customHeight="false" outlineLevel="0" collapsed="false">
      <c r="B17" s="52" t="s">
        <v>227</v>
      </c>
    </row>
    <row r="18" customFormat="false" ht="15" hidden="false" customHeight="false" outlineLevel="0" collapsed="false">
      <c r="B18" s="12" t="s">
        <v>228</v>
      </c>
      <c r="C18" s="53" t="s">
        <v>229</v>
      </c>
      <c r="D18" s="4"/>
    </row>
    <row r="19" customFormat="false" ht="26.85" hidden="false" customHeight="false" outlineLevel="0" collapsed="false">
      <c r="B19" s="9" t="s">
        <v>230</v>
      </c>
      <c r="C19" s="54" t="n">
        <v>46314</v>
      </c>
      <c r="E19" s="51" t="s">
        <v>231</v>
      </c>
    </row>
    <row r="20" customFormat="false" ht="15" hidden="false" customHeight="false" outlineLevel="0" collapsed="false">
      <c r="B20" s="9" t="s">
        <v>232</v>
      </c>
      <c r="C20" s="54" t="n">
        <v>46315</v>
      </c>
    </row>
    <row r="21" customFormat="false" ht="15" hidden="false" customHeight="false" outlineLevel="0" collapsed="false">
      <c r="B21" s="9" t="s">
        <v>233</v>
      </c>
      <c r="C21" s="54" t="n">
        <v>46316</v>
      </c>
    </row>
    <row r="22" customFormat="false" ht="15" hidden="false" customHeight="false" outlineLevel="0" collapsed="false">
      <c r="B22" s="9" t="s">
        <v>234</v>
      </c>
      <c r="C22" s="54" t="n">
        <v>46317</v>
      </c>
    </row>
    <row r="23" customFormat="false" ht="15" hidden="false" customHeight="false" outlineLevel="0" collapsed="false">
      <c r="B23" s="9" t="s">
        <v>235</v>
      </c>
      <c r="C23" s="54" t="n">
        <v>46318</v>
      </c>
    </row>
    <row r="24" customFormat="false" ht="15" hidden="false" customHeight="false" outlineLevel="0" collapsed="false">
      <c r="B24" s="9" t="s">
        <v>236</v>
      </c>
      <c r="C24" s="54" t="n">
        <v>46321</v>
      </c>
    </row>
    <row r="25" customFormat="false" ht="15" hidden="false" customHeight="false" outlineLevel="0" collapsed="false">
      <c r="B25" s="9" t="s">
        <v>237</v>
      </c>
      <c r="C25" s="54" t="n">
        <v>46322</v>
      </c>
    </row>
    <row r="26" customFormat="false" ht="15" hidden="false" customHeight="false" outlineLevel="0" collapsed="false">
      <c r="B26" s="9" t="s">
        <v>238</v>
      </c>
      <c r="C26" s="54" t="n">
        <v>46323</v>
      </c>
    </row>
    <row r="27" customFormat="false" ht="15" hidden="false" customHeight="false" outlineLevel="0" collapsed="false">
      <c r="B27" s="9" t="s">
        <v>239</v>
      </c>
      <c r="C27" s="54" t="n">
        <v>46324</v>
      </c>
    </row>
    <row r="28" customFormat="false" ht="15" hidden="false" customHeight="false" outlineLevel="0" collapsed="false">
      <c r="B28" s="9" t="s">
        <v>240</v>
      </c>
      <c r="C28" s="54" t="n">
        <v>46325</v>
      </c>
    </row>
    <row r="30" customFormat="false" ht="15" hidden="false" customHeight="false" outlineLevel="0" collapsed="false">
      <c r="B30" s="12" t="s">
        <v>241</v>
      </c>
      <c r="C30" s="53" t="s">
        <v>168</v>
      </c>
      <c r="D30" s="53" t="s">
        <v>242</v>
      </c>
    </row>
    <row r="31" customFormat="false" ht="26.85" hidden="false" customHeight="false" outlineLevel="0" collapsed="false">
      <c r="B31" s="6" t="s">
        <v>243</v>
      </c>
      <c r="C31" s="55" t="n">
        <v>0.375</v>
      </c>
      <c r="D31" s="44" t="n">
        <v>4</v>
      </c>
      <c r="E31" s="51" t="s">
        <v>244</v>
      </c>
    </row>
    <row r="32" customFormat="false" ht="15" hidden="false" customHeight="false" outlineLevel="0" collapsed="false">
      <c r="B32" s="6" t="s">
        <v>245</v>
      </c>
      <c r="C32" s="55" t="n">
        <v>0.395833333333333</v>
      </c>
      <c r="D32" s="44" t="n">
        <v>4</v>
      </c>
      <c r="E32" s="51" t="s">
        <v>246</v>
      </c>
    </row>
    <row r="33" customFormat="false" ht="15" hidden="false" customHeight="false" outlineLevel="0" collapsed="false">
      <c r="B33" s="6" t="s">
        <v>247</v>
      </c>
      <c r="C33" s="55" t="n">
        <v>0.416666666666667</v>
      </c>
      <c r="D33" s="44" t="n">
        <v>4</v>
      </c>
    </row>
    <row r="34" customFormat="false" ht="15" hidden="false" customHeight="false" outlineLevel="0" collapsed="false">
      <c r="B34" s="6" t="s">
        <v>248</v>
      </c>
      <c r="C34" s="55" t="n">
        <v>0.4375</v>
      </c>
      <c r="D34" s="44" t="n">
        <v>4</v>
      </c>
    </row>
    <row r="35" customFormat="false" ht="15" hidden="false" customHeight="false" outlineLevel="0" collapsed="false">
      <c r="B35" s="6" t="s">
        <v>249</v>
      </c>
      <c r="C35" s="55" t="n">
        <v>0.458333333333333</v>
      </c>
      <c r="D35" s="44" t="n">
        <v>4</v>
      </c>
    </row>
    <row r="36" customFormat="false" ht="15" hidden="false" customHeight="false" outlineLevel="0" collapsed="false">
      <c r="B36" s="6" t="s">
        <v>250</v>
      </c>
      <c r="C36" s="55" t="n">
        <v>0.479166666666667</v>
      </c>
      <c r="D36" s="44" t="n">
        <v>4</v>
      </c>
    </row>
    <row r="37" customFormat="false" ht="15" hidden="false" customHeight="false" outlineLevel="0" collapsed="false">
      <c r="B37" s="6" t="s">
        <v>251</v>
      </c>
      <c r="C37" s="55" t="n">
        <v>0.5625</v>
      </c>
      <c r="D37" s="44" t="n">
        <v>4</v>
      </c>
    </row>
    <row r="38" customFormat="false" ht="15" hidden="false" customHeight="false" outlineLevel="0" collapsed="false">
      <c r="B38" s="6" t="s">
        <v>252</v>
      </c>
      <c r="C38" s="55" t="n">
        <v>0.583333333333333</v>
      </c>
      <c r="D38" s="44" t="n">
        <v>4</v>
      </c>
    </row>
    <row r="39" customFormat="false" ht="15" hidden="false" customHeight="false" outlineLevel="0" collapsed="false">
      <c r="B39" s="6" t="s">
        <v>253</v>
      </c>
      <c r="C39" s="55" t="n">
        <v>0.604166666666667</v>
      </c>
      <c r="D39" s="44" t="n">
        <v>4</v>
      </c>
    </row>
    <row r="40" customFormat="false" ht="15" hidden="false" customHeight="false" outlineLevel="0" collapsed="false">
      <c r="B40" s="6" t="s">
        <v>254</v>
      </c>
      <c r="C40" s="55" t="n">
        <v>0.625</v>
      </c>
      <c r="D40" s="44" t="n">
        <v>4</v>
      </c>
    </row>
    <row r="41" customFormat="false" ht="15" hidden="false" customHeight="false" outlineLevel="0" collapsed="false">
      <c r="B41" s="6" t="s">
        <v>255</v>
      </c>
      <c r="C41" s="55" t="n">
        <v>0.645833333333333</v>
      </c>
      <c r="D41" s="44" t="n">
        <v>4</v>
      </c>
    </row>
    <row r="42" customFormat="false" ht="15" hidden="false" customHeight="false" outlineLevel="0" collapsed="false">
      <c r="B42" s="6" t="s">
        <v>256</v>
      </c>
      <c r="C42" s="55" t="n">
        <v>0.666666666666667</v>
      </c>
      <c r="D42" s="44" t="n">
        <v>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2026-10-12T06:55:58Z</dcterms:created>
  <dc:creator>openpyxl</dc:creator>
  <dc:description/>
  <dc:language>en-US</dc:language>
  <cp:lastModifiedBy/>
  <dcterms:modified xsi:type="dcterms:W3CDTF">2026-10-12T06:56:00Z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